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Lukas\Desktop\"/>
    </mc:Choice>
  </mc:AlternateContent>
  <xr:revisionPtr revIDLastSave="0" documentId="13_ncr:1_{5F44658B-1CC9-4910-A89B-B36F72E73DF0}" xr6:coauthVersionLast="47" xr6:coauthVersionMax="47" xr10:uidLastSave="{00000000-0000-0000-0000-000000000000}"/>
  <bookViews>
    <workbookView xWindow="28680" yWindow="-120" windowWidth="25440" windowHeight="15540" tabRatio="840" firstSheet="1" activeTab="4" xr2:uid="{00000000-000D-0000-FFFF-FFFF00000000}"/>
  </bookViews>
  <sheets>
    <sheet name="Intro" sheetId="1" r:id="rId1"/>
    <sheet name="Version_20.02."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3. Calculation_factors&gt;&gt;&gt;&gt;" sheetId="13" r:id="rId10"/>
    <sheet name="3_1_Calculation_factors (Waste)" sheetId="5" r:id="rId11"/>
    <sheet name="3_1_Calculation_factors (Wood)" sheetId="6" r:id="rId12"/>
    <sheet name="4. Codelists&gt;&gt;&gt;&gt;" sheetId="3" r:id="rId13"/>
    <sheet name="4_1 Codelists" sheetId="17" r:id="rId14"/>
    <sheet name="5. Wastefiles &gt;&gt;&gt;&gt;" sheetId="14" r:id="rId15"/>
    <sheet name="2_2_Process_Data" sheetId="18" r:id="rId16"/>
    <sheet name="Data_Processes" sheetId="8" r:id="rId17"/>
    <sheet name="1_2_WC_DM_CC_Flows" sheetId="25" r:id="rId18"/>
    <sheet name="Data_Processes_TCs" sheetId="7" r:id="rId19"/>
    <sheet name="2_3_Process_TC" sheetId="19" r:id="rId20"/>
    <sheet name="Tabelle2" sheetId="9" r:id="rId21"/>
    <sheet name="Tabelle3" sheetId="10" r:id="rId22"/>
    <sheet name="Data_Processes_Stocks" sheetId="4" r:id="rId23"/>
  </sheets>
  <externalReferences>
    <externalReference r:id="rId24"/>
    <externalReference r:id="rId25"/>
  </externalReferences>
  <definedNames>
    <definedName name="Baumart_" localSheetId="11">[1]!Baumart[Baumart]</definedName>
    <definedName name="Baumart_">[2]!Baumart[Baumart]</definedName>
    <definedName name="Cluster_" localSheetId="11">[1]!Cluster[Cluster]</definedName>
    <definedName name="Cluster_">[2]!Cluster[Cluster]</definedName>
    <definedName name="einheit" localSheetId="11">[1]!Tabelle14[Einheit]</definedName>
    <definedName name="einheit">[2]!Tabelle14[Einheit]</definedName>
    <definedName name="Erhebungsart_" localSheetId="11">[1]!Erhebungsart[Erhebungsart]</definedName>
    <definedName name="Erhebungsart_">[2]!Erhebungsart[Erhebungsart]</definedName>
    <definedName name="Herkunft_" localSheetId="11">[1]!Herkunft[Herkunft]</definedName>
    <definedName name="Herkunft_">[2]!Herkunft[Herkunft]</definedName>
    <definedName name="Holzstrom_" localSheetId="11">[1]!Holzstrom[Holzstrom]</definedName>
    <definedName name="Holzstrom_">[2]!Holzstrom[Holzstrom]</definedName>
    <definedName name="In_Out_" localSheetId="11">[1]!Tabelleinput[In/Out]</definedName>
    <definedName name="In_Out_">[2]!Tabelleinput[In/Out]</definedName>
    <definedName name="Inhaltsverzeichnis">"MTRANS(ERSETZEN(Inhalt;1;FINDEN(""]"";Inhalt);""))"</definedName>
    <definedName name="Klassifizierung" localSheetId="11">[1]!Tabelle9[Klassifizierung]</definedName>
    <definedName name="Klassifizierung">[2]!Tabelle9[Klassifizierung]</definedName>
    <definedName name="Ort_" localSheetId="11">[1]!Ort[Ort]</definedName>
    <definedName name="Ort_">[2]!Ort[Ort]</definedName>
    <definedName name="Ziel_" localSheetId="11">[1]!Ziel[Ziel]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9" i="2" l="1"/>
  <c r="O110" i="2" s="1"/>
  <c r="O111" i="2" s="1"/>
  <c r="O112" i="2" s="1"/>
  <c r="O113" i="2" s="1"/>
  <c r="O114" i="2" s="1"/>
  <c r="O115" i="2" s="1"/>
  <c r="O116" i="2" s="1"/>
  <c r="O117" i="2" s="1"/>
  <c r="O118" i="2" s="1"/>
  <c r="O119" i="2" s="1"/>
  <c r="O120" i="2" s="1"/>
  <c r="O121" i="2" s="1"/>
  <c r="O94" i="2"/>
  <c r="O95" i="2" s="1"/>
  <c r="O96" i="2" s="1"/>
  <c r="O97" i="2" s="1"/>
  <c r="O98" i="2" s="1"/>
  <c r="O99" i="2" s="1"/>
  <c r="O79" i="2"/>
  <c r="O80" i="2" s="1"/>
  <c r="O81" i="2" s="1"/>
  <c r="O82" i="2" s="1"/>
  <c r="O83" i="2" s="1"/>
  <c r="O84" i="2" s="1"/>
  <c r="O64" i="2"/>
  <c r="O65" i="2" s="1"/>
  <c r="O66" i="2" s="1"/>
  <c r="O67" i="2" s="1"/>
  <c r="O68" i="2" s="1"/>
  <c r="O69" i="2" s="1"/>
  <c r="O49" i="2"/>
  <c r="O50" i="2" s="1"/>
  <c r="O51" i="2" s="1"/>
  <c r="O52" i="2" s="1"/>
  <c r="O53" i="2" s="1"/>
  <c r="O54" i="2" s="1"/>
  <c r="O55" i="2" s="1"/>
  <c r="O56" i="2" s="1"/>
  <c r="O57" i="2" s="1"/>
  <c r="O58" i="2" s="1"/>
  <c r="O59" i="2" s="1"/>
  <c r="O60" i="2" s="1"/>
  <c r="O61" i="2" s="1"/>
  <c r="O48" i="2"/>
  <c r="O34" i="2"/>
  <c r="O35" i="2" s="1"/>
  <c r="O36" i="2" s="1"/>
  <c r="O37" i="2" s="1"/>
  <c r="O38" i="2" s="1"/>
  <c r="O39" i="2" s="1"/>
  <c r="O19" i="2"/>
  <c r="O20" i="2" s="1"/>
  <c r="O21" i="2" s="1"/>
  <c r="O22" i="2" s="1"/>
  <c r="O23" i="2" s="1"/>
  <c r="O24" i="2" s="1"/>
  <c r="O18" i="2"/>
  <c r="O16" i="2"/>
  <c r="O15" i="2"/>
  <c r="A121" i="2"/>
  <c r="B121" i="2"/>
  <c r="D121" i="2"/>
  <c r="E121" i="2"/>
  <c r="F121" i="2"/>
  <c r="G121" i="2"/>
  <c r="H121" i="2"/>
  <c r="I121" i="2"/>
  <c r="AC121" i="2"/>
  <c r="AE121" i="2"/>
  <c r="AF121" i="2"/>
  <c r="AH121" i="2"/>
  <c r="AI121" i="2"/>
  <c r="AJ121" i="2"/>
  <c r="AK121" i="2"/>
  <c r="A114" i="2"/>
  <c r="B114" i="2"/>
  <c r="D114" i="2"/>
  <c r="E114" i="2"/>
  <c r="F114" i="2"/>
  <c r="G114" i="2"/>
  <c r="H114" i="2"/>
  <c r="I114" i="2"/>
  <c r="AC114" i="2"/>
  <c r="AE114" i="2"/>
  <c r="AF114" i="2"/>
  <c r="AH114" i="2"/>
  <c r="AI114" i="2"/>
  <c r="AJ114" i="2"/>
  <c r="AK114" i="2"/>
  <c r="A115" i="2"/>
  <c r="B115" i="2"/>
  <c r="D115" i="2"/>
  <c r="E115" i="2"/>
  <c r="F115" i="2"/>
  <c r="G115" i="2"/>
  <c r="H115" i="2"/>
  <c r="I115" i="2"/>
  <c r="AC115" i="2"/>
  <c r="AE115" i="2"/>
  <c r="AF115" i="2"/>
  <c r="AH115" i="2"/>
  <c r="AI115" i="2"/>
  <c r="AJ115" i="2"/>
  <c r="AK115" i="2"/>
  <c r="A116" i="2"/>
  <c r="B116" i="2"/>
  <c r="D116" i="2"/>
  <c r="E116" i="2"/>
  <c r="F116" i="2"/>
  <c r="G116" i="2"/>
  <c r="H116" i="2"/>
  <c r="I116" i="2"/>
  <c r="AC116" i="2"/>
  <c r="AE116" i="2"/>
  <c r="AF116" i="2"/>
  <c r="AH116" i="2"/>
  <c r="AI116" i="2"/>
  <c r="AJ116" i="2"/>
  <c r="AK116" i="2"/>
  <c r="A117" i="2"/>
  <c r="B117" i="2"/>
  <c r="D117" i="2"/>
  <c r="E117" i="2"/>
  <c r="F117" i="2"/>
  <c r="G117" i="2"/>
  <c r="H117" i="2"/>
  <c r="I117" i="2"/>
  <c r="AC117" i="2"/>
  <c r="AE117" i="2"/>
  <c r="AF117" i="2"/>
  <c r="AH117" i="2"/>
  <c r="AI117" i="2"/>
  <c r="AJ117" i="2"/>
  <c r="AK117" i="2"/>
  <c r="A118" i="2"/>
  <c r="B118" i="2"/>
  <c r="D118" i="2"/>
  <c r="E118" i="2"/>
  <c r="F118" i="2"/>
  <c r="G118" i="2"/>
  <c r="H118" i="2"/>
  <c r="I118" i="2"/>
  <c r="AC118" i="2"/>
  <c r="AE118" i="2"/>
  <c r="AF118" i="2"/>
  <c r="AH118" i="2"/>
  <c r="AI118" i="2"/>
  <c r="AJ118" i="2"/>
  <c r="AK118" i="2"/>
  <c r="A119" i="2"/>
  <c r="B119" i="2"/>
  <c r="D119" i="2"/>
  <c r="E119" i="2"/>
  <c r="F119" i="2"/>
  <c r="G119" i="2"/>
  <c r="H119" i="2"/>
  <c r="I119" i="2"/>
  <c r="AC119" i="2"/>
  <c r="AE119" i="2"/>
  <c r="AF119" i="2"/>
  <c r="AH119" i="2"/>
  <c r="AI119" i="2"/>
  <c r="AJ119" i="2"/>
  <c r="AK119" i="2"/>
  <c r="A120" i="2"/>
  <c r="B120" i="2"/>
  <c r="D120" i="2"/>
  <c r="E120" i="2"/>
  <c r="F120" i="2"/>
  <c r="G120" i="2"/>
  <c r="H120" i="2"/>
  <c r="I120" i="2"/>
  <c r="AC120" i="2"/>
  <c r="AE120" i="2"/>
  <c r="AF120" i="2"/>
  <c r="AH120" i="2"/>
  <c r="AI120" i="2"/>
  <c r="AJ120" i="2"/>
  <c r="AK120" i="2"/>
  <c r="A106" i="2"/>
  <c r="B106" i="2"/>
  <c r="D106" i="2"/>
  <c r="E106" i="2"/>
  <c r="F106" i="2"/>
  <c r="G106" i="2"/>
  <c r="H106" i="2"/>
  <c r="I106" i="2"/>
  <c r="AC106" i="2"/>
  <c r="AE106" i="2"/>
  <c r="AF106" i="2"/>
  <c r="AH106" i="2"/>
  <c r="AI106" i="2"/>
  <c r="AK106" i="2"/>
  <c r="A99" i="2"/>
  <c r="B99" i="2"/>
  <c r="D99" i="2"/>
  <c r="E99" i="2"/>
  <c r="F99" i="2"/>
  <c r="G99" i="2"/>
  <c r="H99" i="2"/>
  <c r="I99" i="2"/>
  <c r="AC99" i="2"/>
  <c r="AE99" i="2"/>
  <c r="AF99" i="2"/>
  <c r="AH99" i="2"/>
  <c r="AI99" i="2"/>
  <c r="AK99" i="2"/>
  <c r="A100" i="2"/>
  <c r="B100" i="2"/>
  <c r="D100" i="2"/>
  <c r="E100" i="2"/>
  <c r="F100" i="2"/>
  <c r="G100" i="2"/>
  <c r="H100" i="2"/>
  <c r="I100" i="2"/>
  <c r="AC100" i="2"/>
  <c r="AE100" i="2"/>
  <c r="AF100" i="2"/>
  <c r="AH100" i="2"/>
  <c r="AI100" i="2"/>
  <c r="AK100" i="2"/>
  <c r="A101" i="2"/>
  <c r="B101" i="2"/>
  <c r="D101" i="2"/>
  <c r="E101" i="2"/>
  <c r="F101" i="2"/>
  <c r="G101" i="2"/>
  <c r="H101" i="2"/>
  <c r="I101" i="2"/>
  <c r="AC101" i="2"/>
  <c r="AE101" i="2"/>
  <c r="AF101" i="2"/>
  <c r="AH101" i="2"/>
  <c r="AI101" i="2"/>
  <c r="AK101" i="2"/>
  <c r="A102" i="2"/>
  <c r="B102" i="2"/>
  <c r="D102" i="2"/>
  <c r="E102" i="2"/>
  <c r="F102" i="2"/>
  <c r="G102" i="2"/>
  <c r="H102" i="2"/>
  <c r="I102" i="2"/>
  <c r="AC102" i="2"/>
  <c r="AE102" i="2"/>
  <c r="AF102" i="2"/>
  <c r="AH102" i="2"/>
  <c r="AI102" i="2"/>
  <c r="AK102" i="2"/>
  <c r="A103" i="2"/>
  <c r="B103" i="2"/>
  <c r="D103" i="2"/>
  <c r="E103" i="2"/>
  <c r="F103" i="2"/>
  <c r="G103" i="2"/>
  <c r="H103" i="2"/>
  <c r="I103" i="2"/>
  <c r="AC103" i="2"/>
  <c r="AE103" i="2"/>
  <c r="AF103" i="2"/>
  <c r="AH103" i="2"/>
  <c r="AI103" i="2"/>
  <c r="AK103" i="2"/>
  <c r="A104" i="2"/>
  <c r="B104" i="2"/>
  <c r="D104" i="2"/>
  <c r="E104" i="2"/>
  <c r="F104" i="2"/>
  <c r="G104" i="2"/>
  <c r="H104" i="2"/>
  <c r="I104" i="2"/>
  <c r="AC104" i="2"/>
  <c r="AE104" i="2"/>
  <c r="AF104" i="2"/>
  <c r="AH104" i="2"/>
  <c r="AI104" i="2"/>
  <c r="AK104" i="2"/>
  <c r="A105" i="2"/>
  <c r="B105" i="2"/>
  <c r="D105" i="2"/>
  <c r="E105" i="2"/>
  <c r="F105" i="2"/>
  <c r="G105" i="2"/>
  <c r="H105" i="2"/>
  <c r="I105" i="2"/>
  <c r="AC105" i="2"/>
  <c r="AE105" i="2"/>
  <c r="AF105" i="2"/>
  <c r="AH105" i="2"/>
  <c r="AI105" i="2"/>
  <c r="AK105" i="2"/>
  <c r="A84" i="2"/>
  <c r="B84" i="2"/>
  <c r="D84" i="2"/>
  <c r="E84" i="2"/>
  <c r="F84" i="2"/>
  <c r="G84" i="2"/>
  <c r="H84" i="2"/>
  <c r="I84" i="2"/>
  <c r="AC84" i="2"/>
  <c r="AE84" i="2"/>
  <c r="AF84" i="2"/>
  <c r="AH84" i="2"/>
  <c r="AI84" i="2"/>
  <c r="AK84" i="2"/>
  <c r="A85" i="2"/>
  <c r="B85" i="2"/>
  <c r="D85" i="2"/>
  <c r="E85" i="2"/>
  <c r="F85" i="2"/>
  <c r="G85" i="2"/>
  <c r="H85" i="2"/>
  <c r="I85" i="2"/>
  <c r="AC85" i="2"/>
  <c r="AE85" i="2"/>
  <c r="AF85" i="2"/>
  <c r="AH85" i="2"/>
  <c r="AI85" i="2"/>
  <c r="AK85" i="2"/>
  <c r="A86" i="2"/>
  <c r="B86" i="2"/>
  <c r="D86" i="2"/>
  <c r="E86" i="2"/>
  <c r="F86" i="2"/>
  <c r="G86" i="2"/>
  <c r="H86" i="2"/>
  <c r="I86" i="2"/>
  <c r="AC86" i="2"/>
  <c r="AE86" i="2"/>
  <c r="AF86" i="2"/>
  <c r="AH86" i="2"/>
  <c r="AI86" i="2"/>
  <c r="AK86" i="2"/>
  <c r="A87" i="2"/>
  <c r="B87" i="2"/>
  <c r="D87" i="2"/>
  <c r="E87" i="2"/>
  <c r="F87" i="2"/>
  <c r="G87" i="2"/>
  <c r="H87" i="2"/>
  <c r="I87" i="2"/>
  <c r="AC87" i="2"/>
  <c r="AE87" i="2"/>
  <c r="AF87" i="2"/>
  <c r="AH87" i="2"/>
  <c r="AI87" i="2"/>
  <c r="AK87" i="2"/>
  <c r="A88" i="2"/>
  <c r="B88" i="2"/>
  <c r="D88" i="2"/>
  <c r="E88" i="2"/>
  <c r="F88" i="2"/>
  <c r="G88" i="2"/>
  <c r="H88" i="2"/>
  <c r="I88" i="2"/>
  <c r="AC88" i="2"/>
  <c r="AE88" i="2"/>
  <c r="AF88" i="2"/>
  <c r="AH88" i="2"/>
  <c r="AI88" i="2"/>
  <c r="AK88" i="2"/>
  <c r="A89" i="2"/>
  <c r="B89" i="2"/>
  <c r="D89" i="2"/>
  <c r="E89" i="2"/>
  <c r="F89" i="2"/>
  <c r="G89" i="2"/>
  <c r="H89" i="2"/>
  <c r="I89" i="2"/>
  <c r="AC89" i="2"/>
  <c r="AE89" i="2"/>
  <c r="AF89" i="2"/>
  <c r="AH89" i="2"/>
  <c r="AI89" i="2"/>
  <c r="AK89" i="2"/>
  <c r="A90" i="2"/>
  <c r="B90" i="2"/>
  <c r="D90" i="2"/>
  <c r="E90" i="2"/>
  <c r="F90" i="2"/>
  <c r="G90" i="2"/>
  <c r="H90" i="2"/>
  <c r="I90" i="2"/>
  <c r="AC90" i="2"/>
  <c r="AE90" i="2"/>
  <c r="AF90" i="2"/>
  <c r="AH90" i="2"/>
  <c r="AI90" i="2"/>
  <c r="AK90" i="2"/>
  <c r="A91" i="2"/>
  <c r="B91" i="2"/>
  <c r="D91" i="2"/>
  <c r="E91" i="2"/>
  <c r="F91" i="2"/>
  <c r="G91" i="2"/>
  <c r="H91" i="2"/>
  <c r="I91" i="2"/>
  <c r="AC91" i="2"/>
  <c r="AE91" i="2"/>
  <c r="AF91" i="2"/>
  <c r="AH91" i="2"/>
  <c r="AI91" i="2"/>
  <c r="AK91" i="2"/>
  <c r="A69" i="2"/>
  <c r="B69" i="2"/>
  <c r="D69" i="2"/>
  <c r="E69" i="2"/>
  <c r="F69" i="2"/>
  <c r="G69" i="2"/>
  <c r="H69" i="2"/>
  <c r="I69" i="2"/>
  <c r="AC69" i="2"/>
  <c r="AE69" i="2"/>
  <c r="AF69" i="2"/>
  <c r="AH69" i="2"/>
  <c r="AI69" i="2"/>
  <c r="AK69" i="2"/>
  <c r="A70" i="2"/>
  <c r="B70" i="2"/>
  <c r="D70" i="2"/>
  <c r="E70" i="2"/>
  <c r="F70" i="2"/>
  <c r="G70" i="2"/>
  <c r="H70" i="2"/>
  <c r="I70" i="2"/>
  <c r="AC70" i="2"/>
  <c r="AE70" i="2"/>
  <c r="AF70" i="2"/>
  <c r="AH70" i="2"/>
  <c r="AI70" i="2"/>
  <c r="AK70" i="2"/>
  <c r="A71" i="2"/>
  <c r="B71" i="2"/>
  <c r="D71" i="2"/>
  <c r="E71" i="2"/>
  <c r="F71" i="2"/>
  <c r="G71" i="2"/>
  <c r="H71" i="2"/>
  <c r="I71" i="2"/>
  <c r="AC71" i="2"/>
  <c r="AE71" i="2"/>
  <c r="AF71" i="2"/>
  <c r="AH71" i="2"/>
  <c r="AI71" i="2"/>
  <c r="AK71" i="2"/>
  <c r="A72" i="2"/>
  <c r="B72" i="2"/>
  <c r="D72" i="2"/>
  <c r="E72" i="2"/>
  <c r="F72" i="2"/>
  <c r="G72" i="2"/>
  <c r="H72" i="2"/>
  <c r="I72" i="2"/>
  <c r="AC72" i="2"/>
  <c r="AE72" i="2"/>
  <c r="AF72" i="2"/>
  <c r="AH72" i="2"/>
  <c r="AI72" i="2"/>
  <c r="AK72" i="2"/>
  <c r="A73" i="2"/>
  <c r="B73" i="2"/>
  <c r="D73" i="2"/>
  <c r="E73" i="2"/>
  <c r="F73" i="2"/>
  <c r="G73" i="2"/>
  <c r="H73" i="2"/>
  <c r="I73" i="2"/>
  <c r="AC73" i="2"/>
  <c r="AE73" i="2"/>
  <c r="AF73" i="2"/>
  <c r="AH73" i="2"/>
  <c r="AI73" i="2"/>
  <c r="AK73" i="2"/>
  <c r="A74" i="2"/>
  <c r="B74" i="2"/>
  <c r="D74" i="2"/>
  <c r="E74" i="2"/>
  <c r="F74" i="2"/>
  <c r="G74" i="2"/>
  <c r="H74" i="2"/>
  <c r="I74" i="2"/>
  <c r="AC74" i="2"/>
  <c r="AE74" i="2"/>
  <c r="AF74" i="2"/>
  <c r="AH74" i="2"/>
  <c r="AI74" i="2"/>
  <c r="AK74" i="2"/>
  <c r="A75" i="2"/>
  <c r="B75" i="2"/>
  <c r="D75" i="2"/>
  <c r="E75" i="2"/>
  <c r="F75" i="2"/>
  <c r="G75" i="2"/>
  <c r="H75" i="2"/>
  <c r="I75" i="2"/>
  <c r="AC75" i="2"/>
  <c r="AE75" i="2"/>
  <c r="AF75" i="2"/>
  <c r="AH75" i="2"/>
  <c r="AI75" i="2"/>
  <c r="AK75" i="2"/>
  <c r="A76" i="2"/>
  <c r="B76" i="2"/>
  <c r="D76" i="2"/>
  <c r="E76" i="2"/>
  <c r="F76" i="2"/>
  <c r="G76" i="2"/>
  <c r="H76" i="2"/>
  <c r="I76" i="2"/>
  <c r="AC76" i="2"/>
  <c r="AE76" i="2"/>
  <c r="AF76" i="2"/>
  <c r="AH76" i="2"/>
  <c r="AI76" i="2"/>
  <c r="AK76" i="2"/>
  <c r="AK61" i="2"/>
  <c r="AI61" i="2"/>
  <c r="AH61" i="2"/>
  <c r="AF61" i="2"/>
  <c r="AE61" i="2"/>
  <c r="AC61" i="2"/>
  <c r="L61" i="2"/>
  <c r="K61" i="2"/>
  <c r="J61" i="2"/>
  <c r="I61" i="2"/>
  <c r="H61" i="2"/>
  <c r="G61" i="2"/>
  <c r="F61" i="2"/>
  <c r="E61" i="2"/>
  <c r="D61" i="2"/>
  <c r="B61" i="2"/>
  <c r="A61" i="2"/>
  <c r="AK60" i="2"/>
  <c r="AI60" i="2"/>
  <c r="AH60" i="2"/>
  <c r="AF60" i="2"/>
  <c r="AE60" i="2"/>
  <c r="AC60" i="2"/>
  <c r="L60" i="2"/>
  <c r="K60" i="2"/>
  <c r="J60" i="2"/>
  <c r="I60" i="2"/>
  <c r="H60" i="2"/>
  <c r="G60" i="2"/>
  <c r="F60" i="2"/>
  <c r="E60" i="2"/>
  <c r="D60" i="2"/>
  <c r="B60" i="2"/>
  <c r="A60" i="2"/>
  <c r="AK59" i="2"/>
  <c r="AI59" i="2"/>
  <c r="AH59" i="2"/>
  <c r="AF59" i="2"/>
  <c r="AE59" i="2"/>
  <c r="AC59" i="2"/>
  <c r="L59" i="2"/>
  <c r="K59" i="2"/>
  <c r="J59" i="2"/>
  <c r="I59" i="2"/>
  <c r="H59" i="2"/>
  <c r="G59" i="2"/>
  <c r="F59" i="2"/>
  <c r="E59" i="2"/>
  <c r="D59" i="2"/>
  <c r="B59" i="2"/>
  <c r="A59" i="2"/>
  <c r="AK58" i="2"/>
  <c r="AI58" i="2"/>
  <c r="AH58" i="2"/>
  <c r="AF58" i="2"/>
  <c r="AE58" i="2"/>
  <c r="AC58" i="2"/>
  <c r="L58" i="2"/>
  <c r="K58" i="2"/>
  <c r="J58" i="2"/>
  <c r="I58" i="2"/>
  <c r="H58" i="2"/>
  <c r="G58" i="2"/>
  <c r="F58" i="2"/>
  <c r="E58" i="2"/>
  <c r="D58" i="2"/>
  <c r="B58" i="2"/>
  <c r="A58" i="2"/>
  <c r="AK57" i="2"/>
  <c r="AI57" i="2"/>
  <c r="AH57" i="2"/>
  <c r="AF57" i="2"/>
  <c r="AE57" i="2"/>
  <c r="AC57" i="2"/>
  <c r="L57" i="2"/>
  <c r="K57" i="2"/>
  <c r="J57" i="2"/>
  <c r="I57" i="2"/>
  <c r="H57" i="2"/>
  <c r="G57" i="2"/>
  <c r="F57" i="2"/>
  <c r="E57" i="2"/>
  <c r="D57" i="2"/>
  <c r="B57" i="2"/>
  <c r="A57" i="2"/>
  <c r="AK56" i="2"/>
  <c r="AI56" i="2"/>
  <c r="AH56" i="2"/>
  <c r="AF56" i="2"/>
  <c r="AE56" i="2"/>
  <c r="AC56" i="2"/>
  <c r="L56" i="2"/>
  <c r="K56" i="2"/>
  <c r="J56" i="2"/>
  <c r="I56" i="2"/>
  <c r="H56" i="2"/>
  <c r="G56" i="2"/>
  <c r="F56" i="2"/>
  <c r="E56" i="2"/>
  <c r="D56" i="2"/>
  <c r="B56" i="2"/>
  <c r="A56" i="2"/>
  <c r="AK55" i="2"/>
  <c r="AI55" i="2"/>
  <c r="AH55" i="2"/>
  <c r="AF55" i="2"/>
  <c r="AE55" i="2"/>
  <c r="AC55" i="2"/>
  <c r="L55" i="2"/>
  <c r="K55" i="2"/>
  <c r="J55" i="2"/>
  <c r="I55" i="2"/>
  <c r="H55" i="2"/>
  <c r="G55" i="2"/>
  <c r="F55" i="2"/>
  <c r="E55" i="2"/>
  <c r="D55" i="2"/>
  <c r="B55" i="2"/>
  <c r="A55" i="2"/>
  <c r="AK54" i="2"/>
  <c r="AI54" i="2"/>
  <c r="AH54" i="2"/>
  <c r="AF54" i="2"/>
  <c r="AE54" i="2"/>
  <c r="AC54" i="2"/>
  <c r="L54" i="2"/>
  <c r="K54" i="2"/>
  <c r="J54" i="2"/>
  <c r="I54" i="2"/>
  <c r="H54" i="2"/>
  <c r="G54" i="2"/>
  <c r="F54" i="2"/>
  <c r="E54" i="2"/>
  <c r="D54" i="2"/>
  <c r="B54" i="2"/>
  <c r="A54" i="2"/>
  <c r="A39" i="2"/>
  <c r="B39" i="2"/>
  <c r="D39" i="2"/>
  <c r="E39" i="2"/>
  <c r="F39" i="2"/>
  <c r="G39" i="2"/>
  <c r="H39" i="2"/>
  <c r="I39" i="2"/>
  <c r="J39" i="2"/>
  <c r="K39" i="2"/>
  <c r="L39" i="2"/>
  <c r="AC39" i="2"/>
  <c r="AE39" i="2"/>
  <c r="AF39" i="2"/>
  <c r="AH39" i="2"/>
  <c r="AI39" i="2"/>
  <c r="AK39" i="2"/>
  <c r="A40" i="2"/>
  <c r="B40" i="2"/>
  <c r="D40" i="2"/>
  <c r="E40" i="2"/>
  <c r="F40" i="2"/>
  <c r="G40" i="2"/>
  <c r="H40" i="2"/>
  <c r="I40" i="2"/>
  <c r="J40" i="2"/>
  <c r="K40" i="2"/>
  <c r="L40" i="2"/>
  <c r="AC40" i="2"/>
  <c r="AE40" i="2"/>
  <c r="AF40" i="2"/>
  <c r="AH40" i="2"/>
  <c r="AI40" i="2"/>
  <c r="AK40" i="2"/>
  <c r="A41" i="2"/>
  <c r="B41" i="2"/>
  <c r="D41" i="2"/>
  <c r="E41" i="2"/>
  <c r="F41" i="2"/>
  <c r="G41" i="2"/>
  <c r="H41" i="2"/>
  <c r="I41" i="2"/>
  <c r="J41" i="2"/>
  <c r="K41" i="2"/>
  <c r="L41" i="2"/>
  <c r="AC41" i="2"/>
  <c r="AE41" i="2"/>
  <c r="AF41" i="2"/>
  <c r="AH41" i="2"/>
  <c r="AI41" i="2"/>
  <c r="AK41" i="2"/>
  <c r="A42" i="2"/>
  <c r="B42" i="2"/>
  <c r="D42" i="2"/>
  <c r="E42" i="2"/>
  <c r="F42" i="2"/>
  <c r="G42" i="2"/>
  <c r="H42" i="2"/>
  <c r="I42" i="2"/>
  <c r="J42" i="2"/>
  <c r="K42" i="2"/>
  <c r="L42" i="2"/>
  <c r="AC42" i="2"/>
  <c r="AE42" i="2"/>
  <c r="AF42" i="2"/>
  <c r="AH42" i="2"/>
  <c r="AI42" i="2"/>
  <c r="AK42" i="2"/>
  <c r="A43" i="2"/>
  <c r="B43" i="2"/>
  <c r="D43" i="2"/>
  <c r="E43" i="2"/>
  <c r="F43" i="2"/>
  <c r="G43" i="2"/>
  <c r="H43" i="2"/>
  <c r="I43" i="2"/>
  <c r="J43" i="2"/>
  <c r="K43" i="2"/>
  <c r="L43" i="2"/>
  <c r="AC43" i="2"/>
  <c r="AE43" i="2"/>
  <c r="AF43" i="2"/>
  <c r="AH43" i="2"/>
  <c r="AI43" i="2"/>
  <c r="AK43" i="2"/>
  <c r="A44" i="2"/>
  <c r="B44" i="2"/>
  <c r="D44" i="2"/>
  <c r="E44" i="2"/>
  <c r="F44" i="2"/>
  <c r="G44" i="2"/>
  <c r="H44" i="2"/>
  <c r="I44" i="2"/>
  <c r="J44" i="2"/>
  <c r="K44" i="2"/>
  <c r="L44" i="2"/>
  <c r="AC44" i="2"/>
  <c r="AE44" i="2"/>
  <c r="AF44" i="2"/>
  <c r="AH44" i="2"/>
  <c r="AI44" i="2"/>
  <c r="AK44" i="2"/>
  <c r="A45" i="2"/>
  <c r="B45" i="2"/>
  <c r="D45" i="2"/>
  <c r="E45" i="2"/>
  <c r="F45" i="2"/>
  <c r="G45" i="2"/>
  <c r="H45" i="2"/>
  <c r="I45" i="2"/>
  <c r="J45" i="2"/>
  <c r="K45" i="2"/>
  <c r="L45" i="2"/>
  <c r="AC45" i="2"/>
  <c r="AE45" i="2"/>
  <c r="AF45" i="2"/>
  <c r="AH45" i="2"/>
  <c r="AI45" i="2"/>
  <c r="AK45" i="2"/>
  <c r="A46" i="2"/>
  <c r="B46" i="2"/>
  <c r="D46" i="2"/>
  <c r="E46" i="2"/>
  <c r="F46" i="2"/>
  <c r="G46" i="2"/>
  <c r="H46" i="2"/>
  <c r="I46" i="2"/>
  <c r="J46" i="2"/>
  <c r="K46" i="2"/>
  <c r="L46" i="2"/>
  <c r="AC46" i="2"/>
  <c r="AE46" i="2"/>
  <c r="AF46" i="2"/>
  <c r="AH46" i="2"/>
  <c r="AI46" i="2"/>
  <c r="AK46" i="2"/>
  <c r="A30" i="2"/>
  <c r="B30" i="2"/>
  <c r="D30" i="2"/>
  <c r="E30" i="2"/>
  <c r="F30" i="2"/>
  <c r="G30" i="2"/>
  <c r="H30" i="2"/>
  <c r="I30" i="2"/>
  <c r="J30" i="2"/>
  <c r="K30" i="2"/>
  <c r="L30" i="2"/>
  <c r="AC30" i="2"/>
  <c r="AE30" i="2"/>
  <c r="AF30" i="2"/>
  <c r="AH30" i="2"/>
  <c r="AI30" i="2"/>
  <c r="AK30" i="2"/>
  <c r="AK31" i="2"/>
  <c r="AI31" i="2"/>
  <c r="AH31" i="2"/>
  <c r="AF31" i="2"/>
  <c r="AE31" i="2"/>
  <c r="AC31" i="2"/>
  <c r="L31" i="2"/>
  <c r="K31" i="2"/>
  <c r="J31" i="2"/>
  <c r="I31" i="2"/>
  <c r="H31" i="2"/>
  <c r="G31" i="2"/>
  <c r="F31" i="2"/>
  <c r="E31" i="2"/>
  <c r="D31" i="2"/>
  <c r="B31" i="2"/>
  <c r="A31" i="2"/>
  <c r="AK29" i="2"/>
  <c r="AI29" i="2"/>
  <c r="AH29" i="2"/>
  <c r="AF29" i="2"/>
  <c r="AE29" i="2"/>
  <c r="AC29" i="2"/>
  <c r="L29" i="2"/>
  <c r="K29" i="2"/>
  <c r="J29" i="2"/>
  <c r="I29" i="2"/>
  <c r="H29" i="2"/>
  <c r="G29" i="2"/>
  <c r="F29" i="2"/>
  <c r="E29" i="2"/>
  <c r="D29" i="2"/>
  <c r="B29" i="2"/>
  <c r="A29" i="2"/>
  <c r="AK28" i="2"/>
  <c r="AI28" i="2"/>
  <c r="AH28" i="2"/>
  <c r="AF28" i="2"/>
  <c r="AE28" i="2"/>
  <c r="AC28" i="2"/>
  <c r="L28" i="2"/>
  <c r="K28" i="2"/>
  <c r="J28" i="2"/>
  <c r="I28" i="2"/>
  <c r="H28" i="2"/>
  <c r="G28" i="2"/>
  <c r="F28" i="2"/>
  <c r="E28" i="2"/>
  <c r="D28" i="2"/>
  <c r="B28" i="2"/>
  <c r="A28" i="2"/>
  <c r="AK27" i="2"/>
  <c r="AI27" i="2"/>
  <c r="AH27" i="2"/>
  <c r="AF27" i="2"/>
  <c r="AE27" i="2"/>
  <c r="AC27" i="2"/>
  <c r="L27" i="2"/>
  <c r="K27" i="2"/>
  <c r="J27" i="2"/>
  <c r="I27" i="2"/>
  <c r="H27" i="2"/>
  <c r="G27" i="2"/>
  <c r="F27" i="2"/>
  <c r="E27" i="2"/>
  <c r="D27" i="2"/>
  <c r="B27" i="2"/>
  <c r="A27" i="2"/>
  <c r="AK26" i="2"/>
  <c r="AI26" i="2"/>
  <c r="AH26" i="2"/>
  <c r="AF26" i="2"/>
  <c r="AE26" i="2"/>
  <c r="AC26" i="2"/>
  <c r="L26" i="2"/>
  <c r="K26" i="2"/>
  <c r="J26" i="2"/>
  <c r="I26" i="2"/>
  <c r="H26" i="2"/>
  <c r="G26" i="2"/>
  <c r="F26" i="2"/>
  <c r="E26" i="2"/>
  <c r="D26" i="2"/>
  <c r="B26" i="2"/>
  <c r="A26" i="2"/>
  <c r="AK25" i="2"/>
  <c r="AI25" i="2"/>
  <c r="AH25" i="2"/>
  <c r="AF25" i="2"/>
  <c r="AE25" i="2"/>
  <c r="AC25" i="2"/>
  <c r="L25" i="2"/>
  <c r="K25" i="2"/>
  <c r="J25" i="2"/>
  <c r="I25" i="2"/>
  <c r="H25" i="2"/>
  <c r="G25" i="2"/>
  <c r="F25" i="2"/>
  <c r="E25" i="2"/>
  <c r="D25" i="2"/>
  <c r="B25" i="2"/>
  <c r="A25" i="2"/>
  <c r="AK24" i="2"/>
  <c r="AI24" i="2"/>
  <c r="AH24" i="2"/>
  <c r="AF24" i="2"/>
  <c r="AE24" i="2"/>
  <c r="AC24" i="2"/>
  <c r="L24" i="2"/>
  <c r="K24" i="2"/>
  <c r="J24" i="2"/>
  <c r="I24" i="2"/>
  <c r="H24" i="2"/>
  <c r="G24" i="2"/>
  <c r="F24" i="2"/>
  <c r="E24" i="2"/>
  <c r="D24" i="2"/>
  <c r="B24" i="2"/>
  <c r="A24" i="2"/>
  <c r="A14" i="2"/>
  <c r="B14" i="2"/>
  <c r="D14" i="2"/>
  <c r="E14" i="2"/>
  <c r="F14" i="2"/>
  <c r="G14" i="2"/>
  <c r="H14" i="2"/>
  <c r="I14" i="2"/>
  <c r="J14" i="2"/>
  <c r="K14" i="2"/>
  <c r="L14" i="2"/>
  <c r="AC14" i="2"/>
  <c r="AE14" i="2"/>
  <c r="AF14" i="2"/>
  <c r="AH14" i="2"/>
  <c r="AI14" i="2"/>
  <c r="AK14" i="2"/>
  <c r="A15" i="2"/>
  <c r="B15" i="2"/>
  <c r="D15" i="2"/>
  <c r="E15" i="2"/>
  <c r="F15" i="2"/>
  <c r="G15" i="2"/>
  <c r="H15" i="2"/>
  <c r="I15" i="2"/>
  <c r="J15" i="2"/>
  <c r="K15" i="2"/>
  <c r="L15" i="2"/>
  <c r="AC15" i="2"/>
  <c r="AE15" i="2"/>
  <c r="AF15" i="2"/>
  <c r="AH15" i="2"/>
  <c r="AI15" i="2"/>
  <c r="AK15" i="2"/>
  <c r="A9" i="2"/>
  <c r="B9" i="2"/>
  <c r="D9" i="2"/>
  <c r="E9" i="2"/>
  <c r="F9" i="2"/>
  <c r="G9" i="2"/>
  <c r="H9" i="2"/>
  <c r="I9" i="2"/>
  <c r="J9" i="2"/>
  <c r="K9" i="2"/>
  <c r="L9" i="2"/>
  <c r="AC9" i="2"/>
  <c r="AE9" i="2"/>
  <c r="AF9" i="2"/>
  <c r="AH9" i="2"/>
  <c r="AI9" i="2"/>
  <c r="AK9" i="2"/>
  <c r="A10" i="2"/>
  <c r="B10" i="2"/>
  <c r="D10" i="2"/>
  <c r="E10" i="2"/>
  <c r="F10" i="2"/>
  <c r="G10" i="2"/>
  <c r="H10" i="2"/>
  <c r="I10" i="2"/>
  <c r="J10" i="2"/>
  <c r="K10" i="2"/>
  <c r="L10" i="2"/>
  <c r="AC10" i="2"/>
  <c r="AE10" i="2"/>
  <c r="AF10" i="2"/>
  <c r="AH10" i="2"/>
  <c r="AI10" i="2"/>
  <c r="AK10" i="2"/>
  <c r="A11" i="2"/>
  <c r="B11" i="2"/>
  <c r="D11" i="2"/>
  <c r="E11" i="2"/>
  <c r="F11" i="2"/>
  <c r="G11" i="2"/>
  <c r="H11" i="2"/>
  <c r="I11" i="2"/>
  <c r="J11" i="2"/>
  <c r="K11" i="2"/>
  <c r="L11" i="2"/>
  <c r="AC11" i="2"/>
  <c r="AE11" i="2"/>
  <c r="AF11" i="2"/>
  <c r="AH11" i="2"/>
  <c r="AI11" i="2"/>
  <c r="AK11" i="2"/>
  <c r="A12" i="2"/>
  <c r="B12" i="2"/>
  <c r="D12" i="2"/>
  <c r="E12" i="2"/>
  <c r="F12" i="2"/>
  <c r="G12" i="2"/>
  <c r="H12" i="2"/>
  <c r="I12" i="2"/>
  <c r="J12" i="2"/>
  <c r="K12" i="2"/>
  <c r="L12" i="2"/>
  <c r="AC12" i="2"/>
  <c r="AE12" i="2"/>
  <c r="AF12" i="2"/>
  <c r="AH12" i="2"/>
  <c r="AI12" i="2"/>
  <c r="AK12" i="2"/>
  <c r="A13" i="2"/>
  <c r="B13" i="2"/>
  <c r="D13" i="2"/>
  <c r="E13" i="2"/>
  <c r="F13" i="2"/>
  <c r="G13" i="2"/>
  <c r="H13" i="2"/>
  <c r="I13" i="2"/>
  <c r="J13" i="2"/>
  <c r="K13" i="2"/>
  <c r="L13" i="2"/>
  <c r="AC13" i="2"/>
  <c r="AE13" i="2"/>
  <c r="AF13" i="2"/>
  <c r="AH13" i="2"/>
  <c r="AI13" i="2"/>
  <c r="AK13" i="2"/>
  <c r="A16" i="2"/>
  <c r="B16" i="2"/>
  <c r="D16" i="2"/>
  <c r="E16" i="2"/>
  <c r="F16" i="2"/>
  <c r="G16" i="2"/>
  <c r="H16" i="2"/>
  <c r="I16" i="2"/>
  <c r="J16" i="2"/>
  <c r="K16" i="2"/>
  <c r="L16" i="2"/>
  <c r="AC16" i="2"/>
  <c r="AE16" i="2"/>
  <c r="AF16" i="2"/>
  <c r="AH16" i="2"/>
  <c r="AI16" i="2"/>
  <c r="AK16" i="2"/>
  <c r="O108" i="2"/>
  <c r="O93" i="2"/>
  <c r="O78" i="2"/>
  <c r="O63" i="2"/>
  <c r="O33" i="2"/>
  <c r="O3" i="2"/>
  <c r="O4" i="2" s="1"/>
  <c r="A108" i="2"/>
  <c r="D108" i="2"/>
  <c r="E108" i="2"/>
  <c r="G108" i="2"/>
  <c r="I108" i="2"/>
  <c r="AC108" i="2"/>
  <c r="AE108" i="2"/>
  <c r="AF108" i="2"/>
  <c r="AH108" i="2"/>
  <c r="AI108" i="2"/>
  <c r="AJ108" i="2"/>
  <c r="AK108" i="2"/>
  <c r="A109" i="2"/>
  <c r="D109" i="2"/>
  <c r="E109" i="2"/>
  <c r="G109" i="2"/>
  <c r="I109" i="2"/>
  <c r="AC109" i="2"/>
  <c r="AE109" i="2"/>
  <c r="AF109" i="2"/>
  <c r="AH109" i="2"/>
  <c r="AI109" i="2"/>
  <c r="AJ109" i="2"/>
  <c r="AK109" i="2"/>
  <c r="A110" i="2"/>
  <c r="D110" i="2"/>
  <c r="E110" i="2"/>
  <c r="G110" i="2"/>
  <c r="I110" i="2"/>
  <c r="AC110" i="2"/>
  <c r="AE110" i="2"/>
  <c r="AF110" i="2"/>
  <c r="AH110" i="2"/>
  <c r="AI110" i="2"/>
  <c r="AJ110" i="2"/>
  <c r="AK110" i="2"/>
  <c r="A111" i="2"/>
  <c r="D111" i="2"/>
  <c r="E111" i="2"/>
  <c r="G111" i="2"/>
  <c r="I111" i="2"/>
  <c r="AC111" i="2"/>
  <c r="AE111" i="2"/>
  <c r="AF111" i="2"/>
  <c r="AH111" i="2"/>
  <c r="AI111" i="2"/>
  <c r="AJ111" i="2"/>
  <c r="AK111" i="2"/>
  <c r="A112" i="2"/>
  <c r="D112" i="2"/>
  <c r="E112" i="2"/>
  <c r="G112" i="2"/>
  <c r="I112" i="2"/>
  <c r="AC112" i="2"/>
  <c r="AE112" i="2"/>
  <c r="AF112" i="2"/>
  <c r="AH112" i="2"/>
  <c r="AI112" i="2"/>
  <c r="AJ112" i="2"/>
  <c r="AK112" i="2"/>
  <c r="A113" i="2"/>
  <c r="D113" i="2"/>
  <c r="E113" i="2"/>
  <c r="G113" i="2"/>
  <c r="I113" i="2"/>
  <c r="AC113" i="2"/>
  <c r="AE113" i="2"/>
  <c r="AF113" i="2"/>
  <c r="AH113" i="2"/>
  <c r="AI113" i="2"/>
  <c r="AJ113" i="2"/>
  <c r="AK113" i="2"/>
  <c r="A93" i="2"/>
  <c r="D93" i="2"/>
  <c r="E93" i="2"/>
  <c r="G93" i="2"/>
  <c r="I93" i="2"/>
  <c r="AA93" i="2"/>
  <c r="AC93" i="2"/>
  <c r="AE93" i="2"/>
  <c r="AF93" i="2"/>
  <c r="AH93" i="2"/>
  <c r="AI93" i="2"/>
  <c r="AK93" i="2"/>
  <c r="A94" i="2"/>
  <c r="D94" i="2"/>
  <c r="E94" i="2"/>
  <c r="G94" i="2"/>
  <c r="I94" i="2"/>
  <c r="AC94" i="2"/>
  <c r="AE94" i="2"/>
  <c r="AF94" i="2"/>
  <c r="AH94" i="2"/>
  <c r="AI94" i="2"/>
  <c r="AK94" i="2"/>
  <c r="A95" i="2"/>
  <c r="D95" i="2"/>
  <c r="E95" i="2"/>
  <c r="G95" i="2"/>
  <c r="I95" i="2"/>
  <c r="AC95" i="2"/>
  <c r="AE95" i="2"/>
  <c r="AF95" i="2"/>
  <c r="AH95" i="2"/>
  <c r="AI95" i="2"/>
  <c r="AK95" i="2"/>
  <c r="A96" i="2"/>
  <c r="D96" i="2"/>
  <c r="E96" i="2"/>
  <c r="G96" i="2"/>
  <c r="I96" i="2"/>
  <c r="AC96" i="2"/>
  <c r="AE96" i="2"/>
  <c r="AF96" i="2"/>
  <c r="AH96" i="2"/>
  <c r="AI96" i="2"/>
  <c r="AK96" i="2"/>
  <c r="A97" i="2"/>
  <c r="D97" i="2"/>
  <c r="E97" i="2"/>
  <c r="G97" i="2"/>
  <c r="I97" i="2"/>
  <c r="AC97" i="2"/>
  <c r="AE97" i="2"/>
  <c r="AF97" i="2"/>
  <c r="AH97" i="2"/>
  <c r="AI97" i="2"/>
  <c r="AK97" i="2"/>
  <c r="A98" i="2"/>
  <c r="D98" i="2"/>
  <c r="E98" i="2"/>
  <c r="G98" i="2"/>
  <c r="I98" i="2"/>
  <c r="AC98" i="2"/>
  <c r="AE98" i="2"/>
  <c r="AF98" i="2"/>
  <c r="AH98" i="2"/>
  <c r="AI98" i="2"/>
  <c r="AK98" i="2"/>
  <c r="A78" i="2"/>
  <c r="D78" i="2"/>
  <c r="E78" i="2"/>
  <c r="G78" i="2"/>
  <c r="I78" i="2"/>
  <c r="AC78" i="2"/>
  <c r="AE78" i="2"/>
  <c r="AF78" i="2"/>
  <c r="AH78" i="2"/>
  <c r="AI78" i="2"/>
  <c r="AK78" i="2"/>
  <c r="A79" i="2"/>
  <c r="D79" i="2"/>
  <c r="E79" i="2"/>
  <c r="G79" i="2"/>
  <c r="I79" i="2"/>
  <c r="AC79" i="2"/>
  <c r="AE79" i="2"/>
  <c r="AF79" i="2"/>
  <c r="AH79" i="2"/>
  <c r="AI79" i="2"/>
  <c r="AK79" i="2"/>
  <c r="A80" i="2"/>
  <c r="D80" i="2"/>
  <c r="E80" i="2"/>
  <c r="G80" i="2"/>
  <c r="I80" i="2"/>
  <c r="AC80" i="2"/>
  <c r="AE80" i="2"/>
  <c r="AF80" i="2"/>
  <c r="AH80" i="2"/>
  <c r="AI80" i="2"/>
  <c r="AK80" i="2"/>
  <c r="A81" i="2"/>
  <c r="D81" i="2"/>
  <c r="E81" i="2"/>
  <c r="G81" i="2"/>
  <c r="I81" i="2"/>
  <c r="AC81" i="2"/>
  <c r="AE81" i="2"/>
  <c r="AF81" i="2"/>
  <c r="AH81" i="2"/>
  <c r="AI81" i="2"/>
  <c r="AK81" i="2"/>
  <c r="A82" i="2"/>
  <c r="D82" i="2"/>
  <c r="E82" i="2"/>
  <c r="G82" i="2"/>
  <c r="I82" i="2"/>
  <c r="AC82" i="2"/>
  <c r="AE82" i="2"/>
  <c r="AF82" i="2"/>
  <c r="AH82" i="2"/>
  <c r="AI82" i="2"/>
  <c r="AK82" i="2"/>
  <c r="A83" i="2"/>
  <c r="D83" i="2"/>
  <c r="E83" i="2"/>
  <c r="G83" i="2"/>
  <c r="I83" i="2"/>
  <c r="AC83" i="2"/>
  <c r="AE83" i="2"/>
  <c r="AF83" i="2"/>
  <c r="AH83" i="2"/>
  <c r="AI83" i="2"/>
  <c r="AK83" i="2"/>
  <c r="A63" i="2"/>
  <c r="D63" i="2"/>
  <c r="E63" i="2"/>
  <c r="G63" i="2"/>
  <c r="I63" i="2"/>
  <c r="AC63" i="2"/>
  <c r="AE63" i="2"/>
  <c r="AF63" i="2"/>
  <c r="AH63" i="2"/>
  <c r="AI63" i="2"/>
  <c r="AK63" i="2"/>
  <c r="A64" i="2"/>
  <c r="D64" i="2"/>
  <c r="E64" i="2"/>
  <c r="G64" i="2"/>
  <c r="I64" i="2"/>
  <c r="AC64" i="2"/>
  <c r="AE64" i="2"/>
  <c r="AF64" i="2"/>
  <c r="AH64" i="2"/>
  <c r="AI64" i="2"/>
  <c r="AK64" i="2"/>
  <c r="A65" i="2"/>
  <c r="D65" i="2"/>
  <c r="E65" i="2"/>
  <c r="G65" i="2"/>
  <c r="I65" i="2"/>
  <c r="AC65" i="2"/>
  <c r="AE65" i="2"/>
  <c r="AF65" i="2"/>
  <c r="AH65" i="2"/>
  <c r="AI65" i="2"/>
  <c r="AK65" i="2"/>
  <c r="A66" i="2"/>
  <c r="D66" i="2"/>
  <c r="E66" i="2"/>
  <c r="G66" i="2"/>
  <c r="I66" i="2"/>
  <c r="AC66" i="2"/>
  <c r="AE66" i="2"/>
  <c r="AF66" i="2"/>
  <c r="AH66" i="2"/>
  <c r="AI66" i="2"/>
  <c r="AK66" i="2"/>
  <c r="A67" i="2"/>
  <c r="D67" i="2"/>
  <c r="E67" i="2"/>
  <c r="G67" i="2"/>
  <c r="I67" i="2"/>
  <c r="AC67" i="2"/>
  <c r="AE67" i="2"/>
  <c r="AF67" i="2"/>
  <c r="AH67" i="2"/>
  <c r="AI67" i="2"/>
  <c r="AK67" i="2"/>
  <c r="A68" i="2"/>
  <c r="D68" i="2"/>
  <c r="E68" i="2"/>
  <c r="G68" i="2"/>
  <c r="I68" i="2"/>
  <c r="AC68" i="2"/>
  <c r="AE68" i="2"/>
  <c r="AF68" i="2"/>
  <c r="AH68" i="2"/>
  <c r="AI68" i="2"/>
  <c r="AK68" i="2"/>
  <c r="A48" i="2"/>
  <c r="D48" i="2"/>
  <c r="E48" i="2"/>
  <c r="G48" i="2"/>
  <c r="I48" i="2"/>
  <c r="J48" i="2"/>
  <c r="K48" i="2"/>
  <c r="L48" i="2"/>
  <c r="AC48" i="2"/>
  <c r="AE48" i="2"/>
  <c r="AF48" i="2"/>
  <c r="AH48" i="2"/>
  <c r="AI48" i="2"/>
  <c r="AK48" i="2"/>
  <c r="A49" i="2"/>
  <c r="D49" i="2"/>
  <c r="E49" i="2"/>
  <c r="G49" i="2"/>
  <c r="I49" i="2"/>
  <c r="J49" i="2"/>
  <c r="K49" i="2"/>
  <c r="L49" i="2"/>
  <c r="AC49" i="2"/>
  <c r="AE49" i="2"/>
  <c r="AF49" i="2"/>
  <c r="AH49" i="2"/>
  <c r="AI49" i="2"/>
  <c r="AK49" i="2"/>
  <c r="A50" i="2"/>
  <c r="D50" i="2"/>
  <c r="E50" i="2"/>
  <c r="G50" i="2"/>
  <c r="I50" i="2"/>
  <c r="J50" i="2"/>
  <c r="K50" i="2"/>
  <c r="L50" i="2"/>
  <c r="AC50" i="2"/>
  <c r="AE50" i="2"/>
  <c r="AF50" i="2"/>
  <c r="AH50" i="2"/>
  <c r="AI50" i="2"/>
  <c r="AK50" i="2"/>
  <c r="A51" i="2"/>
  <c r="D51" i="2"/>
  <c r="E51" i="2"/>
  <c r="G51" i="2"/>
  <c r="I51" i="2"/>
  <c r="J51" i="2"/>
  <c r="K51" i="2"/>
  <c r="L51" i="2"/>
  <c r="AC51" i="2"/>
  <c r="AE51" i="2"/>
  <c r="AF51" i="2"/>
  <c r="AH51" i="2"/>
  <c r="AI51" i="2"/>
  <c r="AK51" i="2"/>
  <c r="A52" i="2"/>
  <c r="D52" i="2"/>
  <c r="E52" i="2"/>
  <c r="G52" i="2"/>
  <c r="I52" i="2"/>
  <c r="J52" i="2"/>
  <c r="K52" i="2"/>
  <c r="L52" i="2"/>
  <c r="AC52" i="2"/>
  <c r="AE52" i="2"/>
  <c r="AF52" i="2"/>
  <c r="AH52" i="2"/>
  <c r="AI52" i="2"/>
  <c r="AK52" i="2"/>
  <c r="A53" i="2"/>
  <c r="D53" i="2"/>
  <c r="E53" i="2"/>
  <c r="G53" i="2"/>
  <c r="I53" i="2"/>
  <c r="J53" i="2"/>
  <c r="K53" i="2"/>
  <c r="L53" i="2"/>
  <c r="AC53" i="2"/>
  <c r="AE53" i="2"/>
  <c r="AF53" i="2"/>
  <c r="AH53" i="2"/>
  <c r="AI53" i="2"/>
  <c r="AK53" i="2"/>
  <c r="A33" i="2"/>
  <c r="D33" i="2"/>
  <c r="E33" i="2"/>
  <c r="G33" i="2"/>
  <c r="I33" i="2"/>
  <c r="J33" i="2"/>
  <c r="K33" i="2"/>
  <c r="L33" i="2"/>
  <c r="AC33" i="2"/>
  <c r="AE33" i="2"/>
  <c r="AF33" i="2"/>
  <c r="AH33" i="2"/>
  <c r="AI33" i="2"/>
  <c r="AK33" i="2"/>
  <c r="A34" i="2"/>
  <c r="D34" i="2"/>
  <c r="E34" i="2"/>
  <c r="G34" i="2"/>
  <c r="I34" i="2"/>
  <c r="J34" i="2"/>
  <c r="K34" i="2"/>
  <c r="L34" i="2"/>
  <c r="AC34" i="2"/>
  <c r="AE34" i="2"/>
  <c r="AF34" i="2"/>
  <c r="AH34" i="2"/>
  <c r="AI34" i="2"/>
  <c r="AK34" i="2"/>
  <c r="A35" i="2"/>
  <c r="D35" i="2"/>
  <c r="E35" i="2"/>
  <c r="G35" i="2"/>
  <c r="I35" i="2"/>
  <c r="J35" i="2"/>
  <c r="K35" i="2"/>
  <c r="L35" i="2"/>
  <c r="AC35" i="2"/>
  <c r="AE35" i="2"/>
  <c r="AF35" i="2"/>
  <c r="AH35" i="2"/>
  <c r="AI35" i="2"/>
  <c r="AK35" i="2"/>
  <c r="A36" i="2"/>
  <c r="D36" i="2"/>
  <c r="E36" i="2"/>
  <c r="G36" i="2"/>
  <c r="I36" i="2"/>
  <c r="J36" i="2"/>
  <c r="K36" i="2"/>
  <c r="L36" i="2"/>
  <c r="AC36" i="2"/>
  <c r="AE36" i="2"/>
  <c r="AF36" i="2"/>
  <c r="AH36" i="2"/>
  <c r="AI36" i="2"/>
  <c r="AK36" i="2"/>
  <c r="A37" i="2"/>
  <c r="D37" i="2"/>
  <c r="E37" i="2"/>
  <c r="G37" i="2"/>
  <c r="I37" i="2"/>
  <c r="J37" i="2"/>
  <c r="K37" i="2"/>
  <c r="L37" i="2"/>
  <c r="AC37" i="2"/>
  <c r="AE37" i="2"/>
  <c r="AF37" i="2"/>
  <c r="AH37" i="2"/>
  <c r="AI37" i="2"/>
  <c r="AK37" i="2"/>
  <c r="A38" i="2"/>
  <c r="D38" i="2"/>
  <c r="E38" i="2"/>
  <c r="G38" i="2"/>
  <c r="I38" i="2"/>
  <c r="J38" i="2"/>
  <c r="K38" i="2"/>
  <c r="L38" i="2"/>
  <c r="AC38" i="2"/>
  <c r="AE38" i="2"/>
  <c r="AF38" i="2"/>
  <c r="AH38" i="2"/>
  <c r="AI38" i="2"/>
  <c r="AK38" i="2"/>
  <c r="A18" i="2"/>
  <c r="D18" i="2"/>
  <c r="E18" i="2"/>
  <c r="G18" i="2"/>
  <c r="I18" i="2"/>
  <c r="J18" i="2"/>
  <c r="K18" i="2"/>
  <c r="L18" i="2"/>
  <c r="AC18" i="2"/>
  <c r="AE18" i="2"/>
  <c r="AF18" i="2"/>
  <c r="AH18" i="2"/>
  <c r="AI18" i="2"/>
  <c r="AK18" i="2"/>
  <c r="A19" i="2"/>
  <c r="D19" i="2"/>
  <c r="E19" i="2"/>
  <c r="G19" i="2"/>
  <c r="I19" i="2"/>
  <c r="J19" i="2"/>
  <c r="K19" i="2"/>
  <c r="L19" i="2"/>
  <c r="AC19" i="2"/>
  <c r="AE19" i="2"/>
  <c r="AF19" i="2"/>
  <c r="AH19" i="2"/>
  <c r="AI19" i="2"/>
  <c r="AK19" i="2"/>
  <c r="A20" i="2"/>
  <c r="D20" i="2"/>
  <c r="E20" i="2"/>
  <c r="G20" i="2"/>
  <c r="I20" i="2"/>
  <c r="J20" i="2"/>
  <c r="K20" i="2"/>
  <c r="L20" i="2"/>
  <c r="AC20" i="2"/>
  <c r="AE20" i="2"/>
  <c r="AF20" i="2"/>
  <c r="AH20" i="2"/>
  <c r="AI20" i="2"/>
  <c r="AK20" i="2"/>
  <c r="A21" i="2"/>
  <c r="D21" i="2"/>
  <c r="E21" i="2"/>
  <c r="G21" i="2"/>
  <c r="I21" i="2"/>
  <c r="J21" i="2"/>
  <c r="K21" i="2"/>
  <c r="L21" i="2"/>
  <c r="AC21" i="2"/>
  <c r="AE21" i="2"/>
  <c r="AF21" i="2"/>
  <c r="AH21" i="2"/>
  <c r="AI21" i="2"/>
  <c r="AK21" i="2"/>
  <c r="A22" i="2"/>
  <c r="D22" i="2"/>
  <c r="E22" i="2"/>
  <c r="G22" i="2"/>
  <c r="I22" i="2"/>
  <c r="J22" i="2"/>
  <c r="K22" i="2"/>
  <c r="L22" i="2"/>
  <c r="AC22" i="2"/>
  <c r="AE22" i="2"/>
  <c r="AF22" i="2"/>
  <c r="AH22" i="2"/>
  <c r="AI22" i="2"/>
  <c r="AK22" i="2"/>
  <c r="A23" i="2"/>
  <c r="D23" i="2"/>
  <c r="E23" i="2"/>
  <c r="G23" i="2"/>
  <c r="I23" i="2"/>
  <c r="J23" i="2"/>
  <c r="K23" i="2"/>
  <c r="L23" i="2"/>
  <c r="AC23" i="2"/>
  <c r="AE23" i="2"/>
  <c r="AF23" i="2"/>
  <c r="AH23" i="2"/>
  <c r="AI23" i="2"/>
  <c r="AK23" i="2"/>
  <c r="A3" i="2"/>
  <c r="A4" i="2"/>
  <c r="A5" i="2"/>
  <c r="A6" i="2"/>
  <c r="A7" i="2"/>
  <c r="A8" i="2"/>
  <c r="A17" i="2"/>
  <c r="D3" i="2"/>
  <c r="E3" i="2"/>
  <c r="G3" i="2"/>
  <c r="I3" i="2"/>
  <c r="J3" i="2"/>
  <c r="K3" i="2"/>
  <c r="L3" i="2"/>
  <c r="AC3" i="2"/>
  <c r="AE3" i="2"/>
  <c r="AF3" i="2"/>
  <c r="AH3" i="2"/>
  <c r="AI3" i="2"/>
  <c r="AK3" i="2"/>
  <c r="D4" i="2"/>
  <c r="E4" i="2"/>
  <c r="G4" i="2"/>
  <c r="I4" i="2"/>
  <c r="J4" i="2"/>
  <c r="K4" i="2"/>
  <c r="L4" i="2"/>
  <c r="AC4" i="2"/>
  <c r="AE4" i="2"/>
  <c r="AF4" i="2"/>
  <c r="AH4" i="2"/>
  <c r="AI4" i="2"/>
  <c r="AK4" i="2"/>
  <c r="D5" i="2"/>
  <c r="E5" i="2"/>
  <c r="G5" i="2"/>
  <c r="I5" i="2"/>
  <c r="J5" i="2"/>
  <c r="K5" i="2"/>
  <c r="L5" i="2"/>
  <c r="AC5" i="2"/>
  <c r="AE5" i="2"/>
  <c r="AF5" i="2"/>
  <c r="AH5" i="2"/>
  <c r="AI5" i="2"/>
  <c r="AK5" i="2"/>
  <c r="D6" i="2"/>
  <c r="E6" i="2"/>
  <c r="G6" i="2"/>
  <c r="I6" i="2"/>
  <c r="J6" i="2"/>
  <c r="K6" i="2"/>
  <c r="L6" i="2"/>
  <c r="AC6" i="2"/>
  <c r="AE6" i="2"/>
  <c r="AF6" i="2"/>
  <c r="AH6" i="2"/>
  <c r="AI6" i="2"/>
  <c r="AK6" i="2"/>
  <c r="D7" i="2"/>
  <c r="E7" i="2"/>
  <c r="G7" i="2"/>
  <c r="I7" i="2"/>
  <c r="J7" i="2"/>
  <c r="K7" i="2"/>
  <c r="L7" i="2"/>
  <c r="AC7" i="2"/>
  <c r="AE7" i="2"/>
  <c r="AF7" i="2"/>
  <c r="AH7" i="2"/>
  <c r="AI7" i="2"/>
  <c r="AK7" i="2"/>
  <c r="D8" i="2"/>
  <c r="E8" i="2"/>
  <c r="G8" i="2"/>
  <c r="I8" i="2"/>
  <c r="J8" i="2"/>
  <c r="K8" i="2"/>
  <c r="L8" i="2"/>
  <c r="AC8" i="2"/>
  <c r="AE8" i="2"/>
  <c r="AF8" i="2"/>
  <c r="AH8" i="2"/>
  <c r="AI8" i="2"/>
  <c r="AK8" i="2"/>
  <c r="X26" i="15"/>
  <c r="X2" i="15"/>
  <c r="X25" i="15"/>
  <c r="O100" i="2" l="1"/>
  <c r="AA99" i="2"/>
  <c r="AG99" i="2" s="1"/>
  <c r="AA84" i="2"/>
  <c r="AD84" i="2" s="1"/>
  <c r="O85" i="2"/>
  <c r="O86" i="2" s="1"/>
  <c r="O87" i="2" s="1"/>
  <c r="O88" i="2" s="1"/>
  <c r="O89" i="2" s="1"/>
  <c r="O90" i="2" s="1"/>
  <c r="O91" i="2" s="1"/>
  <c r="AG84" i="2"/>
  <c r="O70" i="2"/>
  <c r="O71" i="2" s="1"/>
  <c r="O72" i="2" s="1"/>
  <c r="O73" i="2" s="1"/>
  <c r="O74" i="2" s="1"/>
  <c r="O75" i="2" s="1"/>
  <c r="O76" i="2" s="1"/>
  <c r="AA69" i="2"/>
  <c r="AA39" i="2"/>
  <c r="AD39" i="2" s="1"/>
  <c r="O40" i="2"/>
  <c r="AA24" i="2"/>
  <c r="O25" i="2"/>
  <c r="AA114" i="2"/>
  <c r="AA85" i="2"/>
  <c r="AJ85" i="2" s="1"/>
  <c r="AA54" i="2"/>
  <c r="AD54" i="2" s="1"/>
  <c r="AJ99" i="2"/>
  <c r="AD69" i="2"/>
  <c r="AD99" i="2"/>
  <c r="AG69" i="2"/>
  <c r="AJ84" i="2"/>
  <c r="AJ69" i="2"/>
  <c r="AA70" i="2"/>
  <c r="AD70" i="2" s="1"/>
  <c r="AA71" i="2"/>
  <c r="AA55" i="2"/>
  <c r="AJ55" i="2" s="1"/>
  <c r="AG55" i="2"/>
  <c r="AG54" i="2"/>
  <c r="AJ54" i="2"/>
  <c r="AA57" i="2"/>
  <c r="AJ57" i="2" s="1"/>
  <c r="AA56" i="2"/>
  <c r="AD56" i="2" s="1"/>
  <c r="AG39" i="2"/>
  <c r="AJ39" i="2"/>
  <c r="AD24" i="2"/>
  <c r="AG24" i="2"/>
  <c r="AJ24" i="2"/>
  <c r="AA3" i="2"/>
  <c r="AJ3" i="2" s="1"/>
  <c r="AA48" i="2"/>
  <c r="AJ48" i="2" s="1"/>
  <c r="AA78" i="2"/>
  <c r="AG78" i="2" s="1"/>
  <c r="AA95" i="2"/>
  <c r="AJ95" i="2" s="1"/>
  <c r="AA94" i="2"/>
  <c r="AD94" i="2" s="1"/>
  <c r="AA18" i="2"/>
  <c r="AD18" i="2" s="1"/>
  <c r="AA63" i="2"/>
  <c r="AG63" i="2" s="1"/>
  <c r="AA108" i="2"/>
  <c r="AG108" i="2" s="1"/>
  <c r="AA33" i="2"/>
  <c r="AJ33" i="2" s="1"/>
  <c r="AA35" i="2"/>
  <c r="AA34" i="2"/>
  <c r="AD34" i="2" s="1"/>
  <c r="O5" i="2"/>
  <c r="O6" i="2" s="1"/>
  <c r="AA4" i="2"/>
  <c r="AG4" i="2" s="1"/>
  <c r="AA65" i="2"/>
  <c r="AJ65" i="2" s="1"/>
  <c r="AA64" i="2"/>
  <c r="AJ64" i="2" s="1"/>
  <c r="AA110" i="2"/>
  <c r="AG110" i="2" s="1"/>
  <c r="AA109" i="2"/>
  <c r="AA19" i="2"/>
  <c r="AG19" i="2" s="1"/>
  <c r="AA49" i="2"/>
  <c r="AJ49" i="2" s="1"/>
  <c r="AG93" i="2"/>
  <c r="AJ93" i="2"/>
  <c r="AA79" i="2"/>
  <c r="AJ79" i="2" s="1"/>
  <c r="AA50" i="2"/>
  <c r="AD50" i="2" s="1"/>
  <c r="AA20" i="2"/>
  <c r="AD20" i="2" s="1"/>
  <c r="AD93" i="2"/>
  <c r="AD3" i="2"/>
  <c r="X24" i="15"/>
  <c r="X23" i="15"/>
  <c r="X22" i="15"/>
  <c r="X21" i="15"/>
  <c r="X3" i="15"/>
  <c r="X4" i="15"/>
  <c r="X5" i="15"/>
  <c r="X6" i="15"/>
  <c r="X7" i="15"/>
  <c r="X8" i="15"/>
  <c r="X9" i="15"/>
  <c r="X10" i="15"/>
  <c r="X11" i="15"/>
  <c r="X12" i="15"/>
  <c r="X13" i="15"/>
  <c r="X14" i="15"/>
  <c r="X15" i="15"/>
  <c r="X16" i="15"/>
  <c r="X17" i="15"/>
  <c r="X18" i="15"/>
  <c r="X19" i="15"/>
  <c r="X20" i="15"/>
  <c r="AI17" i="2"/>
  <c r="AI32" i="2"/>
  <c r="AI47" i="2"/>
  <c r="AI62" i="2"/>
  <c r="AI77" i="2"/>
  <c r="AI92" i="2"/>
  <c r="AI107"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2" i="2"/>
  <c r="AF17" i="2"/>
  <c r="AF32" i="2"/>
  <c r="AF47" i="2"/>
  <c r="AF62" i="2"/>
  <c r="AF77" i="2"/>
  <c r="AF92" i="2"/>
  <c r="AF107"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2" i="2"/>
  <c r="AC17" i="2"/>
  <c r="AC32" i="2"/>
  <c r="AC47" i="2"/>
  <c r="AC62" i="2"/>
  <c r="AC77" i="2"/>
  <c r="AC92" i="2"/>
  <c r="AC107"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2" i="2"/>
  <c r="O101" i="2" l="1"/>
  <c r="O102" i="2" s="1"/>
  <c r="O103" i="2" s="1"/>
  <c r="O104" i="2" s="1"/>
  <c r="O105" i="2" s="1"/>
  <c r="O106" i="2" s="1"/>
  <c r="AA106" i="2" s="1"/>
  <c r="AA100" i="2"/>
  <c r="AG85" i="2"/>
  <c r="AD85" i="2"/>
  <c r="O41" i="2"/>
  <c r="O42" i="2" s="1"/>
  <c r="O43" i="2" s="1"/>
  <c r="O44" i="2" s="1"/>
  <c r="O45" i="2" s="1"/>
  <c r="O46" i="2" s="1"/>
  <c r="AA46" i="2" s="1"/>
  <c r="AA40" i="2"/>
  <c r="AA25" i="2"/>
  <c r="O26" i="2"/>
  <c r="O27" i="2" s="1"/>
  <c r="AG114" i="2"/>
  <c r="AD114" i="2"/>
  <c r="AA115" i="2"/>
  <c r="AA86" i="2"/>
  <c r="AA101" i="2"/>
  <c r="AA87" i="2"/>
  <c r="AG70" i="2"/>
  <c r="AJ70" i="2"/>
  <c r="AD71" i="2"/>
  <c r="AG71" i="2"/>
  <c r="AJ71" i="2"/>
  <c r="AA72" i="2"/>
  <c r="AG57" i="2"/>
  <c r="AD55" i="2"/>
  <c r="AG56" i="2"/>
  <c r="AD57" i="2"/>
  <c r="AA58" i="2"/>
  <c r="AJ56" i="2"/>
  <c r="AA26" i="2"/>
  <c r="AD26" i="2" s="1"/>
  <c r="AG3" i="2"/>
  <c r="AJ34" i="2"/>
  <c r="AG48" i="2"/>
  <c r="AJ19" i="2"/>
  <c r="AD48" i="2"/>
  <c r="AD19" i="2"/>
  <c r="AG49" i="2"/>
  <c r="AD78" i="2"/>
  <c r="AG18" i="2"/>
  <c r="AJ78" i="2"/>
  <c r="AD108" i="2"/>
  <c r="AJ20" i="2"/>
  <c r="AG20" i="2"/>
  <c r="AG34" i="2"/>
  <c r="AG33" i="2"/>
  <c r="AA5" i="2"/>
  <c r="AD5" i="2" s="1"/>
  <c r="AJ94" i="2"/>
  <c r="AD33" i="2"/>
  <c r="AD49" i="2"/>
  <c r="AA96" i="2"/>
  <c r="AG64" i="2"/>
  <c r="AD35" i="2"/>
  <c r="AG35" i="2"/>
  <c r="AD63" i="2"/>
  <c r="AJ50" i="2"/>
  <c r="AG50" i="2"/>
  <c r="AJ63" i="2"/>
  <c r="AD4" i="2"/>
  <c r="AJ18" i="2"/>
  <c r="AG79" i="2"/>
  <c r="AG94" i="2"/>
  <c r="AJ35" i="2"/>
  <c r="AD64" i="2"/>
  <c r="AD65" i="2"/>
  <c r="AG65" i="2"/>
  <c r="AD109" i="2"/>
  <c r="AG109" i="2"/>
  <c r="AD79" i="2"/>
  <c r="AJ4" i="2"/>
  <c r="AD110" i="2"/>
  <c r="AA111" i="2"/>
  <c r="AG95" i="2"/>
  <c r="AD95" i="2"/>
  <c r="AA80" i="2"/>
  <c r="AA51" i="2"/>
  <c r="AA21" i="2"/>
  <c r="O7" i="2"/>
  <c r="AA6" i="2"/>
  <c r="D6" i="22"/>
  <c r="C3" i="16"/>
  <c r="C4" i="16"/>
  <c r="C5" i="16"/>
  <c r="C6" i="16"/>
  <c r="C7" i="16"/>
  <c r="C8" i="16"/>
  <c r="C9" i="16"/>
  <c r="C10" i="16"/>
  <c r="C18" i="16"/>
  <c r="C22" i="16"/>
  <c r="C26" i="16"/>
  <c r="C30" i="16"/>
  <c r="C34" i="16"/>
  <c r="C38" i="16"/>
  <c r="C42" i="16"/>
  <c r="C46" i="16"/>
  <c r="C50" i="16"/>
  <c r="C54" i="16"/>
  <c r="C58" i="16"/>
  <c r="C2" i="16"/>
  <c r="D7" i="22"/>
  <c r="D8" i="22"/>
  <c r="C13" i="16"/>
  <c r="C14" i="16"/>
  <c r="C15" i="16"/>
  <c r="C16" i="16"/>
  <c r="C17" i="16"/>
  <c r="C19" i="16"/>
  <c r="K26" i="15" s="1"/>
  <c r="C20" i="16"/>
  <c r="C21" i="16"/>
  <c r="D53" i="22"/>
  <c r="C24" i="16"/>
  <c r="C25" i="16"/>
  <c r="C27" i="16"/>
  <c r="C28" i="16"/>
  <c r="C29" i="16"/>
  <c r="C31" i="16"/>
  <c r="C32" i="16"/>
  <c r="C33" i="16"/>
  <c r="C35" i="16"/>
  <c r="C36" i="16"/>
  <c r="C37" i="16"/>
  <c r="C39" i="16"/>
  <c r="C40" i="16"/>
  <c r="C41" i="16"/>
  <c r="C43" i="16"/>
  <c r="C44" i="16"/>
  <c r="C45" i="16"/>
  <c r="C47" i="16"/>
  <c r="C48" i="16"/>
  <c r="C49" i="16"/>
  <c r="C51" i="16"/>
  <c r="C52" i="16"/>
  <c r="C53" i="16"/>
  <c r="C55" i="16"/>
  <c r="C56" i="16"/>
  <c r="C57" i="16"/>
  <c r="D15" i="22"/>
  <c r="AA62" i="2"/>
  <c r="AA92" i="2"/>
  <c r="AA107"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L7" i="22"/>
  <c r="AL2" i="22"/>
  <c r="AL3" i="22"/>
  <c r="AL4" i="22"/>
  <c r="AL5" i="22"/>
  <c r="AL6"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H2" i="2"/>
  <c r="AH17" i="2"/>
  <c r="AH32" i="2"/>
  <c r="AH47" i="2"/>
  <c r="AH62" i="2"/>
  <c r="AH77" i="2"/>
  <c r="AH92" i="2"/>
  <c r="AH107"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K2" i="2"/>
  <c r="AK17" i="2"/>
  <c r="AK32" i="2"/>
  <c r="AK47" i="2"/>
  <c r="AK62" i="2"/>
  <c r="AK77" i="2"/>
  <c r="AK92" i="2"/>
  <c r="AK107"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E2" i="2"/>
  <c r="AE17" i="2"/>
  <c r="AE32" i="2"/>
  <c r="AE47" i="2"/>
  <c r="AE62" i="2"/>
  <c r="AE77" i="2"/>
  <c r="AE92" i="2"/>
  <c r="AE107"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R399" i="2"/>
  <c r="R400" i="2"/>
  <c r="R401" i="2"/>
  <c r="R402" i="2"/>
  <c r="R403" i="2"/>
  <c r="R404" i="2"/>
  <c r="R405" i="2"/>
  <c r="R406" i="2"/>
  <c r="R407" i="2"/>
  <c r="R408" i="2"/>
  <c r="R409" i="2"/>
  <c r="S399" i="2"/>
  <c r="S400" i="2"/>
  <c r="S401" i="2"/>
  <c r="S402" i="2"/>
  <c r="S403" i="2"/>
  <c r="S404" i="2"/>
  <c r="S405" i="2"/>
  <c r="S406" i="2"/>
  <c r="S407" i="2"/>
  <c r="S408" i="2"/>
  <c r="S409" i="2"/>
  <c r="B10" i="25"/>
  <c r="E10" i="25"/>
  <c r="F10" i="25"/>
  <c r="H10" i="25"/>
  <c r="J10" i="25"/>
  <c r="K10" i="25"/>
  <c r="L10" i="25"/>
  <c r="M10" i="25"/>
  <c r="B10" i="15"/>
  <c r="AG100" i="2" l="1"/>
  <c r="AJ100" i="2"/>
  <c r="AD100" i="2"/>
  <c r="AD106" i="2"/>
  <c r="AJ106" i="2"/>
  <c r="AG106" i="2"/>
  <c r="AA41" i="2"/>
  <c r="AJ41" i="2" s="1"/>
  <c r="AD40" i="2"/>
  <c r="AG40" i="2"/>
  <c r="AJ40" i="2"/>
  <c r="AJ46" i="2"/>
  <c r="AD46" i="2"/>
  <c r="AG46" i="2"/>
  <c r="O28" i="2"/>
  <c r="O29" i="2" s="1"/>
  <c r="O30" i="2" s="1"/>
  <c r="O31" i="2" s="1"/>
  <c r="AA27" i="2"/>
  <c r="AJ25" i="2"/>
  <c r="AD25" i="2"/>
  <c r="AG25" i="2"/>
  <c r="AD115" i="2"/>
  <c r="AG115" i="2"/>
  <c r="AA116" i="2"/>
  <c r="AJ86" i="2"/>
  <c r="AD86" i="2"/>
  <c r="AG86" i="2"/>
  <c r="AA102" i="2"/>
  <c r="AG101" i="2"/>
  <c r="AD101" i="2"/>
  <c r="AJ101" i="2"/>
  <c r="AA28" i="2"/>
  <c r="AD28" i="2" s="1"/>
  <c r="AD87" i="2"/>
  <c r="AJ87" i="2"/>
  <c r="AG87" i="2"/>
  <c r="AA88" i="2"/>
  <c r="AA73" i="2"/>
  <c r="AJ72" i="2"/>
  <c r="AG72" i="2"/>
  <c r="AD72" i="2"/>
  <c r="AG26" i="2"/>
  <c r="AJ26" i="2"/>
  <c r="AD58" i="2"/>
  <c r="AG58" i="2"/>
  <c r="AJ58" i="2"/>
  <c r="AA59" i="2"/>
  <c r="AD41" i="2"/>
  <c r="AG41" i="2"/>
  <c r="AA42" i="2"/>
  <c r="AA30" i="2"/>
  <c r="AA31" i="2"/>
  <c r="AA29" i="2"/>
  <c r="AA36" i="2"/>
  <c r="AG36" i="2" s="1"/>
  <c r="AA98" i="2"/>
  <c r="AJ5" i="2"/>
  <c r="AG5" i="2"/>
  <c r="AA66" i="2"/>
  <c r="AG66" i="2" s="1"/>
  <c r="M26" i="15"/>
  <c r="M25" i="15"/>
  <c r="AA112" i="2"/>
  <c r="AD111" i="2"/>
  <c r="AG111" i="2"/>
  <c r="AD96" i="2"/>
  <c r="AG96" i="2"/>
  <c r="AJ96" i="2"/>
  <c r="AD80" i="2"/>
  <c r="AJ80" i="2"/>
  <c r="AG80" i="2"/>
  <c r="AA81" i="2"/>
  <c r="AA67" i="2"/>
  <c r="AD51" i="2"/>
  <c r="AJ51" i="2"/>
  <c r="AG51" i="2"/>
  <c r="AA53" i="2"/>
  <c r="AA52" i="2"/>
  <c r="AA38" i="2"/>
  <c r="AA37" i="2"/>
  <c r="AG21" i="2"/>
  <c r="AD21" i="2"/>
  <c r="AJ21" i="2"/>
  <c r="AA23" i="2"/>
  <c r="AA22" i="2"/>
  <c r="AJ6" i="2"/>
  <c r="AG6" i="2"/>
  <c r="AD6" i="2"/>
  <c r="O8" i="2"/>
  <c r="AA7" i="2"/>
  <c r="C12" i="16"/>
  <c r="C23" i="16"/>
  <c r="C11" i="16"/>
  <c r="K25" i="15" s="1"/>
  <c r="D9" i="22"/>
  <c r="D20" i="22"/>
  <c r="D2" i="22"/>
  <c r="D31" i="22"/>
  <c r="D19" i="22"/>
  <c r="D29" i="22"/>
  <c r="D17" i="22"/>
  <c r="D27" i="22"/>
  <c r="D60" i="22"/>
  <c r="D56" i="22"/>
  <c r="D52" i="22"/>
  <c r="D63" i="22"/>
  <c r="D55" i="22"/>
  <c r="D62" i="22"/>
  <c r="D58" i="22"/>
  <c r="D54" i="22"/>
  <c r="D59" i="22"/>
  <c r="D61" i="22"/>
  <c r="D57" i="22"/>
  <c r="AJ27" i="2" l="1"/>
  <c r="AD27" i="2"/>
  <c r="AG27" i="2"/>
  <c r="AD116" i="2"/>
  <c r="AG116" i="2"/>
  <c r="AA117" i="2"/>
  <c r="AG28" i="2"/>
  <c r="AA103" i="2"/>
  <c r="AJ28" i="2"/>
  <c r="AJ102" i="2"/>
  <c r="AD102" i="2"/>
  <c r="AG102" i="2"/>
  <c r="AA89" i="2"/>
  <c r="AJ88" i="2"/>
  <c r="AG88" i="2"/>
  <c r="AD88" i="2"/>
  <c r="AA74" i="2"/>
  <c r="AD73" i="2"/>
  <c r="AG73" i="2"/>
  <c r="AJ73" i="2"/>
  <c r="AA60" i="2"/>
  <c r="AJ60" i="2" s="1"/>
  <c r="AA61" i="2"/>
  <c r="AJ59" i="2"/>
  <c r="AG59" i="2"/>
  <c r="AD59" i="2"/>
  <c r="AA43" i="2"/>
  <c r="AD42" i="2"/>
  <c r="AG42" i="2"/>
  <c r="AJ42" i="2"/>
  <c r="AJ36" i="2"/>
  <c r="AD36" i="2"/>
  <c r="AJ30" i="2"/>
  <c r="AG30" i="2"/>
  <c r="AD30" i="2"/>
  <c r="AD31" i="2"/>
  <c r="AJ31" i="2"/>
  <c r="AG31" i="2"/>
  <c r="AJ29" i="2"/>
  <c r="AD29" i="2"/>
  <c r="AG29" i="2"/>
  <c r="AA8" i="2"/>
  <c r="AD8" i="2" s="1"/>
  <c r="O9" i="2"/>
  <c r="AA97" i="2"/>
  <c r="AJ97" i="2" s="1"/>
  <c r="AJ66" i="2"/>
  <c r="AD66" i="2"/>
  <c r="K27" i="15"/>
  <c r="M27" i="15"/>
  <c r="M28" i="15"/>
  <c r="AD112" i="2"/>
  <c r="AG112" i="2"/>
  <c r="AA113" i="2"/>
  <c r="AD98" i="2"/>
  <c r="AG98" i="2"/>
  <c r="AJ98" i="2"/>
  <c r="AA82" i="2"/>
  <c r="AA83" i="2"/>
  <c r="AG81" i="2"/>
  <c r="AJ81" i="2"/>
  <c r="AD81" i="2"/>
  <c r="AG67" i="2"/>
  <c r="AJ67" i="2"/>
  <c r="AD67" i="2"/>
  <c r="AA68" i="2"/>
  <c r="AA77" i="2"/>
  <c r="AJ77" i="2" s="1"/>
  <c r="AD53" i="2"/>
  <c r="AJ53" i="2"/>
  <c r="AG53" i="2"/>
  <c r="AJ52" i="2"/>
  <c r="AG52" i="2"/>
  <c r="AD52" i="2"/>
  <c r="AG38" i="2"/>
  <c r="AJ38" i="2"/>
  <c r="AD38" i="2"/>
  <c r="AD37" i="2"/>
  <c r="AG37" i="2"/>
  <c r="AJ37" i="2"/>
  <c r="AD23" i="2"/>
  <c r="AJ23" i="2"/>
  <c r="AG23" i="2"/>
  <c r="AG22" i="2"/>
  <c r="AD22" i="2"/>
  <c r="AJ22" i="2"/>
  <c r="AJ7" i="2"/>
  <c r="AD7" i="2"/>
  <c r="AG7" i="2"/>
  <c r="AA17" i="2"/>
  <c r="AA32" i="2"/>
  <c r="AA47" i="2"/>
  <c r="AG62"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 i="2"/>
  <c r="I2" i="2"/>
  <c r="I17" i="2"/>
  <c r="I32" i="2"/>
  <c r="I47" i="2"/>
  <c r="I62" i="2"/>
  <c r="I77" i="2"/>
  <c r="I92" i="2"/>
  <c r="I107"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J2" i="2"/>
  <c r="AD2" i="2" s="1"/>
  <c r="J17" i="2"/>
  <c r="J32" i="2"/>
  <c r="J47" i="2"/>
  <c r="AD62" i="2"/>
  <c r="AD92" i="2"/>
  <c r="AD107" i="2"/>
  <c r="J122" i="2"/>
  <c r="AD122" i="2" s="1"/>
  <c r="J123" i="2"/>
  <c r="AD123" i="2" s="1"/>
  <c r="J124" i="2"/>
  <c r="AD124" i="2" s="1"/>
  <c r="J125" i="2"/>
  <c r="AD125" i="2" s="1"/>
  <c r="J126" i="2"/>
  <c r="AD126" i="2" s="1"/>
  <c r="J127" i="2"/>
  <c r="AD127" i="2" s="1"/>
  <c r="J128" i="2"/>
  <c r="AD128" i="2" s="1"/>
  <c r="J129" i="2"/>
  <c r="AD129" i="2" s="1"/>
  <c r="J130" i="2"/>
  <c r="AD130" i="2" s="1"/>
  <c r="J131" i="2"/>
  <c r="AD131" i="2" s="1"/>
  <c r="J132" i="2"/>
  <c r="AD132" i="2" s="1"/>
  <c r="J133" i="2"/>
  <c r="AD133" i="2" s="1"/>
  <c r="J134" i="2"/>
  <c r="AD134" i="2" s="1"/>
  <c r="J135" i="2"/>
  <c r="AD135" i="2" s="1"/>
  <c r="J136" i="2"/>
  <c r="AD136" i="2" s="1"/>
  <c r="J137" i="2"/>
  <c r="AD137" i="2" s="1"/>
  <c r="J138" i="2"/>
  <c r="AD138" i="2" s="1"/>
  <c r="J139" i="2"/>
  <c r="AD139" i="2" s="1"/>
  <c r="J140" i="2"/>
  <c r="AD140" i="2" s="1"/>
  <c r="J141" i="2"/>
  <c r="AD141" i="2" s="1"/>
  <c r="J142" i="2"/>
  <c r="AD142" i="2" s="1"/>
  <c r="J143" i="2"/>
  <c r="AD143" i="2" s="1"/>
  <c r="J144" i="2"/>
  <c r="AD144" i="2" s="1"/>
  <c r="J145" i="2"/>
  <c r="AD145" i="2" s="1"/>
  <c r="J146" i="2"/>
  <c r="AD146" i="2" s="1"/>
  <c r="J147" i="2"/>
  <c r="AD147" i="2" s="1"/>
  <c r="J148" i="2"/>
  <c r="AD148" i="2" s="1"/>
  <c r="J149" i="2"/>
  <c r="AD149" i="2" s="1"/>
  <c r="J150" i="2"/>
  <c r="AD150" i="2" s="1"/>
  <c r="J151" i="2"/>
  <c r="AD151" i="2" s="1"/>
  <c r="J152" i="2"/>
  <c r="AD152" i="2" s="1"/>
  <c r="J153" i="2"/>
  <c r="AD153" i="2" s="1"/>
  <c r="J154" i="2"/>
  <c r="AD154" i="2" s="1"/>
  <c r="J155" i="2"/>
  <c r="AD155" i="2" s="1"/>
  <c r="J156" i="2"/>
  <c r="AD156" i="2" s="1"/>
  <c r="J157" i="2"/>
  <c r="AD157" i="2" s="1"/>
  <c r="J158" i="2"/>
  <c r="AD158" i="2" s="1"/>
  <c r="J159" i="2"/>
  <c r="AD159" i="2" s="1"/>
  <c r="J160" i="2"/>
  <c r="AD160" i="2" s="1"/>
  <c r="J161" i="2"/>
  <c r="AD161" i="2" s="1"/>
  <c r="J162" i="2"/>
  <c r="AD162" i="2" s="1"/>
  <c r="J163" i="2"/>
  <c r="AD163" i="2" s="1"/>
  <c r="J164" i="2"/>
  <c r="AD164" i="2" s="1"/>
  <c r="J165" i="2"/>
  <c r="AD165" i="2" s="1"/>
  <c r="J166" i="2"/>
  <c r="AD166" i="2" s="1"/>
  <c r="J167" i="2"/>
  <c r="AD167" i="2" s="1"/>
  <c r="J168" i="2"/>
  <c r="AD168" i="2" s="1"/>
  <c r="J169" i="2"/>
  <c r="AD169" i="2" s="1"/>
  <c r="J170" i="2"/>
  <c r="AD170" i="2" s="1"/>
  <c r="J171" i="2"/>
  <c r="AD171" i="2" s="1"/>
  <c r="J172" i="2"/>
  <c r="AD172" i="2" s="1"/>
  <c r="J173" i="2"/>
  <c r="AD173" i="2" s="1"/>
  <c r="J174" i="2"/>
  <c r="AD174" i="2" s="1"/>
  <c r="J175" i="2"/>
  <c r="AD175" i="2" s="1"/>
  <c r="J176" i="2"/>
  <c r="AD176" i="2" s="1"/>
  <c r="J177" i="2"/>
  <c r="AD177" i="2" s="1"/>
  <c r="J178" i="2"/>
  <c r="AD178" i="2" s="1"/>
  <c r="J179" i="2"/>
  <c r="AD179" i="2" s="1"/>
  <c r="J180" i="2"/>
  <c r="AD180" i="2" s="1"/>
  <c r="J181" i="2"/>
  <c r="AD181" i="2" s="1"/>
  <c r="J182" i="2"/>
  <c r="AD182" i="2" s="1"/>
  <c r="J183" i="2"/>
  <c r="AD183" i="2" s="1"/>
  <c r="J184" i="2"/>
  <c r="AD184" i="2" s="1"/>
  <c r="J185" i="2"/>
  <c r="AD185" i="2" s="1"/>
  <c r="J186" i="2"/>
  <c r="AD186" i="2" s="1"/>
  <c r="J187" i="2"/>
  <c r="AD187" i="2" s="1"/>
  <c r="J188" i="2"/>
  <c r="AD188" i="2" s="1"/>
  <c r="J189" i="2"/>
  <c r="AD189" i="2" s="1"/>
  <c r="J190" i="2"/>
  <c r="AD190" i="2" s="1"/>
  <c r="J191" i="2"/>
  <c r="AD191" i="2" s="1"/>
  <c r="J192" i="2"/>
  <c r="AD192" i="2" s="1"/>
  <c r="J193" i="2"/>
  <c r="AD193" i="2" s="1"/>
  <c r="J194" i="2"/>
  <c r="AD194" i="2" s="1"/>
  <c r="J195" i="2"/>
  <c r="AD195" i="2" s="1"/>
  <c r="J196" i="2"/>
  <c r="AD196" i="2" s="1"/>
  <c r="J197" i="2"/>
  <c r="AD197" i="2" s="1"/>
  <c r="J198" i="2"/>
  <c r="AD198" i="2" s="1"/>
  <c r="J199" i="2"/>
  <c r="AD199" i="2" s="1"/>
  <c r="J200" i="2"/>
  <c r="AD200" i="2" s="1"/>
  <c r="J201" i="2"/>
  <c r="AD201" i="2" s="1"/>
  <c r="J202" i="2"/>
  <c r="AD202" i="2" s="1"/>
  <c r="J203" i="2"/>
  <c r="AD203" i="2" s="1"/>
  <c r="J204" i="2"/>
  <c r="AD204" i="2" s="1"/>
  <c r="J205" i="2"/>
  <c r="AD205" i="2" s="1"/>
  <c r="J206" i="2"/>
  <c r="AD206" i="2" s="1"/>
  <c r="J207" i="2"/>
  <c r="AD207" i="2" s="1"/>
  <c r="J208" i="2"/>
  <c r="AD208" i="2" s="1"/>
  <c r="J209" i="2"/>
  <c r="AD209" i="2" s="1"/>
  <c r="J210" i="2"/>
  <c r="AD210" i="2" s="1"/>
  <c r="J211" i="2"/>
  <c r="AD211" i="2" s="1"/>
  <c r="J212" i="2"/>
  <c r="AD212" i="2" s="1"/>
  <c r="J213" i="2"/>
  <c r="AD213" i="2" s="1"/>
  <c r="J214" i="2"/>
  <c r="AD214" i="2" s="1"/>
  <c r="J215" i="2"/>
  <c r="AD215" i="2" s="1"/>
  <c r="J216" i="2"/>
  <c r="AD216" i="2" s="1"/>
  <c r="J217" i="2"/>
  <c r="AD217" i="2" s="1"/>
  <c r="J218" i="2"/>
  <c r="AD218" i="2" s="1"/>
  <c r="J219" i="2"/>
  <c r="AD219" i="2" s="1"/>
  <c r="J220" i="2"/>
  <c r="AD220" i="2" s="1"/>
  <c r="J221" i="2"/>
  <c r="AD221" i="2" s="1"/>
  <c r="J222" i="2"/>
  <c r="AD222" i="2" s="1"/>
  <c r="J223" i="2"/>
  <c r="AD223" i="2" s="1"/>
  <c r="J224" i="2"/>
  <c r="AD224" i="2" s="1"/>
  <c r="J225" i="2"/>
  <c r="AD225" i="2" s="1"/>
  <c r="J226" i="2"/>
  <c r="AD226" i="2" s="1"/>
  <c r="J227" i="2"/>
  <c r="AD227" i="2" s="1"/>
  <c r="J228" i="2"/>
  <c r="AD228" i="2" s="1"/>
  <c r="J229" i="2"/>
  <c r="AD229" i="2" s="1"/>
  <c r="J230" i="2"/>
  <c r="AD230" i="2" s="1"/>
  <c r="J231" i="2"/>
  <c r="AD231" i="2" s="1"/>
  <c r="J232" i="2"/>
  <c r="AD232" i="2" s="1"/>
  <c r="J233" i="2"/>
  <c r="AD233" i="2" s="1"/>
  <c r="J234" i="2"/>
  <c r="AD234" i="2" s="1"/>
  <c r="J235" i="2"/>
  <c r="AD235" i="2" s="1"/>
  <c r="J236" i="2"/>
  <c r="AD236" i="2" s="1"/>
  <c r="J237" i="2"/>
  <c r="AD237" i="2" s="1"/>
  <c r="J238" i="2"/>
  <c r="AD238" i="2" s="1"/>
  <c r="J239" i="2"/>
  <c r="AD239" i="2" s="1"/>
  <c r="J240" i="2"/>
  <c r="AD240" i="2" s="1"/>
  <c r="J241" i="2"/>
  <c r="AD241" i="2" s="1"/>
  <c r="J242" i="2"/>
  <c r="AD242" i="2" s="1"/>
  <c r="J243" i="2"/>
  <c r="AD243" i="2" s="1"/>
  <c r="J244" i="2"/>
  <c r="AD244" i="2" s="1"/>
  <c r="J245" i="2"/>
  <c r="AD245" i="2" s="1"/>
  <c r="J246" i="2"/>
  <c r="AD246" i="2" s="1"/>
  <c r="J247" i="2"/>
  <c r="AD247" i="2" s="1"/>
  <c r="J248" i="2"/>
  <c r="AD248" i="2" s="1"/>
  <c r="J249" i="2"/>
  <c r="AD249" i="2" s="1"/>
  <c r="J250" i="2"/>
  <c r="AD250" i="2" s="1"/>
  <c r="J251" i="2"/>
  <c r="AD251" i="2" s="1"/>
  <c r="J252" i="2"/>
  <c r="AD252" i="2" s="1"/>
  <c r="J253" i="2"/>
  <c r="AD253" i="2" s="1"/>
  <c r="J254" i="2"/>
  <c r="AD254" i="2" s="1"/>
  <c r="J255" i="2"/>
  <c r="AD255" i="2" s="1"/>
  <c r="J256" i="2"/>
  <c r="AD256" i="2" s="1"/>
  <c r="J257" i="2"/>
  <c r="AD257" i="2" s="1"/>
  <c r="J258" i="2"/>
  <c r="AD258" i="2" s="1"/>
  <c r="J259" i="2"/>
  <c r="AD259" i="2" s="1"/>
  <c r="J260" i="2"/>
  <c r="AD260" i="2" s="1"/>
  <c r="J261" i="2"/>
  <c r="AD261" i="2" s="1"/>
  <c r="J262" i="2"/>
  <c r="AD262" i="2" s="1"/>
  <c r="J263" i="2"/>
  <c r="AD263" i="2" s="1"/>
  <c r="J264" i="2"/>
  <c r="AD264" i="2" s="1"/>
  <c r="J265" i="2"/>
  <c r="AD265" i="2" s="1"/>
  <c r="J266" i="2"/>
  <c r="AD266" i="2" s="1"/>
  <c r="J267" i="2"/>
  <c r="AD267" i="2" s="1"/>
  <c r="J268" i="2"/>
  <c r="AD268" i="2" s="1"/>
  <c r="J269" i="2"/>
  <c r="AD269" i="2" s="1"/>
  <c r="J270" i="2"/>
  <c r="AD270" i="2" s="1"/>
  <c r="J271" i="2"/>
  <c r="AD271" i="2" s="1"/>
  <c r="J272" i="2"/>
  <c r="AD272" i="2" s="1"/>
  <c r="J273" i="2"/>
  <c r="AD273" i="2" s="1"/>
  <c r="J274" i="2"/>
  <c r="AD274" i="2" s="1"/>
  <c r="J275" i="2"/>
  <c r="AD275" i="2" s="1"/>
  <c r="J276" i="2"/>
  <c r="AD276" i="2" s="1"/>
  <c r="J277" i="2"/>
  <c r="AD277" i="2" s="1"/>
  <c r="J278" i="2"/>
  <c r="AD278" i="2" s="1"/>
  <c r="J279" i="2"/>
  <c r="AD279" i="2" s="1"/>
  <c r="J280" i="2"/>
  <c r="AD280" i="2" s="1"/>
  <c r="J281" i="2"/>
  <c r="AD281" i="2" s="1"/>
  <c r="J282" i="2"/>
  <c r="AD282" i="2" s="1"/>
  <c r="J283" i="2"/>
  <c r="AD283" i="2" s="1"/>
  <c r="J284" i="2"/>
  <c r="AD284" i="2" s="1"/>
  <c r="J285" i="2"/>
  <c r="AD285" i="2" s="1"/>
  <c r="J286" i="2"/>
  <c r="AD286" i="2" s="1"/>
  <c r="J287" i="2"/>
  <c r="AD287" i="2" s="1"/>
  <c r="J288" i="2"/>
  <c r="AD288" i="2" s="1"/>
  <c r="J289" i="2"/>
  <c r="AD289" i="2" s="1"/>
  <c r="J290" i="2"/>
  <c r="AD290" i="2" s="1"/>
  <c r="J291" i="2"/>
  <c r="AD291" i="2" s="1"/>
  <c r="J292" i="2"/>
  <c r="AD292" i="2" s="1"/>
  <c r="J293" i="2"/>
  <c r="AD293" i="2" s="1"/>
  <c r="J294" i="2"/>
  <c r="AD294" i="2" s="1"/>
  <c r="J295" i="2"/>
  <c r="AD295" i="2" s="1"/>
  <c r="J296" i="2"/>
  <c r="AD296" i="2" s="1"/>
  <c r="J297" i="2"/>
  <c r="AD297" i="2" s="1"/>
  <c r="J298" i="2"/>
  <c r="AD298" i="2" s="1"/>
  <c r="J299" i="2"/>
  <c r="AD299" i="2" s="1"/>
  <c r="J300" i="2"/>
  <c r="AD300" i="2" s="1"/>
  <c r="J301" i="2"/>
  <c r="AD301" i="2" s="1"/>
  <c r="J302" i="2"/>
  <c r="AD302" i="2" s="1"/>
  <c r="J303" i="2"/>
  <c r="AD303" i="2" s="1"/>
  <c r="J304" i="2"/>
  <c r="AD304" i="2" s="1"/>
  <c r="J305" i="2"/>
  <c r="AD305" i="2" s="1"/>
  <c r="J306" i="2"/>
  <c r="AD306" i="2" s="1"/>
  <c r="J307" i="2"/>
  <c r="AD307" i="2" s="1"/>
  <c r="J308" i="2"/>
  <c r="AD308" i="2" s="1"/>
  <c r="J309" i="2"/>
  <c r="AD309" i="2" s="1"/>
  <c r="J310" i="2"/>
  <c r="AD310" i="2" s="1"/>
  <c r="J311" i="2"/>
  <c r="AD311" i="2" s="1"/>
  <c r="J312" i="2"/>
  <c r="AD312" i="2" s="1"/>
  <c r="J313" i="2"/>
  <c r="AD313" i="2" s="1"/>
  <c r="J314" i="2"/>
  <c r="AD314" i="2" s="1"/>
  <c r="J315" i="2"/>
  <c r="AD315" i="2" s="1"/>
  <c r="J316" i="2"/>
  <c r="AD316" i="2" s="1"/>
  <c r="J317" i="2"/>
  <c r="AD317" i="2" s="1"/>
  <c r="J318" i="2"/>
  <c r="AD318" i="2" s="1"/>
  <c r="J319" i="2"/>
  <c r="AD319" i="2" s="1"/>
  <c r="J320" i="2"/>
  <c r="AD320" i="2" s="1"/>
  <c r="J321" i="2"/>
  <c r="AD321" i="2" s="1"/>
  <c r="J322" i="2"/>
  <c r="AD322" i="2" s="1"/>
  <c r="J323" i="2"/>
  <c r="AD323" i="2" s="1"/>
  <c r="J324" i="2"/>
  <c r="AD324" i="2" s="1"/>
  <c r="J325" i="2"/>
  <c r="AD325" i="2" s="1"/>
  <c r="J326" i="2"/>
  <c r="AD326" i="2" s="1"/>
  <c r="J327" i="2"/>
  <c r="AD327" i="2" s="1"/>
  <c r="J328" i="2"/>
  <c r="AD328" i="2" s="1"/>
  <c r="J329" i="2"/>
  <c r="AD329" i="2" s="1"/>
  <c r="J330" i="2"/>
  <c r="AD330" i="2" s="1"/>
  <c r="J331" i="2"/>
  <c r="AD331" i="2" s="1"/>
  <c r="J332" i="2"/>
  <c r="AD332" i="2" s="1"/>
  <c r="J333" i="2"/>
  <c r="AD333" i="2" s="1"/>
  <c r="J334" i="2"/>
  <c r="AD334" i="2" s="1"/>
  <c r="J335" i="2"/>
  <c r="AD335" i="2" s="1"/>
  <c r="J336" i="2"/>
  <c r="AD336" i="2" s="1"/>
  <c r="J337" i="2"/>
  <c r="AD337" i="2" s="1"/>
  <c r="J338" i="2"/>
  <c r="AD338" i="2" s="1"/>
  <c r="J339" i="2"/>
  <c r="AD339" i="2" s="1"/>
  <c r="J340" i="2"/>
  <c r="AD340" i="2" s="1"/>
  <c r="J341" i="2"/>
  <c r="AD341" i="2" s="1"/>
  <c r="J342" i="2"/>
  <c r="AD342" i="2" s="1"/>
  <c r="J343" i="2"/>
  <c r="AD343" i="2" s="1"/>
  <c r="J344" i="2"/>
  <c r="AD344" i="2" s="1"/>
  <c r="J345" i="2"/>
  <c r="AD345" i="2" s="1"/>
  <c r="J346" i="2"/>
  <c r="AD346" i="2" s="1"/>
  <c r="J347" i="2"/>
  <c r="AD347" i="2" s="1"/>
  <c r="J348" i="2"/>
  <c r="AD348" i="2" s="1"/>
  <c r="J349" i="2"/>
  <c r="AD349" i="2" s="1"/>
  <c r="J350" i="2"/>
  <c r="AD350" i="2" s="1"/>
  <c r="J351" i="2"/>
  <c r="AD351" i="2" s="1"/>
  <c r="J352" i="2"/>
  <c r="AD352" i="2" s="1"/>
  <c r="J353" i="2"/>
  <c r="AD353" i="2" s="1"/>
  <c r="J354" i="2"/>
  <c r="AD354" i="2" s="1"/>
  <c r="J355" i="2"/>
  <c r="AD355" i="2" s="1"/>
  <c r="J356" i="2"/>
  <c r="AD356" i="2" s="1"/>
  <c r="J357" i="2"/>
  <c r="AD357" i="2" s="1"/>
  <c r="J358" i="2"/>
  <c r="AD358" i="2" s="1"/>
  <c r="J359" i="2"/>
  <c r="AD359" i="2" s="1"/>
  <c r="J360" i="2"/>
  <c r="AD360" i="2" s="1"/>
  <c r="J361" i="2"/>
  <c r="AD361" i="2" s="1"/>
  <c r="J362" i="2"/>
  <c r="AD362" i="2" s="1"/>
  <c r="J363" i="2"/>
  <c r="AD363" i="2" s="1"/>
  <c r="J364" i="2"/>
  <c r="AD364" i="2" s="1"/>
  <c r="J365" i="2"/>
  <c r="AD365" i="2" s="1"/>
  <c r="J366" i="2"/>
  <c r="AD366" i="2" s="1"/>
  <c r="J367" i="2"/>
  <c r="AD367" i="2" s="1"/>
  <c r="J368" i="2"/>
  <c r="AD368" i="2" s="1"/>
  <c r="J369" i="2"/>
  <c r="AD369" i="2" s="1"/>
  <c r="J370" i="2"/>
  <c r="AD370" i="2" s="1"/>
  <c r="J371" i="2"/>
  <c r="AD371" i="2" s="1"/>
  <c r="J372" i="2"/>
  <c r="AD372" i="2" s="1"/>
  <c r="J373" i="2"/>
  <c r="AD373" i="2" s="1"/>
  <c r="J374" i="2"/>
  <c r="AD374" i="2" s="1"/>
  <c r="J375" i="2"/>
  <c r="AD375" i="2" s="1"/>
  <c r="J376" i="2"/>
  <c r="AD376" i="2" s="1"/>
  <c r="J377" i="2"/>
  <c r="AD377" i="2" s="1"/>
  <c r="J378" i="2"/>
  <c r="AD378" i="2" s="1"/>
  <c r="J379" i="2"/>
  <c r="AD379" i="2" s="1"/>
  <c r="J380" i="2"/>
  <c r="AD380" i="2" s="1"/>
  <c r="J381" i="2"/>
  <c r="AD381" i="2" s="1"/>
  <c r="J382" i="2"/>
  <c r="AD382" i="2" s="1"/>
  <c r="J383" i="2"/>
  <c r="AD383" i="2" s="1"/>
  <c r="J384" i="2"/>
  <c r="AD384" i="2" s="1"/>
  <c r="J385" i="2"/>
  <c r="AD385" i="2" s="1"/>
  <c r="J386" i="2"/>
  <c r="AD386" i="2" s="1"/>
  <c r="J387" i="2"/>
  <c r="AD387" i="2" s="1"/>
  <c r="J388" i="2"/>
  <c r="AD388" i="2" s="1"/>
  <c r="J389" i="2"/>
  <c r="AD389" i="2" s="1"/>
  <c r="J390" i="2"/>
  <c r="AD390" i="2" s="1"/>
  <c r="J391" i="2"/>
  <c r="AD391" i="2" s="1"/>
  <c r="J392" i="2"/>
  <c r="AD392" i="2" s="1"/>
  <c r="J393" i="2"/>
  <c r="AD393" i="2" s="1"/>
  <c r="J394" i="2"/>
  <c r="AD394" i="2" s="1"/>
  <c r="J395" i="2"/>
  <c r="AD395" i="2" s="1"/>
  <c r="J396" i="2"/>
  <c r="AD396" i="2" s="1"/>
  <c r="J397" i="2"/>
  <c r="AD397" i="2" s="1"/>
  <c r="J398" i="2"/>
  <c r="AD398" i="2" s="1"/>
  <c r="J399" i="2"/>
  <c r="AD399" i="2" s="1"/>
  <c r="J400" i="2"/>
  <c r="AD400" i="2" s="1"/>
  <c r="J401" i="2"/>
  <c r="AD401" i="2" s="1"/>
  <c r="J402" i="2"/>
  <c r="AD402" i="2" s="1"/>
  <c r="J403" i="2"/>
  <c r="AD403" i="2" s="1"/>
  <c r="J404" i="2"/>
  <c r="AD404" i="2" s="1"/>
  <c r="J405" i="2"/>
  <c r="AD405" i="2" s="1"/>
  <c r="J406" i="2"/>
  <c r="AD406" i="2" s="1"/>
  <c r="J407" i="2"/>
  <c r="AD407" i="2" s="1"/>
  <c r="J408" i="2"/>
  <c r="AD408" i="2" s="1"/>
  <c r="J409" i="2"/>
  <c r="AD409" i="2" s="1"/>
  <c r="K2" i="2"/>
  <c r="K17" i="2"/>
  <c r="K32" i="2"/>
  <c r="K47" i="2"/>
  <c r="AG92" i="2"/>
  <c r="AG107" i="2"/>
  <c r="K122" i="2"/>
  <c r="AG122" i="2" s="1"/>
  <c r="K123" i="2"/>
  <c r="AG123" i="2" s="1"/>
  <c r="K124" i="2"/>
  <c r="AG124" i="2" s="1"/>
  <c r="K125" i="2"/>
  <c r="AG125" i="2" s="1"/>
  <c r="K126" i="2"/>
  <c r="AG126" i="2" s="1"/>
  <c r="K127" i="2"/>
  <c r="AG127" i="2" s="1"/>
  <c r="K128" i="2"/>
  <c r="AG128" i="2" s="1"/>
  <c r="K129" i="2"/>
  <c r="AG129" i="2" s="1"/>
  <c r="K130" i="2"/>
  <c r="AG130" i="2" s="1"/>
  <c r="K131" i="2"/>
  <c r="AG131" i="2" s="1"/>
  <c r="K132" i="2"/>
  <c r="AG132" i="2" s="1"/>
  <c r="K133" i="2"/>
  <c r="AG133" i="2" s="1"/>
  <c r="K134" i="2"/>
  <c r="AG134" i="2" s="1"/>
  <c r="K135" i="2"/>
  <c r="AG135" i="2" s="1"/>
  <c r="K136" i="2"/>
  <c r="AG136" i="2" s="1"/>
  <c r="K137" i="2"/>
  <c r="AG137" i="2" s="1"/>
  <c r="K138" i="2"/>
  <c r="AG138" i="2" s="1"/>
  <c r="K139" i="2"/>
  <c r="AG139" i="2" s="1"/>
  <c r="K140" i="2"/>
  <c r="AG140" i="2" s="1"/>
  <c r="K141" i="2"/>
  <c r="AG141" i="2" s="1"/>
  <c r="K142" i="2"/>
  <c r="AG142" i="2" s="1"/>
  <c r="K143" i="2"/>
  <c r="AG143" i="2" s="1"/>
  <c r="K144" i="2"/>
  <c r="AG144" i="2" s="1"/>
  <c r="K145" i="2"/>
  <c r="AG145" i="2" s="1"/>
  <c r="K146" i="2"/>
  <c r="AG146" i="2" s="1"/>
  <c r="K147" i="2"/>
  <c r="AG147" i="2" s="1"/>
  <c r="K148" i="2"/>
  <c r="AG148" i="2" s="1"/>
  <c r="K149" i="2"/>
  <c r="AG149" i="2" s="1"/>
  <c r="K150" i="2"/>
  <c r="AG150" i="2" s="1"/>
  <c r="K151" i="2"/>
  <c r="AG151" i="2" s="1"/>
  <c r="K152" i="2"/>
  <c r="AG152" i="2" s="1"/>
  <c r="K153" i="2"/>
  <c r="AG153" i="2" s="1"/>
  <c r="K154" i="2"/>
  <c r="AG154" i="2" s="1"/>
  <c r="K155" i="2"/>
  <c r="AG155" i="2" s="1"/>
  <c r="K156" i="2"/>
  <c r="AG156" i="2" s="1"/>
  <c r="K157" i="2"/>
  <c r="AG157" i="2" s="1"/>
  <c r="K158" i="2"/>
  <c r="AG158" i="2" s="1"/>
  <c r="K159" i="2"/>
  <c r="AG159" i="2" s="1"/>
  <c r="K160" i="2"/>
  <c r="AG160" i="2" s="1"/>
  <c r="K161" i="2"/>
  <c r="AG161" i="2" s="1"/>
  <c r="K162" i="2"/>
  <c r="AG162" i="2" s="1"/>
  <c r="K163" i="2"/>
  <c r="AG163" i="2" s="1"/>
  <c r="K164" i="2"/>
  <c r="AG164" i="2" s="1"/>
  <c r="K165" i="2"/>
  <c r="AG165" i="2" s="1"/>
  <c r="K166" i="2"/>
  <c r="AG166" i="2" s="1"/>
  <c r="K167" i="2"/>
  <c r="AG167" i="2" s="1"/>
  <c r="K168" i="2"/>
  <c r="AG168" i="2" s="1"/>
  <c r="K169" i="2"/>
  <c r="AG169" i="2" s="1"/>
  <c r="K170" i="2"/>
  <c r="AG170" i="2" s="1"/>
  <c r="K171" i="2"/>
  <c r="AG171" i="2" s="1"/>
  <c r="K172" i="2"/>
  <c r="AG172" i="2" s="1"/>
  <c r="K173" i="2"/>
  <c r="AG173" i="2" s="1"/>
  <c r="K174" i="2"/>
  <c r="AG174" i="2" s="1"/>
  <c r="K175" i="2"/>
  <c r="AG175" i="2" s="1"/>
  <c r="K176" i="2"/>
  <c r="AG176" i="2" s="1"/>
  <c r="K177" i="2"/>
  <c r="AG177" i="2" s="1"/>
  <c r="K178" i="2"/>
  <c r="AG178" i="2" s="1"/>
  <c r="K179" i="2"/>
  <c r="AG179" i="2" s="1"/>
  <c r="K180" i="2"/>
  <c r="AG180" i="2" s="1"/>
  <c r="K181" i="2"/>
  <c r="AG181" i="2" s="1"/>
  <c r="K182" i="2"/>
  <c r="AG182" i="2" s="1"/>
  <c r="K183" i="2"/>
  <c r="AG183" i="2" s="1"/>
  <c r="K184" i="2"/>
  <c r="AG184" i="2" s="1"/>
  <c r="K185" i="2"/>
  <c r="AG185" i="2" s="1"/>
  <c r="K186" i="2"/>
  <c r="AG186" i="2" s="1"/>
  <c r="K187" i="2"/>
  <c r="AG187" i="2" s="1"/>
  <c r="K188" i="2"/>
  <c r="AG188" i="2" s="1"/>
  <c r="K189" i="2"/>
  <c r="AG189" i="2" s="1"/>
  <c r="K190" i="2"/>
  <c r="AG190" i="2" s="1"/>
  <c r="K191" i="2"/>
  <c r="AG191" i="2" s="1"/>
  <c r="K192" i="2"/>
  <c r="AG192" i="2" s="1"/>
  <c r="K193" i="2"/>
  <c r="AG193" i="2" s="1"/>
  <c r="K194" i="2"/>
  <c r="AG194" i="2" s="1"/>
  <c r="K195" i="2"/>
  <c r="AG195" i="2" s="1"/>
  <c r="K196" i="2"/>
  <c r="AG196" i="2" s="1"/>
  <c r="K197" i="2"/>
  <c r="AG197" i="2" s="1"/>
  <c r="K198" i="2"/>
  <c r="AG198" i="2" s="1"/>
  <c r="K199" i="2"/>
  <c r="AG199" i="2" s="1"/>
  <c r="K200" i="2"/>
  <c r="AG200" i="2" s="1"/>
  <c r="K201" i="2"/>
  <c r="AG201" i="2" s="1"/>
  <c r="K202" i="2"/>
  <c r="AG202" i="2" s="1"/>
  <c r="K203" i="2"/>
  <c r="AG203" i="2" s="1"/>
  <c r="K204" i="2"/>
  <c r="AG204" i="2" s="1"/>
  <c r="K205" i="2"/>
  <c r="AG205" i="2" s="1"/>
  <c r="K206" i="2"/>
  <c r="AG206" i="2" s="1"/>
  <c r="K207" i="2"/>
  <c r="AG207" i="2" s="1"/>
  <c r="K208" i="2"/>
  <c r="AG208" i="2" s="1"/>
  <c r="K209" i="2"/>
  <c r="AG209" i="2" s="1"/>
  <c r="K210" i="2"/>
  <c r="AG210" i="2" s="1"/>
  <c r="K211" i="2"/>
  <c r="AG211" i="2" s="1"/>
  <c r="K212" i="2"/>
  <c r="AG212" i="2" s="1"/>
  <c r="K213" i="2"/>
  <c r="AG213" i="2" s="1"/>
  <c r="K214" i="2"/>
  <c r="AG214" i="2" s="1"/>
  <c r="K215" i="2"/>
  <c r="AG215" i="2" s="1"/>
  <c r="K216" i="2"/>
  <c r="AG216" i="2" s="1"/>
  <c r="K217" i="2"/>
  <c r="AG217" i="2" s="1"/>
  <c r="K218" i="2"/>
  <c r="AG218" i="2" s="1"/>
  <c r="K219" i="2"/>
  <c r="AG219" i="2" s="1"/>
  <c r="K220" i="2"/>
  <c r="AG220" i="2" s="1"/>
  <c r="K221" i="2"/>
  <c r="AG221" i="2" s="1"/>
  <c r="K222" i="2"/>
  <c r="AG222" i="2" s="1"/>
  <c r="K223" i="2"/>
  <c r="AG223" i="2" s="1"/>
  <c r="K224" i="2"/>
  <c r="AG224" i="2" s="1"/>
  <c r="K225" i="2"/>
  <c r="AG225" i="2" s="1"/>
  <c r="K226" i="2"/>
  <c r="AG226" i="2" s="1"/>
  <c r="K227" i="2"/>
  <c r="AG227" i="2" s="1"/>
  <c r="K228" i="2"/>
  <c r="AG228" i="2" s="1"/>
  <c r="K229" i="2"/>
  <c r="AG229" i="2" s="1"/>
  <c r="K230" i="2"/>
  <c r="AG230" i="2" s="1"/>
  <c r="K231" i="2"/>
  <c r="AG231" i="2" s="1"/>
  <c r="K232" i="2"/>
  <c r="AG232" i="2" s="1"/>
  <c r="K233" i="2"/>
  <c r="AG233" i="2" s="1"/>
  <c r="K234" i="2"/>
  <c r="AG234" i="2" s="1"/>
  <c r="K235" i="2"/>
  <c r="AG235" i="2" s="1"/>
  <c r="K236" i="2"/>
  <c r="AG236" i="2" s="1"/>
  <c r="K237" i="2"/>
  <c r="AG237" i="2" s="1"/>
  <c r="K238" i="2"/>
  <c r="AG238" i="2" s="1"/>
  <c r="K239" i="2"/>
  <c r="AG239" i="2" s="1"/>
  <c r="K240" i="2"/>
  <c r="AG240" i="2" s="1"/>
  <c r="K241" i="2"/>
  <c r="AG241" i="2" s="1"/>
  <c r="K242" i="2"/>
  <c r="AG242" i="2" s="1"/>
  <c r="K243" i="2"/>
  <c r="AG243" i="2" s="1"/>
  <c r="K244" i="2"/>
  <c r="AG244" i="2" s="1"/>
  <c r="K245" i="2"/>
  <c r="AG245" i="2" s="1"/>
  <c r="K246" i="2"/>
  <c r="AG246" i="2" s="1"/>
  <c r="K247" i="2"/>
  <c r="AG247" i="2" s="1"/>
  <c r="K248" i="2"/>
  <c r="AG248" i="2" s="1"/>
  <c r="K249" i="2"/>
  <c r="AG249" i="2" s="1"/>
  <c r="K250" i="2"/>
  <c r="AG250" i="2" s="1"/>
  <c r="K251" i="2"/>
  <c r="AG251" i="2" s="1"/>
  <c r="K252" i="2"/>
  <c r="AG252" i="2" s="1"/>
  <c r="K253" i="2"/>
  <c r="AG253" i="2" s="1"/>
  <c r="K254" i="2"/>
  <c r="AG254" i="2" s="1"/>
  <c r="K255" i="2"/>
  <c r="AG255" i="2" s="1"/>
  <c r="K256" i="2"/>
  <c r="AG256" i="2" s="1"/>
  <c r="K257" i="2"/>
  <c r="AG257" i="2" s="1"/>
  <c r="K258" i="2"/>
  <c r="AG258" i="2" s="1"/>
  <c r="K259" i="2"/>
  <c r="AG259" i="2" s="1"/>
  <c r="K260" i="2"/>
  <c r="AG260" i="2" s="1"/>
  <c r="K261" i="2"/>
  <c r="AG261" i="2" s="1"/>
  <c r="K262" i="2"/>
  <c r="AG262" i="2" s="1"/>
  <c r="K263" i="2"/>
  <c r="AG263" i="2" s="1"/>
  <c r="K264" i="2"/>
  <c r="AG264" i="2" s="1"/>
  <c r="K265" i="2"/>
  <c r="AG265" i="2" s="1"/>
  <c r="K266" i="2"/>
  <c r="AG266" i="2" s="1"/>
  <c r="K267" i="2"/>
  <c r="AG267" i="2" s="1"/>
  <c r="K268" i="2"/>
  <c r="AG268" i="2" s="1"/>
  <c r="K269" i="2"/>
  <c r="AG269" i="2" s="1"/>
  <c r="K270" i="2"/>
  <c r="AG270" i="2" s="1"/>
  <c r="K271" i="2"/>
  <c r="AG271" i="2" s="1"/>
  <c r="K272" i="2"/>
  <c r="AG272" i="2" s="1"/>
  <c r="K273" i="2"/>
  <c r="AG273" i="2" s="1"/>
  <c r="K274" i="2"/>
  <c r="AG274" i="2" s="1"/>
  <c r="K275" i="2"/>
  <c r="AG275" i="2" s="1"/>
  <c r="K276" i="2"/>
  <c r="AG276" i="2" s="1"/>
  <c r="K277" i="2"/>
  <c r="AG277" i="2" s="1"/>
  <c r="K278" i="2"/>
  <c r="AG278" i="2" s="1"/>
  <c r="K279" i="2"/>
  <c r="AG279" i="2" s="1"/>
  <c r="K280" i="2"/>
  <c r="AG280" i="2" s="1"/>
  <c r="K281" i="2"/>
  <c r="AG281" i="2" s="1"/>
  <c r="K282" i="2"/>
  <c r="AG282" i="2" s="1"/>
  <c r="K283" i="2"/>
  <c r="AG283" i="2" s="1"/>
  <c r="K284" i="2"/>
  <c r="AG284" i="2" s="1"/>
  <c r="K285" i="2"/>
  <c r="AG285" i="2" s="1"/>
  <c r="K286" i="2"/>
  <c r="AG286" i="2" s="1"/>
  <c r="K287" i="2"/>
  <c r="AG287" i="2" s="1"/>
  <c r="K288" i="2"/>
  <c r="AG288" i="2" s="1"/>
  <c r="K289" i="2"/>
  <c r="AG289" i="2" s="1"/>
  <c r="K290" i="2"/>
  <c r="AG290" i="2" s="1"/>
  <c r="K291" i="2"/>
  <c r="AG291" i="2" s="1"/>
  <c r="K292" i="2"/>
  <c r="AG292" i="2" s="1"/>
  <c r="K293" i="2"/>
  <c r="AG293" i="2" s="1"/>
  <c r="K294" i="2"/>
  <c r="AG294" i="2" s="1"/>
  <c r="K295" i="2"/>
  <c r="AG295" i="2" s="1"/>
  <c r="K296" i="2"/>
  <c r="AG296" i="2" s="1"/>
  <c r="K297" i="2"/>
  <c r="AG297" i="2" s="1"/>
  <c r="K298" i="2"/>
  <c r="AG298" i="2" s="1"/>
  <c r="K299" i="2"/>
  <c r="AG299" i="2" s="1"/>
  <c r="K300" i="2"/>
  <c r="AG300" i="2" s="1"/>
  <c r="K301" i="2"/>
  <c r="AG301" i="2" s="1"/>
  <c r="K302" i="2"/>
  <c r="AG302" i="2" s="1"/>
  <c r="K303" i="2"/>
  <c r="AG303" i="2" s="1"/>
  <c r="K304" i="2"/>
  <c r="AG304" i="2" s="1"/>
  <c r="K305" i="2"/>
  <c r="AG305" i="2" s="1"/>
  <c r="K306" i="2"/>
  <c r="AG306" i="2" s="1"/>
  <c r="K307" i="2"/>
  <c r="AG307" i="2" s="1"/>
  <c r="K308" i="2"/>
  <c r="AG308" i="2" s="1"/>
  <c r="K309" i="2"/>
  <c r="AG309" i="2" s="1"/>
  <c r="K310" i="2"/>
  <c r="AG310" i="2" s="1"/>
  <c r="K311" i="2"/>
  <c r="AG311" i="2" s="1"/>
  <c r="K312" i="2"/>
  <c r="AG312" i="2" s="1"/>
  <c r="K313" i="2"/>
  <c r="AG313" i="2" s="1"/>
  <c r="K314" i="2"/>
  <c r="AG314" i="2" s="1"/>
  <c r="K315" i="2"/>
  <c r="AG315" i="2" s="1"/>
  <c r="K316" i="2"/>
  <c r="AG316" i="2" s="1"/>
  <c r="K317" i="2"/>
  <c r="AG317" i="2" s="1"/>
  <c r="K318" i="2"/>
  <c r="AG318" i="2" s="1"/>
  <c r="K319" i="2"/>
  <c r="AG319" i="2" s="1"/>
  <c r="K320" i="2"/>
  <c r="AG320" i="2" s="1"/>
  <c r="K321" i="2"/>
  <c r="AG321" i="2" s="1"/>
  <c r="K322" i="2"/>
  <c r="AG322" i="2" s="1"/>
  <c r="K323" i="2"/>
  <c r="AG323" i="2" s="1"/>
  <c r="K324" i="2"/>
  <c r="AG324" i="2" s="1"/>
  <c r="K325" i="2"/>
  <c r="AG325" i="2" s="1"/>
  <c r="K326" i="2"/>
  <c r="AG326" i="2" s="1"/>
  <c r="K327" i="2"/>
  <c r="AG327" i="2" s="1"/>
  <c r="K328" i="2"/>
  <c r="AG328" i="2" s="1"/>
  <c r="K329" i="2"/>
  <c r="AG329" i="2" s="1"/>
  <c r="K330" i="2"/>
  <c r="AG330" i="2" s="1"/>
  <c r="K331" i="2"/>
  <c r="AG331" i="2" s="1"/>
  <c r="K332" i="2"/>
  <c r="AG332" i="2" s="1"/>
  <c r="K333" i="2"/>
  <c r="AG333" i="2" s="1"/>
  <c r="K334" i="2"/>
  <c r="AG334" i="2" s="1"/>
  <c r="K335" i="2"/>
  <c r="AG335" i="2" s="1"/>
  <c r="K336" i="2"/>
  <c r="AG336" i="2" s="1"/>
  <c r="K337" i="2"/>
  <c r="AG337" i="2" s="1"/>
  <c r="K338" i="2"/>
  <c r="AG338" i="2" s="1"/>
  <c r="K339" i="2"/>
  <c r="AG339" i="2" s="1"/>
  <c r="K340" i="2"/>
  <c r="AG340" i="2" s="1"/>
  <c r="K341" i="2"/>
  <c r="AG341" i="2" s="1"/>
  <c r="K342" i="2"/>
  <c r="AG342" i="2" s="1"/>
  <c r="K343" i="2"/>
  <c r="AG343" i="2" s="1"/>
  <c r="K344" i="2"/>
  <c r="AG344" i="2" s="1"/>
  <c r="K345" i="2"/>
  <c r="AG345" i="2" s="1"/>
  <c r="K346" i="2"/>
  <c r="AG346" i="2" s="1"/>
  <c r="K347" i="2"/>
  <c r="AG347" i="2" s="1"/>
  <c r="K348" i="2"/>
  <c r="AG348" i="2" s="1"/>
  <c r="K349" i="2"/>
  <c r="AG349" i="2" s="1"/>
  <c r="K350" i="2"/>
  <c r="AG350" i="2" s="1"/>
  <c r="K351" i="2"/>
  <c r="AG351" i="2" s="1"/>
  <c r="K352" i="2"/>
  <c r="AG352" i="2" s="1"/>
  <c r="K353" i="2"/>
  <c r="AG353" i="2" s="1"/>
  <c r="K354" i="2"/>
  <c r="AG354" i="2" s="1"/>
  <c r="K355" i="2"/>
  <c r="AG355" i="2" s="1"/>
  <c r="K356" i="2"/>
  <c r="AG356" i="2" s="1"/>
  <c r="K357" i="2"/>
  <c r="AG357" i="2" s="1"/>
  <c r="K358" i="2"/>
  <c r="AG358" i="2" s="1"/>
  <c r="K359" i="2"/>
  <c r="AG359" i="2" s="1"/>
  <c r="K360" i="2"/>
  <c r="AG360" i="2" s="1"/>
  <c r="K361" i="2"/>
  <c r="AG361" i="2" s="1"/>
  <c r="K362" i="2"/>
  <c r="AG362" i="2" s="1"/>
  <c r="K363" i="2"/>
  <c r="AG363" i="2" s="1"/>
  <c r="K364" i="2"/>
  <c r="AG364" i="2" s="1"/>
  <c r="K365" i="2"/>
  <c r="AG365" i="2" s="1"/>
  <c r="K366" i="2"/>
  <c r="AG366" i="2" s="1"/>
  <c r="K367" i="2"/>
  <c r="AG367" i="2" s="1"/>
  <c r="K368" i="2"/>
  <c r="AG368" i="2" s="1"/>
  <c r="K369" i="2"/>
  <c r="AG369" i="2" s="1"/>
  <c r="K370" i="2"/>
  <c r="AG370" i="2" s="1"/>
  <c r="K371" i="2"/>
  <c r="AG371" i="2" s="1"/>
  <c r="K372" i="2"/>
  <c r="AG372" i="2" s="1"/>
  <c r="K373" i="2"/>
  <c r="AG373" i="2" s="1"/>
  <c r="K374" i="2"/>
  <c r="AG374" i="2" s="1"/>
  <c r="K375" i="2"/>
  <c r="AG375" i="2" s="1"/>
  <c r="K376" i="2"/>
  <c r="AG376" i="2" s="1"/>
  <c r="K377" i="2"/>
  <c r="AG377" i="2" s="1"/>
  <c r="K378" i="2"/>
  <c r="AG378" i="2" s="1"/>
  <c r="K379" i="2"/>
  <c r="AG379" i="2" s="1"/>
  <c r="K380" i="2"/>
  <c r="AG380" i="2" s="1"/>
  <c r="K381" i="2"/>
  <c r="AG381" i="2" s="1"/>
  <c r="K382" i="2"/>
  <c r="AG382" i="2" s="1"/>
  <c r="K383" i="2"/>
  <c r="AG383" i="2" s="1"/>
  <c r="K384" i="2"/>
  <c r="AG384" i="2" s="1"/>
  <c r="K385" i="2"/>
  <c r="AG385" i="2" s="1"/>
  <c r="K386" i="2"/>
  <c r="AG386" i="2" s="1"/>
  <c r="K387" i="2"/>
  <c r="AG387" i="2" s="1"/>
  <c r="K388" i="2"/>
  <c r="AG388" i="2" s="1"/>
  <c r="K389" i="2"/>
  <c r="AG389" i="2" s="1"/>
  <c r="K390" i="2"/>
  <c r="AG390" i="2" s="1"/>
  <c r="K391" i="2"/>
  <c r="AG391" i="2" s="1"/>
  <c r="K392" i="2"/>
  <c r="AG392" i="2" s="1"/>
  <c r="K393" i="2"/>
  <c r="AG393" i="2" s="1"/>
  <c r="K394" i="2"/>
  <c r="AG394" i="2" s="1"/>
  <c r="K395" i="2"/>
  <c r="AG395" i="2" s="1"/>
  <c r="K396" i="2"/>
  <c r="AG396" i="2" s="1"/>
  <c r="K397" i="2"/>
  <c r="AG397" i="2" s="1"/>
  <c r="K398" i="2"/>
  <c r="AG398" i="2" s="1"/>
  <c r="K399" i="2"/>
  <c r="AG399" i="2" s="1"/>
  <c r="K400" i="2"/>
  <c r="AG400" i="2" s="1"/>
  <c r="K401" i="2"/>
  <c r="AG401" i="2" s="1"/>
  <c r="K402" i="2"/>
  <c r="AG402" i="2" s="1"/>
  <c r="K403" i="2"/>
  <c r="AG403" i="2" s="1"/>
  <c r="K404" i="2"/>
  <c r="AG404" i="2" s="1"/>
  <c r="K405" i="2"/>
  <c r="AG405" i="2" s="1"/>
  <c r="K406" i="2"/>
  <c r="AG406" i="2" s="1"/>
  <c r="K407" i="2"/>
  <c r="AG407" i="2" s="1"/>
  <c r="K408" i="2"/>
  <c r="AG408" i="2" s="1"/>
  <c r="K409" i="2"/>
  <c r="AG409" i="2" s="1"/>
  <c r="L2" i="2"/>
  <c r="L17" i="2"/>
  <c r="L32" i="2"/>
  <c r="L47" i="2"/>
  <c r="AJ92" i="2"/>
  <c r="AJ107" i="2"/>
  <c r="L122" i="2"/>
  <c r="AJ122" i="2" s="1"/>
  <c r="L123" i="2"/>
  <c r="AJ123" i="2" s="1"/>
  <c r="L124" i="2"/>
  <c r="AJ124" i="2" s="1"/>
  <c r="L125" i="2"/>
  <c r="AJ125" i="2" s="1"/>
  <c r="L126" i="2"/>
  <c r="AJ126" i="2" s="1"/>
  <c r="L127" i="2"/>
  <c r="AJ127" i="2" s="1"/>
  <c r="L128" i="2"/>
  <c r="AJ128" i="2" s="1"/>
  <c r="L129" i="2"/>
  <c r="AJ129" i="2" s="1"/>
  <c r="L130" i="2"/>
  <c r="AJ130" i="2" s="1"/>
  <c r="L131" i="2"/>
  <c r="AJ131" i="2" s="1"/>
  <c r="L132" i="2"/>
  <c r="AJ132" i="2" s="1"/>
  <c r="L133" i="2"/>
  <c r="AJ133" i="2" s="1"/>
  <c r="L134" i="2"/>
  <c r="AJ134" i="2" s="1"/>
  <c r="L135" i="2"/>
  <c r="AJ135" i="2" s="1"/>
  <c r="L136" i="2"/>
  <c r="AJ136" i="2" s="1"/>
  <c r="L137" i="2"/>
  <c r="AJ137" i="2" s="1"/>
  <c r="L138" i="2"/>
  <c r="AJ138" i="2" s="1"/>
  <c r="L139" i="2"/>
  <c r="AJ139" i="2" s="1"/>
  <c r="L140" i="2"/>
  <c r="AJ140" i="2" s="1"/>
  <c r="L141" i="2"/>
  <c r="AJ141" i="2" s="1"/>
  <c r="L142" i="2"/>
  <c r="AJ142" i="2" s="1"/>
  <c r="L143" i="2"/>
  <c r="AJ143" i="2" s="1"/>
  <c r="L144" i="2"/>
  <c r="AJ144" i="2" s="1"/>
  <c r="L145" i="2"/>
  <c r="AJ145" i="2" s="1"/>
  <c r="L146" i="2"/>
  <c r="AJ146" i="2" s="1"/>
  <c r="L147" i="2"/>
  <c r="AJ147" i="2" s="1"/>
  <c r="L148" i="2"/>
  <c r="AJ148" i="2" s="1"/>
  <c r="L149" i="2"/>
  <c r="AJ149" i="2" s="1"/>
  <c r="L150" i="2"/>
  <c r="AJ150" i="2" s="1"/>
  <c r="L151" i="2"/>
  <c r="AJ151" i="2" s="1"/>
  <c r="L152" i="2"/>
  <c r="AJ152" i="2" s="1"/>
  <c r="L153" i="2"/>
  <c r="AJ153" i="2" s="1"/>
  <c r="L154" i="2"/>
  <c r="AJ154" i="2" s="1"/>
  <c r="L155" i="2"/>
  <c r="AJ155" i="2" s="1"/>
  <c r="L156" i="2"/>
  <c r="AJ156" i="2" s="1"/>
  <c r="L157" i="2"/>
  <c r="AJ157" i="2" s="1"/>
  <c r="L158" i="2"/>
  <c r="AJ158" i="2" s="1"/>
  <c r="L159" i="2"/>
  <c r="AJ159" i="2" s="1"/>
  <c r="L160" i="2"/>
  <c r="AJ160" i="2" s="1"/>
  <c r="L161" i="2"/>
  <c r="AJ161" i="2" s="1"/>
  <c r="L162" i="2"/>
  <c r="AJ162" i="2" s="1"/>
  <c r="L163" i="2"/>
  <c r="AJ163" i="2" s="1"/>
  <c r="L164" i="2"/>
  <c r="AJ164" i="2" s="1"/>
  <c r="L165" i="2"/>
  <c r="AJ165" i="2" s="1"/>
  <c r="L166" i="2"/>
  <c r="AJ166" i="2" s="1"/>
  <c r="L167" i="2"/>
  <c r="AJ167" i="2" s="1"/>
  <c r="L168" i="2"/>
  <c r="AJ168" i="2" s="1"/>
  <c r="L169" i="2"/>
  <c r="AJ169" i="2" s="1"/>
  <c r="L170" i="2"/>
  <c r="AJ170" i="2" s="1"/>
  <c r="L171" i="2"/>
  <c r="AJ171" i="2" s="1"/>
  <c r="L172" i="2"/>
  <c r="AJ172" i="2" s="1"/>
  <c r="L173" i="2"/>
  <c r="AJ173" i="2" s="1"/>
  <c r="L174" i="2"/>
  <c r="AJ174" i="2" s="1"/>
  <c r="L175" i="2"/>
  <c r="AJ175" i="2" s="1"/>
  <c r="L176" i="2"/>
  <c r="AJ176" i="2" s="1"/>
  <c r="L177" i="2"/>
  <c r="AJ177" i="2" s="1"/>
  <c r="L178" i="2"/>
  <c r="AJ178" i="2" s="1"/>
  <c r="L179" i="2"/>
  <c r="AJ179" i="2" s="1"/>
  <c r="L180" i="2"/>
  <c r="AJ180" i="2" s="1"/>
  <c r="L181" i="2"/>
  <c r="AJ181" i="2" s="1"/>
  <c r="L182" i="2"/>
  <c r="AJ182" i="2" s="1"/>
  <c r="L183" i="2"/>
  <c r="AJ183" i="2" s="1"/>
  <c r="L184" i="2"/>
  <c r="AJ184" i="2" s="1"/>
  <c r="L185" i="2"/>
  <c r="AJ185" i="2" s="1"/>
  <c r="L186" i="2"/>
  <c r="AJ186" i="2" s="1"/>
  <c r="L187" i="2"/>
  <c r="AJ187" i="2" s="1"/>
  <c r="L188" i="2"/>
  <c r="AJ188" i="2" s="1"/>
  <c r="L189" i="2"/>
  <c r="AJ189" i="2" s="1"/>
  <c r="L190" i="2"/>
  <c r="AJ190" i="2" s="1"/>
  <c r="L191" i="2"/>
  <c r="AJ191" i="2" s="1"/>
  <c r="L192" i="2"/>
  <c r="AJ192" i="2" s="1"/>
  <c r="L193" i="2"/>
  <c r="AJ193" i="2" s="1"/>
  <c r="L194" i="2"/>
  <c r="AJ194" i="2" s="1"/>
  <c r="L195" i="2"/>
  <c r="AJ195" i="2" s="1"/>
  <c r="L196" i="2"/>
  <c r="AJ196" i="2" s="1"/>
  <c r="L197" i="2"/>
  <c r="AJ197" i="2" s="1"/>
  <c r="L198" i="2"/>
  <c r="AJ198" i="2" s="1"/>
  <c r="L199" i="2"/>
  <c r="AJ199" i="2" s="1"/>
  <c r="L200" i="2"/>
  <c r="AJ200" i="2" s="1"/>
  <c r="L201" i="2"/>
  <c r="AJ201" i="2" s="1"/>
  <c r="L202" i="2"/>
  <c r="AJ202" i="2" s="1"/>
  <c r="L203" i="2"/>
  <c r="AJ203" i="2" s="1"/>
  <c r="L204" i="2"/>
  <c r="AJ204" i="2" s="1"/>
  <c r="L205" i="2"/>
  <c r="AJ205" i="2" s="1"/>
  <c r="L206" i="2"/>
  <c r="AJ206" i="2" s="1"/>
  <c r="L207" i="2"/>
  <c r="AJ207" i="2" s="1"/>
  <c r="L208" i="2"/>
  <c r="AJ208" i="2" s="1"/>
  <c r="L209" i="2"/>
  <c r="AJ209" i="2" s="1"/>
  <c r="L210" i="2"/>
  <c r="AJ210" i="2" s="1"/>
  <c r="L211" i="2"/>
  <c r="AJ211" i="2" s="1"/>
  <c r="L212" i="2"/>
  <c r="AJ212" i="2" s="1"/>
  <c r="L213" i="2"/>
  <c r="AJ213" i="2" s="1"/>
  <c r="L214" i="2"/>
  <c r="AJ214" i="2" s="1"/>
  <c r="L215" i="2"/>
  <c r="AJ215" i="2" s="1"/>
  <c r="L216" i="2"/>
  <c r="AJ216" i="2" s="1"/>
  <c r="L217" i="2"/>
  <c r="AJ217" i="2" s="1"/>
  <c r="L218" i="2"/>
  <c r="AJ218" i="2" s="1"/>
  <c r="L219" i="2"/>
  <c r="AJ219" i="2" s="1"/>
  <c r="L220" i="2"/>
  <c r="AJ220" i="2" s="1"/>
  <c r="L221" i="2"/>
  <c r="AJ221" i="2" s="1"/>
  <c r="L222" i="2"/>
  <c r="AJ222" i="2" s="1"/>
  <c r="L223" i="2"/>
  <c r="AJ223" i="2" s="1"/>
  <c r="L224" i="2"/>
  <c r="AJ224" i="2" s="1"/>
  <c r="L225" i="2"/>
  <c r="AJ225" i="2" s="1"/>
  <c r="L226" i="2"/>
  <c r="AJ226" i="2" s="1"/>
  <c r="L227" i="2"/>
  <c r="AJ227" i="2" s="1"/>
  <c r="L228" i="2"/>
  <c r="AJ228" i="2" s="1"/>
  <c r="L229" i="2"/>
  <c r="AJ229" i="2" s="1"/>
  <c r="L230" i="2"/>
  <c r="AJ230" i="2" s="1"/>
  <c r="L231" i="2"/>
  <c r="AJ231" i="2" s="1"/>
  <c r="L232" i="2"/>
  <c r="AJ232" i="2" s="1"/>
  <c r="L233" i="2"/>
  <c r="AJ233" i="2" s="1"/>
  <c r="L234" i="2"/>
  <c r="AJ234" i="2" s="1"/>
  <c r="L235" i="2"/>
  <c r="AJ235" i="2" s="1"/>
  <c r="L236" i="2"/>
  <c r="AJ236" i="2" s="1"/>
  <c r="L237" i="2"/>
  <c r="AJ237" i="2" s="1"/>
  <c r="L238" i="2"/>
  <c r="AJ238" i="2" s="1"/>
  <c r="L239" i="2"/>
  <c r="AJ239" i="2" s="1"/>
  <c r="L240" i="2"/>
  <c r="AJ240" i="2" s="1"/>
  <c r="L241" i="2"/>
  <c r="AJ241" i="2" s="1"/>
  <c r="L242" i="2"/>
  <c r="AJ242" i="2" s="1"/>
  <c r="L243" i="2"/>
  <c r="AJ243" i="2" s="1"/>
  <c r="L244" i="2"/>
  <c r="AJ244" i="2" s="1"/>
  <c r="L245" i="2"/>
  <c r="AJ245" i="2" s="1"/>
  <c r="L246" i="2"/>
  <c r="AJ246" i="2" s="1"/>
  <c r="L247" i="2"/>
  <c r="AJ247" i="2" s="1"/>
  <c r="L248" i="2"/>
  <c r="AJ248" i="2" s="1"/>
  <c r="L249" i="2"/>
  <c r="AJ249" i="2" s="1"/>
  <c r="L250" i="2"/>
  <c r="AJ250" i="2" s="1"/>
  <c r="L251" i="2"/>
  <c r="AJ251" i="2" s="1"/>
  <c r="L252" i="2"/>
  <c r="AJ252" i="2" s="1"/>
  <c r="L253" i="2"/>
  <c r="AJ253" i="2" s="1"/>
  <c r="L254" i="2"/>
  <c r="AJ254" i="2" s="1"/>
  <c r="L255" i="2"/>
  <c r="AJ255" i="2" s="1"/>
  <c r="L256" i="2"/>
  <c r="AJ256" i="2" s="1"/>
  <c r="L257" i="2"/>
  <c r="AJ257" i="2" s="1"/>
  <c r="L258" i="2"/>
  <c r="AJ258" i="2" s="1"/>
  <c r="L259" i="2"/>
  <c r="AJ259" i="2" s="1"/>
  <c r="L260" i="2"/>
  <c r="AJ260" i="2" s="1"/>
  <c r="L261" i="2"/>
  <c r="AJ261" i="2" s="1"/>
  <c r="L262" i="2"/>
  <c r="AJ262" i="2" s="1"/>
  <c r="L263" i="2"/>
  <c r="AJ263" i="2" s="1"/>
  <c r="L264" i="2"/>
  <c r="AJ264" i="2" s="1"/>
  <c r="L265" i="2"/>
  <c r="AJ265" i="2" s="1"/>
  <c r="L266" i="2"/>
  <c r="AJ266" i="2" s="1"/>
  <c r="L267" i="2"/>
  <c r="AJ267" i="2" s="1"/>
  <c r="L268" i="2"/>
  <c r="AJ268" i="2" s="1"/>
  <c r="L269" i="2"/>
  <c r="AJ269" i="2" s="1"/>
  <c r="L270" i="2"/>
  <c r="AJ270" i="2" s="1"/>
  <c r="L271" i="2"/>
  <c r="AJ271" i="2" s="1"/>
  <c r="L272" i="2"/>
  <c r="AJ272" i="2" s="1"/>
  <c r="L273" i="2"/>
  <c r="AJ273" i="2" s="1"/>
  <c r="L274" i="2"/>
  <c r="AJ274" i="2" s="1"/>
  <c r="L275" i="2"/>
  <c r="AJ275" i="2" s="1"/>
  <c r="L276" i="2"/>
  <c r="AJ276" i="2" s="1"/>
  <c r="L277" i="2"/>
  <c r="AJ277" i="2" s="1"/>
  <c r="L278" i="2"/>
  <c r="AJ278" i="2" s="1"/>
  <c r="L279" i="2"/>
  <c r="AJ279" i="2" s="1"/>
  <c r="L280" i="2"/>
  <c r="AJ280" i="2" s="1"/>
  <c r="L281" i="2"/>
  <c r="AJ281" i="2" s="1"/>
  <c r="L282" i="2"/>
  <c r="AJ282" i="2" s="1"/>
  <c r="L283" i="2"/>
  <c r="AJ283" i="2" s="1"/>
  <c r="L284" i="2"/>
  <c r="AJ284" i="2" s="1"/>
  <c r="L285" i="2"/>
  <c r="AJ285" i="2" s="1"/>
  <c r="L286" i="2"/>
  <c r="AJ286" i="2" s="1"/>
  <c r="L287" i="2"/>
  <c r="AJ287" i="2" s="1"/>
  <c r="L288" i="2"/>
  <c r="AJ288" i="2" s="1"/>
  <c r="L289" i="2"/>
  <c r="AJ289" i="2" s="1"/>
  <c r="L290" i="2"/>
  <c r="AJ290" i="2" s="1"/>
  <c r="L291" i="2"/>
  <c r="AJ291" i="2" s="1"/>
  <c r="L292" i="2"/>
  <c r="AJ292" i="2" s="1"/>
  <c r="L293" i="2"/>
  <c r="AJ293" i="2" s="1"/>
  <c r="L294" i="2"/>
  <c r="AJ294" i="2" s="1"/>
  <c r="L295" i="2"/>
  <c r="AJ295" i="2" s="1"/>
  <c r="L296" i="2"/>
  <c r="AJ296" i="2" s="1"/>
  <c r="L297" i="2"/>
  <c r="AJ297" i="2" s="1"/>
  <c r="L298" i="2"/>
  <c r="AJ298" i="2" s="1"/>
  <c r="L299" i="2"/>
  <c r="AJ299" i="2" s="1"/>
  <c r="L300" i="2"/>
  <c r="AJ300" i="2" s="1"/>
  <c r="L301" i="2"/>
  <c r="AJ301" i="2" s="1"/>
  <c r="L302" i="2"/>
  <c r="AJ302" i="2" s="1"/>
  <c r="L303" i="2"/>
  <c r="AJ303" i="2" s="1"/>
  <c r="L304" i="2"/>
  <c r="AJ304" i="2" s="1"/>
  <c r="L305" i="2"/>
  <c r="AJ305" i="2" s="1"/>
  <c r="L306" i="2"/>
  <c r="AJ306" i="2" s="1"/>
  <c r="L307" i="2"/>
  <c r="AJ307" i="2" s="1"/>
  <c r="L308" i="2"/>
  <c r="AJ308" i="2" s="1"/>
  <c r="L309" i="2"/>
  <c r="AJ309" i="2" s="1"/>
  <c r="L310" i="2"/>
  <c r="AJ310" i="2" s="1"/>
  <c r="L311" i="2"/>
  <c r="AJ311" i="2" s="1"/>
  <c r="L312" i="2"/>
  <c r="AJ312" i="2" s="1"/>
  <c r="L313" i="2"/>
  <c r="AJ313" i="2" s="1"/>
  <c r="L314" i="2"/>
  <c r="AJ314" i="2" s="1"/>
  <c r="L315" i="2"/>
  <c r="AJ315" i="2" s="1"/>
  <c r="L316" i="2"/>
  <c r="AJ316" i="2" s="1"/>
  <c r="L317" i="2"/>
  <c r="AJ317" i="2" s="1"/>
  <c r="L318" i="2"/>
  <c r="AJ318" i="2" s="1"/>
  <c r="L319" i="2"/>
  <c r="AJ319" i="2" s="1"/>
  <c r="L320" i="2"/>
  <c r="AJ320" i="2" s="1"/>
  <c r="L321" i="2"/>
  <c r="AJ321" i="2" s="1"/>
  <c r="L322" i="2"/>
  <c r="AJ322" i="2" s="1"/>
  <c r="L323" i="2"/>
  <c r="AJ323" i="2" s="1"/>
  <c r="L324" i="2"/>
  <c r="AJ324" i="2" s="1"/>
  <c r="L325" i="2"/>
  <c r="AJ325" i="2" s="1"/>
  <c r="L326" i="2"/>
  <c r="AJ326" i="2" s="1"/>
  <c r="L327" i="2"/>
  <c r="AJ327" i="2" s="1"/>
  <c r="L328" i="2"/>
  <c r="AJ328" i="2" s="1"/>
  <c r="L329" i="2"/>
  <c r="AJ329" i="2" s="1"/>
  <c r="L330" i="2"/>
  <c r="AJ330" i="2" s="1"/>
  <c r="L331" i="2"/>
  <c r="AJ331" i="2" s="1"/>
  <c r="L332" i="2"/>
  <c r="AJ332" i="2" s="1"/>
  <c r="L333" i="2"/>
  <c r="AJ333" i="2" s="1"/>
  <c r="L334" i="2"/>
  <c r="AJ334" i="2" s="1"/>
  <c r="L335" i="2"/>
  <c r="AJ335" i="2" s="1"/>
  <c r="L336" i="2"/>
  <c r="AJ336" i="2" s="1"/>
  <c r="L337" i="2"/>
  <c r="AJ337" i="2" s="1"/>
  <c r="L338" i="2"/>
  <c r="AJ338" i="2" s="1"/>
  <c r="L339" i="2"/>
  <c r="AJ339" i="2" s="1"/>
  <c r="L340" i="2"/>
  <c r="AJ340" i="2" s="1"/>
  <c r="L341" i="2"/>
  <c r="AJ341" i="2" s="1"/>
  <c r="L342" i="2"/>
  <c r="AJ342" i="2" s="1"/>
  <c r="L343" i="2"/>
  <c r="AJ343" i="2" s="1"/>
  <c r="L344" i="2"/>
  <c r="AJ344" i="2" s="1"/>
  <c r="L345" i="2"/>
  <c r="AJ345" i="2" s="1"/>
  <c r="L346" i="2"/>
  <c r="AJ346" i="2" s="1"/>
  <c r="L347" i="2"/>
  <c r="AJ347" i="2" s="1"/>
  <c r="L348" i="2"/>
  <c r="AJ348" i="2" s="1"/>
  <c r="L349" i="2"/>
  <c r="AJ349" i="2" s="1"/>
  <c r="L350" i="2"/>
  <c r="AJ350" i="2" s="1"/>
  <c r="L351" i="2"/>
  <c r="AJ351" i="2" s="1"/>
  <c r="L352" i="2"/>
  <c r="AJ352" i="2" s="1"/>
  <c r="L353" i="2"/>
  <c r="AJ353" i="2" s="1"/>
  <c r="L354" i="2"/>
  <c r="AJ354" i="2" s="1"/>
  <c r="L355" i="2"/>
  <c r="AJ355" i="2" s="1"/>
  <c r="L356" i="2"/>
  <c r="AJ356" i="2" s="1"/>
  <c r="L357" i="2"/>
  <c r="AJ357" i="2" s="1"/>
  <c r="L358" i="2"/>
  <c r="AJ358" i="2" s="1"/>
  <c r="L359" i="2"/>
  <c r="AJ359" i="2" s="1"/>
  <c r="L360" i="2"/>
  <c r="AJ360" i="2" s="1"/>
  <c r="L361" i="2"/>
  <c r="AJ361" i="2" s="1"/>
  <c r="L362" i="2"/>
  <c r="AJ362" i="2" s="1"/>
  <c r="L363" i="2"/>
  <c r="AJ363" i="2" s="1"/>
  <c r="L364" i="2"/>
  <c r="AJ364" i="2" s="1"/>
  <c r="L365" i="2"/>
  <c r="AJ365" i="2" s="1"/>
  <c r="L366" i="2"/>
  <c r="AJ366" i="2" s="1"/>
  <c r="L367" i="2"/>
  <c r="AJ367" i="2" s="1"/>
  <c r="L368" i="2"/>
  <c r="AJ368" i="2" s="1"/>
  <c r="L369" i="2"/>
  <c r="AJ369" i="2" s="1"/>
  <c r="L370" i="2"/>
  <c r="AJ370" i="2" s="1"/>
  <c r="L371" i="2"/>
  <c r="AJ371" i="2" s="1"/>
  <c r="L372" i="2"/>
  <c r="AJ372" i="2" s="1"/>
  <c r="L373" i="2"/>
  <c r="AJ373" i="2" s="1"/>
  <c r="L374" i="2"/>
  <c r="AJ374" i="2" s="1"/>
  <c r="L375" i="2"/>
  <c r="AJ375" i="2" s="1"/>
  <c r="L376" i="2"/>
  <c r="AJ376" i="2" s="1"/>
  <c r="L377" i="2"/>
  <c r="AJ377" i="2" s="1"/>
  <c r="L378" i="2"/>
  <c r="AJ378" i="2" s="1"/>
  <c r="L379" i="2"/>
  <c r="AJ379" i="2" s="1"/>
  <c r="L380" i="2"/>
  <c r="AJ380" i="2" s="1"/>
  <c r="L381" i="2"/>
  <c r="AJ381" i="2" s="1"/>
  <c r="L382" i="2"/>
  <c r="AJ382" i="2" s="1"/>
  <c r="L383" i="2"/>
  <c r="AJ383" i="2" s="1"/>
  <c r="L384" i="2"/>
  <c r="AJ384" i="2" s="1"/>
  <c r="L385" i="2"/>
  <c r="AJ385" i="2" s="1"/>
  <c r="L386" i="2"/>
  <c r="AJ386" i="2" s="1"/>
  <c r="L387" i="2"/>
  <c r="AJ387" i="2" s="1"/>
  <c r="L388" i="2"/>
  <c r="AJ388" i="2" s="1"/>
  <c r="L389" i="2"/>
  <c r="AJ389" i="2" s="1"/>
  <c r="L390" i="2"/>
  <c r="AJ390" i="2" s="1"/>
  <c r="L391" i="2"/>
  <c r="AJ391" i="2" s="1"/>
  <c r="L392" i="2"/>
  <c r="AJ392" i="2" s="1"/>
  <c r="L393" i="2"/>
  <c r="AJ393" i="2" s="1"/>
  <c r="L394" i="2"/>
  <c r="AJ394" i="2" s="1"/>
  <c r="L395" i="2"/>
  <c r="AJ395" i="2" s="1"/>
  <c r="L396" i="2"/>
  <c r="AJ396" i="2" s="1"/>
  <c r="L397" i="2"/>
  <c r="AJ397" i="2" s="1"/>
  <c r="L398" i="2"/>
  <c r="AJ398" i="2" s="1"/>
  <c r="L399" i="2"/>
  <c r="AJ399" i="2" s="1"/>
  <c r="L400" i="2"/>
  <c r="AJ400" i="2" s="1"/>
  <c r="L401" i="2"/>
  <c r="AJ401" i="2" s="1"/>
  <c r="L402" i="2"/>
  <c r="AJ402" i="2" s="1"/>
  <c r="L403" i="2"/>
  <c r="AJ403" i="2" s="1"/>
  <c r="L404" i="2"/>
  <c r="AJ404" i="2" s="1"/>
  <c r="L405" i="2"/>
  <c r="AJ405" i="2" s="1"/>
  <c r="L406" i="2"/>
  <c r="AJ406" i="2" s="1"/>
  <c r="L407" i="2"/>
  <c r="AJ407" i="2" s="1"/>
  <c r="L408" i="2"/>
  <c r="AJ408" i="2" s="1"/>
  <c r="L409" i="2"/>
  <c r="AJ409" i="2" s="1"/>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B2" i="15"/>
  <c r="B3" i="15"/>
  <c r="B4" i="15"/>
  <c r="B5" i="15"/>
  <c r="B6" i="15"/>
  <c r="B7" i="15"/>
  <c r="B8" i="15"/>
  <c r="B9"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32" i="2"/>
  <c r="A47" i="2"/>
  <c r="A62" i="2"/>
  <c r="A77" i="2"/>
  <c r="A92" i="2"/>
  <c r="A107"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2"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G97" i="2" l="1"/>
  <c r="AD117" i="2"/>
  <c r="AG117" i="2"/>
  <c r="AA118" i="2"/>
  <c r="AA105" i="2"/>
  <c r="AA104" i="2"/>
  <c r="AD103" i="2"/>
  <c r="AJ103" i="2"/>
  <c r="AG103" i="2"/>
  <c r="AA75" i="2"/>
  <c r="AA76" i="2"/>
  <c r="AG89" i="2"/>
  <c r="AJ89" i="2"/>
  <c r="AD89" i="2"/>
  <c r="AD60" i="2"/>
  <c r="AA90" i="2"/>
  <c r="AA91" i="2"/>
  <c r="AG60" i="2"/>
  <c r="AJ74" i="2"/>
  <c r="AD74" i="2"/>
  <c r="AG74" i="2"/>
  <c r="AD75" i="2"/>
  <c r="AJ75" i="2"/>
  <c r="AG75" i="2"/>
  <c r="AD61" i="2"/>
  <c r="AG61" i="2"/>
  <c r="AJ61" i="2"/>
  <c r="AJ43" i="2"/>
  <c r="AD43" i="2"/>
  <c r="AG43" i="2"/>
  <c r="AA45" i="2"/>
  <c r="AA44" i="2"/>
  <c r="AG8" i="2"/>
  <c r="AD77" i="2"/>
  <c r="AJ8" i="2"/>
  <c r="AD97" i="2"/>
  <c r="AA9" i="2"/>
  <c r="O10" i="2"/>
  <c r="AG77" i="2"/>
  <c r="AG32" i="2"/>
  <c r="AJ32" i="2"/>
  <c r="AD113" i="2"/>
  <c r="AG113" i="2"/>
  <c r="AJ83" i="2"/>
  <c r="AD83" i="2"/>
  <c r="AG83" i="2"/>
  <c r="AG82" i="2"/>
  <c r="AD82" i="2"/>
  <c r="AJ82" i="2"/>
  <c r="AD68" i="2"/>
  <c r="AJ68" i="2"/>
  <c r="AG68" i="2"/>
  <c r="AJ47" i="2"/>
  <c r="AJ62" i="2"/>
  <c r="AG47" i="2"/>
  <c r="AD47" i="2"/>
  <c r="AJ17" i="2"/>
  <c r="AG17" i="2"/>
  <c r="AD17" i="2"/>
  <c r="AD32" i="2"/>
  <c r="AJ2" i="2"/>
  <c r="AG2"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B53" i="22"/>
  <c r="B54" i="22"/>
  <c r="B55" i="22"/>
  <c r="B56" i="22"/>
  <c r="B57" i="22"/>
  <c r="B58" i="22"/>
  <c r="B59" i="22"/>
  <c r="B60" i="22"/>
  <c r="B61" i="22"/>
  <c r="B62" i="22"/>
  <c r="B63" i="22"/>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L52" i="22"/>
  <c r="L53" i="22"/>
  <c r="L54" i="22"/>
  <c r="L55" i="22"/>
  <c r="L56" i="22"/>
  <c r="L57" i="22"/>
  <c r="L58" i="22"/>
  <c r="L59" i="22"/>
  <c r="L60" i="22"/>
  <c r="L61" i="22"/>
  <c r="L62" i="22"/>
  <c r="L63" i="22"/>
  <c r="M52" i="22"/>
  <c r="M53" i="22"/>
  <c r="M54" i="22"/>
  <c r="M55" i="22"/>
  <c r="M56" i="22"/>
  <c r="M57" i="22"/>
  <c r="M58" i="22"/>
  <c r="M59" i="22"/>
  <c r="M60" i="22"/>
  <c r="M61" i="22"/>
  <c r="M62" i="22"/>
  <c r="M63" i="22"/>
  <c r="P52" i="22"/>
  <c r="P53" i="22"/>
  <c r="P54" i="22"/>
  <c r="P55" i="22"/>
  <c r="P56" i="22"/>
  <c r="P57" i="22"/>
  <c r="P58" i="22"/>
  <c r="P59" i="22"/>
  <c r="P60" i="22"/>
  <c r="P61" i="22"/>
  <c r="P62" i="22"/>
  <c r="P63" i="22"/>
  <c r="S52" i="22"/>
  <c r="S53" i="22"/>
  <c r="S54" i="22"/>
  <c r="S55" i="22"/>
  <c r="S56" i="22"/>
  <c r="S57" i="22"/>
  <c r="S58" i="22"/>
  <c r="S59" i="22"/>
  <c r="S60" i="22"/>
  <c r="S61" i="22"/>
  <c r="S62" i="22"/>
  <c r="S63" i="22"/>
  <c r="V52" i="22"/>
  <c r="V53" i="22"/>
  <c r="V54" i="22"/>
  <c r="V55" i="22"/>
  <c r="V56" i="22"/>
  <c r="V57" i="22"/>
  <c r="V58" i="22"/>
  <c r="V59" i="22"/>
  <c r="V60" i="22"/>
  <c r="V61" i="22"/>
  <c r="V62" i="22"/>
  <c r="V63" i="22"/>
  <c r="Y52" i="22"/>
  <c r="Y53" i="22"/>
  <c r="Y54" i="22"/>
  <c r="Y55" i="22"/>
  <c r="Y56" i="22"/>
  <c r="Y57" i="22"/>
  <c r="Y58" i="22"/>
  <c r="Y59" i="22"/>
  <c r="Y60" i="22"/>
  <c r="Y61" i="22"/>
  <c r="Y62" i="22"/>
  <c r="Y63" i="22"/>
  <c r="AB52" i="22"/>
  <c r="AB53" i="22"/>
  <c r="AB54" i="22"/>
  <c r="AB55" i="22"/>
  <c r="AB56" i="22"/>
  <c r="AB57" i="22"/>
  <c r="AB58" i="22"/>
  <c r="AB59" i="22"/>
  <c r="AB60" i="22"/>
  <c r="AB61" i="22"/>
  <c r="AB62" i="22"/>
  <c r="AB63" i="22"/>
  <c r="AC52" i="22"/>
  <c r="AC53" i="22"/>
  <c r="AC54" i="22"/>
  <c r="AC55" i="22"/>
  <c r="AC56" i="22"/>
  <c r="AC57" i="22"/>
  <c r="AC58" i="22"/>
  <c r="AC59" i="22"/>
  <c r="AC60" i="22"/>
  <c r="AC61" i="22"/>
  <c r="AC62" i="22"/>
  <c r="AC63" i="22"/>
  <c r="AF52" i="22"/>
  <c r="AF53" i="22"/>
  <c r="AF54" i="22"/>
  <c r="AF55" i="22"/>
  <c r="AF56" i="22"/>
  <c r="AF57" i="22"/>
  <c r="AF58" i="22"/>
  <c r="AF59" i="22"/>
  <c r="AF60" i="22"/>
  <c r="AF61" i="22"/>
  <c r="AF62" i="22"/>
  <c r="AF63" i="22"/>
  <c r="AI52" i="22"/>
  <c r="AI53" i="22"/>
  <c r="AI54" i="22"/>
  <c r="AI55" i="22"/>
  <c r="AI56" i="22"/>
  <c r="AI57" i="22"/>
  <c r="AI58" i="22"/>
  <c r="AI59" i="22"/>
  <c r="AI60" i="22"/>
  <c r="AI61" i="22"/>
  <c r="AI62" i="22"/>
  <c r="AI63" i="22"/>
  <c r="AO52" i="22"/>
  <c r="AO53" i="22"/>
  <c r="AO54" i="22"/>
  <c r="AO55" i="22"/>
  <c r="AO56" i="22"/>
  <c r="AO57" i="22"/>
  <c r="AO58" i="22"/>
  <c r="AO59" i="22"/>
  <c r="AO60" i="22"/>
  <c r="AO61" i="22"/>
  <c r="AO62" i="22"/>
  <c r="AO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AD118" i="2" l="1"/>
  <c r="AG118" i="2"/>
  <c r="AA119" i="2"/>
  <c r="AD104" i="2"/>
  <c r="AJ104" i="2"/>
  <c r="AG104" i="2"/>
  <c r="AD105" i="2"/>
  <c r="AG105" i="2"/>
  <c r="AJ105" i="2"/>
  <c r="AD90" i="2"/>
  <c r="AG90" i="2"/>
  <c r="AJ90" i="2"/>
  <c r="AD76" i="2"/>
  <c r="AG76" i="2"/>
  <c r="AJ76" i="2"/>
  <c r="AD91" i="2"/>
  <c r="AG91" i="2"/>
  <c r="AJ91" i="2"/>
  <c r="AJ45" i="2"/>
  <c r="AD45" i="2"/>
  <c r="AG45" i="2"/>
  <c r="AG44" i="2"/>
  <c r="AD44" i="2"/>
  <c r="AJ44" i="2"/>
  <c r="AA10" i="2"/>
  <c r="O11" i="2"/>
  <c r="AD9" i="2"/>
  <c r="AG9" i="2"/>
  <c r="AJ9" i="2"/>
  <c r="M10" i="15"/>
  <c r="I10" i="25" s="1"/>
  <c r="K10" i="15"/>
  <c r="AA121" i="2" l="1"/>
  <c r="AA120" i="2"/>
  <c r="AD119" i="2"/>
  <c r="AG119" i="2"/>
  <c r="AA11" i="2"/>
  <c r="O12" i="2"/>
  <c r="AD10" i="2"/>
  <c r="AG10" i="2"/>
  <c r="AJ10" i="2"/>
  <c r="G10" i="25"/>
  <c r="C10" i="15"/>
  <c r="C10" i="25" s="1"/>
  <c r="K13" i="15"/>
  <c r="G222" i="2"/>
  <c r="G223" i="2"/>
  <c r="G224" i="2"/>
  <c r="G225" i="2"/>
  <c r="G226" i="2"/>
  <c r="G227" i="2"/>
  <c r="G228" i="2"/>
  <c r="G229" i="2"/>
  <c r="G230" i="2"/>
  <c r="G231" i="2"/>
  <c r="G232" i="2"/>
  <c r="G233" i="2"/>
  <c r="E222" i="2"/>
  <c r="E223" i="2"/>
  <c r="E224" i="2"/>
  <c r="E225" i="2"/>
  <c r="E226" i="2"/>
  <c r="E227" i="2"/>
  <c r="E228" i="2"/>
  <c r="E229" i="2"/>
  <c r="E230" i="2"/>
  <c r="E231" i="2"/>
  <c r="E232" i="2"/>
  <c r="E233" i="2"/>
  <c r="D222" i="2"/>
  <c r="D223" i="2"/>
  <c r="D224" i="2"/>
  <c r="D225" i="2"/>
  <c r="D226" i="2"/>
  <c r="D227" i="2"/>
  <c r="D228" i="2"/>
  <c r="D229" i="2"/>
  <c r="D230" i="2"/>
  <c r="D231" i="2"/>
  <c r="D232" i="2"/>
  <c r="D233"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34" i="2"/>
  <c r="G235" i="2"/>
  <c r="E181"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34" i="2"/>
  <c r="D235" i="2"/>
  <c r="E166" i="2"/>
  <c r="E167" i="2"/>
  <c r="E168" i="2"/>
  <c r="E169" i="2"/>
  <c r="E170" i="2"/>
  <c r="E171" i="2"/>
  <c r="E172" i="2"/>
  <c r="E173" i="2"/>
  <c r="E174" i="2"/>
  <c r="E175" i="2"/>
  <c r="E176" i="2"/>
  <c r="E177" i="2"/>
  <c r="E178" i="2"/>
  <c r="E179" i="2"/>
  <c r="E180"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34" i="2"/>
  <c r="E235" i="2"/>
  <c r="AG120" i="2" l="1"/>
  <c r="AD120" i="2"/>
  <c r="AD121" i="2"/>
  <c r="AG121" i="2"/>
  <c r="AA12" i="2"/>
  <c r="O13" i="2"/>
  <c r="O14" i="2" s="1"/>
  <c r="AG11" i="2"/>
  <c r="AD11" i="2"/>
  <c r="AJ11" i="2"/>
  <c r="F49" i="2"/>
  <c r="F53" i="2"/>
  <c r="F50" i="2"/>
  <c r="F48" i="2"/>
  <c r="F51" i="2"/>
  <c r="F52" i="2"/>
  <c r="M3" i="15"/>
  <c r="AA14" i="2" l="1"/>
  <c r="AA15" i="2"/>
  <c r="AA16" i="2"/>
  <c r="AA13" i="2"/>
  <c r="AJ12" i="2"/>
  <c r="AG12" i="2"/>
  <c r="AD12" i="2"/>
  <c r="K5" i="15"/>
  <c r="K9" i="15"/>
  <c r="K6" i="15"/>
  <c r="K12" i="15"/>
  <c r="AJ15" i="2" l="1"/>
  <c r="AD15" i="2"/>
  <c r="AG15" i="2"/>
  <c r="AG14" i="2"/>
  <c r="AJ14" i="2"/>
  <c r="AD14" i="2"/>
  <c r="AD13" i="2"/>
  <c r="AG13" i="2"/>
  <c r="AJ13" i="2"/>
  <c r="AG16" i="2"/>
  <c r="AD16" i="2"/>
  <c r="AJ16" i="2"/>
  <c r="F35" i="2"/>
  <c r="F33" i="2"/>
  <c r="F36" i="2"/>
  <c r="F37" i="2"/>
  <c r="F34" i="2"/>
  <c r="F38" i="2"/>
  <c r="F18" i="2"/>
  <c r="F21" i="2"/>
  <c r="F22" i="2"/>
  <c r="F19" i="2"/>
  <c r="F23" i="2"/>
  <c r="F20" i="2"/>
  <c r="M12" i="15"/>
  <c r="K8" i="15"/>
  <c r="K3" i="15"/>
  <c r="C3" i="15" s="1"/>
  <c r="C12" i="15" l="1"/>
  <c r="H37" i="2"/>
  <c r="H34" i="2"/>
  <c r="H38" i="2"/>
  <c r="H35" i="2"/>
  <c r="H33" i="2"/>
  <c r="H36" i="2"/>
  <c r="C12" i="25"/>
  <c r="X13" i="16"/>
  <c r="C3" i="25"/>
  <c r="X22" i="16"/>
  <c r="D248" i="2"/>
  <c r="D249" i="2"/>
  <c r="D250"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303" i="2"/>
  <c r="D304" i="2"/>
  <c r="D305" i="2"/>
  <c r="D306" i="2"/>
  <c r="D307" i="2"/>
  <c r="D308" i="2"/>
  <c r="D313" i="2"/>
  <c r="D314" i="2"/>
  <c r="D315"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G248" i="2"/>
  <c r="G249" i="2"/>
  <c r="G250" i="2"/>
  <c r="G254" i="2"/>
  <c r="G255" i="2"/>
  <c r="G256" i="2"/>
  <c r="G257" i="2"/>
  <c r="G258" i="2"/>
  <c r="G259" i="2"/>
  <c r="G260" i="2"/>
  <c r="G261" i="2"/>
  <c r="G262" i="2"/>
  <c r="G263" i="2"/>
  <c r="G264" i="2"/>
  <c r="G265" i="2"/>
  <c r="G266" i="2"/>
  <c r="G267" i="2"/>
  <c r="G268" i="2"/>
  <c r="G269" i="2"/>
  <c r="G270" i="2"/>
  <c r="G271" i="2"/>
  <c r="G272" i="2"/>
  <c r="G273" i="2"/>
  <c r="E248" i="2"/>
  <c r="E249" i="2"/>
  <c r="E250" i="2"/>
  <c r="E254" i="2"/>
  <c r="E255" i="2"/>
  <c r="E256" i="2"/>
  <c r="E257" i="2"/>
  <c r="E258" i="2"/>
  <c r="E259" i="2"/>
  <c r="E260" i="2"/>
  <c r="E261" i="2"/>
  <c r="E262" i="2"/>
  <c r="E263" i="2"/>
  <c r="E264" i="2"/>
  <c r="E265" i="2"/>
  <c r="E266" i="2"/>
  <c r="E267" i="2"/>
  <c r="E268" i="2"/>
  <c r="E269" i="2"/>
  <c r="E270" i="2"/>
  <c r="E271" i="2"/>
  <c r="E272" i="2"/>
  <c r="E273" i="2"/>
  <c r="D54" i="5"/>
  <c r="AA296" i="2"/>
  <c r="AA295" i="2"/>
  <c r="AA294" i="2"/>
  <c r="AA293" i="2"/>
  <c r="AA292" i="2"/>
  <c r="AA291" i="2"/>
  <c r="AA274" i="2"/>
  <c r="AA275" i="2"/>
  <c r="AA276" i="2"/>
  <c r="AA277" i="2"/>
  <c r="AA278" i="2"/>
  <c r="AA279" i="2"/>
  <c r="AA280" i="2"/>
  <c r="AA281" i="2"/>
  <c r="AA282" i="2"/>
  <c r="AA283" i="2"/>
  <c r="AA284" i="2"/>
  <c r="AA285" i="2"/>
  <c r="AA286" i="2"/>
  <c r="AA287" i="2"/>
  <c r="AA288" i="2"/>
  <c r="AA289" i="2"/>
  <c r="AA290"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D37" i="5"/>
  <c r="D19" i="5"/>
  <c r="G236" i="2"/>
  <c r="G237" i="2"/>
  <c r="G238" i="2"/>
  <c r="G242" i="2"/>
  <c r="G243" i="2"/>
  <c r="G244" i="2"/>
  <c r="G274" i="2"/>
  <c r="G275" i="2"/>
  <c r="G276" i="2"/>
  <c r="G277" i="2"/>
  <c r="G278" i="2"/>
  <c r="G279" i="2"/>
  <c r="G280" i="2"/>
  <c r="G281" i="2"/>
  <c r="G282" i="2"/>
  <c r="G283" i="2"/>
  <c r="G284" i="2"/>
  <c r="G285" i="2"/>
  <c r="G286" i="2"/>
  <c r="G287" i="2"/>
  <c r="G288" i="2"/>
  <c r="G289" i="2"/>
  <c r="G290" i="2"/>
  <c r="G303" i="2"/>
  <c r="G304" i="2"/>
  <c r="G305" i="2"/>
  <c r="G306" i="2"/>
  <c r="G307" i="2"/>
  <c r="G308" i="2"/>
  <c r="G313" i="2"/>
  <c r="G314" i="2"/>
  <c r="G315"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E236" i="2"/>
  <c r="E237" i="2"/>
  <c r="E238" i="2"/>
  <c r="E242" i="2"/>
  <c r="E243" i="2"/>
  <c r="E244" i="2"/>
  <c r="E274" i="2"/>
  <c r="E275" i="2"/>
  <c r="E276" i="2"/>
  <c r="E277" i="2"/>
  <c r="E278" i="2"/>
  <c r="E279" i="2"/>
  <c r="E280" i="2"/>
  <c r="E281" i="2"/>
  <c r="E282" i="2"/>
  <c r="E283" i="2"/>
  <c r="E284" i="2"/>
  <c r="E285" i="2"/>
  <c r="E286" i="2"/>
  <c r="E287" i="2"/>
  <c r="E288" i="2"/>
  <c r="E289" i="2"/>
  <c r="E290" i="2"/>
  <c r="E303" i="2"/>
  <c r="E304" i="2"/>
  <c r="E305" i="2"/>
  <c r="E306" i="2"/>
  <c r="E307" i="2"/>
  <c r="E308" i="2"/>
  <c r="E313" i="2"/>
  <c r="E314" i="2"/>
  <c r="E315"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D236" i="2"/>
  <c r="D237" i="2"/>
  <c r="D238" i="2"/>
  <c r="D242" i="2"/>
  <c r="D243" i="2"/>
  <c r="D244" i="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O2" i="22"/>
  <c r="AO3" i="22"/>
  <c r="AO4" i="22"/>
  <c r="AO5" i="22"/>
  <c r="AO6" i="22"/>
  <c r="AO7"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F2" i="22"/>
  <c r="AF3" i="22"/>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Y2" i="22"/>
  <c r="Y3" i="22"/>
  <c r="Y4" i="22"/>
  <c r="Y5" i="22"/>
  <c r="Y6" i="22"/>
  <c r="Y7" i="22"/>
  <c r="Y8" i="22"/>
  <c r="Y9" i="22"/>
  <c r="Y10" i="22"/>
  <c r="Y11" i="22"/>
  <c r="Y12" i="22"/>
  <c r="Y13" i="22"/>
  <c r="Y14" i="22"/>
  <c r="Y15" i="22"/>
  <c r="Y16"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V2" i="22"/>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P2" i="22"/>
  <c r="AB2" i="22"/>
  <c r="AB3"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M2"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L2" i="22"/>
  <c r="L51" i="22"/>
  <c r="K51" i="22"/>
  <c r="J51" i="22"/>
  <c r="I51" i="22"/>
  <c r="H51" i="22"/>
  <c r="G51" i="22"/>
  <c r="L50" i="22"/>
  <c r="K50" i="22"/>
  <c r="J50" i="22"/>
  <c r="I50" i="22"/>
  <c r="H50" i="22"/>
  <c r="G50" i="22"/>
  <c r="L49" i="22"/>
  <c r="K49" i="22"/>
  <c r="J49" i="22"/>
  <c r="I49" i="22"/>
  <c r="H49" i="22"/>
  <c r="G49" i="22"/>
  <c r="L48" i="22"/>
  <c r="K48" i="22"/>
  <c r="J48" i="22"/>
  <c r="I48" i="22"/>
  <c r="H48" i="22"/>
  <c r="G48" i="22"/>
  <c r="L47" i="22"/>
  <c r="K47" i="22"/>
  <c r="J47" i="22"/>
  <c r="I47" i="22"/>
  <c r="H47" i="22"/>
  <c r="G47" i="22"/>
  <c r="L46" i="22"/>
  <c r="K46" i="22"/>
  <c r="J46" i="22"/>
  <c r="I46" i="22"/>
  <c r="H46" i="22"/>
  <c r="G46" i="22"/>
  <c r="L45" i="22"/>
  <c r="K45" i="22"/>
  <c r="J45" i="22"/>
  <c r="I45" i="22"/>
  <c r="H45" i="22"/>
  <c r="G45" i="22"/>
  <c r="L44" i="22"/>
  <c r="K44" i="22"/>
  <c r="J44" i="22"/>
  <c r="I44" i="22"/>
  <c r="H44" i="22"/>
  <c r="G44" i="22"/>
  <c r="L43" i="22"/>
  <c r="K43" i="22"/>
  <c r="J43" i="22"/>
  <c r="I43" i="22"/>
  <c r="H43" i="22"/>
  <c r="G43" i="22"/>
  <c r="L42" i="22"/>
  <c r="K42" i="22"/>
  <c r="J42" i="22"/>
  <c r="I42" i="22"/>
  <c r="H42" i="22"/>
  <c r="G42" i="22"/>
  <c r="L41" i="22"/>
  <c r="K41" i="22"/>
  <c r="J41" i="22"/>
  <c r="I41" i="22"/>
  <c r="H41" i="22"/>
  <c r="G41" i="22"/>
  <c r="L40" i="22"/>
  <c r="K40" i="22"/>
  <c r="J40" i="22"/>
  <c r="I40" i="22"/>
  <c r="H40" i="22"/>
  <c r="G40" i="22"/>
  <c r="L39" i="22"/>
  <c r="K39" i="22"/>
  <c r="J39" i="22"/>
  <c r="I39" i="22"/>
  <c r="H39" i="22"/>
  <c r="G39" i="22"/>
  <c r="L38" i="22"/>
  <c r="K38" i="22"/>
  <c r="J38" i="22"/>
  <c r="I38" i="22"/>
  <c r="H38" i="22"/>
  <c r="G38" i="22"/>
  <c r="L37" i="22"/>
  <c r="K37" i="22"/>
  <c r="J37" i="22"/>
  <c r="I37" i="22"/>
  <c r="H37" i="22"/>
  <c r="G37" i="22"/>
  <c r="L36" i="22"/>
  <c r="K36" i="22"/>
  <c r="J36" i="22"/>
  <c r="I36" i="22"/>
  <c r="H36" i="22"/>
  <c r="G36" i="22"/>
  <c r="L35" i="22"/>
  <c r="K35" i="22"/>
  <c r="J35" i="22"/>
  <c r="I35" i="22"/>
  <c r="H35" i="22"/>
  <c r="G35" i="22"/>
  <c r="L34" i="22"/>
  <c r="K34" i="22"/>
  <c r="J34" i="22"/>
  <c r="I34" i="22"/>
  <c r="H34" i="22"/>
  <c r="G34" i="22"/>
  <c r="L33" i="22"/>
  <c r="K33" i="22"/>
  <c r="J33" i="22"/>
  <c r="I33" i="22"/>
  <c r="H33" i="22"/>
  <c r="G33" i="22"/>
  <c r="L32" i="22"/>
  <c r="K32" i="22"/>
  <c r="J32" i="22"/>
  <c r="I32" i="22"/>
  <c r="H32" i="22"/>
  <c r="G32" i="22"/>
  <c r="L31" i="22"/>
  <c r="K31" i="22"/>
  <c r="J31" i="22"/>
  <c r="I31" i="22"/>
  <c r="H31" i="22"/>
  <c r="G31" i="22"/>
  <c r="L30" i="22"/>
  <c r="K30" i="22"/>
  <c r="J30" i="22"/>
  <c r="I30" i="22"/>
  <c r="H30" i="22"/>
  <c r="G30" i="22"/>
  <c r="L29" i="22"/>
  <c r="K29" i="22"/>
  <c r="J29" i="22"/>
  <c r="I29" i="22"/>
  <c r="H29" i="22"/>
  <c r="G29" i="22"/>
  <c r="L28" i="22"/>
  <c r="K28" i="22"/>
  <c r="J28" i="22"/>
  <c r="I28" i="22"/>
  <c r="H28" i="22"/>
  <c r="G28" i="22"/>
  <c r="L27" i="22"/>
  <c r="K27" i="22"/>
  <c r="J27" i="22"/>
  <c r="I27" i="22"/>
  <c r="H27" i="22"/>
  <c r="G27" i="22"/>
  <c r="L26" i="22"/>
  <c r="K26" i="22"/>
  <c r="J26" i="22"/>
  <c r="I26" i="22"/>
  <c r="H26" i="22"/>
  <c r="G26" i="22"/>
  <c r="L25" i="22"/>
  <c r="K25" i="22"/>
  <c r="J25" i="22"/>
  <c r="I25" i="22"/>
  <c r="H25" i="22"/>
  <c r="G25" i="22"/>
  <c r="L24" i="22"/>
  <c r="K24" i="22"/>
  <c r="J24" i="22"/>
  <c r="I24" i="22"/>
  <c r="H24" i="22"/>
  <c r="G24" i="22"/>
  <c r="L23" i="22"/>
  <c r="K23" i="22"/>
  <c r="J23" i="22"/>
  <c r="I23" i="22"/>
  <c r="H23" i="22"/>
  <c r="G23" i="22"/>
  <c r="L22" i="22"/>
  <c r="K22" i="22"/>
  <c r="J22" i="22"/>
  <c r="I22" i="22"/>
  <c r="H22" i="22"/>
  <c r="G22" i="22"/>
  <c r="L21" i="22"/>
  <c r="K21" i="22"/>
  <c r="J21" i="22"/>
  <c r="I21" i="22"/>
  <c r="H21" i="22"/>
  <c r="G21" i="22"/>
  <c r="L20" i="22"/>
  <c r="K20" i="22"/>
  <c r="J20" i="22"/>
  <c r="I20" i="22"/>
  <c r="H20" i="22"/>
  <c r="G20" i="22"/>
  <c r="L19" i="22"/>
  <c r="K19" i="22"/>
  <c r="J19" i="22"/>
  <c r="I19" i="22"/>
  <c r="H19" i="22"/>
  <c r="G19" i="22"/>
  <c r="L18" i="22"/>
  <c r="K18" i="22"/>
  <c r="J18" i="22"/>
  <c r="I18" i="22"/>
  <c r="H18" i="22"/>
  <c r="G18" i="22"/>
  <c r="L17" i="22"/>
  <c r="K17" i="22"/>
  <c r="J17" i="22"/>
  <c r="I17" i="22"/>
  <c r="H17" i="22"/>
  <c r="G17" i="22"/>
  <c r="L16" i="22"/>
  <c r="K16" i="22"/>
  <c r="J16" i="22"/>
  <c r="I16" i="22"/>
  <c r="H16" i="22"/>
  <c r="G16" i="22"/>
  <c r="L15" i="22"/>
  <c r="K15" i="22"/>
  <c r="J15" i="22"/>
  <c r="I15" i="22"/>
  <c r="H15" i="22"/>
  <c r="G15" i="22"/>
  <c r="L14" i="22"/>
  <c r="K14" i="22"/>
  <c r="J14" i="22"/>
  <c r="I14" i="22"/>
  <c r="H14" i="22"/>
  <c r="G14" i="22"/>
  <c r="L13" i="22"/>
  <c r="K13" i="22"/>
  <c r="J13" i="22"/>
  <c r="I13" i="22"/>
  <c r="H13" i="22"/>
  <c r="G13" i="22"/>
  <c r="L12" i="22"/>
  <c r="K12" i="22"/>
  <c r="J12" i="22"/>
  <c r="I12" i="22"/>
  <c r="H12" i="22"/>
  <c r="G12" i="22"/>
  <c r="L11" i="22"/>
  <c r="K11" i="22"/>
  <c r="J11" i="22"/>
  <c r="I11" i="22"/>
  <c r="H11" i="22"/>
  <c r="G11" i="22"/>
  <c r="L10" i="22"/>
  <c r="K10" i="22"/>
  <c r="J10" i="22"/>
  <c r="I10" i="22"/>
  <c r="H10" i="22"/>
  <c r="G10" i="22"/>
  <c r="L9" i="22"/>
  <c r="K9" i="22"/>
  <c r="J9" i="22"/>
  <c r="I9" i="22"/>
  <c r="H9" i="22"/>
  <c r="G9" i="22"/>
  <c r="L8" i="22"/>
  <c r="K8" i="22"/>
  <c r="J8" i="22"/>
  <c r="I8" i="22"/>
  <c r="H8" i="22"/>
  <c r="G8" i="22"/>
  <c r="L7" i="22"/>
  <c r="K7" i="22"/>
  <c r="J7" i="22"/>
  <c r="I7" i="22"/>
  <c r="H7" i="22"/>
  <c r="G7" i="22"/>
  <c r="L6" i="22"/>
  <c r="K6" i="22"/>
  <c r="J6" i="22"/>
  <c r="I6" i="22"/>
  <c r="H6" i="22"/>
  <c r="G6" i="22"/>
  <c r="L5" i="22"/>
  <c r="K5" i="22"/>
  <c r="J5" i="22"/>
  <c r="I5" i="22"/>
  <c r="H5" i="22"/>
  <c r="G5" i="22"/>
  <c r="L4" i="22"/>
  <c r="K4" i="22"/>
  <c r="J4" i="22"/>
  <c r="I4" i="22"/>
  <c r="H4" i="22"/>
  <c r="G4" i="22"/>
  <c r="L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M9" i="15"/>
  <c r="C9"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AS10" i="10"/>
  <c r="AS11" i="10"/>
  <c r="AS12" i="10"/>
  <c r="AS13" i="10"/>
  <c r="AE13" i="10"/>
  <c r="R13" i="10"/>
  <c r="AG13" i="10" s="1"/>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2" i="5"/>
  <c r="C49" i="5"/>
  <c r="C45" i="5"/>
  <c r="C24" i="5"/>
  <c r="C32" i="5"/>
  <c r="C29" i="5"/>
  <c r="C8" i="5"/>
  <c r="C12" i="5"/>
  <c r="C16" i="5"/>
  <c r="C48" i="5"/>
  <c r="C44" i="5"/>
  <c r="C35" i="5"/>
  <c r="C28" i="5"/>
  <c r="C27" i="5"/>
  <c r="C9" i="5"/>
  <c r="C13" i="5"/>
  <c r="C17" i="5"/>
  <c r="C43" i="5"/>
  <c r="C51" i="5"/>
  <c r="C47" i="5"/>
  <c r="C25" i="5"/>
  <c r="C34" i="5"/>
  <c r="C31" i="5"/>
  <c r="C26" i="5"/>
  <c r="C10" i="5"/>
  <c r="C15" i="5"/>
  <c r="C18" i="5"/>
  <c r="C50" i="5"/>
  <c r="C36" i="5"/>
  <c r="C30" i="5"/>
  <c r="C11" i="5"/>
  <c r="C6" i="5"/>
  <c r="C52" i="5"/>
  <c r="C53" i="5"/>
  <c r="C46" i="5"/>
  <c r="C33" i="5"/>
  <c r="C7" i="5"/>
  <c r="C14" i="5"/>
  <c r="B34" i="2" l="1"/>
  <c r="B38" i="2"/>
  <c r="B35" i="2"/>
  <c r="B33" i="2"/>
  <c r="B36" i="2"/>
  <c r="B37" i="2"/>
  <c r="C9" i="25"/>
  <c r="N5" i="16"/>
  <c r="C6" i="22"/>
  <c r="C43" i="22"/>
  <c r="C12" i="22"/>
  <c r="C24" i="22"/>
  <c r="C36" i="22"/>
  <c r="C48" i="22"/>
  <c r="C25" i="22"/>
  <c r="C37" i="22"/>
  <c r="C49" i="22"/>
  <c r="C11" i="22"/>
  <c r="C23" i="22"/>
  <c r="C35" i="22"/>
  <c r="C47" i="22"/>
  <c r="C17" i="22"/>
  <c r="C29" i="22"/>
  <c r="C41" i="22"/>
  <c r="C8" i="22"/>
  <c r="C10" i="22"/>
  <c r="C22" i="22"/>
  <c r="C34" i="22"/>
  <c r="C46" i="22"/>
  <c r="C9" i="22"/>
  <c r="C21" i="22"/>
  <c r="C33" i="22"/>
  <c r="C45" i="22"/>
  <c r="C13" i="22"/>
  <c r="C20" i="22"/>
  <c r="C15" i="22"/>
  <c r="C27" i="22"/>
  <c r="C39" i="22"/>
  <c r="C51" i="22"/>
  <c r="C7" i="22"/>
  <c r="C19" i="22"/>
  <c r="C31" i="22"/>
  <c r="C45" i="18"/>
  <c r="C14" i="22"/>
  <c r="C26" i="22"/>
  <c r="C38" i="22"/>
  <c r="C50" i="22"/>
  <c r="C23" i="18"/>
  <c r="C16" i="22"/>
  <c r="C28" i="22"/>
  <c r="C40" i="22"/>
  <c r="C18" i="18"/>
  <c r="C30" i="18"/>
  <c r="C18" i="22"/>
  <c r="C30" i="22"/>
  <c r="C42" i="22"/>
  <c r="C32" i="22"/>
  <c r="C44" i="22"/>
  <c r="D59" i="21"/>
  <c r="C59" i="21" s="1"/>
  <c r="C59" i="22"/>
  <c r="D59" i="18"/>
  <c r="C59" i="18" s="1"/>
  <c r="C61" i="22"/>
  <c r="D61" i="18"/>
  <c r="C61" i="18" s="1"/>
  <c r="D62" i="18"/>
  <c r="C62" i="18" s="1"/>
  <c r="D63" i="21"/>
  <c r="C63" i="21" s="1"/>
  <c r="C63" i="22"/>
  <c r="D63" i="18"/>
  <c r="C63" i="18" s="1"/>
  <c r="D60" i="21"/>
  <c r="C60" i="21" s="1"/>
  <c r="C60" i="22"/>
  <c r="D60" i="18"/>
  <c r="C60" i="18" s="1"/>
  <c r="D61" i="21"/>
  <c r="C61" i="21" s="1"/>
  <c r="D62" i="21"/>
  <c r="C62" i="21" s="1"/>
  <c r="C62" i="22"/>
  <c r="D52" i="21"/>
  <c r="C52" i="21" s="1"/>
  <c r="C52" i="22"/>
  <c r="D52" i="18"/>
  <c r="C52" i="18" s="1"/>
  <c r="D54" i="18"/>
  <c r="C54" i="18" s="1"/>
  <c r="C56" i="22"/>
  <c r="D57" i="18"/>
  <c r="C57" i="18" s="1"/>
  <c r="D53" i="21"/>
  <c r="C53" i="21" s="1"/>
  <c r="C53" i="22"/>
  <c r="D53" i="18"/>
  <c r="C53" i="18" s="1"/>
  <c r="D54" i="21"/>
  <c r="C54" i="21" s="1"/>
  <c r="C54" i="22"/>
  <c r="D55" i="21"/>
  <c r="C55" i="21" s="1"/>
  <c r="C55" i="22"/>
  <c r="D55" i="18"/>
  <c r="C55" i="18" s="1"/>
  <c r="D56" i="21"/>
  <c r="C56" i="21" s="1"/>
  <c r="D56" i="18"/>
  <c r="C56" i="18" s="1"/>
  <c r="D57" i="21"/>
  <c r="C57" i="21" s="1"/>
  <c r="C57" i="22"/>
  <c r="D58" i="21"/>
  <c r="C58" i="21" s="1"/>
  <c r="C58" i="22"/>
  <c r="D58" i="18"/>
  <c r="C58" i="18" s="1"/>
  <c r="K28" i="15"/>
  <c r="M29" i="15"/>
  <c r="K29" i="15"/>
  <c r="M30" i="15"/>
  <c r="K30" i="15"/>
  <c r="C47" i="21"/>
  <c r="C11" i="21"/>
  <c r="C23" i="21"/>
  <c r="C35" i="21"/>
  <c r="K36" i="15"/>
  <c r="M34" i="15"/>
  <c r="C5" i="22"/>
  <c r="M13" i="15"/>
  <c r="M22" i="15"/>
  <c r="M20" i="15"/>
  <c r="M21" i="15"/>
  <c r="K34" i="15"/>
  <c r="C2" i="22"/>
  <c r="K31" i="15"/>
  <c r="M38" i="15"/>
  <c r="K20" i="15"/>
  <c r="M24" i="15"/>
  <c r="K21" i="15"/>
  <c r="M23" i="15"/>
  <c r="C25" i="15"/>
  <c r="K22" i="15"/>
  <c r="K33" i="15"/>
  <c r="M42" i="15"/>
  <c r="K39" i="15"/>
  <c r="D311" i="2"/>
  <c r="E309" i="2"/>
  <c r="D312" i="2"/>
  <c r="E310" i="2"/>
  <c r="G309" i="2"/>
  <c r="E311" i="2"/>
  <c r="G310" i="2"/>
  <c r="E312" i="2"/>
  <c r="D316" i="2"/>
  <c r="G312" i="2"/>
  <c r="G316" i="2"/>
  <c r="G311" i="2"/>
  <c r="E316" i="2"/>
  <c r="D309" i="2"/>
  <c r="D310" i="2"/>
  <c r="D252" i="2"/>
  <c r="G239" i="2"/>
  <c r="E239" i="2"/>
  <c r="D239" i="2"/>
  <c r="G252" i="2"/>
  <c r="E252" i="2"/>
  <c r="G245" i="2"/>
  <c r="E245" i="2"/>
  <c r="D245" i="2"/>
  <c r="P4" i="16"/>
  <c r="X4" i="16"/>
  <c r="K2" i="15"/>
  <c r="M7" i="15"/>
  <c r="M8" i="15"/>
  <c r="C8" i="15" s="1"/>
  <c r="C8" i="25" s="1"/>
  <c r="D17" i="2"/>
  <c r="G17" i="2"/>
  <c r="E77" i="2"/>
  <c r="E2" i="2"/>
  <c r="D32" i="2"/>
  <c r="E47" i="2"/>
  <c r="D77" i="2"/>
  <c r="D107" i="2"/>
  <c r="E17" i="2"/>
  <c r="D47" i="2"/>
  <c r="D2" i="2"/>
  <c r="E32" i="2"/>
  <c r="D62" i="2"/>
  <c r="E62" i="2"/>
  <c r="D92" i="2"/>
  <c r="G32" i="2"/>
  <c r="E92" i="2"/>
  <c r="G62" i="2"/>
  <c r="E107" i="2"/>
  <c r="G2" i="2"/>
  <c r="G77" i="2"/>
  <c r="G92" i="2"/>
  <c r="G47" i="2"/>
  <c r="G107" i="2"/>
  <c r="D297" i="2"/>
  <c r="E253" i="2"/>
  <c r="D298" i="2"/>
  <c r="D251" i="2"/>
  <c r="D299" i="2"/>
  <c r="D300" i="2"/>
  <c r="D253" i="2"/>
  <c r="D301" i="2"/>
  <c r="D302" i="2"/>
  <c r="D294" i="2"/>
  <c r="D291" i="2"/>
  <c r="D292" i="2"/>
  <c r="D293" i="2"/>
  <c r="G251" i="2"/>
  <c r="D246" i="2"/>
  <c r="D247" i="2"/>
  <c r="D295" i="2"/>
  <c r="G253" i="2"/>
  <c r="E251" i="2"/>
  <c r="D296" i="2"/>
  <c r="N9" i="16"/>
  <c r="C4" i="22"/>
  <c r="D2" i="21"/>
  <c r="C2" i="21" s="1"/>
  <c r="D4" i="21"/>
  <c r="C4" i="21" s="1"/>
  <c r="C3" i="22"/>
  <c r="D5" i="21"/>
  <c r="C5" i="21" s="1"/>
  <c r="D3" i="18"/>
  <c r="C3" i="18" s="1"/>
  <c r="D3" i="21"/>
  <c r="C3" i="21" s="1"/>
  <c r="M36" i="15"/>
  <c r="K37" i="15"/>
  <c r="K19" i="15"/>
  <c r="K18" i="15"/>
  <c r="M32" i="15"/>
  <c r="K17" i="15"/>
  <c r="K49" i="15"/>
  <c r="M31" i="15"/>
  <c r="M19" i="15"/>
  <c r="M18" i="15"/>
  <c r="M17" i="15"/>
  <c r="K32" i="15"/>
  <c r="G246" i="2"/>
  <c r="G296" i="2"/>
  <c r="E292" i="2"/>
  <c r="E294" i="2"/>
  <c r="D240" i="2"/>
  <c r="E295" i="2"/>
  <c r="D241" i="2"/>
  <c r="G247" i="2"/>
  <c r="G297" i="2"/>
  <c r="E293" i="2"/>
  <c r="G298" i="2"/>
  <c r="G299" i="2"/>
  <c r="G300" i="2"/>
  <c r="E246" i="2"/>
  <c r="E296" i="2"/>
  <c r="G301" i="2"/>
  <c r="E247" i="2"/>
  <c r="E297" i="2"/>
  <c r="G240" i="2"/>
  <c r="G302" i="2"/>
  <c r="E298" i="2"/>
  <c r="G241" i="2"/>
  <c r="G291" i="2"/>
  <c r="E299" i="2"/>
  <c r="E300" i="2"/>
  <c r="G292" i="2"/>
  <c r="G293" i="2"/>
  <c r="E301" i="2"/>
  <c r="G294" i="2"/>
  <c r="E240" i="2"/>
  <c r="E302" i="2"/>
  <c r="G295" i="2"/>
  <c r="E241" i="2"/>
  <c r="E291"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M57" i="15"/>
  <c r="N17" i="16"/>
  <c r="X5" i="16"/>
  <c r="M67" i="15"/>
  <c r="K46" i="15"/>
  <c r="M69" i="15"/>
  <c r="M55" i="15"/>
  <c r="M45" i="15"/>
  <c r="M43" i="15"/>
  <c r="K72" i="15"/>
  <c r="K70" i="15"/>
  <c r="K60" i="15"/>
  <c r="K58" i="15"/>
  <c r="K48" i="15"/>
  <c r="M35" i="15"/>
  <c r="M33" i="15"/>
  <c r="M68" i="15"/>
  <c r="M56" i="15"/>
  <c r="M44" i="15"/>
  <c r="K71" i="15"/>
  <c r="K59" i="15"/>
  <c r="K47" i="15"/>
  <c r="M66" i="15"/>
  <c r="M54" i="15"/>
  <c r="K69" i="15"/>
  <c r="K57" i="15"/>
  <c r="K45" i="15"/>
  <c r="M77" i="15"/>
  <c r="M65" i="15"/>
  <c r="M53" i="15"/>
  <c r="M41" i="15"/>
  <c r="K68" i="15"/>
  <c r="K56" i="15"/>
  <c r="K44" i="15"/>
  <c r="M76" i="15"/>
  <c r="M64" i="15"/>
  <c r="M52" i="15"/>
  <c r="M40" i="15"/>
  <c r="M2" i="15"/>
  <c r="K67" i="15"/>
  <c r="K55" i="15"/>
  <c r="K43" i="15"/>
  <c r="K11" i="15"/>
  <c r="M75" i="15"/>
  <c r="M63" i="15"/>
  <c r="M51" i="15"/>
  <c r="K66" i="15"/>
  <c r="K54" i="15"/>
  <c r="K42" i="15"/>
  <c r="M74" i="15"/>
  <c r="M62" i="15"/>
  <c r="M50" i="15"/>
  <c r="K77" i="15"/>
  <c r="K65" i="15"/>
  <c r="K53" i="15"/>
  <c r="K41" i="15"/>
  <c r="M73" i="15"/>
  <c r="M61" i="15"/>
  <c r="M49" i="15"/>
  <c r="K76" i="15"/>
  <c r="K64" i="15"/>
  <c r="K52" i="15"/>
  <c r="K40" i="15"/>
  <c r="M72" i="15"/>
  <c r="M60" i="15"/>
  <c r="M48" i="15"/>
  <c r="K75" i="15"/>
  <c r="K51" i="15"/>
  <c r="M71" i="15"/>
  <c r="M59" i="15"/>
  <c r="M47" i="15"/>
  <c r="M16" i="15"/>
  <c r="K74" i="15"/>
  <c r="K62" i="15"/>
  <c r="K50" i="15"/>
  <c r="K35" i="15"/>
  <c r="M70" i="15"/>
  <c r="M58" i="15"/>
  <c r="M46" i="15"/>
  <c r="M15" i="15"/>
  <c r="K73" i="15"/>
  <c r="K61" i="15"/>
  <c r="B32" i="2"/>
  <c r="F78" i="2" l="1"/>
  <c r="F80" i="2"/>
  <c r="F82" i="2"/>
  <c r="F79" i="2"/>
  <c r="F81" i="2"/>
  <c r="F83" i="2"/>
  <c r="H79" i="2"/>
  <c r="H81" i="2"/>
  <c r="H83" i="2"/>
  <c r="H78" i="2"/>
  <c r="H80" i="2"/>
  <c r="H82" i="2"/>
  <c r="C13" i="15"/>
  <c r="H48" i="2"/>
  <c r="H51" i="2"/>
  <c r="H52" i="2"/>
  <c r="H49" i="2"/>
  <c r="H53" i="2"/>
  <c r="H50" i="2"/>
  <c r="F3" i="2"/>
  <c r="F4" i="2"/>
  <c r="F5" i="2"/>
  <c r="F6" i="2"/>
  <c r="F7" i="2"/>
  <c r="F8" i="2"/>
  <c r="H93" i="2"/>
  <c r="H96" i="2"/>
  <c r="H98" i="2"/>
  <c r="H95" i="2"/>
  <c r="H97" i="2"/>
  <c r="H94" i="2"/>
  <c r="H65" i="2"/>
  <c r="H67" i="2"/>
  <c r="H64" i="2"/>
  <c r="H66" i="2"/>
  <c r="H68" i="2"/>
  <c r="H63" i="2"/>
  <c r="H110" i="2"/>
  <c r="H113" i="2"/>
  <c r="H108" i="2"/>
  <c r="H109" i="2"/>
  <c r="H112" i="2"/>
  <c r="H111" i="2"/>
  <c r="I2" i="25"/>
  <c r="H4" i="2"/>
  <c r="H5" i="2"/>
  <c r="H6" i="2"/>
  <c r="H7" i="2"/>
  <c r="H8" i="2"/>
  <c r="H3" i="2"/>
  <c r="F64" i="2"/>
  <c r="F66" i="2"/>
  <c r="F68" i="2"/>
  <c r="F63" i="2"/>
  <c r="F65" i="2"/>
  <c r="F67" i="2"/>
  <c r="C75" i="15"/>
  <c r="C13" i="25"/>
  <c r="C34" i="15"/>
  <c r="Z3" i="16"/>
  <c r="AG3" i="22" s="1"/>
  <c r="C22" i="15"/>
  <c r="C30" i="15"/>
  <c r="C54" i="15"/>
  <c r="C29" i="15"/>
  <c r="V8" i="16"/>
  <c r="C73" i="15"/>
  <c r="C26" i="15"/>
  <c r="C65" i="15"/>
  <c r="C50" i="15"/>
  <c r="C64" i="15"/>
  <c r="C47" i="15"/>
  <c r="C51" i="15"/>
  <c r="C56" i="15"/>
  <c r="C72" i="15"/>
  <c r="C77" i="15"/>
  <c r="C43" i="15"/>
  <c r="C61" i="15"/>
  <c r="C71" i="15"/>
  <c r="C62" i="15"/>
  <c r="C52" i="15"/>
  <c r="C19" i="15"/>
  <c r="C76" i="15"/>
  <c r="C69" i="15"/>
  <c r="T29" i="16"/>
  <c r="C32" i="15"/>
  <c r="C35" i="15"/>
  <c r="C55" i="15"/>
  <c r="X20" i="16"/>
  <c r="P12" i="16"/>
  <c r="Q8" i="22" s="1"/>
  <c r="C33" i="15"/>
  <c r="C40" i="15"/>
  <c r="C67" i="15"/>
  <c r="C46" i="15"/>
  <c r="P2" i="16"/>
  <c r="C27" i="15"/>
  <c r="B280" i="2" s="1"/>
  <c r="C74" i="15"/>
  <c r="AH31" i="16"/>
  <c r="C57" i="15"/>
  <c r="C48" i="15"/>
  <c r="P19" i="16"/>
  <c r="C21" i="15"/>
  <c r="C45" i="15"/>
  <c r="C66" i="15"/>
  <c r="C58" i="15"/>
  <c r="P35" i="16"/>
  <c r="AB52" i="16"/>
  <c r="C36" i="15"/>
  <c r="G2" i="25"/>
  <c r="C2" i="15"/>
  <c r="T13" i="16"/>
  <c r="AH10" i="16"/>
  <c r="C60" i="15"/>
  <c r="X29" i="16"/>
  <c r="P40" i="16"/>
  <c r="C49" i="15"/>
  <c r="C20" i="15"/>
  <c r="C28" i="15"/>
  <c r="C44" i="15"/>
  <c r="C70" i="15"/>
  <c r="T33" i="16"/>
  <c r="AF33" i="16"/>
  <c r="AF30" i="16"/>
  <c r="N52" i="16"/>
  <c r="AH49" i="16"/>
  <c r="V24" i="16"/>
  <c r="AH17" i="16"/>
  <c r="C17" i="15"/>
  <c r="R3" i="16"/>
  <c r="T3" i="22" s="1"/>
  <c r="C42" i="15"/>
  <c r="C41" i="15"/>
  <c r="T21" i="16"/>
  <c r="Z21" i="16"/>
  <c r="AF21" i="16"/>
  <c r="P20" i="16"/>
  <c r="V20" i="16"/>
  <c r="AH20" i="16"/>
  <c r="AD27" i="16"/>
  <c r="AF26" i="16"/>
  <c r="X48" i="16"/>
  <c r="N41" i="16"/>
  <c r="Z41" i="16"/>
  <c r="X38" i="16"/>
  <c r="Z37" i="16"/>
  <c r="T12" i="16"/>
  <c r="W8" i="22" s="1"/>
  <c r="N4" i="16"/>
  <c r="N4" i="22" s="1"/>
  <c r="C31" i="15"/>
  <c r="C53" i="15"/>
  <c r="C68" i="15"/>
  <c r="C59" i="15"/>
  <c r="AH23" i="16"/>
  <c r="AS59" i="22" s="1"/>
  <c r="V47" i="16"/>
  <c r="AB35" i="16"/>
  <c r="AH5" i="16"/>
  <c r="AS6" i="22" s="1"/>
  <c r="AS48" i="22"/>
  <c r="X58" i="16"/>
  <c r="AD58" i="16"/>
  <c r="N55" i="16"/>
  <c r="T55" i="16"/>
  <c r="Z55" i="16"/>
  <c r="V54" i="16"/>
  <c r="AB54" i="16"/>
  <c r="N36" i="16"/>
  <c r="AB53" i="16"/>
  <c r="Z28" i="16"/>
  <c r="T51" i="16"/>
  <c r="AF51" i="16"/>
  <c r="X49" i="16"/>
  <c r="P36" i="16"/>
  <c r="X24" i="16"/>
  <c r="Z17" i="16"/>
  <c r="X39" i="16"/>
  <c r="Z38" i="16"/>
  <c r="AB37" i="16"/>
  <c r="C18" i="15"/>
  <c r="R9" i="16"/>
  <c r="T5" i="22" s="1"/>
  <c r="AH4" i="16"/>
  <c r="AS4" i="22" s="1"/>
  <c r="G8" i="25"/>
  <c r="G26" i="25"/>
  <c r="G20" i="25"/>
  <c r="G6" i="25"/>
  <c r="G41" i="25"/>
  <c r="G32" i="25"/>
  <c r="G21" i="25"/>
  <c r="G12" i="25"/>
  <c r="G19" i="25"/>
  <c r="G9" i="25"/>
  <c r="G11" i="25"/>
  <c r="G5" i="25"/>
  <c r="G33" i="25"/>
  <c r="G3" i="25"/>
  <c r="I25" i="25"/>
  <c r="I16" i="25"/>
  <c r="I41" i="25"/>
  <c r="I12" i="25"/>
  <c r="I33" i="25"/>
  <c r="I38" i="25"/>
  <c r="I36" i="25"/>
  <c r="I34" i="25"/>
  <c r="I23" i="25"/>
  <c r="I32" i="25"/>
  <c r="I21" i="25"/>
  <c r="I17" i="25"/>
  <c r="I3" i="25"/>
  <c r="I8" i="25"/>
  <c r="I30" i="25"/>
  <c r="I19" i="25"/>
  <c r="I39" i="25"/>
  <c r="I28" i="25"/>
  <c r="I9" i="25"/>
  <c r="I37" i="25"/>
  <c r="I26" i="25"/>
  <c r="I7" i="25"/>
  <c r="I35" i="25"/>
  <c r="I24" i="25"/>
  <c r="I18" i="25"/>
  <c r="I27" i="25"/>
  <c r="I31" i="25"/>
  <c r="I22" i="25"/>
  <c r="I13" i="25"/>
  <c r="I40" i="25"/>
  <c r="I29" i="25"/>
  <c r="I20" i="25"/>
  <c r="F251" i="2"/>
  <c r="H125" i="2"/>
  <c r="F248" i="2"/>
  <c r="H252" i="2"/>
  <c r="AD2" i="22"/>
  <c r="H174" i="2"/>
  <c r="H179" i="2"/>
  <c r="H167" i="2"/>
  <c r="H177" i="2"/>
  <c r="H166" i="2"/>
  <c r="H172" i="2"/>
  <c r="H169" i="2"/>
  <c r="H168" i="2"/>
  <c r="H178" i="2"/>
  <c r="H176" i="2"/>
  <c r="H175" i="2"/>
  <c r="H171" i="2"/>
  <c r="H170" i="2"/>
  <c r="H173" i="2"/>
  <c r="H234" i="2"/>
  <c r="H222" i="2"/>
  <c r="H224" i="2"/>
  <c r="H228" i="2"/>
  <c r="H230" i="2"/>
  <c r="H227" i="2"/>
  <c r="H232" i="2"/>
  <c r="H235" i="2"/>
  <c r="H233" i="2"/>
  <c r="H225" i="2"/>
  <c r="H226" i="2"/>
  <c r="H229" i="2"/>
  <c r="H223" i="2"/>
  <c r="H231" i="2"/>
  <c r="H128" i="2"/>
  <c r="H250" i="2"/>
  <c r="H137" i="2"/>
  <c r="H249" i="2"/>
  <c r="H251" i="2"/>
  <c r="H148" i="2"/>
  <c r="H253" i="2"/>
  <c r="F227" i="2"/>
  <c r="F186" i="2"/>
  <c r="F181" i="2"/>
  <c r="F182" i="2"/>
  <c r="F228" i="2"/>
  <c r="F190" i="2"/>
  <c r="F233" i="2"/>
  <c r="F222" i="2"/>
  <c r="F231" i="2"/>
  <c r="F187" i="2"/>
  <c r="F223" i="2"/>
  <c r="F191" i="2"/>
  <c r="F224" i="2"/>
  <c r="F226" i="2"/>
  <c r="F219" i="2"/>
  <c r="F166" i="2"/>
  <c r="F216" i="2"/>
  <c r="F202" i="2"/>
  <c r="F169" i="2"/>
  <c r="F176" i="2"/>
  <c r="F172" i="2"/>
  <c r="F198" i="2"/>
  <c r="F213" i="2"/>
  <c r="F210" i="2"/>
  <c r="F218" i="2"/>
  <c r="F207" i="2"/>
  <c r="F179" i="2"/>
  <c r="F209" i="2"/>
  <c r="F211" i="2"/>
  <c r="F205" i="2"/>
  <c r="F170" i="2"/>
  <c r="F221" i="2"/>
  <c r="F197" i="2"/>
  <c r="F199" i="2"/>
  <c r="F203" i="2"/>
  <c r="K38" i="15"/>
  <c r="C38" i="15" s="1"/>
  <c r="M37" i="15"/>
  <c r="H248" i="2" s="1"/>
  <c r="K16" i="15"/>
  <c r="C16" i="15" s="1"/>
  <c r="M39" i="15"/>
  <c r="C39" i="15" s="1"/>
  <c r="K14" i="15"/>
  <c r="G14" i="25" s="1"/>
  <c r="M14" i="15"/>
  <c r="I15" i="25" s="1"/>
  <c r="K63" i="15"/>
  <c r="C63" i="15" s="1"/>
  <c r="K15" i="15"/>
  <c r="K24" i="15"/>
  <c r="K23" i="15"/>
  <c r="M5" i="15"/>
  <c r="M6" i="15"/>
  <c r="M4" i="15"/>
  <c r="I4" i="25" s="1"/>
  <c r="H139" i="2"/>
  <c r="H136" i="2"/>
  <c r="H127" i="2"/>
  <c r="H126" i="2"/>
  <c r="H141" i="2"/>
  <c r="H143" i="2"/>
  <c r="H144" i="2"/>
  <c r="H138" i="2"/>
  <c r="H150" i="2"/>
  <c r="H151" i="2"/>
  <c r="H140" i="2"/>
  <c r="H149" i="2"/>
  <c r="H146" i="2"/>
  <c r="K7" i="15"/>
  <c r="H147" i="2"/>
  <c r="H145" i="2"/>
  <c r="H142" i="2"/>
  <c r="F147" i="2"/>
  <c r="M11" i="15"/>
  <c r="H161" i="2" s="1"/>
  <c r="K4" i="15"/>
  <c r="H133" i="2"/>
  <c r="H135" i="2"/>
  <c r="H132" i="2"/>
  <c r="H124" i="2"/>
  <c r="H130" i="2"/>
  <c r="H131" i="2"/>
  <c r="H134" i="2"/>
  <c r="H129" i="2"/>
  <c r="H204" i="2"/>
  <c r="H207" i="2"/>
  <c r="H205" i="2"/>
  <c r="H202" i="2"/>
  <c r="H203" i="2"/>
  <c r="H196" i="2"/>
  <c r="H199" i="2"/>
  <c r="H200" i="2"/>
  <c r="H194" i="2"/>
  <c r="H195" i="2"/>
  <c r="H197" i="2"/>
  <c r="H206" i="2"/>
  <c r="H198" i="2"/>
  <c r="H201" i="2"/>
  <c r="H219" i="2"/>
  <c r="H211" i="2"/>
  <c r="H208" i="2"/>
  <c r="H221" i="2"/>
  <c r="H216" i="2"/>
  <c r="H210" i="2"/>
  <c r="H209" i="2"/>
  <c r="H212" i="2"/>
  <c r="H220" i="2"/>
  <c r="H218" i="2"/>
  <c r="H217" i="2"/>
  <c r="H215" i="2"/>
  <c r="H213" i="2"/>
  <c r="H214" i="2"/>
  <c r="AD5" i="16"/>
  <c r="AM6" i="22" s="1"/>
  <c r="F270" i="2"/>
  <c r="F259" i="2"/>
  <c r="F272" i="2"/>
  <c r="F261" i="2"/>
  <c r="F273" i="2"/>
  <c r="F262" i="2"/>
  <c r="F263" i="2"/>
  <c r="F265" i="2"/>
  <c r="F255" i="2"/>
  <c r="F267" i="2"/>
  <c r="F268" i="2"/>
  <c r="F257" i="2"/>
  <c r="F269" i="2"/>
  <c r="H256" i="2"/>
  <c r="H268" i="2"/>
  <c r="H257" i="2"/>
  <c r="H269" i="2"/>
  <c r="H258" i="2"/>
  <c r="H270" i="2"/>
  <c r="H259" i="2"/>
  <c r="H271" i="2"/>
  <c r="H260" i="2"/>
  <c r="H272" i="2"/>
  <c r="H261" i="2"/>
  <c r="H273" i="2"/>
  <c r="H263" i="2"/>
  <c r="H264" i="2"/>
  <c r="H265" i="2"/>
  <c r="H262" i="2"/>
  <c r="H254" i="2"/>
  <c r="H266" i="2"/>
  <c r="H255" i="2"/>
  <c r="H267" i="2"/>
  <c r="F2" i="2"/>
  <c r="F345" i="2"/>
  <c r="H238" i="2"/>
  <c r="AD4" i="22"/>
  <c r="AD6" i="22"/>
  <c r="N6" i="22"/>
  <c r="N5" i="22"/>
  <c r="Q4" i="22"/>
  <c r="F17" i="2"/>
  <c r="F32" i="2"/>
  <c r="F62" i="2"/>
  <c r="F47" i="2"/>
  <c r="F359" i="2"/>
  <c r="F325" i="2"/>
  <c r="F301" i="2"/>
  <c r="H337" i="2"/>
  <c r="F275" i="2"/>
  <c r="H325" i="2"/>
  <c r="H349" i="2"/>
  <c r="H396" i="2"/>
  <c r="H408" i="2"/>
  <c r="H399" i="2"/>
  <c r="H236" i="2"/>
  <c r="H401" i="2"/>
  <c r="F371" i="2"/>
  <c r="H378" i="2"/>
  <c r="H237" i="2"/>
  <c r="F383" i="2"/>
  <c r="H275" i="2"/>
  <c r="H366" i="2"/>
  <c r="H287" i="2"/>
  <c r="H362" i="2"/>
  <c r="H374" i="2"/>
  <c r="H245" i="2"/>
  <c r="H301" i="2"/>
  <c r="H386" i="2"/>
  <c r="H291" i="2"/>
  <c r="H276" i="2"/>
  <c r="H313" i="2"/>
  <c r="H398" i="2"/>
  <c r="H387" i="2"/>
  <c r="H381" i="2"/>
  <c r="H32" i="2"/>
  <c r="F336" i="2"/>
  <c r="F360" i="2"/>
  <c r="H400" i="2"/>
  <c r="F395" i="2"/>
  <c r="F313" i="2"/>
  <c r="H297" i="2"/>
  <c r="H107" i="2"/>
  <c r="H388" i="2"/>
  <c r="H342" i="2"/>
  <c r="H389" i="2"/>
  <c r="H242" i="2"/>
  <c r="H274" i="2"/>
  <c r="H315" i="2"/>
  <c r="H286" i="2"/>
  <c r="H295" i="2"/>
  <c r="H281" i="2"/>
  <c r="H312" i="2"/>
  <c r="H385" i="2"/>
  <c r="H278" i="2"/>
  <c r="H327" i="2"/>
  <c r="H292" i="2"/>
  <c r="H282" i="2"/>
  <c r="H319" i="2"/>
  <c r="H333" i="2"/>
  <c r="H293" i="2"/>
  <c r="H390" i="2"/>
  <c r="H298" i="2"/>
  <c r="H323" i="2"/>
  <c r="H296" i="2"/>
  <c r="H361" i="2"/>
  <c r="H303" i="2"/>
  <c r="H373" i="2"/>
  <c r="H307" i="2"/>
  <c r="H397" i="2"/>
  <c r="H244" i="2"/>
  <c r="H290" i="2"/>
  <c r="H339" i="2"/>
  <c r="H304" i="2"/>
  <c r="H294" i="2"/>
  <c r="H331" i="2"/>
  <c r="H345" i="2"/>
  <c r="H320" i="2"/>
  <c r="H382" i="2"/>
  <c r="H403" i="2"/>
  <c r="H407" i="2"/>
  <c r="H284" i="2"/>
  <c r="H243" i="2"/>
  <c r="H240" i="2"/>
  <c r="H280" i="2"/>
  <c r="H360" i="2"/>
  <c r="H351" i="2"/>
  <c r="H328" i="2"/>
  <c r="H357" i="2"/>
  <c r="H329" i="2"/>
  <c r="H246" i="2"/>
  <c r="H344" i="2"/>
  <c r="H394" i="2"/>
  <c r="H288" i="2"/>
  <c r="H309" i="2"/>
  <c r="H299" i="2"/>
  <c r="H311" i="2"/>
  <c r="H409" i="2"/>
  <c r="H355" i="2"/>
  <c r="H372" i="2"/>
  <c r="H338" i="2"/>
  <c r="H363" i="2"/>
  <c r="H340" i="2"/>
  <c r="H318" i="2"/>
  <c r="H367" i="2"/>
  <c r="H393" i="2"/>
  <c r="H341" i="2"/>
  <c r="H356" i="2"/>
  <c r="H406" i="2"/>
  <c r="H247" i="2"/>
  <c r="H300" i="2"/>
  <c r="H321" i="2"/>
  <c r="H324" i="2"/>
  <c r="H302" i="2"/>
  <c r="H306" i="2"/>
  <c r="H384" i="2"/>
  <c r="H239" i="2"/>
  <c r="H350" i="2"/>
  <c r="H375" i="2"/>
  <c r="H283" i="2"/>
  <c r="H376" i="2"/>
  <c r="H330" i="2"/>
  <c r="H391" i="2"/>
  <c r="H405" i="2"/>
  <c r="H377" i="2"/>
  <c r="H404" i="2"/>
  <c r="F357" i="2"/>
  <c r="F290" i="2"/>
  <c r="F241" i="2"/>
  <c r="H332" i="2"/>
  <c r="H368" i="2"/>
  <c r="H310" i="2"/>
  <c r="F296" i="2"/>
  <c r="H335" i="2"/>
  <c r="F405" i="2"/>
  <c r="F284" i="2"/>
  <c r="F286" i="2"/>
  <c r="F310" i="2"/>
  <c r="H316" i="2"/>
  <c r="F302" i="2"/>
  <c r="H354" i="2"/>
  <c r="H379" i="2"/>
  <c r="H369" i="2"/>
  <c r="H317" i="2"/>
  <c r="F363" i="2"/>
  <c r="H380" i="2"/>
  <c r="H322" i="2"/>
  <c r="F308" i="2"/>
  <c r="H285" i="2"/>
  <c r="H347" i="2"/>
  <c r="F274" i="2"/>
  <c r="F314" i="2"/>
  <c r="F375" i="2"/>
  <c r="H343" i="2"/>
  <c r="H392" i="2"/>
  <c r="H334" i="2"/>
  <c r="F332" i="2"/>
  <c r="H359" i="2"/>
  <c r="F369" i="2"/>
  <c r="F361" i="2"/>
  <c r="F381" i="2"/>
  <c r="F394" i="2"/>
  <c r="F406" i="2"/>
  <c r="H277" i="2"/>
  <c r="F350" i="2"/>
  <c r="F300" i="2"/>
  <c r="F326" i="2"/>
  <c r="F387" i="2"/>
  <c r="H346" i="2"/>
  <c r="H371" i="2"/>
  <c r="H336" i="2"/>
  <c r="H314" i="2"/>
  <c r="F312" i="2"/>
  <c r="H241" i="2"/>
  <c r="H352" i="2"/>
  <c r="H402" i="2"/>
  <c r="H353" i="2"/>
  <c r="H358" i="2"/>
  <c r="H383" i="2"/>
  <c r="H348" i="2"/>
  <c r="H289" i="2"/>
  <c r="H326" i="2"/>
  <c r="F324" i="2"/>
  <c r="H279" i="2"/>
  <c r="H308" i="2"/>
  <c r="H364" i="2"/>
  <c r="H365" i="2"/>
  <c r="H370" i="2"/>
  <c r="H395" i="2"/>
  <c r="F351" i="2"/>
  <c r="F246" i="2"/>
  <c r="F135" i="2"/>
  <c r="F127" i="2"/>
  <c r="F126" i="2"/>
  <c r="F154" i="2"/>
  <c r="F155" i="2"/>
  <c r="F156" i="2"/>
  <c r="F157" i="2"/>
  <c r="F163" i="2"/>
  <c r="F158" i="2"/>
  <c r="F159" i="2"/>
  <c r="F160" i="2"/>
  <c r="F161" i="2"/>
  <c r="F162" i="2"/>
  <c r="F152" i="2"/>
  <c r="F164" i="2"/>
  <c r="F165" i="2"/>
  <c r="F153" i="2"/>
  <c r="F236" i="2"/>
  <c r="F242" i="2"/>
  <c r="F304" i="2"/>
  <c r="F340" i="2"/>
  <c r="F376" i="2"/>
  <c r="F367" i="2"/>
  <c r="F243" i="2"/>
  <c r="F305" i="2"/>
  <c r="F341" i="2"/>
  <c r="F377" i="2"/>
  <c r="F244" i="2"/>
  <c r="F306" i="2"/>
  <c r="F342" i="2"/>
  <c r="F378" i="2"/>
  <c r="F245" i="2"/>
  <c r="F307" i="2"/>
  <c r="F343" i="2"/>
  <c r="F379" i="2"/>
  <c r="F365" i="2"/>
  <c r="F280" i="2"/>
  <c r="F316" i="2"/>
  <c r="F352" i="2"/>
  <c r="F388" i="2"/>
  <c r="F331" i="2"/>
  <c r="F281" i="2"/>
  <c r="F317" i="2"/>
  <c r="F353" i="2"/>
  <c r="F389" i="2"/>
  <c r="F293" i="2"/>
  <c r="F401" i="2"/>
  <c r="F282" i="2"/>
  <c r="F318" i="2"/>
  <c r="F354" i="2"/>
  <c r="F390" i="2"/>
  <c r="F283" i="2"/>
  <c r="F319" i="2"/>
  <c r="F355" i="2"/>
  <c r="F391" i="2"/>
  <c r="F295" i="2"/>
  <c r="F292" i="2"/>
  <c r="F328" i="2"/>
  <c r="F364" i="2"/>
  <c r="F400" i="2"/>
  <c r="F329" i="2"/>
  <c r="F294" i="2"/>
  <c r="F330" i="2"/>
  <c r="F366" i="2"/>
  <c r="F402" i="2"/>
  <c r="F403" i="2"/>
  <c r="F298" i="2"/>
  <c r="F237" i="2"/>
  <c r="F407" i="2"/>
  <c r="F348" i="2"/>
  <c r="F349" i="2"/>
  <c r="F338" i="2"/>
  <c r="F399" i="2"/>
  <c r="F320" i="2"/>
  <c r="F393" i="2"/>
  <c r="H2" i="2"/>
  <c r="H47" i="2"/>
  <c r="H62" i="2"/>
  <c r="H77" i="2"/>
  <c r="H92" i="2"/>
  <c r="F322" i="2"/>
  <c r="F287" i="2"/>
  <c r="F362" i="2"/>
  <c r="F279" i="2"/>
  <c r="F344" i="2"/>
  <c r="F247" i="2"/>
  <c r="F372" i="2"/>
  <c r="F373" i="2"/>
  <c r="F334" i="2"/>
  <c r="F299" i="2"/>
  <c r="F384" i="2"/>
  <c r="F385" i="2"/>
  <c r="F374" i="2"/>
  <c r="F291" i="2"/>
  <c r="F356" i="2"/>
  <c r="F285" i="2"/>
  <c r="F311" i="2"/>
  <c r="F386" i="2"/>
  <c r="F303" i="2"/>
  <c r="F368" i="2"/>
  <c r="F297" i="2"/>
  <c r="F346" i="2"/>
  <c r="F396" i="2"/>
  <c r="F397" i="2"/>
  <c r="F358" i="2"/>
  <c r="F323" i="2"/>
  <c r="F238" i="2"/>
  <c r="F408" i="2"/>
  <c r="F239" i="2"/>
  <c r="F409" i="2"/>
  <c r="F398" i="2"/>
  <c r="F315" i="2"/>
  <c r="F380" i="2"/>
  <c r="F309" i="2"/>
  <c r="F370" i="2"/>
  <c r="F335" i="2"/>
  <c r="F276" i="2"/>
  <c r="F277" i="2"/>
  <c r="F240" i="2"/>
  <c r="F327" i="2"/>
  <c r="F392" i="2"/>
  <c r="F321" i="2"/>
  <c r="F382" i="2"/>
  <c r="F347" i="2"/>
  <c r="F288" i="2"/>
  <c r="F289" i="2"/>
  <c r="F278" i="2"/>
  <c r="F339" i="2"/>
  <c r="F404" i="2"/>
  <c r="F333" i="2"/>
  <c r="C23" i="15" l="1"/>
  <c r="F95" i="2"/>
  <c r="F97" i="2"/>
  <c r="F94" i="2"/>
  <c r="F93" i="2"/>
  <c r="F96" i="2"/>
  <c r="F98" i="2"/>
  <c r="C24" i="15"/>
  <c r="F112" i="2"/>
  <c r="F111" i="2"/>
  <c r="F110" i="2"/>
  <c r="F113" i="2"/>
  <c r="F108" i="2"/>
  <c r="F109" i="2"/>
  <c r="H19" i="2"/>
  <c r="H23" i="2"/>
  <c r="H20" i="2"/>
  <c r="H22" i="2"/>
  <c r="H18" i="2"/>
  <c r="H21" i="2"/>
  <c r="B7" i="2"/>
  <c r="B3" i="2"/>
  <c r="B4" i="2"/>
  <c r="B5" i="2"/>
  <c r="B6" i="2"/>
  <c r="B8" i="2"/>
  <c r="Z11" i="16"/>
  <c r="AG7" i="22" s="1"/>
  <c r="B64" i="2"/>
  <c r="B66" i="2"/>
  <c r="B68" i="2"/>
  <c r="B63" i="2"/>
  <c r="B65" i="2"/>
  <c r="B67" i="2"/>
  <c r="B79" i="2"/>
  <c r="B81" i="2"/>
  <c r="B83" i="2"/>
  <c r="B78" i="2"/>
  <c r="B80" i="2"/>
  <c r="B82" i="2"/>
  <c r="B52" i="2"/>
  <c r="B49" i="2"/>
  <c r="B53" i="2"/>
  <c r="B50" i="2"/>
  <c r="B48" i="2"/>
  <c r="B51" i="2"/>
  <c r="B186" i="2"/>
  <c r="B77" i="2"/>
  <c r="F77" i="2"/>
  <c r="T14" i="16"/>
  <c r="AD15" i="16"/>
  <c r="AB49" i="16"/>
  <c r="R16" i="16"/>
  <c r="AH41" i="16"/>
  <c r="X51" i="16"/>
  <c r="P41" i="16"/>
  <c r="V49" i="16"/>
  <c r="R6" i="16"/>
  <c r="P39" i="16"/>
  <c r="V29" i="16"/>
  <c r="R54" i="16"/>
  <c r="AH48" i="16"/>
  <c r="P14" i="16"/>
  <c r="AF54" i="16"/>
  <c r="AD21" i="16"/>
  <c r="AB33" i="16"/>
  <c r="V48" i="16"/>
  <c r="AH13" i="16"/>
  <c r="AB58" i="16"/>
  <c r="V51" i="16"/>
  <c r="V26" i="16"/>
  <c r="N28" i="16"/>
  <c r="R58" i="16"/>
  <c r="T26" i="16"/>
  <c r="Z33" i="16"/>
  <c r="AF25" i="16"/>
  <c r="R10" i="16"/>
  <c r="AG42" i="22"/>
  <c r="P53" i="16"/>
  <c r="AJ44" i="22"/>
  <c r="V3" i="16"/>
  <c r="Z3" i="22" s="1"/>
  <c r="R27" i="16"/>
  <c r="AH7" i="16"/>
  <c r="N33" i="16"/>
  <c r="AH36" i="16"/>
  <c r="AB14" i="16"/>
  <c r="AF32" i="16"/>
  <c r="AD39" i="16"/>
  <c r="X25" i="16"/>
  <c r="Z28" i="22"/>
  <c r="AF15" i="16"/>
  <c r="N51" i="16"/>
  <c r="T2" i="16"/>
  <c r="AF45" i="16"/>
  <c r="AD13" i="16"/>
  <c r="R52" i="16"/>
  <c r="V40" i="16"/>
  <c r="AH54" i="16"/>
  <c r="Q25" i="22"/>
  <c r="Z15" i="16"/>
  <c r="Z29" i="16"/>
  <c r="X17" i="16"/>
  <c r="T45" i="16"/>
  <c r="V16" i="16"/>
  <c r="AF19" i="16"/>
  <c r="X41" i="16"/>
  <c r="N45" i="16"/>
  <c r="X14" i="16"/>
  <c r="T24" i="16"/>
  <c r="Z27" i="16"/>
  <c r="AH12" i="16"/>
  <c r="AS8" i="22" s="1"/>
  <c r="Z39" i="16"/>
  <c r="AF42" i="16"/>
  <c r="AF16" i="16"/>
  <c r="N6" i="16"/>
  <c r="T15" i="16"/>
  <c r="P55" i="16"/>
  <c r="P46" i="16"/>
  <c r="Z44" i="16"/>
  <c r="N29" i="16"/>
  <c r="AH11" i="16"/>
  <c r="AS7" i="22" s="1"/>
  <c r="Z30" i="16"/>
  <c r="T3" i="16"/>
  <c r="W3" i="22" s="1"/>
  <c r="Z42" i="16"/>
  <c r="AD6" i="16"/>
  <c r="V13" i="16"/>
  <c r="P37" i="16"/>
  <c r="AF2" i="16"/>
  <c r="V39" i="16"/>
  <c r="N53" i="16"/>
  <c r="R8" i="16"/>
  <c r="T30" i="16"/>
  <c r="P11" i="16"/>
  <c r="Q7" i="22" s="1"/>
  <c r="T42" i="16"/>
  <c r="AD22" i="16"/>
  <c r="AM2" i="22" s="1"/>
  <c r="R49" i="16"/>
  <c r="P23" i="16"/>
  <c r="Q62" i="22" s="1"/>
  <c r="T40" i="16"/>
  <c r="AF18" i="16"/>
  <c r="R7" i="16"/>
  <c r="N30" i="16"/>
  <c r="P7" i="16"/>
  <c r="P44" i="16"/>
  <c r="AF22" i="16"/>
  <c r="AP2" i="22" s="1"/>
  <c r="N50" i="16"/>
  <c r="AF11" i="16"/>
  <c r="AP7" i="22" s="1"/>
  <c r="Z36" i="16"/>
  <c r="F214" i="2"/>
  <c r="F173" i="2"/>
  <c r="F168" i="2"/>
  <c r="F195" i="2"/>
  <c r="F180" i="2"/>
  <c r="F232" i="2"/>
  <c r="F253" i="2"/>
  <c r="G30" i="25"/>
  <c r="G27" i="25"/>
  <c r="B203" i="2"/>
  <c r="G36" i="25"/>
  <c r="C38" i="25"/>
  <c r="G29" i="25"/>
  <c r="C26" i="25"/>
  <c r="G22" i="25"/>
  <c r="I14" i="25"/>
  <c r="F256" i="2"/>
  <c r="F260" i="2"/>
  <c r="F212" i="2"/>
  <c r="F217" i="2"/>
  <c r="F204" i="2"/>
  <c r="F225" i="2"/>
  <c r="F185" i="2"/>
  <c r="F184" i="2"/>
  <c r="G37" i="25"/>
  <c r="C20" i="25"/>
  <c r="F264" i="2"/>
  <c r="F271" i="2"/>
  <c r="F201" i="2"/>
  <c r="F171" i="2"/>
  <c r="F215" i="2"/>
  <c r="F235" i="2"/>
  <c r="F230" i="2"/>
  <c r="F183" i="2"/>
  <c r="G24" i="25"/>
  <c r="G23" i="25"/>
  <c r="G28" i="25"/>
  <c r="Z2" i="16"/>
  <c r="G35" i="25"/>
  <c r="G34" i="25"/>
  <c r="G31" i="25"/>
  <c r="G38" i="25"/>
  <c r="F266" i="2"/>
  <c r="F258" i="2"/>
  <c r="F174" i="2"/>
  <c r="F200" i="2"/>
  <c r="F206" i="2"/>
  <c r="F192" i="2"/>
  <c r="F229" i="2"/>
  <c r="G40" i="25"/>
  <c r="G39" i="25"/>
  <c r="F252" i="2"/>
  <c r="T43" i="16"/>
  <c r="F337" i="2"/>
  <c r="F254" i="2"/>
  <c r="F178" i="2"/>
  <c r="F175" i="2"/>
  <c r="F194" i="2"/>
  <c r="F220" i="2"/>
  <c r="F234" i="2"/>
  <c r="F193" i="2"/>
  <c r="F250" i="2"/>
  <c r="G25" i="25"/>
  <c r="X26" i="16"/>
  <c r="N35" i="16"/>
  <c r="F196" i="2"/>
  <c r="F167" i="2"/>
  <c r="F177" i="2"/>
  <c r="F208" i="2"/>
  <c r="F188" i="2"/>
  <c r="F189" i="2"/>
  <c r="F249" i="2"/>
  <c r="B256" i="2"/>
  <c r="X6" i="16"/>
  <c r="R22" i="16"/>
  <c r="T2" i="22" s="1"/>
  <c r="N40" i="16"/>
  <c r="X53" i="16"/>
  <c r="V58" i="16"/>
  <c r="R37" i="16"/>
  <c r="N27" i="16"/>
  <c r="AF20" i="16"/>
  <c r="X7" i="16"/>
  <c r="AB50" i="16"/>
  <c r="AB31" i="16"/>
  <c r="AH3" i="16"/>
  <c r="AS3" i="22" s="1"/>
  <c r="P49" i="16"/>
  <c r="AH55" i="16"/>
  <c r="P34" i="16"/>
  <c r="AB3" i="16"/>
  <c r="AJ3" i="22" s="1"/>
  <c r="AH26" i="16"/>
  <c r="Z19" i="16"/>
  <c r="AD47" i="16"/>
  <c r="AH30" i="16"/>
  <c r="AD37" i="16"/>
  <c r="T27" i="16"/>
  <c r="Z45" i="16"/>
  <c r="T6" i="16"/>
  <c r="R13" i="16"/>
  <c r="AB16" i="16"/>
  <c r="P13" i="16"/>
  <c r="V10" i="16"/>
  <c r="V17" i="16"/>
  <c r="AF36" i="16"/>
  <c r="P58" i="16"/>
  <c r="P38" i="16"/>
  <c r="V52" i="16"/>
  <c r="Z20" i="16"/>
  <c r="AB8" i="16"/>
  <c r="P50" i="16"/>
  <c r="V31" i="16"/>
  <c r="AD7" i="16"/>
  <c r="Z50" i="16"/>
  <c r="AB55" i="16"/>
  <c r="AD35" i="16"/>
  <c r="AH37" i="16"/>
  <c r="V27" i="16"/>
  <c r="T19" i="16"/>
  <c r="V5" i="16"/>
  <c r="Z6" i="22" s="1"/>
  <c r="AF31" i="16"/>
  <c r="AB41" i="16"/>
  <c r="P29" i="16"/>
  <c r="P17" i="16"/>
  <c r="AH51" i="16"/>
  <c r="AF24" i="16"/>
  <c r="N2" i="16"/>
  <c r="AP37" i="22"/>
  <c r="N39" i="16"/>
  <c r="AH29" i="16"/>
  <c r="T20" i="16"/>
  <c r="AH9" i="16"/>
  <c r="AS5" i="22" s="1"/>
  <c r="Z51" i="16"/>
  <c r="P31" i="16"/>
  <c r="AB9" i="16"/>
  <c r="AJ5" i="22" s="1"/>
  <c r="N49" i="16"/>
  <c r="V55" i="16"/>
  <c r="X47" i="16"/>
  <c r="AF38" i="16"/>
  <c r="AD28" i="16"/>
  <c r="AD20" i="16"/>
  <c r="P47" i="16"/>
  <c r="AD32" i="16"/>
  <c r="Z49" i="16"/>
  <c r="T36" i="16"/>
  <c r="AB43" i="16"/>
  <c r="P25" i="16"/>
  <c r="AB38" i="16"/>
  <c r="AF46" i="16"/>
  <c r="T9" i="16"/>
  <c r="W5" i="22" s="1"/>
  <c r="AH50" i="16"/>
  <c r="P54" i="16"/>
  <c r="AD34" i="16"/>
  <c r="AF8" i="16"/>
  <c r="AH24" i="16"/>
  <c r="Z18" i="16"/>
  <c r="AD46" i="16"/>
  <c r="AD9" i="16"/>
  <c r="AM5" i="22" s="1"/>
  <c r="AF50" i="16"/>
  <c r="AD31" i="16"/>
  <c r="AH47" i="16"/>
  <c r="Z8" i="16"/>
  <c r="T25" i="16"/>
  <c r="N42" i="16"/>
  <c r="AB34" i="16"/>
  <c r="N13" i="16"/>
  <c r="P10" i="16"/>
  <c r="X16" i="16"/>
  <c r="AF13" i="16"/>
  <c r="T10" i="16"/>
  <c r="P9" i="16"/>
  <c r="Q5" i="22" s="1"/>
  <c r="AF49" i="16"/>
  <c r="Z54" i="16"/>
  <c r="W34" i="22"/>
  <c r="V41" i="16"/>
  <c r="AD36" i="16"/>
  <c r="X21" i="16"/>
  <c r="N38" i="16"/>
  <c r="T28" i="16"/>
  <c r="Z32" i="16"/>
  <c r="AH38" i="16"/>
  <c r="AF52" i="16"/>
  <c r="AF58" i="16"/>
  <c r="AB40" i="16"/>
  <c r="AD29" i="16"/>
  <c r="R20" i="16"/>
  <c r="Z34" i="16"/>
  <c r="R53" i="16"/>
  <c r="P45" i="16"/>
  <c r="X45" i="16"/>
  <c r="AB30" i="16"/>
  <c r="N34" i="16"/>
  <c r="P52" i="16"/>
  <c r="V12" i="16"/>
  <c r="Z8" i="22" s="1"/>
  <c r="V50" i="16"/>
  <c r="AF55" i="16"/>
  <c r="V34" i="16"/>
  <c r="AD12" i="16"/>
  <c r="AM8" i="22" s="1"/>
  <c r="V25" i="16"/>
  <c r="T18" i="16"/>
  <c r="V46" i="16"/>
  <c r="V15" i="16"/>
  <c r="T50" i="16"/>
  <c r="X31" i="16"/>
  <c r="Z5" i="16"/>
  <c r="AG6" i="22" s="1"/>
  <c r="T11" i="16"/>
  <c r="W7" i="22" s="1"/>
  <c r="AD26" i="16"/>
  <c r="AD43" i="16"/>
  <c r="T34" i="16"/>
  <c r="V14" i="16"/>
  <c r="P16" i="16"/>
  <c r="AF6" i="16"/>
  <c r="Z14" i="16"/>
  <c r="AH6" i="16"/>
  <c r="AH8" i="16"/>
  <c r="T49" i="16"/>
  <c r="T54" i="16"/>
  <c r="N43" i="22"/>
  <c r="AF48" i="16"/>
  <c r="AD18" i="16"/>
  <c r="R21" i="16"/>
  <c r="AH40" i="16"/>
  <c r="AH53" i="16"/>
  <c r="T32" i="16"/>
  <c r="AF39" i="16"/>
  <c r="R28" i="16"/>
  <c r="Z58" i="16"/>
  <c r="AD41" i="16"/>
  <c r="R29" i="16"/>
  <c r="AH21" i="16"/>
  <c r="AF9" i="16"/>
  <c r="AP5" i="22" s="1"/>
  <c r="AB5" i="16"/>
  <c r="AJ6" i="22" s="1"/>
  <c r="AH42" i="16"/>
  <c r="N43" i="16"/>
  <c r="X46" i="16"/>
  <c r="Z31" i="16"/>
  <c r="AH25" i="16"/>
  <c r="P43" i="16"/>
  <c r="AD19" i="16"/>
  <c r="AH35" i="16"/>
  <c r="AD51" i="16"/>
  <c r="R31" i="16"/>
  <c r="T35" i="16"/>
  <c r="AF12" i="16"/>
  <c r="AP8" i="22" s="1"/>
  <c r="R26" i="16"/>
  <c r="X43" i="16"/>
  <c r="AF5" i="16"/>
  <c r="AP6" i="22" s="1"/>
  <c r="Z6" i="16"/>
  <c r="V6" i="16"/>
  <c r="Z13" i="16"/>
  <c r="AD16" i="16"/>
  <c r="AB13" i="16"/>
  <c r="AB11" i="16"/>
  <c r="AJ7" i="22" s="1"/>
  <c r="AD50" i="16"/>
  <c r="N54" i="16"/>
  <c r="AB46" i="16"/>
  <c r="T4" i="16"/>
  <c r="W4" i="22" s="1"/>
  <c r="T48" i="16"/>
  <c r="X18" i="16"/>
  <c r="AH2" i="16"/>
  <c r="AF17" i="16"/>
  <c r="V53" i="16"/>
  <c r="N32" i="16"/>
  <c r="AD40" i="16"/>
  <c r="AF53" i="16"/>
  <c r="T58" i="16"/>
  <c r="R41" i="16"/>
  <c r="V36" i="16"/>
  <c r="AB21" i="16"/>
  <c r="Z43" i="16"/>
  <c r="AF43" i="16"/>
  <c r="N47" i="16"/>
  <c r="Z47" i="16"/>
  <c r="X32" i="16"/>
  <c r="AB28" i="16"/>
  <c r="X19" i="16"/>
  <c r="AB47" i="16"/>
  <c r="X37" i="16"/>
  <c r="R51" i="16"/>
  <c r="AH32" i="16"/>
  <c r="T5" i="16"/>
  <c r="W6" i="22" s="1"/>
  <c r="AB27" i="16"/>
  <c r="R43" i="16"/>
  <c r="Z23" i="16"/>
  <c r="AG58" i="22" s="1"/>
  <c r="AD14" i="16"/>
  <c r="Z16" i="16"/>
  <c r="AF14" i="16"/>
  <c r="P6" i="16"/>
  <c r="AH22" i="16"/>
  <c r="AS2" i="22" s="1"/>
  <c r="AH15" i="16"/>
  <c r="R50" i="16"/>
  <c r="AD55" i="16"/>
  <c r="T46" i="16"/>
  <c r="R12" i="16"/>
  <c r="T8" i="22" s="1"/>
  <c r="AD25" i="16"/>
  <c r="R18" i="16"/>
  <c r="T17" i="16"/>
  <c r="AB36" i="16"/>
  <c r="AD33" i="16"/>
  <c r="AD17" i="16"/>
  <c r="T53" i="16"/>
  <c r="N58" i="16"/>
  <c r="AB48" i="16"/>
  <c r="AH18" i="16"/>
  <c r="V21" i="16"/>
  <c r="AF37" i="16"/>
  <c r="R2" i="16"/>
  <c r="AD44" i="16"/>
  <c r="AD23" i="16"/>
  <c r="AM52" i="22" s="1"/>
  <c r="AH28" i="16"/>
  <c r="V2" i="16"/>
  <c r="X42" i="16"/>
  <c r="R19" i="16"/>
  <c r="T23" i="16"/>
  <c r="W56" i="22" s="1"/>
  <c r="V38" i="16"/>
  <c r="X28" i="16"/>
  <c r="AB32" i="16"/>
  <c r="V37" i="16"/>
  <c r="P27" i="16"/>
  <c r="AH44" i="16"/>
  <c r="T47" i="16"/>
  <c r="V22" i="16"/>
  <c r="Z2" i="22" s="1"/>
  <c r="T16" i="16"/>
  <c r="T22" i="16"/>
  <c r="W2" i="22" s="1"/>
  <c r="AF10" i="16"/>
  <c r="AB12" i="16"/>
  <c r="AJ8" i="22" s="1"/>
  <c r="AB51" i="16"/>
  <c r="X55" i="16"/>
  <c r="AF23" i="16"/>
  <c r="AP59" i="22" s="1"/>
  <c r="AF7" i="16"/>
  <c r="R25" i="16"/>
  <c r="AH19" i="16"/>
  <c r="AD24" i="16"/>
  <c r="AD30" i="16"/>
  <c r="X33" i="16"/>
  <c r="R17" i="16"/>
  <c r="X36" i="16"/>
  <c r="AM13" i="22"/>
  <c r="P8" i="16"/>
  <c r="P48" i="16"/>
  <c r="AB18" i="16"/>
  <c r="P21" i="16"/>
  <c r="AB17" i="16"/>
  <c r="AF41" i="16"/>
  <c r="AB45" i="16"/>
  <c r="V7" i="16"/>
  <c r="X44" i="16"/>
  <c r="T44" i="16"/>
  <c r="T39" i="16"/>
  <c r="AH27" i="16"/>
  <c r="V32" i="16"/>
  <c r="T38" i="16"/>
  <c r="X52" i="16"/>
  <c r="AB44" i="16"/>
  <c r="R23" i="16"/>
  <c r="T60" i="22" s="1"/>
  <c r="P22" i="16"/>
  <c r="Q2" i="22" s="1"/>
  <c r="AB10" i="16"/>
  <c r="AH16" i="16"/>
  <c r="AD10" i="16"/>
  <c r="T37" i="16"/>
  <c r="P51" i="16"/>
  <c r="R55" i="16"/>
  <c r="Z35" i="16"/>
  <c r="AF3" i="16"/>
  <c r="AP3" i="22" s="1"/>
  <c r="AB26" i="16"/>
  <c r="AB19" i="16"/>
  <c r="AF4" i="16"/>
  <c r="AP4" i="22" s="1"/>
  <c r="R24" i="16"/>
  <c r="X30" i="16"/>
  <c r="R33" i="16"/>
  <c r="AB24" i="16"/>
  <c r="AD54" i="16"/>
  <c r="AD11" i="22"/>
  <c r="V11" i="16"/>
  <c r="Z7" i="22" s="1"/>
  <c r="Z25" i="16"/>
  <c r="V18" i="16"/>
  <c r="AF34" i="16"/>
  <c r="AB25" i="16"/>
  <c r="AH43" i="16"/>
  <c r="Z46" i="16"/>
  <c r="N37" i="16"/>
  <c r="R35" i="16"/>
  <c r="R45" i="16"/>
  <c r="Z52" i="16"/>
  <c r="AB20" i="16"/>
  <c r="R40" i="16"/>
  <c r="Z53" i="16"/>
  <c r="P32" i="16"/>
  <c r="R39" i="16"/>
  <c r="AH52" i="16"/>
  <c r="V44" i="16"/>
  <c r="Z10" i="16"/>
  <c r="AB6" i="16"/>
  <c r="AH14" i="16"/>
  <c r="R14" i="16"/>
  <c r="R38" i="16"/>
  <c r="V28" i="16"/>
  <c r="AH58" i="16"/>
  <c r="R5" i="16"/>
  <c r="T6" i="22" s="1"/>
  <c r="T8" i="16"/>
  <c r="P26" i="16"/>
  <c r="V19" i="16"/>
  <c r="AD8" i="16"/>
  <c r="AD49" i="16"/>
  <c r="R30" i="16"/>
  <c r="P24" i="16"/>
  <c r="X54" i="16"/>
  <c r="AB15" i="16"/>
  <c r="N25" i="16"/>
  <c r="P18" i="16"/>
  <c r="X34" i="16"/>
  <c r="X27" i="16"/>
  <c r="V4" i="16"/>
  <c r="Z4" i="22" s="1"/>
  <c r="AB23" i="16"/>
  <c r="T41" i="16"/>
  <c r="N23" i="16"/>
  <c r="N55" i="22" s="1"/>
  <c r="V45" i="16"/>
  <c r="R34" i="16"/>
  <c r="AD3" i="16"/>
  <c r="AM3" i="22" s="1"/>
  <c r="N48" i="16"/>
  <c r="R15" i="16"/>
  <c r="N31" i="16"/>
  <c r="X23" i="16"/>
  <c r="AD58" i="22" s="1"/>
  <c r="X35" i="16"/>
  <c r="V42" i="16"/>
  <c r="P28" i="16"/>
  <c r="R11" i="16"/>
  <c r="T7" i="22" s="1"/>
  <c r="AD52" i="16"/>
  <c r="AD45" i="16"/>
  <c r="R46" i="16"/>
  <c r="AD42" i="16"/>
  <c r="AD38" i="16"/>
  <c r="AB42" i="16"/>
  <c r="Z7" i="16"/>
  <c r="T52" i="16"/>
  <c r="AF28" i="16"/>
  <c r="Z24" i="16"/>
  <c r="AH39" i="16"/>
  <c r="V30" i="16"/>
  <c r="B148" i="2"/>
  <c r="B276" i="2"/>
  <c r="B201" i="2"/>
  <c r="B216" i="2"/>
  <c r="B143" i="2"/>
  <c r="B281" i="2"/>
  <c r="B235" i="2"/>
  <c r="B170" i="2"/>
  <c r="B141" i="2"/>
  <c r="B185" i="2"/>
  <c r="C34" i="25"/>
  <c r="B142" i="2"/>
  <c r="B231" i="2"/>
  <c r="C41" i="25"/>
  <c r="B305" i="2"/>
  <c r="B232" i="2"/>
  <c r="C31" i="25"/>
  <c r="B277" i="2"/>
  <c r="B227" i="2"/>
  <c r="B215" i="2"/>
  <c r="B217" i="2"/>
  <c r="B167" i="2"/>
  <c r="B171" i="2"/>
  <c r="AF35" i="16"/>
  <c r="B198" i="2"/>
  <c r="B207" i="2"/>
  <c r="T31" i="16"/>
  <c r="B145" i="2"/>
  <c r="B279" i="2"/>
  <c r="B174" i="2"/>
  <c r="B214" i="2"/>
  <c r="P33" i="16"/>
  <c r="AH33" i="16"/>
  <c r="P15" i="16"/>
  <c r="T7" i="16"/>
  <c r="Z40" i="16"/>
  <c r="AF40" i="16"/>
  <c r="R48" i="16"/>
  <c r="V23" i="16"/>
  <c r="Z54" i="22" s="1"/>
  <c r="R32" i="16"/>
  <c r="Z48" i="16"/>
  <c r="N26" i="16"/>
  <c r="AD53" i="16"/>
  <c r="V35" i="16"/>
  <c r="R42" i="16"/>
  <c r="AH46" i="16"/>
  <c r="N44" i="16"/>
  <c r="P5" i="16"/>
  <c r="Q6" i="22" s="1"/>
  <c r="P42" i="16"/>
  <c r="V33" i="16"/>
  <c r="AB7" i="16"/>
  <c r="R36" i="16"/>
  <c r="AB39" i="16"/>
  <c r="X8" i="16"/>
  <c r="R47" i="16"/>
  <c r="AD48" i="16"/>
  <c r="X50" i="16"/>
  <c r="N15" i="16"/>
  <c r="V43" i="16"/>
  <c r="Z26" i="16"/>
  <c r="R44" i="16"/>
  <c r="N24" i="16"/>
  <c r="Q46" i="22"/>
  <c r="Q20" i="22"/>
  <c r="AF44" i="16"/>
  <c r="AF47" i="16"/>
  <c r="AJ16" i="22"/>
  <c r="AJ43" i="22"/>
  <c r="AJ37" i="22"/>
  <c r="AJ25" i="22"/>
  <c r="AJ23" i="22"/>
  <c r="AJ11" i="22"/>
  <c r="AJ49" i="22"/>
  <c r="AS57" i="22"/>
  <c r="AJ35" i="22"/>
  <c r="AJ32" i="22"/>
  <c r="AJ20" i="22"/>
  <c r="Q50" i="22"/>
  <c r="V9" i="16"/>
  <c r="Z5" i="22" s="1"/>
  <c r="AB29" i="16"/>
  <c r="AS44" i="22"/>
  <c r="AS41" i="22"/>
  <c r="AS39" i="22"/>
  <c r="AS27" i="22"/>
  <c r="AS36" i="22"/>
  <c r="AS24" i="22"/>
  <c r="Q47" i="22"/>
  <c r="Q21" i="22"/>
  <c r="Q42" i="22"/>
  <c r="Q51" i="22"/>
  <c r="B278" i="2"/>
  <c r="B140" i="2"/>
  <c r="B289" i="2"/>
  <c r="B190" i="2"/>
  <c r="B193" i="2"/>
  <c r="B212" i="2"/>
  <c r="B208" i="2"/>
  <c r="B187" i="2"/>
  <c r="B222" i="2"/>
  <c r="C36" i="25"/>
  <c r="C24" i="25"/>
  <c r="B272" i="2"/>
  <c r="Q34" i="22"/>
  <c r="Q22" i="22"/>
  <c r="Q35" i="22"/>
  <c r="Q9" i="22"/>
  <c r="Q30" i="22"/>
  <c r="Q39" i="22"/>
  <c r="B236" i="2"/>
  <c r="B149" i="2"/>
  <c r="B288" i="2"/>
  <c r="B275" i="2"/>
  <c r="B176" i="2"/>
  <c r="B173" i="2"/>
  <c r="B184" i="2"/>
  <c r="B192" i="2"/>
  <c r="B204" i="2"/>
  <c r="B189" i="2"/>
  <c r="C25" i="25"/>
  <c r="C28" i="25"/>
  <c r="Z56" i="16"/>
  <c r="Q38" i="22"/>
  <c r="Q23" i="22"/>
  <c r="Q44" i="22"/>
  <c r="Q18" i="22"/>
  <c r="Q27" i="22"/>
  <c r="B242" i="2"/>
  <c r="B151" i="2"/>
  <c r="B238" i="2"/>
  <c r="B306" i="2"/>
  <c r="B196" i="2"/>
  <c r="B194" i="2"/>
  <c r="B230" i="2"/>
  <c r="B224" i="2"/>
  <c r="B233" i="2"/>
  <c r="B205" i="2"/>
  <c r="C23" i="25"/>
  <c r="C22" i="25"/>
  <c r="Q11" i="22"/>
  <c r="Q32" i="22"/>
  <c r="Q48" i="22"/>
  <c r="Q15" i="22"/>
  <c r="B248" i="2"/>
  <c r="B147" i="2"/>
  <c r="B245" i="2"/>
  <c r="B284" i="2"/>
  <c r="B234" i="2"/>
  <c r="B177" i="2"/>
  <c r="B219" i="2"/>
  <c r="B188" i="2"/>
  <c r="B168" i="2"/>
  <c r="B175" i="2"/>
  <c r="C35" i="25"/>
  <c r="C32" i="25"/>
  <c r="Q29" i="22"/>
  <c r="Q10" i="22"/>
  <c r="Q36" i="22"/>
  <c r="B251" i="2"/>
  <c r="B307" i="2"/>
  <c r="B226" i="2"/>
  <c r="B211" i="2"/>
  <c r="B202" i="2"/>
  <c r="B210" i="2"/>
  <c r="B206" i="2"/>
  <c r="B200" i="2"/>
  <c r="C29" i="25"/>
  <c r="Q12" i="22"/>
  <c r="Q14" i="22"/>
  <c r="B138" i="2"/>
  <c r="B290" i="2"/>
  <c r="B237" i="2"/>
  <c r="Q49" i="22"/>
  <c r="Q43" i="22"/>
  <c r="Q40" i="22"/>
  <c r="B246" i="2"/>
  <c r="B146" i="2"/>
  <c r="B286" i="2"/>
  <c r="B239" i="2"/>
  <c r="B243" i="2"/>
  <c r="B220" i="2"/>
  <c r="B197" i="2"/>
  <c r="B172" i="2"/>
  <c r="B179" i="2"/>
  <c r="B228" i="2"/>
  <c r="B229" i="2"/>
  <c r="C33" i="25"/>
  <c r="Q17" i="22"/>
  <c r="Q24" i="22"/>
  <c r="Q31" i="22"/>
  <c r="Q28" i="22"/>
  <c r="B303" i="2"/>
  <c r="B144" i="2"/>
  <c r="B285" i="2"/>
  <c r="B304" i="2"/>
  <c r="B283" i="2"/>
  <c r="B169" i="2"/>
  <c r="B195" i="2"/>
  <c r="B225" i="2"/>
  <c r="B221" i="2"/>
  <c r="B209" i="2"/>
  <c r="B182" i="2"/>
  <c r="C40" i="25"/>
  <c r="AD11" i="16"/>
  <c r="AM7" i="22" s="1"/>
  <c r="Q13" i="22"/>
  <c r="Q45" i="22"/>
  <c r="Q16" i="22"/>
  <c r="B150" i="2"/>
  <c r="B244" i="2"/>
  <c r="B223" i="2"/>
  <c r="B213" i="2"/>
  <c r="B218" i="2"/>
  <c r="B181" i="2"/>
  <c r="B180" i="2"/>
  <c r="C30" i="25"/>
  <c r="C39" i="25"/>
  <c r="Q26" i="22"/>
  <c r="Q19" i="22"/>
  <c r="Q37" i="22"/>
  <c r="Q33" i="22"/>
  <c r="B308" i="2"/>
  <c r="B139" i="2"/>
  <c r="B287" i="2"/>
  <c r="B166" i="2"/>
  <c r="B183" i="2"/>
  <c r="B178" i="2"/>
  <c r="B199" i="2"/>
  <c r="B191" i="2"/>
  <c r="C37" i="25"/>
  <c r="C27" i="25"/>
  <c r="X40" i="16"/>
  <c r="AH56" i="16"/>
  <c r="AH34" i="16"/>
  <c r="AF29" i="16"/>
  <c r="AH45" i="16"/>
  <c r="N46" i="16"/>
  <c r="P30" i="16"/>
  <c r="AF27" i="16"/>
  <c r="AS32" i="22"/>
  <c r="AS58" i="22"/>
  <c r="X12" i="16"/>
  <c r="AD8" i="22" s="1"/>
  <c r="N20" i="16"/>
  <c r="B258" i="2"/>
  <c r="B255" i="2"/>
  <c r="AF56" i="16"/>
  <c r="P56" i="16"/>
  <c r="B125" i="2"/>
  <c r="B163" i="2"/>
  <c r="B358" i="2"/>
  <c r="B313" i="2"/>
  <c r="B384" i="2"/>
  <c r="B359" i="2"/>
  <c r="B355" i="2"/>
  <c r="B390" i="2"/>
  <c r="B401" i="2"/>
  <c r="B333" i="2"/>
  <c r="B311" i="2"/>
  <c r="B291" i="2"/>
  <c r="B374" i="2"/>
  <c r="B310" i="2"/>
  <c r="B362" i="2"/>
  <c r="B364" i="2"/>
  <c r="B134" i="2"/>
  <c r="B335" i="2"/>
  <c r="AD56" i="16"/>
  <c r="B347" i="2"/>
  <c r="B325" i="2"/>
  <c r="B315" i="2"/>
  <c r="B266" i="2"/>
  <c r="N56" i="16"/>
  <c r="Z57" i="16"/>
  <c r="B124" i="2"/>
  <c r="B152" i="2"/>
  <c r="B345" i="2"/>
  <c r="B301" i="2"/>
  <c r="B372" i="2"/>
  <c r="B406" i="2"/>
  <c r="B343" i="2"/>
  <c r="B378" i="2"/>
  <c r="B389" i="2"/>
  <c r="B344" i="2"/>
  <c r="B241" i="2"/>
  <c r="B330" i="2"/>
  <c r="B294" i="2"/>
  <c r="B296" i="2"/>
  <c r="B249" i="2"/>
  <c r="B254" i="2"/>
  <c r="P57" i="16"/>
  <c r="B164" i="2"/>
  <c r="B247" i="2"/>
  <c r="B360" i="2"/>
  <c r="B369" i="2"/>
  <c r="B331" i="2"/>
  <c r="B366" i="2"/>
  <c r="B377" i="2"/>
  <c r="B400" i="2"/>
  <c r="B309" i="2"/>
  <c r="B123" i="2"/>
  <c r="B350" i="2"/>
  <c r="B338" i="2"/>
  <c r="B314" i="2"/>
  <c r="B332" i="2"/>
  <c r="B381" i="2"/>
  <c r="B408" i="2"/>
  <c r="AD57" i="16"/>
  <c r="B132" i="2"/>
  <c r="B402" i="2"/>
  <c r="B274" i="2"/>
  <c r="N57" i="16"/>
  <c r="B153" i="2"/>
  <c r="B356" i="2"/>
  <c r="B348" i="2"/>
  <c r="B321" i="2"/>
  <c r="B319" i="2"/>
  <c r="B354" i="2"/>
  <c r="B365" i="2"/>
  <c r="B388" i="2"/>
  <c r="B380" i="2"/>
  <c r="B299" i="2"/>
  <c r="B160" i="2"/>
  <c r="B300" i="2"/>
  <c r="B357" i="2"/>
  <c r="B391" i="2"/>
  <c r="B398" i="2"/>
  <c r="B252" i="2"/>
  <c r="B253" i="2"/>
  <c r="B137" i="2"/>
  <c r="B157" i="2"/>
  <c r="B165" i="2"/>
  <c r="B409" i="2"/>
  <c r="B407" i="2"/>
  <c r="B336" i="2"/>
  <c r="B322" i="2"/>
  <c r="B295" i="2"/>
  <c r="B342" i="2"/>
  <c r="B353" i="2"/>
  <c r="B376" i="2"/>
  <c r="B399" i="2"/>
  <c r="B383" i="2"/>
  <c r="B326" i="2"/>
  <c r="B397" i="2"/>
  <c r="B324" i="2"/>
  <c r="B371" i="2"/>
  <c r="B341" i="2"/>
  <c r="T56" i="16"/>
  <c r="B405" i="2"/>
  <c r="B340" i="2"/>
  <c r="B122" i="2"/>
  <c r="B320" i="2"/>
  <c r="B339" i="2"/>
  <c r="B270" i="2"/>
  <c r="B129" i="2"/>
  <c r="B368" i="2"/>
  <c r="B267" i="2"/>
  <c r="B130" i="2"/>
  <c r="B394" i="2"/>
  <c r="B297" i="2"/>
  <c r="B240" i="2"/>
  <c r="B264" i="2"/>
  <c r="R56" i="16"/>
  <c r="X57" i="16"/>
  <c r="B159" i="2"/>
  <c r="B154" i="2"/>
  <c r="B323" i="2"/>
  <c r="B387" i="2"/>
  <c r="B373" i="2"/>
  <c r="B363" i="2"/>
  <c r="B260" i="2"/>
  <c r="B136" i="2"/>
  <c r="B337" i="2"/>
  <c r="B250" i="2"/>
  <c r="B263" i="2"/>
  <c r="R57" i="16"/>
  <c r="AH57" i="16"/>
  <c r="B158" i="2"/>
  <c r="B131" i="2"/>
  <c r="B156" i="2"/>
  <c r="B385" i="2"/>
  <c r="B298" i="2"/>
  <c r="B312" i="2"/>
  <c r="B346" i="2"/>
  <c r="B395" i="2"/>
  <c r="B318" i="2"/>
  <c r="B329" i="2"/>
  <c r="B352" i="2"/>
  <c r="B375" i="2"/>
  <c r="B370" i="2"/>
  <c r="B302" i="2"/>
  <c r="B135" i="2"/>
  <c r="B262" i="2"/>
  <c r="V57" i="16"/>
  <c r="B126" i="2"/>
  <c r="B317" i="2"/>
  <c r="B316" i="2"/>
  <c r="T57" i="16"/>
  <c r="B379" i="2"/>
  <c r="B327" i="2"/>
  <c r="B269" i="2"/>
  <c r="AB56" i="16"/>
  <c r="B367" i="2"/>
  <c r="B257" i="2"/>
  <c r="B271" i="2"/>
  <c r="B273" i="2"/>
  <c r="X56" i="16"/>
  <c r="V56" i="16"/>
  <c r="B161" i="2"/>
  <c r="B127" i="2"/>
  <c r="B155" i="2"/>
  <c r="B361" i="2"/>
  <c r="B392" i="2"/>
  <c r="B403" i="2"/>
  <c r="B382" i="2"/>
  <c r="B282" i="2"/>
  <c r="B293" i="2"/>
  <c r="B328" i="2"/>
  <c r="B351" i="2"/>
  <c r="B404" i="2"/>
  <c r="B349" i="2"/>
  <c r="B268" i="2"/>
  <c r="B393" i="2"/>
  <c r="B334" i="2"/>
  <c r="B265" i="2"/>
  <c r="B259" i="2"/>
  <c r="B261" i="2"/>
  <c r="AB57" i="16"/>
  <c r="AF57" i="16"/>
  <c r="B162" i="2"/>
  <c r="B128" i="2"/>
  <c r="B133" i="2"/>
  <c r="B292" i="2"/>
  <c r="B396" i="2"/>
  <c r="B386" i="2"/>
  <c r="F92" i="2"/>
  <c r="AS56" i="22"/>
  <c r="AS55" i="22"/>
  <c r="C11" i="15"/>
  <c r="Z4" i="16" s="1"/>
  <c r="AG4" i="22" s="1"/>
  <c r="AS54" i="22"/>
  <c r="AS53" i="22"/>
  <c r="AS63" i="22"/>
  <c r="AS62" i="22"/>
  <c r="AS52" i="22"/>
  <c r="AS61" i="22"/>
  <c r="AS60" i="22"/>
  <c r="AS47" i="22"/>
  <c r="AS17" i="22"/>
  <c r="AS50" i="22"/>
  <c r="AJ19" i="22"/>
  <c r="AJ30" i="22"/>
  <c r="AJ13" i="22"/>
  <c r="AJ46" i="22"/>
  <c r="I5" i="25"/>
  <c r="C5" i="15"/>
  <c r="AS35" i="22"/>
  <c r="AS34" i="22"/>
  <c r="AS38" i="22"/>
  <c r="AJ51" i="22"/>
  <c r="AJ31" i="22"/>
  <c r="AJ34" i="22"/>
  <c r="B92" i="2"/>
  <c r="AB2" i="16"/>
  <c r="C21" i="25"/>
  <c r="N21" i="16"/>
  <c r="Z12" i="16"/>
  <c r="AG8" i="22" s="1"/>
  <c r="AS12" i="22"/>
  <c r="I6" i="25"/>
  <c r="C6" i="15"/>
  <c r="AJ41" i="22"/>
  <c r="AJ22" i="22"/>
  <c r="AD2" i="16"/>
  <c r="AS20" i="22"/>
  <c r="AS22" i="22"/>
  <c r="AS11" i="22"/>
  <c r="AS31" i="22"/>
  <c r="AS40" i="22"/>
  <c r="AS14" i="22"/>
  <c r="AJ29" i="22"/>
  <c r="AJ27" i="22"/>
  <c r="AJ10" i="22"/>
  <c r="G16" i="25"/>
  <c r="C15" i="15"/>
  <c r="AS26" i="22"/>
  <c r="AS28" i="22"/>
  <c r="AS49" i="22"/>
  <c r="AJ15" i="22"/>
  <c r="AJ48" i="22"/>
  <c r="AJ45" i="22"/>
  <c r="AS23" i="22"/>
  <c r="AJ42" i="22"/>
  <c r="AS10" i="22"/>
  <c r="AJ17" i="22"/>
  <c r="H17" i="2"/>
  <c r="AS45" i="22"/>
  <c r="AS16" i="22"/>
  <c r="AS37" i="22"/>
  <c r="AJ50" i="22"/>
  <c r="AJ36" i="22"/>
  <c r="AJ33" i="22"/>
  <c r="F107" i="2"/>
  <c r="G4" i="25"/>
  <c r="C4" i="15"/>
  <c r="C19" i="25"/>
  <c r="X11" i="16"/>
  <c r="AD7" i="22" s="1"/>
  <c r="N19" i="16"/>
  <c r="C18" i="25"/>
  <c r="Z9" i="16"/>
  <c r="AG5" i="22" s="1"/>
  <c r="N12" i="16"/>
  <c r="N8" i="22" s="1"/>
  <c r="AS15" i="22"/>
  <c r="AJ39" i="22"/>
  <c r="AS19" i="22"/>
  <c r="AS33" i="22"/>
  <c r="AS42" i="22"/>
  <c r="AS25" i="22"/>
  <c r="AJ18" i="22"/>
  <c r="AJ38" i="22"/>
  <c r="AJ24" i="22"/>
  <c r="AJ21" i="22"/>
  <c r="G15" i="25"/>
  <c r="C14" i="15"/>
  <c r="B62" i="2"/>
  <c r="X2" i="16"/>
  <c r="AS29" i="22"/>
  <c r="AS43" i="22"/>
  <c r="AS21" i="22"/>
  <c r="AS30" i="22"/>
  <c r="AS46" i="22"/>
  <c r="AS13" i="22"/>
  <c r="AJ40" i="22"/>
  <c r="AJ26" i="22"/>
  <c r="AJ12" i="22"/>
  <c r="AJ9" i="22"/>
  <c r="F134" i="2"/>
  <c r="C7" i="15"/>
  <c r="AS9" i="22"/>
  <c r="AS18" i="22"/>
  <c r="AS51" i="22"/>
  <c r="AJ28" i="22"/>
  <c r="AJ14" i="22"/>
  <c r="AJ47" i="22"/>
  <c r="C17" i="25"/>
  <c r="X9" i="16"/>
  <c r="AD5" i="22" s="1"/>
  <c r="N11" i="16"/>
  <c r="N7" i="22" s="1"/>
  <c r="C2" i="25"/>
  <c r="N22" i="16"/>
  <c r="N2" i="22" s="1"/>
  <c r="X15" i="16"/>
  <c r="B2" i="2"/>
  <c r="C37" i="15"/>
  <c r="I11" i="25"/>
  <c r="G7" i="25"/>
  <c r="G17" i="25"/>
  <c r="G18" i="25"/>
  <c r="G13" i="25"/>
  <c r="H305" i="2"/>
  <c r="F129" i="2"/>
  <c r="F130" i="2"/>
  <c r="H123" i="2"/>
  <c r="H122" i="2"/>
  <c r="H190" i="2"/>
  <c r="H191" i="2"/>
  <c r="H180" i="2"/>
  <c r="H186" i="2"/>
  <c r="H193" i="2"/>
  <c r="H192" i="2"/>
  <c r="H187" i="2"/>
  <c r="H188" i="2"/>
  <c r="H189" i="2"/>
  <c r="H181" i="2"/>
  <c r="H183" i="2"/>
  <c r="H184" i="2"/>
  <c r="H182" i="2"/>
  <c r="H185" i="2"/>
  <c r="F146" i="2"/>
  <c r="F133" i="2"/>
  <c r="F125" i="2"/>
  <c r="F137" i="2"/>
  <c r="F136" i="2"/>
  <c r="F124" i="2"/>
  <c r="F132" i="2"/>
  <c r="F128" i="2"/>
  <c r="F131" i="2"/>
  <c r="F145" i="2"/>
  <c r="F144" i="2"/>
  <c r="F151" i="2"/>
  <c r="F143" i="2"/>
  <c r="F141" i="2"/>
  <c r="F140" i="2"/>
  <c r="F139" i="2"/>
  <c r="F150" i="2"/>
  <c r="F142" i="2"/>
  <c r="F149" i="2"/>
  <c r="F138" i="2"/>
  <c r="F148" i="2"/>
  <c r="H154" i="2"/>
  <c r="H162" i="2"/>
  <c r="H159" i="2"/>
  <c r="H155" i="2"/>
  <c r="H152" i="2"/>
  <c r="H156" i="2"/>
  <c r="H163" i="2"/>
  <c r="H157" i="2"/>
  <c r="H158" i="2"/>
  <c r="H165" i="2"/>
  <c r="H164" i="2"/>
  <c r="H153" i="2"/>
  <c r="H160" i="2"/>
  <c r="F122" i="2"/>
  <c r="F123" i="2"/>
  <c r="B108" i="2" l="1"/>
  <c r="B109" i="2"/>
  <c r="B113" i="2"/>
  <c r="B112" i="2"/>
  <c r="B111" i="2"/>
  <c r="B110" i="2"/>
  <c r="N10" i="16"/>
  <c r="B107" i="2"/>
  <c r="B20" i="2"/>
  <c r="B18" i="2"/>
  <c r="B21" i="2"/>
  <c r="B22" i="2"/>
  <c r="B19" i="2"/>
  <c r="B23" i="2"/>
  <c r="B95" i="2"/>
  <c r="B97" i="2"/>
  <c r="B94" i="2"/>
  <c r="B93" i="2"/>
  <c r="B96" i="2"/>
  <c r="B98" i="2"/>
  <c r="Z48" i="22"/>
  <c r="W13" i="22"/>
  <c r="AM46" i="22"/>
  <c r="Z10" i="22"/>
  <c r="AM31" i="22"/>
  <c r="AM34" i="22"/>
  <c r="AM23" i="22"/>
  <c r="AG10" i="22"/>
  <c r="AM43" i="22"/>
  <c r="AG48" i="22"/>
  <c r="AM41" i="22"/>
  <c r="AM9" i="22"/>
  <c r="Q59" i="22"/>
  <c r="AM28" i="22"/>
  <c r="AM51" i="22"/>
  <c r="AM38" i="22"/>
  <c r="AG33" i="22"/>
  <c r="AM14" i="22"/>
  <c r="AM36" i="22"/>
  <c r="Z23" i="22"/>
  <c r="AG17" i="22"/>
  <c r="AM29" i="22"/>
  <c r="AG30" i="22"/>
  <c r="AM40" i="22"/>
  <c r="AM17" i="22"/>
  <c r="Z38" i="22"/>
  <c r="AM11" i="22"/>
  <c r="AM32" i="22"/>
  <c r="AM33" i="22"/>
  <c r="AM49" i="22"/>
  <c r="AM35" i="22"/>
  <c r="AM47" i="22"/>
  <c r="AM24" i="22"/>
  <c r="Z27" i="22"/>
  <c r="Q60" i="22"/>
  <c r="Z13" i="22"/>
  <c r="AM42" i="22"/>
  <c r="Z37" i="22"/>
  <c r="AG25" i="22"/>
  <c r="AM44" i="22"/>
  <c r="AM26" i="22"/>
  <c r="AM50" i="22"/>
  <c r="AG44" i="22"/>
  <c r="Z51" i="22"/>
  <c r="Z44" i="22"/>
  <c r="Z30" i="22"/>
  <c r="AG18" i="22"/>
  <c r="AG36" i="22"/>
  <c r="AG38" i="22"/>
  <c r="Z22" i="22"/>
  <c r="Z11" i="22"/>
  <c r="Z9" i="22"/>
  <c r="AG39" i="22"/>
  <c r="AG31" i="22"/>
  <c r="AG34" i="22"/>
  <c r="AG32" i="22"/>
  <c r="Z29" i="22"/>
  <c r="Z25" i="22"/>
  <c r="Z42" i="22"/>
  <c r="AG21" i="22"/>
  <c r="AG37" i="22"/>
  <c r="AG23" i="22"/>
  <c r="Z12" i="22"/>
  <c r="Z34" i="22"/>
  <c r="Z50" i="22"/>
  <c r="Z21" i="22"/>
  <c r="AG12" i="22"/>
  <c r="AG28" i="22"/>
  <c r="AG14" i="22"/>
  <c r="Z19" i="22"/>
  <c r="Z31" i="22"/>
  <c r="Z17" i="22"/>
  <c r="Z18" i="22"/>
  <c r="Z33" i="22"/>
  <c r="AG24" i="22"/>
  <c r="AG29" i="22"/>
  <c r="AG46" i="22"/>
  <c r="Z20" i="22"/>
  <c r="Z49" i="22"/>
  <c r="Z39" i="22"/>
  <c r="AG15" i="22"/>
  <c r="AG35" i="22"/>
  <c r="AG50" i="22"/>
  <c r="Z16" i="22"/>
  <c r="Z24" i="22"/>
  <c r="Z46" i="22"/>
  <c r="Z47" i="22"/>
  <c r="AG51" i="22"/>
  <c r="AG40" i="22"/>
  <c r="AG41" i="22"/>
  <c r="AG47" i="22"/>
  <c r="Z45" i="22"/>
  <c r="Z40" i="22"/>
  <c r="Z26" i="22"/>
  <c r="Z15" i="22"/>
  <c r="AG9" i="22"/>
  <c r="AG16" i="22"/>
  <c r="AG43" i="22"/>
  <c r="AG20" i="22"/>
  <c r="AG27" i="22"/>
  <c r="Z43" i="22"/>
  <c r="Z32" i="22"/>
  <c r="Z35" i="22"/>
  <c r="AG26" i="22"/>
  <c r="AG19" i="22"/>
  <c r="AG22" i="22"/>
  <c r="AG11" i="22"/>
  <c r="Z36" i="22"/>
  <c r="Z41" i="22"/>
  <c r="Z14" i="22"/>
  <c r="AG45" i="22"/>
  <c r="AG13" i="22"/>
  <c r="AG49" i="22"/>
  <c r="Q41" i="22"/>
  <c r="AD52" i="22"/>
  <c r="AM25" i="22"/>
  <c r="AM37" i="22"/>
  <c r="AM48" i="22"/>
  <c r="AM21" i="22"/>
  <c r="AD54" i="22"/>
  <c r="AP34" i="22"/>
  <c r="AD59" i="22"/>
  <c r="AG53" i="22"/>
  <c r="T61" i="22"/>
  <c r="AP18" i="22"/>
  <c r="AP25" i="22"/>
  <c r="AG54" i="22"/>
  <c r="AP12" i="22"/>
  <c r="AD57" i="22"/>
  <c r="AP10" i="22"/>
  <c r="AG60" i="22"/>
  <c r="AG61" i="22"/>
  <c r="AG62" i="22"/>
  <c r="AP19" i="22"/>
  <c r="AG63" i="22"/>
  <c r="AP13" i="22"/>
  <c r="AM57" i="22"/>
  <c r="AD63" i="22"/>
  <c r="AM58" i="22"/>
  <c r="AM60" i="22"/>
  <c r="AD60" i="22"/>
  <c r="AM62" i="22"/>
  <c r="T55" i="22"/>
  <c r="AM61" i="22"/>
  <c r="AM63" i="22"/>
  <c r="AM53" i="22"/>
  <c r="T52" i="22"/>
  <c r="N63" i="22"/>
  <c r="T59" i="22"/>
  <c r="T57" i="22"/>
  <c r="AM56" i="22"/>
  <c r="Q55" i="22"/>
  <c r="Q53" i="22"/>
  <c r="AP53" i="22"/>
  <c r="AD55" i="22"/>
  <c r="Q63" i="22"/>
  <c r="Q54" i="22"/>
  <c r="W27" i="22"/>
  <c r="AP62" i="22"/>
  <c r="W25" i="22"/>
  <c r="Q56" i="22"/>
  <c r="Q61" i="22"/>
  <c r="Q57" i="22"/>
  <c r="Q58" i="22"/>
  <c r="Q52" i="22"/>
  <c r="W46" i="22"/>
  <c r="W41" i="22"/>
  <c r="W15" i="22"/>
  <c r="W28" i="22"/>
  <c r="W50" i="22"/>
  <c r="W38" i="22"/>
  <c r="W33" i="22"/>
  <c r="W51" i="22"/>
  <c r="W31" i="22"/>
  <c r="W37" i="22"/>
  <c r="W12" i="22"/>
  <c r="W45" i="22"/>
  <c r="W44" i="22"/>
  <c r="W43" i="22"/>
  <c r="W14" i="22"/>
  <c r="AP57" i="22"/>
  <c r="AP56" i="22"/>
  <c r="W11" i="22"/>
  <c r="W24" i="22"/>
  <c r="W30" i="22"/>
  <c r="W49" i="22"/>
  <c r="W29" i="22"/>
  <c r="W40" i="22"/>
  <c r="W39" i="22"/>
  <c r="W36" i="22"/>
  <c r="W10" i="22"/>
  <c r="W26" i="22"/>
  <c r="AP52" i="22"/>
  <c r="W16" i="22"/>
  <c r="W9" i="22"/>
  <c r="AP54" i="22"/>
  <c r="AP55" i="22"/>
  <c r="W32" i="22"/>
  <c r="W18" i="22"/>
  <c r="AP63" i="22"/>
  <c r="W17" i="22"/>
  <c r="W19" i="22"/>
  <c r="W48" i="22"/>
  <c r="W22" i="22"/>
  <c r="W42" i="22"/>
  <c r="AM12" i="22"/>
  <c r="AM39" i="22"/>
  <c r="AG59" i="22"/>
  <c r="W20" i="22"/>
  <c r="W35" i="22"/>
  <c r="W47" i="22"/>
  <c r="W21" i="22"/>
  <c r="AM59" i="22"/>
  <c r="W23" i="22"/>
  <c r="AD62" i="22"/>
  <c r="AD61" i="22"/>
  <c r="AP36" i="22"/>
  <c r="AP40" i="22"/>
  <c r="T63" i="22"/>
  <c r="AP15" i="22"/>
  <c r="AP22" i="22"/>
  <c r="AM45" i="22"/>
  <c r="AM20" i="22"/>
  <c r="AM15" i="22"/>
  <c r="AM18" i="22"/>
  <c r="AM30" i="22"/>
  <c r="AG55" i="22"/>
  <c r="AP24" i="22"/>
  <c r="AP39" i="22"/>
  <c r="AP30" i="22"/>
  <c r="AP48" i="22"/>
  <c r="AP27" i="22"/>
  <c r="AP9" i="22"/>
  <c r="B47" i="2"/>
  <c r="R4" i="16"/>
  <c r="T4" i="22" s="1"/>
  <c r="C14" i="25"/>
  <c r="X10" i="16"/>
  <c r="Z53" i="22"/>
  <c r="Z60" i="22"/>
  <c r="N57" i="22"/>
  <c r="AG57" i="22"/>
  <c r="AP50" i="22"/>
  <c r="AP45" i="22"/>
  <c r="AP43" i="22"/>
  <c r="AP51" i="22"/>
  <c r="AP32" i="22"/>
  <c r="AP44" i="22"/>
  <c r="AP47" i="22"/>
  <c r="AP49" i="22"/>
  <c r="AP23" i="22"/>
  <c r="AP35" i="22"/>
  <c r="AP38" i="22"/>
  <c r="AP28" i="22"/>
  <c r="AP14" i="22"/>
  <c r="AP26" i="22"/>
  <c r="AP41" i="22"/>
  <c r="AP16" i="22"/>
  <c r="AP42" i="22"/>
  <c r="AP31" i="22"/>
  <c r="AP20" i="22"/>
  <c r="AP17" i="22"/>
  <c r="AP29" i="22"/>
  <c r="N52" i="22"/>
  <c r="AP33" i="22"/>
  <c r="AP11" i="22"/>
  <c r="N61" i="22"/>
  <c r="N62" i="22"/>
  <c r="AP61" i="22"/>
  <c r="N58" i="22"/>
  <c r="N53" i="22"/>
  <c r="N54" i="22"/>
  <c r="N56" i="22"/>
  <c r="N59" i="22"/>
  <c r="AP60" i="22"/>
  <c r="AP58" i="22"/>
  <c r="AG52" i="22"/>
  <c r="T62" i="22"/>
  <c r="N37" i="22"/>
  <c r="N38" i="22"/>
  <c r="N13" i="22"/>
  <c r="AD49" i="22"/>
  <c r="AD33" i="22"/>
  <c r="N15" i="22"/>
  <c r="AD31" i="22"/>
  <c r="AD26" i="22"/>
  <c r="N44" i="22"/>
  <c r="W52" i="22"/>
  <c r="W53" i="22"/>
  <c r="N10" i="22"/>
  <c r="N60" i="22"/>
  <c r="AD39" i="22"/>
  <c r="AD22" i="22"/>
  <c r="N41" i="22"/>
  <c r="N35" i="22"/>
  <c r="N48" i="22"/>
  <c r="T58" i="22"/>
  <c r="T56" i="22"/>
  <c r="AG56" i="22"/>
  <c r="T53" i="22"/>
  <c r="AD40" i="22"/>
  <c r="AD18" i="22"/>
  <c r="AD23" i="22"/>
  <c r="N14" i="22"/>
  <c r="N21" i="22"/>
  <c r="N18" i="22"/>
  <c r="N16" i="22"/>
  <c r="N31" i="22"/>
  <c r="N39" i="22"/>
  <c r="N12" i="22"/>
  <c r="N34" i="22"/>
  <c r="N28" i="22"/>
  <c r="W60" i="22"/>
  <c r="N19" i="22"/>
  <c r="N26" i="22"/>
  <c r="AD37" i="22"/>
  <c r="AD17" i="22"/>
  <c r="W62" i="22"/>
  <c r="N50" i="22"/>
  <c r="W54" i="22"/>
  <c r="N46" i="22"/>
  <c r="AD48" i="22"/>
  <c r="N32" i="22"/>
  <c r="N30" i="22"/>
  <c r="AD14" i="22"/>
  <c r="W57" i="22"/>
  <c r="N42" i="22"/>
  <c r="N25" i="22"/>
  <c r="AD38" i="22"/>
  <c r="AD13" i="22"/>
  <c r="AD42" i="22"/>
  <c r="AD19" i="22"/>
  <c r="AD10" i="22"/>
  <c r="N23" i="22"/>
  <c r="AD21" i="22"/>
  <c r="AD25" i="22"/>
  <c r="AD43" i="22"/>
  <c r="N20" i="22"/>
  <c r="AD44" i="22"/>
  <c r="N45" i="22"/>
  <c r="N51" i="22"/>
  <c r="N36" i="22"/>
  <c r="AD28" i="22"/>
  <c r="AD46" i="22"/>
  <c r="W63" i="22"/>
  <c r="W55" i="22"/>
  <c r="AD51" i="22"/>
  <c r="AD35" i="22"/>
  <c r="N9" i="22"/>
  <c r="N27" i="22"/>
  <c r="AD30" i="22"/>
  <c r="AD45" i="22"/>
  <c r="N49" i="22"/>
  <c r="N47" i="22"/>
  <c r="N33" i="22"/>
  <c r="N22" i="22"/>
  <c r="AD9" i="22"/>
  <c r="AD16" i="22"/>
  <c r="N11" i="22"/>
  <c r="N29" i="22"/>
  <c r="N17" i="22"/>
  <c r="N24" i="22"/>
  <c r="N40" i="22"/>
  <c r="T54" i="22"/>
  <c r="AM16" i="22"/>
  <c r="AM19" i="22"/>
  <c r="AM10" i="22"/>
  <c r="AM22" i="22"/>
  <c r="AD36" i="22"/>
  <c r="AD29" i="22"/>
  <c r="AD41" i="22"/>
  <c r="AD20" i="22"/>
  <c r="AD27" i="22"/>
  <c r="AD32" i="22"/>
  <c r="AD47" i="22"/>
  <c r="AD12" i="22"/>
  <c r="AD24" i="22"/>
  <c r="AD50" i="22"/>
  <c r="AD15" i="22"/>
  <c r="T33" i="22"/>
  <c r="T36" i="22"/>
  <c r="T27" i="22"/>
  <c r="T31" i="22"/>
  <c r="T41" i="22"/>
  <c r="T45" i="22"/>
  <c r="T48" i="22"/>
  <c r="T39" i="22"/>
  <c r="T43" i="22"/>
  <c r="T29" i="22"/>
  <c r="T10" i="22"/>
  <c r="T13" i="22"/>
  <c r="T51" i="22"/>
  <c r="T22" i="22"/>
  <c r="T25" i="22"/>
  <c r="T30" i="22"/>
  <c r="T21" i="22"/>
  <c r="T34" i="22"/>
  <c r="T37" i="22"/>
  <c r="T16" i="22"/>
  <c r="T46" i="22"/>
  <c r="T49" i="22"/>
  <c r="T28" i="22"/>
  <c r="T20" i="22"/>
  <c r="T14" i="22"/>
  <c r="T32" i="22"/>
  <c r="T47" i="22"/>
  <c r="T9" i="22"/>
  <c r="T15" i="22"/>
  <c r="T11" i="22"/>
  <c r="T42" i="22"/>
  <c r="T40" i="22"/>
  <c r="T23" i="22"/>
  <c r="T18" i="22"/>
  <c r="T35" i="22"/>
  <c r="T19" i="22"/>
  <c r="T44" i="22"/>
  <c r="T50" i="22"/>
  <c r="T24" i="22"/>
  <c r="T26" i="22"/>
  <c r="T38" i="22"/>
  <c r="T17" i="22"/>
  <c r="T12" i="22"/>
  <c r="W58" i="22"/>
  <c r="AM55" i="22"/>
  <c r="AM54" i="22"/>
  <c r="AJ63" i="22"/>
  <c r="AJ53" i="22"/>
  <c r="AJ54" i="22"/>
  <c r="AJ59" i="22"/>
  <c r="AJ55" i="22"/>
  <c r="AJ58" i="22"/>
  <c r="AJ60" i="22"/>
  <c r="AJ56" i="22"/>
  <c r="AJ57" i="22"/>
  <c r="AJ62" i="22"/>
  <c r="AJ52" i="22"/>
  <c r="AJ61" i="22"/>
  <c r="AP21" i="22"/>
  <c r="AP46" i="22"/>
  <c r="AD34" i="22"/>
  <c r="AM27" i="22"/>
  <c r="W61" i="22"/>
  <c r="W59" i="22"/>
  <c r="Z52" i="22"/>
  <c r="AD56" i="22"/>
  <c r="AD53" i="22"/>
  <c r="Z57" i="22"/>
  <c r="Z61" i="22"/>
  <c r="Z63" i="22"/>
  <c r="Z58" i="22"/>
  <c r="Z55" i="22"/>
  <c r="Z59" i="22"/>
  <c r="Z62" i="22"/>
  <c r="Z56" i="22"/>
  <c r="N8" i="16"/>
  <c r="C11" i="25"/>
  <c r="C7" i="25"/>
  <c r="X3" i="16"/>
  <c r="AD3" i="22" s="1"/>
  <c r="N7" i="16"/>
  <c r="AB22" i="16"/>
  <c r="AJ2" i="22" s="1"/>
  <c r="C5" i="25"/>
  <c r="N18" i="16"/>
  <c r="C16" i="25"/>
  <c r="N14" i="16"/>
  <c r="AD4" i="16"/>
  <c r="AM4" i="22" s="1"/>
  <c r="C15" i="25"/>
  <c r="N16" i="16"/>
  <c r="AB4" i="16"/>
  <c r="AJ4" i="22" s="1"/>
  <c r="C6" i="25"/>
  <c r="B17" i="2"/>
  <c r="P3" i="16"/>
  <c r="Q3" i="22" s="1"/>
  <c r="Z22" i="16"/>
  <c r="AG2" i="22" s="1"/>
  <c r="C4" i="25"/>
  <c r="N3" i="16"/>
  <c r="N3" i="22" s="1"/>
</calcChain>
</file>

<file path=xl/sharedStrings.xml><?xml version="1.0" encoding="utf-8"?>
<sst xmlns="http://schemas.openxmlformats.org/spreadsheetml/2006/main" count="3332" uniqueCount="508">
  <si>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</si>
  <si>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</si>
  <si>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</si>
  <si>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</si>
  <si>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</si>
  <si>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</si>
  <si>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</si>
  <si>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</si>
  <si>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</si>
  <si>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</si>
  <si>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</si>
  <si>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</si>
  <si>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</si>
  <si>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</si>
  <si>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</si>
  <si>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</si>
  <si>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</si>
  <si>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</si>
  <si>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</si>
  <si>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</si>
  <si>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</si>
  <si>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</si>
  <si>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</si>
  <si>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</si>
  <si>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</si>
  <si>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</si>
  <si>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</si>
  <si>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</si>
  <si>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</si>
  <si>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</si>
  <si>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</si>
  <si>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</si>
  <si>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</si>
  <si>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</si>
  <si>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</si>
  <si>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</si>
  <si>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</si>
  <si>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</si>
  <si>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</si>
  <si>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</si>
  <si>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</si>
  <si>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</si>
  <si>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</si>
  <si>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</si>
  <si>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</si>
  <si>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</si>
  <si>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</si>
  <si>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</si>
  <si>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</si>
  <si>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</si>
  <si>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</si>
  <si>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</si>
  <si>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</si>
  <si>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</si>
  <si>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</si>
  <si>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</si>
  <si>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</si>
  <si>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</si>
  <si>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</si>
  <si>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</si>
  <si>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</si>
  <si>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</si>
  <si>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</si>
  <si>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Mg</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</si>
  <si>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</si>
  <si>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</si>
  <si>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</si>
  <si>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</si>
  <si>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</si>
  <si>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</si>
  <si>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</si>
  <si>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</si>
  <si>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</si>
  <si>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</si>
  <si>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</si>
  <si>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</si>
  <si>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</si>
  <si>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</si>
  <si>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</si>
  <si>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</si>
  <si>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</si>
  <si>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</si>
  <si>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</si>
  <si>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</si>
  <si>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</si>
  <si>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</si>
  <si>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</si>
  <si>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</si>
  <si>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</si>
  <si>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</si>
  <si>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</si>
  <si>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</si>
  <si>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</si>
  <si>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</si>
  <si>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</si>
  <si>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</si>
  <si>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</si>
  <si>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</si>
  <si>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</si>
  <si>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</si>
  <si>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</si>
  <si>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</si>
  <si>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</si>
  <si>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</si>
  <si>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</si>
  <si>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</si>
  <si>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</si>
  <si>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</si>
  <si>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</si>
  <si>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</si>
  <si>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</si>
  <si>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</si>
  <si>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</si>
  <si>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</si>
  <si>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</si>
  <si>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</si>
  <si>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</si>
  <si>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</si>
  <si>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</si>
  <si>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</si>
  <si>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</si>
  <si>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</si>
  <si>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</si>
  <si>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</si>
  <si>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</si>
  <si>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</si>
  <si>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</si>
  <si>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</si>
  <si>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</si>
  <si>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</si>
  <si>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</si>
  <si>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</si>
  <si>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</si>
  <si>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</si>
  <si>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</si>
  <si>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</si>
  <si>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</si>
  <si>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</si>
  <si>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</si>
  <si>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</si>
  <si>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</si>
  <si>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</si>
  <si>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</si>
  <si>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</si>
  <si>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</si>
  <si>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</si>
  <si>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</si>
  <si>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</si>
  <si>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</si>
  <si>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</si>
  <si>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</si>
  <si>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</si>
  <si>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</si>
  <si>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</si>
  <si>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</si>
  <si>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</si>
  <si>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</si>
  <si>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</si>
  <si>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</si>
  <si>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</si>
  <si>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</si>
  <si>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</si>
  <si>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</si>
  <si>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</si>
  <si>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</si>
  <si>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</si>
  <si>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</si>
  <si>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</si>
  <si>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</si>
  <si>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</si>
  <si>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</si>
  <si>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</si>
  <si>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</si>
  <si>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</si>
  <si>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</si>
  <si>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</si>
  <si>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</si>
  <si>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</si>
  <si>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</si>
  <si>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</si>
  <si>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</si>
  <si>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</si>
  <si>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</si>
  <si>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</si>
  <si>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</si>
  <si>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</si>
  <si>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</si>
  <si>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</si>
  <si>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</si>
  <si>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</si>
  <si>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</si>
  <si>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</si>
  <si>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</si>
  <si>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</si>
  <si>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</si>
  <si>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</si>
  <si>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</si>
  <si>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</si>
  <si>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</si>
  <si>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</si>
  <si>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</si>
  <si>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</si>
  <si>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</si>
  <si>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</si>
  <si>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</si>
  <si>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</si>
  <si>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</si>
  <si>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</si>
  <si>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</si>
  <si>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</si>
  <si>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</si>
  <si>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</si>
  <si>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</si>
  <si>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</si>
  <si>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</si>
  <si>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</si>
  <si>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</si>
  <si>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</si>
  <si>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</si>
  <si>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Berlin + 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</si>
  <si>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</si>
  <si>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</si>
  <si>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</si>
  <si>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</si>
  <si>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</si>
  <si>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</si>
  <si>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</si>
  <si>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</si>
  <si>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</si>
  <si>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</si>
  <si>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</si>
  <si>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</si>
  <si>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</si>
  <si>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</si>
  <si>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</si>
  <si>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</si>
  <si>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</si>
  <si>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</si>
  <si>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</si>
  <si>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</si>
  <si>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</si>
  <si>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</si>
  <si>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</si>
  <si>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</si>
  <si>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</si>
  <si>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</si>
  <si>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</si>
  <si>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</si>
  <si>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</si>
  <si>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</si>
  <si>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</si>
  <si>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</si>
  <si>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</si>
  <si>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</si>
  <si>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</si>
  <si>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</si>
  <si>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</si>
  <si>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</si>
  <si>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</si>
  <si>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</si>
  <si>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</si>
  <si>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</si>
  <si>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</si>
  <si>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</si>
  <si>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</si>
  <si>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</si>
  <si>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</si>
  <si>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</si>
  <si>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</si>
  <si>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</si>
  <si>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Product/By-product/waste</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</si>
  <si>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</si>
  <si>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</si>
  <si>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</si>
  <si>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</si>
  <si>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</si>
  <si>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</si>
  <si>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</si>
  <si>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</si>
  <si>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</si>
  <si>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</si>
  <si>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</si>
  <si>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</si>
  <si>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</si>
  <si>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</si>
  <si>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</si>
  <si>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</si>
  <si>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</si>
  <si>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</si>
  <si>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</si>
  <si>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</si>
  <si>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</si>
  <si>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</si>
  <si>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</si>
  <si>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</si>
  <si>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</si>
  <si>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</si>
  <si>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</si>
  <si>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</si>
  <si>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</si>
  <si>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</si>
  <si>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</si>
  <si>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</si>
  <si>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</si>
  <si>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</si>
  <si>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</si>
  <si>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</si>
  <si>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</si>
  <si>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</si>
  <si>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</si>
  <si>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</si>
  <si>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</si>
  <si>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</si>
  <si>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</si>
  <si>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</si>
  <si>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</si>
  <si>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</si>
  <si>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</si>
  <si>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</si>
  <si>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</si>
  <si>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</si>
  <si>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Name(DE)</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</si>
  <si>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</si>
  <si>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</si>
  <si>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</si>
  <si>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</si>
  <si>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</si>
  <si>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</si>
  <si>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</si>
  <si>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</si>
  <si>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</si>
  <si>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</si>
  <si>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</si>
  <si>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</si>
  <si>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</si>
  <si>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</si>
  <si>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</si>
  <si>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</si>
  <si>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</si>
  <si>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</si>
  <si>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</si>
  <si>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</si>
  <si>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</si>
  <si>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</si>
  <si>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</si>
  <si>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Rye cultivation and harvest</t>
  </si>
  <si>
    <t>Biogas production</t>
  </si>
  <si>
    <t>MBC production</t>
  </si>
  <si>
    <t>Athmosphere</t>
  </si>
  <si>
    <t>Lithosphere</t>
  </si>
  <si>
    <t>Anthroposphere</t>
  </si>
  <si>
    <t>Hydrosphere</t>
  </si>
  <si>
    <t>Recycling/disposal</t>
  </si>
  <si>
    <t>BB</t>
  </si>
  <si>
    <t>WC?</t>
  </si>
  <si>
    <t>CC?</t>
  </si>
  <si>
    <t>DM?</t>
  </si>
  <si>
    <t>WC_[%]</t>
  </si>
  <si>
    <t>WC_source</t>
  </si>
  <si>
    <t>DM_[%]</t>
  </si>
  <si>
    <t>DM_source</t>
  </si>
  <si>
    <t>CC_[%]</t>
  </si>
  <si>
    <t>CC_source</t>
  </si>
  <si>
    <t>EoL-Treatment (MBC)</t>
  </si>
  <si>
    <t>Biomass Pyrolysis</t>
  </si>
  <si>
    <t>Biomass Incineration</t>
  </si>
  <si>
    <t>Millet production</t>
  </si>
  <si>
    <t>Mass Delta MBC production</t>
  </si>
  <si>
    <t>Stramento</t>
  </si>
  <si>
    <t>WC_Flow_Py</t>
  </si>
  <si>
    <t>DM_Flow_Py2</t>
  </si>
  <si>
    <t>UoM_CC_Flow_Py</t>
  </si>
  <si>
    <t>UoM_DM_Flow_Py</t>
  </si>
  <si>
    <t>UoM_WC_Flow_Py</t>
  </si>
  <si>
    <t>CC_Flow_Py</t>
  </si>
  <si>
    <t>Roggen</t>
  </si>
  <si>
    <t>Roggen Körner</t>
  </si>
  <si>
    <t>Technische nutzbares Roggenstroh</t>
  </si>
  <si>
    <t>Nicht technische nutzbares Roggenstroh</t>
  </si>
  <si>
    <t>Product</t>
  </si>
  <si>
    <t>By-Product</t>
  </si>
  <si>
    <t>Rindergülle</t>
  </si>
  <si>
    <t>Waste</t>
  </si>
  <si>
    <t>Roggenstroh Gärrest</t>
  </si>
  <si>
    <t>Mycel basierter composit</t>
  </si>
  <si>
    <t>MBC Produktionsabfall</t>
  </si>
  <si>
    <t>Process_Type</t>
  </si>
  <si>
    <t>Process</t>
  </si>
  <si>
    <t>Process Type</t>
  </si>
  <si>
    <t>Import</t>
  </si>
  <si>
    <t>Export</t>
  </si>
  <si>
    <t>Rye cultivation</t>
  </si>
  <si>
    <t>Delta (MBC)</t>
  </si>
  <si>
    <t>MBC (new)</t>
  </si>
  <si>
    <t>MBC (used)</t>
  </si>
  <si>
    <t>Not mobilizable Rye Straw</t>
  </si>
  <si>
    <t>EoL-MBC (Pyro)</t>
  </si>
  <si>
    <t>EoL-MBC (Inci)</t>
  </si>
  <si>
    <t>Mg/a</t>
  </si>
  <si>
    <t>Pyrolisis Char</t>
  </si>
  <si>
    <t>MBC verwendet</t>
  </si>
  <si>
    <t>Hirsekörner</t>
  </si>
  <si>
    <t>Wasser Input MBC</t>
  </si>
  <si>
    <t>Wasser Output MBC</t>
  </si>
  <si>
    <t>Mass Delta</t>
  </si>
  <si>
    <t>Pyrolyse Kohle</t>
  </si>
  <si>
    <t>Verbresnnungsasche</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</si>
  <si>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</si>
  <si>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</si>
  <si>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</si>
  <si>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</si>
  <si>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</si>
  <si>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</si>
  <si>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</si>
  <si>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</si>
  <si>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</si>
  <si>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</si>
  <si>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</si>
  <si>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Rauchgas</t>
  </si>
  <si>
    <t>A review of pyrolysis technologies and feedstock: A blending approach for plastic and biomass towards optimum biochar yield</t>
  </si>
  <si>
    <t>Flow_TC_O_1_[%]</t>
  </si>
  <si>
    <t>Flow_TC_O_2_[%]</t>
  </si>
  <si>
    <t>Flow_TC_O_3_[%]</t>
  </si>
  <si>
    <t>Flow_TC O_5_[%]</t>
  </si>
  <si>
    <t>Flow_TC O_6_[%]</t>
  </si>
  <si>
    <t>Flow_TC_O_4_[%]</t>
  </si>
  <si>
    <t>Environment</t>
  </si>
  <si>
    <t>Rye Environment</t>
  </si>
  <si>
    <t>Cow Manure Environment</t>
  </si>
  <si>
    <t>Millet grain Environment</t>
  </si>
  <si>
    <t>Water Environment</t>
  </si>
  <si>
    <t>01</t>
  </si>
  <si>
    <t>02</t>
  </si>
  <si>
    <t>03</t>
  </si>
  <si>
    <t>04</t>
  </si>
  <si>
    <t>05</t>
  </si>
  <si>
    <t>06</t>
  </si>
  <si>
    <t>07</t>
  </si>
  <si>
    <t>08</t>
  </si>
  <si>
    <t>09</t>
  </si>
  <si>
    <t>MBC Use phase</t>
  </si>
  <si>
    <t>Life stock farming</t>
  </si>
  <si>
    <t>Biogas Incineration</t>
  </si>
  <si>
    <t>EoL-Treatment</t>
  </si>
  <si>
    <t>Water System (Import)</t>
  </si>
  <si>
    <t>Millet Production</t>
  </si>
  <si>
    <t>Water System (Export)</t>
  </si>
  <si>
    <t>Rye processing and consumption</t>
  </si>
  <si>
    <t>Ash Treatment</t>
  </si>
  <si>
    <t>Atmosphere</t>
  </si>
  <si>
    <t>Rye plant</t>
  </si>
  <si>
    <t>assumption</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</si>
  <si>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</si>
  <si>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</si>
  <si>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</si>
  <si>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</si>
  <si>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</si>
  <si>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</si>
  <si>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</si>
  <si>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</si>
  <si>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</si>
  <si>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</si>
  <si>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</si>
  <si>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</si>
  <si>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</si>
  <si>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</si>
  <si>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</si>
  <si>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</si>
  <si>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</si>
  <si>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</si>
  <si>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</si>
  <si>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</si>
  <si>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</si>
  <si>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</si>
  <si>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</si>
  <si>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</si>
  <si>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</si>
  <si>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</si>
  <si>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</si>
  <si>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</si>
  <si>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</si>
  <si>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</si>
  <si>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</si>
  <si>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</si>
  <si>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</si>
  <si>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</si>
  <si>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</si>
  <si>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</si>
  <si>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</si>
  <si>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</si>
  <si>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</si>
  <si>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</si>
  <si>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</si>
  <si>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</si>
  <si>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</si>
  <si>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</si>
  <si>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</si>
  <si>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</si>
  <si>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</si>
  <si>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</si>
  <si>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</si>
  <si>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</si>
  <si>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</si>
  <si>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Flue Gas from Biomass Pyrolysis</t>
  </si>
  <si>
    <t>WC</t>
  </si>
  <si>
    <t>DM</t>
  </si>
  <si>
    <t>CC</t>
  </si>
  <si>
    <t>CO2 Sequestration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</si>
</sst>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00%"/>
  </numFmts>
  <fonts count="12"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s>
  <fills count="12">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s>
  <borders count="4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right/>
      <top style="dotted">
        <color auto="1"/>
      </top>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dotted">
        <color auto="1"/>
      </bottom>
      <diagonal/>
    </border>
  </borders>
  <cellStyleXfs count="10">
    <xf numFmtId="0" fontId="0" fillId="0" borderId="0"/>
    <xf numFmtId="0" fontId="1" fillId="0" borderId="0" applyNumberForma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135">
    <xf numFmtId="0" fontId="0" fillId="0" borderId="0" xfId="0"/>
    <xf numFmtId="0" fontId="0" fillId="0" borderId="0" xfId="0" applyAlignment="1">
      <alignment horizontal="center"/>
    </xf>
    <xf numFmtId="0" fontId="1" fillId="0" borderId="0" xfId="1"/>
    <xf numFmtId="0" fontId="0" fillId="0" borderId="0" xfId="0" applyAlignment="1">
      <alignment wrapText="1"/>
    </xf>
    <xf numFmtId="164"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6"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8" borderId="31"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4" fillId="8" borderId="30"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3" fontId="8" fillId="7" borderId="21" xfId="7" applyNumberFormat="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7" xfId="3" applyFont="1" applyFill="1" applyBorder="1"/>
    <xf numFmtId="9" fontId="8" fillId="7" borderId="22" xfId="3" applyFont="1" applyFill="1" applyBorder="1"/>
    <xf numFmtId="9" fontId="8" fillId="7" borderId="24" xfId="3" applyFont="1" applyFill="1" applyBorder="1"/>
    <xf numFmtId="0" fontId="8" fillId="6" borderId="36" xfId="6"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8" xfId="6" applyBorder="1"/>
    <xf numFmtId="4" fontId="11" fillId="11" borderId="4" xfId="9" applyBorder="1"/>
    <xf numFmtId="0" fontId="8" fillId="6" borderId="39" xfId="6" applyBorder="1"/>
    <xf numFmtId="9" fontId="8" fillId="6" borderId="22" xfId="3" applyFont="1" applyFill="1" applyBorder="1"/>
    <xf numFmtId="4" fontId="11" fillId="11" borderId="0" xfId="9"/>
    <xf numFmtId="4" fontId="11" fillId="11" borderId="9" xfId="9" applyBorder="1"/>
    <xf numFmtId="49" fontId="8" fillId="6" borderId="21" xfId="6" applyNumberFormat="1" applyAlignment="1">
      <alignment horizontal="right"/>
    </xf>
    <xf numFmtId="9" fontId="8" fillId="6" borderId="38"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9" fontId="8" fillId="7" borderId="23" xfId="3" applyFont="1" applyFill="1" applyBorder="1"/>
    <xf numFmtId="9" fontId="8" fillId="7" borderId="21" xfId="7" applyNumberFormat="1"/>
    <xf numFmtId="165" fontId="8" fillId="7" borderId="21" xfId="7" applyNumberFormat="1"/>
    <xf numFmtId="10" fontId="8" fillId="7" borderId="21" xfId="7" applyNumberFormat="1"/>
    <xf numFmtId="4" fontId="8" fillId="7" borderId="21" xfId="7" applyNumberFormat="1"/>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171">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Y77" totalsRowShown="0" headerRowDxfId="170">
  <autoFilter ref="A1:Y77" xr:uid="{DA5E02B4-C3D5-4EC6-A468-E6098B9805CF}"/>
  <tableColumns count="25">
    <tableColumn id="13" xr3:uid="{660990D7-F8E8-451E-A19A-9F23873E1903}" name="Complete?" dataDxfId="169" dataCellStyle="Automatisch"/>
    <tableColumn id="1" xr3:uid="{23E8F131-81B2-4705-927A-A42C393BEDCE}" name="ID" dataDxfId="168" dataCellStyle="Automatisch">
      <calculatedColumnFormula>ROW()-1</calculatedColumnFormula>
    </tableColumn>
    <tableColumn id="2" xr3:uid="{D694ED25-71D4-4BD1-B627-FBE0FAE9FC8B}" name="Flow_ID" dataDxfId="167" dataCellStyle="Automatisch">
      <calculatedColumnFormula>"F_"&amp;LEFT(K2,2)&amp;"_"&amp;LEFT(M2,2)</calculatedColumnFormula>
    </tableColumn>
    <tableColumn id="3" xr3:uid="{CA1C6FA9-65CA-47E1-94EA-BBB750256C84}" name="Name(EN)" dataDxfId="166" dataCellStyle="Ausfüllen"/>
    <tableColumn id="11" xr3:uid="{74AD7FDD-156D-4405-9C17-4423AEB0AA79}" name="Name(DE)" dataCellStyle="Comments"/>
    <tableColumn id="12" xr3:uid="{8B1851D6-89A3-4DB1-94D9-FFBFE2BC386F}" name="Region" dataCellStyle="Ausfüllen"/>
    <tableColumn id="4" xr3:uid="{3A1FFD35-0ED3-4CA9-B353-18F0DE827ABA}" name="Type_Biomass" dataCellStyle="Comments"/>
    <tableColumn id="14" xr3:uid="{3A4CA6C3-2BC1-4616-84C2-B9A61EF54A0B}" name="Product/By-product/waste" dataCellStyle="Ausfüllen"/>
    <tableColumn id="10" xr3:uid="{40A37E4E-7E04-4C53-AA50-149FCE53747E}" name="Comment" dataCellStyle="Comments"/>
    <tableColumn id="5" xr3:uid="{E4010E64-B53A-47D0-A7D2-47D03F95861B}" name="Output_Process" dataDxfId="165" dataCellStyle="Ausfüllen"/>
    <tableColumn id="6" xr3:uid="{6B50AC7E-8239-487E-AA74-DF3B748A4DBC}" name="Process_ID_O" dataCellStyle="Automatisch">
      <calculatedColumnFormula>_xlfn.XLOOKUP(J2,Tab_Def_Processes[Name(EN)],Tab_Def_Processes[Process_ID],,0,)</calculatedColumnFormula>
    </tableColumn>
    <tableColumn id="7" xr3:uid="{BB5929AC-D161-4245-A509-7FD167BBC61D}" name="Input_Process" dataCellStyle="Ausfüllen"/>
    <tableColumn id="8" xr3:uid="{B9EB18D6-7F00-4BB7-ADFD-200FC95B2CA7}" name="Process_ID_I" dataDxfId="164" dataCellStyle="Automatisch">
      <calculatedColumnFormula>_xlfn.XLOOKUP(L2,Tab_Def_Processes[Name(EN)],Tab_Def_Processes[Process_ID],,0,)</calculatedColumnFormula>
    </tableColumn>
    <tableColumn id="17" xr3:uid="{B98E4740-41E4-4696-A4A2-AA1EC2EE8F34}" name="Value_Source" dataCellStyle="Ausfüllen"/>
    <tableColumn id="9" xr3:uid="{0E9B3B6E-2DF0-49A7-BFA9-2513136E622E}" name="WC?" dataDxfId="163" dataCellStyle="Ausfüllen"/>
    <tableColumn id="15" xr3:uid="{6E0C6841-1496-4DDD-9174-61F6DC51267E}" name="DM?" dataCellStyle="Ausfüllen"/>
    <tableColumn id="16" xr3:uid="{D89EDA50-0A29-4075-BBFF-DF622660740A}" name="CC?" dataDxfId="162" dataCellStyle="Ausfüllen"/>
    <tableColumn id="18" xr3:uid="{AFBC221B-4B6A-49DF-8BB0-8E40EB019E1C}" name="WC" dataDxfId="161"/>
    <tableColumn id="22" xr3:uid="{ABA27704-56CF-4C30-88CB-BB6E944F7F08}" name="WC_source" dataDxfId="160" dataCellStyle="Ausfüllen"/>
    <tableColumn id="23" xr3:uid="{5CA0D08F-32C9-451C-A223-78F9E163EE87}" name="DM" dataDxfId="159"/>
    <tableColumn id="19" xr3:uid="{B3649430-F3A4-4F10-84D0-61D5F3B7C06D}" name="DM_source" dataDxfId="158" dataCellStyle="Ausfüllen"/>
    <tableColumn id="20" xr3:uid="{826B197D-7E74-49DB-8367-DD0E48B963C3}" name="CC_DM[%]" dataDxfId="157"/>
    <tableColumn id="21" xr3:uid="{D903DE25-FD16-43E6-ADC2-67C346513E4D}" name="CC_DM_source" dataDxfId="156" dataCellStyle="Ausfüllen"/>
    <tableColumn id="24" xr3:uid="{97A60092-8CFB-4931-B347-B7F41423089C}" name="CC" dataCellStyle="Ausfüllen"/>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409" totalsRowShown="0">
  <autoFilter ref="A1:AK409" xr:uid="{323CB71B-2A7B-4CEF-9473-A7F5A1E6FAAA}"/>
  <tableColumns count="37">
    <tableColumn id="1" xr3:uid="{4E4AA63C-992A-498F-9D6C-B8B8E27D6E01}" name="ID" dataDxfId="155"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154" dataCellStyle="Automatisch">
      <calculatedColumnFormula>_xlfn.XLOOKUP(C2,Tab_Def_Flows[Name(EN)],Tab_Def_Flows[Process_ID_I],,0,)</calculatedColumnFormula>
    </tableColumn>
    <tableColumn id="34" xr3:uid="{1EF5EFE9-B149-4960-A691-8F1B8725DE37}" name="TC?" dataDxfId="153" dataCellStyle="Automatisch">
      <calculatedColumnFormula>_xlfn.XLOOKUP(C2,Tab_Def_Flows[Name(EN)],Tab_Def_Flows[Value_Source],,0,)</calculatedColumnFormula>
    </tableColumn>
    <tableColumn id="30" xr3:uid="{F13B49C3-7111-4C57-A913-01AB03549B56}" name="WC?" dataDxfId="152" dataCellStyle="Automatisch">
      <calculatedColumnFormula>_xlfn.XLOOKUP(C2,Tab_Def_Flows[Name(EN)],Tab_Def_Flows[WC?],,0,)</calculatedColumnFormula>
    </tableColumn>
    <tableColumn id="31" xr3:uid="{24B36152-385D-4D3C-A274-72EA56B6819A}" name="DM?" dataDxfId="151" dataCellStyle="Automatisch">
      <calculatedColumnFormula>_xlfn.XLOOKUP(C2,Tab_Def_Flows[Name(EN)],Tab_Def_Flows[DM?],,0,)</calculatedColumnFormula>
    </tableColumn>
    <tableColumn id="32" xr3:uid="{A086924B-597B-4B7A-B9B2-8397025FD97B}" name="CC?" dataDxfId="150"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49"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48" dataCellStyle="Ausfüllen">
      <calculatedColumnFormula>INDEX(Tab_WC_DM_CC[[Flow_ID]:[CC_source]],MATCH(Tab_Data_Flows[[#This Row],[Name(EN)]],Tab_WC_DM_CC[Name(EN)],0),12)</calculatedColumnFormula>
    </tableColumn>
    <tableColumn id="27" xr3:uid="{0FD99FBB-FEDB-4B73-A541-FB8A676D64E7}" name="Titel_Source" dataDxfId="147"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46" dataCellStyle="Ausfüllen"/>
    <tableColumn id="25" xr3:uid="{94996270-9A62-4B8C-B04B-D56A7F9FDE30}" name="Name_CF" dataDxfId="145" dataCellStyle="Ausfüllen">
      <calculatedColumnFormula>'3_1_Calculation_factors (Wood)'!$A$14</calculatedColumnFormula>
    </tableColumn>
    <tableColumn id="17" xr3:uid="{E761CF85-B508-4386-AFDF-6ABE121824EE}" name="Flow_Py" dataDxfId="144" dataCellStyle="Automatisch"/>
    <tableColumn id="18" xr3:uid="{9637D90E-56CA-40AA-A989-2B3406B7446B}" name="UoM_Flow_Py" dataCellStyle="Ausfüllen"/>
    <tableColumn id="35" xr3:uid="{D533411F-8317-4C7A-82C5-6CC35DCA0045}" name="WC_[%]" dataDxfId="143">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42" dataCellStyle="Automatisch">
      <calculatedColumnFormula>Tab_Data_Flows[[#This Row],[UoM_Flow_Py]]</calculatedColumnFormula>
    </tableColumn>
    <tableColumn id="36" xr3:uid="{B0BEC211-F9B4-42EF-AC89-C039D617733A}" name="DM_[%]" dataDxfId="141">
      <calculatedColumnFormula>INDEX(Tab_Def_Flows[[Flow_ID]:[CC_DM_source]],MATCH(Tab_Data_Flows[[#This Row],[Name(EN)]],Tab_Def_Flows[Name(EN)],0),18)</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40" dataCellStyle="Automatisch">
      <calculatedColumnFormula>Tab_Data_Flows[[#This Row],[UoM_Flow_Py]]</calculatedColumnFormula>
    </tableColumn>
    <tableColumn id="37" xr3:uid="{7058A0AA-4684-4D9A-936D-EC68E6F28D3A}" name="CC_[%]" dataDxfId="139">
      <calculatedColumnFormula>INDEX(Tab_Def_Flows[[Flow_ID]:[CC_DM_source]],MATCH(Tab_Data_Flows[[#This Row],[Name(EN)]],Tab_Def_Flows[Name(EN)],0),20)</calculatedColumnFormula>
    </tableColumn>
    <tableColumn id="33" xr3:uid="{03419921-2398-41C8-A2B6-2F0431969219}" name="CC_Flow_Py" dataCellStyle="Result">
      <calculatedColumnFormula>IF(L2="Yes",AI2*Tab_Data_Flows[[#This Row],[Flow_Py]],"N.A.")</calculatedColumnFormula>
    </tableColumn>
    <tableColumn id="29" xr3:uid="{1891F07F-F500-4F38-84AE-0CF9BF7F81C5}" name="UoM_CC_Flow_Py" dataDxfId="138"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137">
  <autoFilter ref="A1:AH58" xr:uid="{CEDB6F7C-CFD3-4534-80A6-FB20E3898B22}"/>
  <tableColumns count="34">
    <tableColumn id="39" xr3:uid="{488AB972-9613-4DA9-9600-5BFBE3896251}" name="Complete?" dataDxfId="136" dataCellStyle="Ausfüllen"/>
    <tableColumn id="1" xr3:uid="{A63F92FA-2376-4B5A-A2DF-588878E604E1}" name="ID" dataCellStyle="Automatisch">
      <calculatedColumnFormula>ROW()-1</calculatedColumnFormula>
    </tableColumn>
    <tableColumn id="2" xr3:uid="{6D346BEA-29CA-401C-8ABB-6C62791A731A}" name="Process_ID" dataDxfId="135" dataCellStyle="Automatisch">
      <calculatedColumnFormula>LEFT(B2,2)&amp;"_"&amp;LEFT(D2,3)&amp;"_"&amp;LEFT(F2,3)</calculatedColumnFormula>
    </tableColumn>
    <tableColumn id="3" xr3:uid="{23E701E0-D1E5-4551-AEF1-EE173D6FB3F0}" name="Name(EN)" dataCellStyle="Ausfüllen"/>
    <tableColumn id="38" xr3:uid="{95F4E647-728B-41C3-B2FA-C5DFE1B5B317}" name="Name(DE)" dataCellStyle="Comments"/>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34" dataCellStyle="Ausfüllen"/>
    <tableColumn id="36" xr3:uid="{0AFFEA74-933D-4970-BF8A-28076123C1C8}" name="TC?" dataCellStyle="Ausfüllen"/>
    <tableColumn id="37" xr3:uid="{891365CA-9AE8-450C-981B-51AB3AAC0B42}" name="Stock?" dataDxfId="133" dataCellStyle="Ausfüllen"/>
    <tableColumn id="14" xr3:uid="{334FD543-CE98-4427-87D5-A79F68872B3C}" name="Input_Flow_I_1" dataDxfId="132"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31"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30"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Z63" totalsRowShown="0" headerRowDxfId="129" headerRowBorderDxfId="128" tableBorderDxfId="127">
  <autoFilter ref="A1:AZ63" xr:uid="{7602A998-85E6-499A-B1A3-C584F22BB41F}"/>
  <tableColumns count="52">
    <tableColumn id="33" xr3:uid="{2E42D0C1-7FF5-458C-AABB-EC4821727C76}" name="Spalte1" dataDxfId="126" dataCellStyle="Ausfüllen"/>
    <tableColumn id="1" xr3:uid="{50777A4F-600F-43DA-AECB-19F4017C77C8}" name="ID" dataDxfId="125" dataCellStyle="Automatisch">
      <calculatedColumnFormula>ROW()-1</calculatedColumnFormula>
    </tableColumn>
    <tableColumn id="53" xr3:uid="{461E9AFE-A4B9-41F4-A2C5-D26B0479899D}" name="TC_ID" dataDxfId="124" dataCellStyle="Automatisch">
      <calculatedColumnFormula>"TC"&amp;LEFT(B2,2)&amp;"_"&amp;LEFT(D2,3)&amp;"_"&amp;LEFT(E2,3)&amp;"_"&amp;LEFT(F2,3)&amp;"_"&amp;LEFT(G2,3)</calculatedColumnFormula>
    </tableColumn>
    <tableColumn id="2" xr3:uid="{B009CEDB-A0BA-4BFE-9656-4F45ABD775FF}" name="Process_ID" dataDxfId="123"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22" dataCellStyle="Automatisch">
      <calculatedColumnFormula>_xlfn.XLOOKUP($E2,Tab_Def_Processes[Name(EN)],Tab_Def_Processes[Input_Flow_I_1],,0,)</calculatedColumnFormula>
    </tableColumn>
    <tableColumn id="12" xr3:uid="{90818226-A0A4-4F57-9BA1-6A637D778FA7}" name="Flow_ID_I_1" dataDxfId="121"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20" dataCellStyle="Automatisch">
      <calculatedColumnFormula>_xlfn.XLOOKUP($E2,Tab_Def_Processes[Name(EN)],Tab_Def_Processes[Input_Flow_I_2],,0,)</calculatedColumnFormula>
    </tableColumn>
    <tableColumn id="14" xr3:uid="{79B6519E-CED2-4996-8413-8ED818FBA67B}" name="Flow_ID_I_3" dataDxfId="119"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18" dataCellStyle="Automatisch">
      <calculatedColumnFormula>_xlfn.XLOOKUP($E2,Tab_Def_Processes[Name(EN)],Tab_Def_Processes[Input_Flow_I_3],,0,)</calculatedColumnFormula>
    </tableColumn>
    <tableColumn id="16" xr3:uid="{A81E0966-45DB-4BF2-8519-54AB06D35821}" name="Flow ID I_3" dataDxfId="117"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16" dataCellStyle="Automatisch">
      <calculatedColumnFormula>_xlfn.XLOOKUP($E2,Tab_Def_Processes[Name(EN)],Tab_Def_Processes[Input_Flow_I_4],,0,)</calculatedColumnFormula>
    </tableColumn>
    <tableColumn id="18" xr3:uid="{8462671B-87DF-487F-932D-125BE07DD6C5}" name="Flow ID I_4" dataDxfId="115"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14" dataCellStyle="Automatisch">
      <calculatedColumnFormula>_xlfn.XLOOKUP($E2,Tab_Def_Processes[Name(EN)],Tab_Def_Processes[Input_Flow_I_5],,0,)</calculatedColumnFormula>
    </tableColumn>
    <tableColumn id="20" xr3:uid="{CF2F8133-A62C-4899-B489-92524730DAD8}" name="Flow ID I_5" dataDxfId="113"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12">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11" dataCellStyle="Automatisch">
      <calculatedColumnFormula>_xlfn.XLOOKUP($E2,Tab_Def_Processes[Name(EN)],Tab_Def_Processes[Output_Flow_O_1],,0,)</calculatedColumnFormula>
    </tableColumn>
    <tableColumn id="22" xr3:uid="{858063F1-EC66-43D6-9A80-961AA2AEACA8}" name="Flow_ID_O_1" dataDxfId="110" dataCellStyle="Automatisch">
      <calculatedColumnFormula>_xlfn.XLOOKUP($E2,Tab_Def_Processes[Name(EN)],Tab_Def_Processes[Flow_ID_O_1],,0,)</calculatedColumnFormula>
    </tableColumn>
    <tableColumn id="40" xr3:uid="{89332A06-704C-427B-926D-A4F2CD46D116}" name="Flow_TC_O_1_[%]"/>
    <tableColumn id="23" xr3:uid="{8F186982-6AEE-48FE-A3E8-23DE9BA9203B}" name="Output_Flow_O_2" dataDxfId="109" dataCellStyle="Automatisch">
      <calculatedColumnFormula>_xlfn.XLOOKUP($E2,Tab_Def_Processes[Name(EN)],Tab_Def_Processes[Output_Flow_O_2],,0,)</calculatedColumnFormula>
    </tableColumn>
    <tableColumn id="24" xr3:uid="{A690522C-9F92-493F-BD4E-C5851A505DC4}" name="Flow_ID_O_2" dataDxfId="108" dataCellStyle="Automatisch">
      <calculatedColumnFormula>_xlfn.XLOOKUP($E2,Tab_Def_Processes[Name(EN)],Tab_Def_Processes[Flow_ID_O_2],,0,)</calculatedColumnFormula>
    </tableColumn>
    <tableColumn id="41" xr3:uid="{BBDD1124-B4C9-48C4-95C4-ED06DAD4697D}" name="Flow_TC_O_2_[%]"/>
    <tableColumn id="25" xr3:uid="{46987B53-D7D9-4621-B8D7-B8DC7F6BB65B}" name="Output_Flow_O_3" dataDxfId="107" dataCellStyle="Automatisch">
      <calculatedColumnFormula>_xlfn.XLOOKUP($E2,Tab_Def_Processes[Name(EN)],Tab_Def_Processes[Output_Flow_O_3],,0,)</calculatedColumnFormula>
    </tableColumn>
    <tableColumn id="26" xr3:uid="{B1F55BB4-B5DF-4809-9841-CE667A275BBB}" name="Flow_ID_O_3" dataDxfId="106" dataCellStyle="Automatisch">
      <calculatedColumnFormula>_xlfn.XLOOKUP($E2,Tab_Def_Processes[Name(EN)],Tab_Def_Processes[Flow_ID_O_3],,0,)</calculatedColumnFormula>
    </tableColumn>
    <tableColumn id="42" xr3:uid="{837386A2-5F76-437C-AB05-32F4D8FD5400}" name="Flow_TC_O_3_[%]"/>
    <tableColumn id="27" xr3:uid="{603B7AC3-EE11-4549-A4FD-5CF3C5384AF2}" name="Output_Flow_O_4" dataDxfId="105" dataCellStyle="Automatisch">
      <calculatedColumnFormula>_xlfn.XLOOKUP($E2,Tab_Def_Processes[Name(EN)],Tab_Def_Processes[Output_Flow_O_4],,0,)</calculatedColumnFormula>
    </tableColumn>
    <tableColumn id="28" xr3:uid="{BEDA4421-DE3E-45B7-AA23-39A96ABFBA03}" name="Flow_ID_O_4" dataDxfId="104" dataCellStyle="Automatisch">
      <calculatedColumnFormula>_xlfn.XLOOKUP($E2,Tab_Def_Processes[Name(EN)],Tab_Def_Processes[Flow_ID_O_4],,0,)</calculatedColumnFormula>
    </tableColumn>
    <tableColumn id="43" xr3:uid="{48277668-18B6-4219-841F-F7039B42C8E8}" name="Flow_TC_O_4_[%]"/>
    <tableColumn id="29" xr3:uid="{8270DAB7-5A5A-4119-A994-FF979E725477}" name="Output_Flow_O_5" dataDxfId="103" dataCellStyle="Automatisch">
      <calculatedColumnFormula>_xlfn.XLOOKUP($E2,Tab_Def_Processes[Name(EN)],Tab_Def_Processes[Output_Flow_O_5],,0,)</calculatedColumnFormula>
    </tableColumn>
    <tableColumn id="30" xr3:uid="{EF7AD72E-CEBC-42E7-9DE6-1419D3BC99A4}" name="Flow_ID_O_5" dataDxfId="102" dataCellStyle="Automatisch">
      <calculatedColumnFormula>_xlfn.XLOOKUP($E2,Tab_Def_Processes[Name(EN)],Tab_Def_Processes[Flow_ID_O_5],,0,)</calculatedColumnFormula>
    </tableColumn>
    <tableColumn id="44" xr3:uid="{5E8341F4-511D-4736-8507-794276C93A04}" name="Flow_TC O_5_[%]"/>
    <tableColumn id="31" xr3:uid="{531B757D-2D85-4544-AC12-18B8CB9EBF08}" name="Output_Flow_O_6" dataDxfId="101" dataCellStyle="Automatisch">
      <calculatedColumnFormula>_xlfn.XLOOKUP($E2,Tab_Def_Processes[Name(EN)],Tab_Def_Processes[Output_Flow_O_6],,0,)</calculatedColumnFormula>
    </tableColumn>
    <tableColumn id="46" xr3:uid="{3929BAB4-5D36-49B1-B1BB-2B0F804D087D}" name="Flow_ID_O_6" dataDxfId="100" dataCellStyle="Automatisch">
      <calculatedColumnFormula>_xlfn.XLOOKUP($E2,Tab_Def_Processes[Name(EN)],Tab_Def_Processes[Flow_ID_O_6],,0,)</calculatedColumnFormula>
    </tableColumn>
    <tableColumn id="45" xr3:uid="{64379744-43F6-4C79-B48A-98D8B0E4370B}" name="Flow_TC O_6_[%]"/>
    <tableColumn id="32" xr3:uid="{CE273725-6F44-4E0B-BE1F-68D405E37E69}" name="Sum_TC_O" dataDxfId="99">
      <calculatedColumnFormula>SUM(Tab_Process_TCs[[#This Row],[Flow_TC O_6_'[%']]],Tab_Process_TCs[[#This Row],[Flow_TC 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98" headerRowBorderDxfId="97" tableBorderDxfId="96">
  <autoFilter ref="A1:X63" xr:uid="{7602A998-85E6-499A-B1A3-C584F22BB41F}"/>
  <tableColumns count="24">
    <tableColumn id="24" xr3:uid="{799CF049-9A74-47E4-BCE6-68EB92DFEDD4}" name="Spalte2" dataDxfId="95" dataCellStyle="Ausfüllen"/>
    <tableColumn id="1" xr3:uid="{75AB9428-C675-46D8-B904-74A952E29611}" name="ID" dataDxfId="94" dataCellStyle="Automatisch">
      <calculatedColumnFormula>ROW()-1</calculatedColumnFormula>
    </tableColumn>
    <tableColumn id="22" xr3:uid="{055CB3E4-C1DF-486D-9F8E-E65039E95278}" name="Stock_ID" dataDxfId="93"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92"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91" totalsRowDxfId="9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89"/>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88"/>
    <tableColumn id="3" xr3:uid="{07EB5A7F-8E53-4B91-8FFE-03ADCC7BBCF0}" name="Spalte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87"/>
    <tableColumn id="2" xr3:uid="{125253E5-1E3C-43B9-807B-7FEAC0D1326B}" name="Waste fraction" totalsRowDxfId="86">
      <calculatedColumnFormula>_xlfn.TRANSLATE(B42,"DE","EN")</calculatedColumnFormula>
    </tableColumn>
    <tableColumn id="3" xr3:uid="{2608A7DF-F112-4041-A198-C9942CFF9C38}" name="Massenanteil" totalsRowFunction="sum" dataDxfId="85" totalsRowDxfId="84"/>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83" headerRowBorderDxfId="82" tableBorderDxfId="81">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80" headerRowBorderDxfId="79" tableBorderDxfId="78">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77" headerRowBorderDxfId="76" tableBorderDxfId="75">
  <autoFilter ref="A1:M63" xr:uid="{7602A998-85E6-499A-B1A3-C584F22BB41F}"/>
  <tableColumns count="13">
    <tableColumn id="11" xr3:uid="{E17133D8-BCD0-4262-A9A3-E1A6A3CE59CB}" name="Spalte1" dataDxfId="74" dataCellStyle="Ausfüllen"/>
    <tableColumn id="1" xr3:uid="{AA6B88AC-CE31-4D38-A4D4-836CD0229002}" name="ID" dataDxfId="73" dataCellStyle="Automatisch">
      <calculatedColumnFormula>ROW()-1</calculatedColumnFormula>
    </tableColumn>
    <tableColumn id="13" xr3:uid="{39E45E7F-D8FF-4AC5-AC0A-E69207429159}" name="Data_ID" dataDxfId="72"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1"/>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0"/>
    <tableColumn id="15" xr3:uid="{F6C04C8B-C563-4A5B-86EB-53CF2480BE94}" name="Output Flow O_1" dataDxfId="69"/>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68"/>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67" headerRowBorderDxfId="66" tableBorderDxfId="65">
  <autoFilter ref="A1:S41" xr:uid="{315DE864-CA81-4244-9887-0C1C1B270D12}"/>
  <tableColumns count="19">
    <tableColumn id="18" xr3:uid="{41B4FF5C-DE81-4C9D-8F8B-A022F165CE17}" name="Complete?" dataDxfId="64" dataCellStyle="Automatisch"/>
    <tableColumn id="1" xr3:uid="{75CCA889-3DFD-418D-8337-223A1AD4458A}" name="Id" dataDxfId="63" dataCellStyle="Automatisch">
      <calculatedColumnFormula>ROW()-1</calculatedColumnFormula>
    </tableColumn>
    <tableColumn id="2" xr3:uid="{27C63C9F-D51E-4D41-8E34-E138B78FE4A6}" name="Flow_ID" dataDxfId="62"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1" dataCellStyle="Automatisch">
      <calculatedColumnFormula>_xlfn.XLOOKUP(D2,Tab_Def_Flows[Name(EN)],Tab_Def_Flows[Type_Biomass],,0,)</calculatedColumnFormula>
    </tableColumn>
    <tableColumn id="5" xr3:uid="{DAB3B2D1-A83C-4C97-8534-41407992C31F}" name="Output_Process" dataDxfId="60" dataCellStyle="Automatisch">
      <calculatedColumnFormula>_xlfn.XLOOKUP(D2,Tab_Def_Flows[Name(EN)],Tab_Def_Flows[Output_Process],,0,)</calculatedColumnFormula>
    </tableColumn>
    <tableColumn id="6" xr3:uid="{B54792C1-2F77-490A-B1D2-80FA1853D49F}" name="Process_ID_O" dataDxfId="59" dataCellStyle="Automatisch">
      <calculatedColumnFormula>_xlfn.XLOOKUP(D2,Tab_Def_Flows[Name(EN)],Tab_Def_Flows[Process_ID_O],,0,)</calculatedColumnFormula>
    </tableColumn>
    <tableColumn id="7" xr3:uid="{B5DE0441-77F7-4754-8556-1D7D1A280443}" name="Input_Process" dataDxfId="58" dataCellStyle="Automatisch">
      <calculatedColumnFormula>_xlfn.XLOOKUP(D2,Tab_Def_Flows[Name(EN)],Tab_Def_Flows[Input_Process],,0,)</calculatedColumnFormula>
    </tableColumn>
    <tableColumn id="8" xr3:uid="{F44514F2-18AC-47E6-97E7-74A354D21463}" name="Process_ID_I" dataDxfId="57" dataCellStyle="Automatisch">
      <calculatedColumnFormula>_xlfn.XLOOKUP(D2,Tab_Def_Flows[Name(EN)],Tab_Def_Flows[Process_ID_I],,0,)</calculatedColumnFormula>
    </tableColumn>
    <tableColumn id="19" xr3:uid="{6EDAC4C6-8CF7-4C8C-AFA5-054780D0AC0F}" name="Data_Source" dataDxfId="56" dataCellStyle="Automatisch">
      <calculatedColumnFormula>_xlfn.XLOOKUP(D2,Tab_Def_Flows[Name(EN)],Tab_Def_Flows[Value_Source],,0,)</calculatedColumnFormula>
    </tableColumn>
    <tableColumn id="9" xr3:uid="{6C0BF103-86F9-4751-A4A5-862CDFA4EF36}" name="WC?" dataDxfId="55" dataCellStyle="Automatisch">
      <calculatedColumnFormula>_xlfn.XLOOKUP(D2,Tab_Def_Flows[Name(EN)],Tab_Def_Flows[WC?],,0,)</calculatedColumnFormula>
    </tableColumn>
    <tableColumn id="10" xr3:uid="{1DE7F025-130C-4FF9-AB8E-828F82B385BD}" name="DM?" dataDxfId="54" dataCellStyle="Automatisch">
      <calculatedColumnFormula>_xlfn.XLOOKUP(D2,Tab_Def_Flows[Name(EN)],Tab_Def_Flows[DM?],,0,)</calculatedColumnFormula>
    </tableColumn>
    <tableColumn id="11" xr3:uid="{D9A5468E-3009-4926-BF99-5919A75791FD}" name="CC?" dataDxfId="53" dataCellStyle="Automatisch">
      <calculatedColumnFormula>_xlfn.XLOOKUP(D2,Tab_Def_Flows[Name(EN)],Tab_Def_Flows[CC?],,0,)</calculatedColumnFormula>
    </tableColumn>
    <tableColumn id="12" xr3:uid="{5AABAA7D-75A7-42B1-9C3B-AEBD92DEDCAF}" name="WC_[%]" dataDxfId="52"/>
    <tableColumn id="13" xr3:uid="{DB3D0F52-365A-40E8-BAD6-9AB6ECAF1D76}" name="WC_source" dataDxfId="51" dataCellStyle="Ausfüllen"/>
    <tableColumn id="14" xr3:uid="{804DD18E-9CDE-4B6C-8DD7-B8858A7AAE1E}" name="DM_[%]" dataDxfId="50" dataCellStyle="Ausfüllen"/>
    <tableColumn id="15" xr3:uid="{AFD29FEB-401B-4306-8719-8270C2B822B4}" name="DM_source" dataDxfId="49" dataCellStyle="Ausfüllen"/>
    <tableColumn id="16" xr3:uid="{D49DA4BB-8EC1-432E-88EF-360B990A4C40}" name="CC_[%]" dataDxfId="48"/>
    <tableColumn id="17" xr3:uid="{608EBE09-987D-4483-86D8-90473A6ECA53}" name="CC_source" dataDxfId="47" dataCellStyle="Ausfülle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46"/>
    <tableColumn id="32" xr3:uid="{14E08C71-A912-437C-9BF5-676DE756FA34}" name="Output 2"/>
    <tableColumn id="33" xr3:uid="{860466DB-E5BC-4FB6-8D92-31652F3394EB}" name="TC 2" dataDxfId="45"/>
    <tableColumn id="34" xr3:uid="{7F42B02E-2A51-4529-B3F8-635FA25A82EC}" name="Output 3"/>
    <tableColumn id="35" xr3:uid="{7A6D8AB0-3724-4259-86E5-DB2BB77FDA92}" name="TC 3" dataDxfId="44"/>
    <tableColumn id="36" xr3:uid="{9D06ABB3-623F-4CCC-B25B-C70ADBD3FA23}" name="Output 4"/>
    <tableColumn id="37" xr3:uid="{AC3A8BEC-7F6D-46B8-8683-5FB7D9735520}" name="TC 4" dataDxfId="43"/>
    <tableColumn id="38" xr3:uid="{E8B725FB-5E00-475B-90A4-B39AC4B8AA81}" name="Output 5"/>
    <tableColumn id="39" xr3:uid="{61C49BE0-21D5-4024-A7A6-3FC95F3F6044}" name="TC 5" dataDxfId="42"/>
    <tableColumn id="40" xr3:uid="{576B761F-1017-4830-995C-69E0502ED06B}" name="Output 6"/>
    <tableColumn id="41" xr3:uid="{2E2369C1-2F21-4B75-9680-D3C7F7F6365F}" name="TC 6" dataDxfId="41"/>
    <tableColumn id="42" xr3:uid="{9A5646E0-691F-4EF7-9580-F9B7E29BD355}" name="Sum TCs" dataDxfId="40"/>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39">
      <calculatedColumnFormula>Data_Processes!B4</calculatedColumnFormula>
    </tableColumn>
    <tableColumn id="2" xr3:uid="{FD0F2EBA-AF01-4DE6-8164-5C5752BB6FC1}" name="Process Id" dataDxfId="38">
      <calculatedColumnFormula>Data_Processes!C4</calculatedColumnFormula>
    </tableColumn>
    <tableColumn id="3" xr3:uid="{81D3E81F-28F8-4D29-A4D7-A7653F28AFC4}" name="Name" dataDxfId="37">
      <calculatedColumnFormula>Data_Processes!D4</calculatedColumnFormula>
    </tableColumn>
    <tableColumn id="4" xr3:uid="{C2577FD4-9CDE-4CD2-AA39-3CC6593EEB92}" name="Area" dataDxfId="36">
      <calculatedColumnFormula>Data_Processes!E4</calculatedColumnFormula>
    </tableColumn>
    <tableColumn id="5" xr3:uid="{6B099FE0-2D03-4FC5-B60E-4D18D8616632}" name="Type Biomass" dataDxfId="35">
      <calculatedColumnFormula>Data_Processes!F4</calculatedColumnFormula>
    </tableColumn>
    <tableColumn id="6" xr3:uid="{54FC1386-6F23-418B-B886-B4D0825C1FCF}" name="Life phase" dataDxfId="34">
      <calculatedColumnFormula>Data_Processes!G4</calculatedColumnFormula>
    </tableColumn>
    <tableColumn id="7" xr3:uid="{9EB98742-8B20-45E5-BF49-7BAF579D87E6}" name="Input Flow I_1" dataDxfId="33">
      <calculatedColumnFormula>Data_Processes!H4</calculatedColumnFormula>
    </tableColumn>
    <tableColumn id="8" xr3:uid="{022D672A-8C29-44C2-9AB7-ACBE5E3DF91E}" name="Flow ID I_1" dataDxfId="32">
      <calculatedColumnFormula>Data_Processes!I4</calculatedColumnFormula>
    </tableColumn>
    <tableColumn id="9" xr3:uid="{B2EF01BA-731F-44B8-9547-2444F80BFD8E}" name="Input Flow I_2" dataDxfId="31">
      <calculatedColumnFormula>Data_Processes!J4</calculatedColumnFormula>
    </tableColumn>
    <tableColumn id="10" xr3:uid="{06841EED-8CB5-412C-A42B-8AA241F33E89}" name="Flow ID I_2" dataDxfId="30">
      <calculatedColumnFormula>Data_Processes!K4</calculatedColumnFormula>
    </tableColumn>
    <tableColumn id="11" xr3:uid="{8628B395-FA63-4A4D-9FEA-879B41C0AB42}" name="Input Flow I_3" dataDxfId="29">
      <calculatedColumnFormula>Data_Processes!L4</calculatedColumnFormula>
    </tableColumn>
    <tableColumn id="12" xr3:uid="{5A3135B4-4216-441C-8AA9-0BD7FF4D815F}" name="Flow ID I_3" dataDxfId="28">
      <calculatedColumnFormula>Data_Processes!M4</calculatedColumnFormula>
    </tableColumn>
    <tableColumn id="13" xr3:uid="{C64AB1E7-A034-4E8C-B4D1-64AD79BF4BDE}" name="Input Flow I_4" dataDxfId="27">
      <calculatedColumnFormula>Data_Processes!N4</calculatedColumnFormula>
    </tableColumn>
    <tableColumn id="14" xr3:uid="{E2DD495B-535E-4BF8-A8BD-5A6CBBD70B06}" name="Flow ID I_4" dataDxfId="26">
      <calculatedColumnFormula>Data_Processes!O4</calculatedColumnFormula>
    </tableColumn>
    <tableColumn id="15" xr3:uid="{F264E541-EC07-4F96-8824-873BC2BA413E}" name="Input Flow I_5" dataDxfId="25">
      <calculatedColumnFormula>Data_Processes!P4</calculatedColumnFormula>
    </tableColumn>
    <tableColumn id="16" xr3:uid="{BC7E5F0F-36A3-41B2-8997-142262BAF0FE}" name="Flow ID I_5" dataDxfId="24">
      <calculatedColumnFormula>Data_Processes!Q4</calculatedColumnFormula>
    </tableColumn>
    <tableColumn id="17" xr3:uid="{203B81F2-7900-40B4-A1AC-80B9CE332A56}" name="Output Flow O_1" dataDxfId="23">
      <calculatedColumnFormula>Data_Processes!R4</calculatedColumnFormula>
    </tableColumn>
    <tableColumn id="18" xr3:uid="{5B23377D-41ED-47E4-9027-E94D7DFF0268}" name="Flow ID O_2" dataDxfId="22">
      <calculatedColumnFormula>Data_Processes!S4</calculatedColumnFormula>
    </tableColumn>
    <tableColumn id="19" xr3:uid="{AA26B334-DCD2-447A-8485-B247AB6C5975}" name="Output Flow O_2" dataDxfId="21">
      <calculatedColumnFormula>Data_Processes!T4</calculatedColumnFormula>
    </tableColumn>
    <tableColumn id="20" xr3:uid="{1981B44B-30C4-4832-9293-B79E32D8CC26}" name="Flow ID O_3" dataDxfId="20">
      <calculatedColumnFormula>Data_Processes!U4</calculatedColumnFormula>
    </tableColumn>
    <tableColumn id="21" xr3:uid="{6FEDDA9D-8C6C-489F-923C-4814C6B2DE48}" name="Output Flow O_3" dataDxfId="19">
      <calculatedColumnFormula>Data_Processes!V4</calculatedColumnFormula>
    </tableColumn>
    <tableColumn id="22" xr3:uid="{0ACDF691-71B6-4C8F-A2E7-3CE3907D685D}" name="Flow ID O_4" dataDxfId="18">
      <calculatedColumnFormula>Data_Processes!W4</calculatedColumnFormula>
    </tableColumn>
    <tableColumn id="23" xr3:uid="{E1719D42-0E10-4116-AA35-015FE4D76109}" name="Output Flow O_4" dataDxfId="17">
      <calculatedColumnFormula>Data_Processes!X4</calculatedColumnFormula>
    </tableColumn>
    <tableColumn id="24" xr3:uid="{C52D4E2A-66BD-4683-BE45-EA52995219A3}" name="Flow ID O_5" dataDxfId="16">
      <calculatedColumnFormula>Data_Processes!Y4</calculatedColumnFormula>
    </tableColumn>
    <tableColumn id="25" xr3:uid="{CAB87C89-EB42-4B62-8B40-17DB98B015C3}" name="Output Flow O_5" dataDxfId="15">
      <calculatedColumnFormula>Data_Processes!Z4</calculatedColumnFormula>
    </tableColumn>
    <tableColumn id="26" xr3:uid="{BDE8363F-841E-442D-9879-A0C95FA50F23}" name="Flow ID O_6" dataDxfId="14">
      <calculatedColumnFormula>Data_Processes!AA4</calculatedColumnFormula>
    </tableColumn>
    <tableColumn id="27" xr3:uid="{C13F7B5A-C7AE-47B1-984B-C1DD4DAB8D97}" name="Output Flow O_6" dataDxfId="13">
      <calculatedColumnFormula>Data_Processes!AB4</calculatedColumnFormula>
    </tableColumn>
    <tableColumn id="28" xr3:uid="{36EE287E-0216-4ED4-8497-839ECAD1A366}" name="Flow ID O_62" dataDxfId="12">
      <calculatedColumnFormula>Data_Processes!AC4</calculatedColumnFormula>
    </tableColumn>
    <tableColumn id="29" xr3:uid="{D5E87D8A-F065-4614-98A1-0ACBE77B5CE6}" name="Stock (Yes/No)" dataDxfId="11">
      <calculatedColumnFormula>Data_Processes!AD4</calculatedColumnFormula>
    </tableColumn>
    <tableColumn id="30" xr3:uid="{7DB85657-4548-4C69-90C2-7EA0BAC5750F}" name="Transfercoefficient (Yes/No)" dataDxfId="10">
      <calculatedColumnFormula>Data_Processes!AE4</calculatedColumnFormula>
    </tableColumn>
    <tableColumn id="31" xr3:uid="{720874FE-B91C-411D-B2FF-2C1CE1207B30}" name="Year" dataDxfId="9"/>
    <tableColumn id="32" xr3:uid="{E6E2D6EE-18FD-4992-9950-EEF63E35260F}" name="Stock" dataDxfId="8"/>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7"/>
    <tableColumn id="37" xr3:uid="{044F4A09-298E-4BAD-8EE9-418BDE87DFB8}" name="Name4" dataDxfId="6"/>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5"/>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4" headerRowBorderDxfId="3">
  <autoFilter ref="B3:AX51" xr:uid="{23037614-2859-4945-8812-14AD103641AF}"/>
  <tableColumns count="49">
    <tableColumn id="1" xr3:uid="{7D445D7F-93DE-413A-A662-D7071F7B37A8}" name="Id" dataDxfId="2">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1"/>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0"/>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8.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hyperlink" Target="https://www.berlin.de/sen/uvk/umwelt/kreislaufwirtschaft/abfallbehoerde/abfallbilanzen/"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M36"/>
  <sheetViews>
    <sheetView topLeftCell="A4" zoomScale="205" zoomScaleNormal="205" workbookViewId="0">
      <selection activeCell="C27" sqref="C27"/>
    </sheetView>
  </sheetViews>
  <sheetFormatPr defaultColWidth="9.1796875" defaultRowHeight="14.5" x14ac:dyDescent="0.35"/>
  <sheetData>
    <row r="3" spans="2:13" x14ac:dyDescent="0.35">
      <c r="B3" t="s">
        <v>207</v>
      </c>
    </row>
    <row r="5" spans="2:13" x14ac:dyDescent="0.35">
      <c r="B5" t="s">
        <v>215</v>
      </c>
    </row>
    <row r="6" spans="2:13" x14ac:dyDescent="0.35">
      <c r="C6" t="s">
        <v>216</v>
      </c>
      <c r="F6" t="s">
        <v>217</v>
      </c>
    </row>
    <row r="7" spans="2:13" x14ac:dyDescent="0.35">
      <c r="C7" t="s">
        <v>218</v>
      </c>
      <c r="F7" t="s">
        <v>81</v>
      </c>
    </row>
    <row r="8" spans="2:13" x14ac:dyDescent="0.35">
      <c r="F8" t="s">
        <v>79</v>
      </c>
    </row>
    <row r="9" spans="2:13" x14ac:dyDescent="0.35">
      <c r="F9" t="s">
        <v>219</v>
      </c>
    </row>
    <row r="11" spans="2:13" x14ac:dyDescent="0.35">
      <c r="B11" s="127" t="s">
        <v>220</v>
      </c>
      <c r="C11" s="127"/>
      <c r="D11" s="127"/>
      <c r="E11" s="127"/>
      <c r="F11" s="127"/>
      <c r="G11" s="127"/>
      <c r="H11" s="127"/>
      <c r="I11" s="127"/>
      <c r="J11" s="127"/>
      <c r="K11" s="127"/>
      <c r="L11" s="127"/>
      <c r="M11" s="127"/>
    </row>
    <row r="12" spans="2:13" x14ac:dyDescent="0.35">
      <c r="B12" s="127"/>
      <c r="C12" s="127"/>
      <c r="D12" s="127"/>
      <c r="E12" s="127"/>
      <c r="F12" s="127"/>
      <c r="G12" s="127"/>
      <c r="H12" s="127"/>
      <c r="I12" s="127"/>
      <c r="J12" s="127"/>
      <c r="K12" s="127"/>
      <c r="L12" s="127"/>
      <c r="M12" s="127"/>
    </row>
    <row r="13" spans="2:13" x14ac:dyDescent="0.35">
      <c r="B13" s="127"/>
      <c r="C13" s="127"/>
      <c r="D13" s="127"/>
      <c r="E13" s="127"/>
      <c r="F13" s="127"/>
      <c r="G13" s="127"/>
      <c r="H13" s="127"/>
      <c r="I13" s="127"/>
      <c r="J13" s="127"/>
      <c r="K13" s="127"/>
      <c r="L13" s="127"/>
      <c r="M13" s="127"/>
    </row>
    <row r="14" spans="2:13" x14ac:dyDescent="0.35">
      <c r="B14" s="128" t="s">
        <v>221</v>
      </c>
      <c r="C14" s="128"/>
      <c r="D14" s="128"/>
      <c r="E14" s="128"/>
      <c r="F14" s="128"/>
      <c r="G14" s="128"/>
      <c r="H14" s="128"/>
      <c r="I14" s="128"/>
      <c r="J14" s="128"/>
      <c r="K14" s="128"/>
      <c r="L14" s="128"/>
    </row>
    <row r="15" spans="2:13" x14ac:dyDescent="0.35">
      <c r="B15" s="128"/>
      <c r="C15" s="128"/>
      <c r="D15" s="128"/>
      <c r="E15" s="128"/>
      <c r="F15" s="128"/>
      <c r="G15" s="128"/>
      <c r="H15" s="128"/>
      <c r="I15" s="128"/>
      <c r="J15" s="128"/>
      <c r="K15" s="128"/>
      <c r="L15" s="128"/>
    </row>
    <row r="16" spans="2:13" x14ac:dyDescent="0.35">
      <c r="B16" s="128"/>
      <c r="C16" s="128"/>
      <c r="D16" s="128"/>
      <c r="E16" s="128"/>
      <c r="F16" s="128"/>
      <c r="G16" s="128"/>
      <c r="H16" s="128"/>
      <c r="I16" s="128"/>
      <c r="J16" s="128"/>
      <c r="K16" s="128"/>
      <c r="L16" s="128"/>
    </row>
    <row r="17" spans="2:12" x14ac:dyDescent="0.35">
      <c r="B17" s="128"/>
      <c r="C17" s="128"/>
      <c r="D17" s="128"/>
      <c r="E17" s="128"/>
      <c r="F17" s="128"/>
      <c r="G17" s="128"/>
      <c r="H17" s="128"/>
      <c r="I17" s="128"/>
      <c r="J17" s="128"/>
      <c r="K17" s="128"/>
      <c r="L17" s="128"/>
    </row>
    <row r="21" spans="2:12" x14ac:dyDescent="0.35">
      <c r="B21" t="s">
        <v>208</v>
      </c>
    </row>
    <row r="23" spans="2:12" x14ac:dyDescent="0.35">
      <c r="C23" t="s">
        <v>214</v>
      </c>
    </row>
    <row r="32" spans="2:12" x14ac:dyDescent="0.35">
      <c r="B32" t="s">
        <v>209</v>
      </c>
    </row>
    <row r="33" spans="2:2" x14ac:dyDescent="0.35">
      <c r="B33" t="s">
        <v>210</v>
      </c>
    </row>
    <row r="34" spans="2:2" x14ac:dyDescent="0.35">
      <c r="B34" t="s">
        <v>211</v>
      </c>
    </row>
    <row r="35" spans="2:2" x14ac:dyDescent="0.35">
      <c r="B35" t="s">
        <v>212</v>
      </c>
    </row>
    <row r="36" spans="2:2" x14ac:dyDescent="0.35">
      <c r="B36" t="s">
        <v>213</v>
      </c>
    </row>
  </sheetData>
  <mergeCells count="2">
    <mergeCell ref="B11:M13"/>
    <mergeCell ref="B14:L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tabColor rgb="FFFF0000"/>
  </sheetPr>
  <dimension ref="A1"/>
  <sheetViews>
    <sheetView workbookViewId="0">
      <selection activeCell="F40" sqref="F40"/>
    </sheetView>
  </sheetViews>
  <sheetFormatPr defaultColWidth="10.90625" defaultRowHeight="14.5" x14ac:dyDescent="0.3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tabColor theme="7" tint="0.79998168889431442"/>
  </sheetPr>
  <dimension ref="A1"/>
  <sheetViews>
    <sheetView workbookViewId="0">
      <selection activeCell="E44" sqref="E44"/>
    </sheetView>
  </sheetViews>
  <sheetFormatPr defaultColWidth="10.81640625" defaultRowHeight="14.5" x14ac:dyDescent="0.3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tabColor theme="7" tint="0.79998168889431442"/>
  </sheetPr>
  <dimension ref="A1:Y77"/>
  <sheetViews>
    <sheetView zoomScale="70" zoomScaleNormal="70" workbookViewId="0">
      <pane xSplit="4" ySplit="13" topLeftCell="E57" activePane="bottomRight" state="frozen"/>
      <selection pane="topRight" activeCell="E1" sqref="E1"/>
      <selection pane="bottomLeft" activeCell="A14" sqref="A14"/>
      <selection pane="bottomRight" activeCell="M24" sqref="E23:M24"/>
    </sheetView>
  </sheetViews>
  <sheetFormatPr defaultColWidth="10.81640625" defaultRowHeight="14.5" x14ac:dyDescent="0.35"/>
  <cols>
    <col min="2" max="2" width="7.26953125" customWidth="1"/>
    <col min="3" max="3" width="10.7265625" customWidth="1"/>
    <col min="4" max="4" width="26.1796875" customWidth="1"/>
    <col min="5" max="5" width="40" customWidth="1"/>
    <col min="6" max="7" width="16.453125" customWidth="1"/>
    <col min="8" max="8" width="26.453125" customWidth="1"/>
    <col min="9" max="9" width="40.1796875" customWidth="1"/>
    <col min="10" max="10" width="30.453125" customWidth="1"/>
    <col min="11" max="11" width="32.26953125" customWidth="1"/>
    <col min="12" max="12" width="23.1796875" customWidth="1"/>
    <col min="13" max="14" width="20.26953125" customWidth="1"/>
    <col min="23" max="23" width="15.453125" customWidth="1"/>
    <col min="24" max="24" width="13" customWidth="1"/>
    <col min="25" max="25" width="15.7265625" customWidth="1"/>
  </cols>
  <sheetData>
    <row r="1" spans="1:25" x14ac:dyDescent="0.35">
      <c r="A1" s="48" t="s">
        <v>316</v>
      </c>
      <c r="B1" s="9" t="s">
        <v>225</v>
      </c>
      <c r="C1" t="s">
        <v>268</v>
      </c>
      <c r="D1" t="s">
        <v>320</v>
      </c>
      <c r="E1" t="s">
        <v>321</v>
      </c>
      <c r="F1" t="s">
        <v>234</v>
      </c>
      <c r="G1" t="s">
        <v>269</v>
      </c>
      <c r="H1" t="s">
        <v>270</v>
      </c>
      <c r="I1" t="s">
        <v>271</v>
      </c>
      <c r="J1" s="25" t="s">
        <v>272</v>
      </c>
      <c r="K1" s="26" t="s">
        <v>273</v>
      </c>
      <c r="L1" s="26" t="s">
        <v>274</v>
      </c>
      <c r="M1" s="32" t="s">
        <v>275</v>
      </c>
      <c r="N1" s="26" t="s">
        <v>408</v>
      </c>
      <c r="O1" s="25" t="s">
        <v>354</v>
      </c>
      <c r="P1" s="26" t="s">
        <v>356</v>
      </c>
      <c r="Q1" s="32" t="s">
        <v>355</v>
      </c>
      <c r="R1" s="21" t="s">
        <v>504</v>
      </c>
      <c r="S1" s="23" t="s">
        <v>358</v>
      </c>
      <c r="T1" s="21" t="s">
        <v>505</v>
      </c>
      <c r="U1" s="23" t="s">
        <v>360</v>
      </c>
      <c r="V1" s="21" t="s">
        <v>453</v>
      </c>
      <c r="W1" s="23" t="s">
        <v>454</v>
      </c>
      <c r="X1" s="21" t="s">
        <v>506</v>
      </c>
      <c r="Y1" s="23" t="s">
        <v>452</v>
      </c>
    </row>
    <row r="2" spans="1:25" x14ac:dyDescent="0.35">
      <c r="A2" s="93" t="b">
        <v>1</v>
      </c>
      <c r="B2" s="49">
        <f t="shared" ref="B2:B32" si="0">ROW()-1</f>
        <v>1</v>
      </c>
      <c r="C2" s="49" t="str">
        <f>"F_"&amp;LEFT(K2,2)&amp;"_"&amp;LEFT(M2,2)</f>
        <v>F_13_20</v>
      </c>
      <c r="D2" s="51" t="s">
        <v>450</v>
      </c>
      <c r="E2" s="92" t="s">
        <v>375</v>
      </c>
      <c r="F2" s="51" t="s">
        <v>353</v>
      </c>
      <c r="G2" s="92"/>
      <c r="H2" s="51" t="s">
        <v>379</v>
      </c>
      <c r="I2" s="92"/>
      <c r="J2" s="95" t="s">
        <v>391</v>
      </c>
      <c r="K2" s="49" t="str">
        <f>_xlfn.XLOOKUP(J2,Tab_Def_Processes[Name(EN)],Tab_Def_Processes[Process_ID],,0,)</f>
        <v>13_Rye_BB</v>
      </c>
      <c r="L2" s="51" t="s">
        <v>345</v>
      </c>
      <c r="M2" s="61" t="str">
        <f>_xlfn.XLOOKUP(L2,Tab_Def_Processes[Name(EN)],Tab_Def_Processes[Process_ID],,0,)</f>
        <v>20_Rye_BB</v>
      </c>
      <c r="N2" s="51" t="s">
        <v>415</v>
      </c>
      <c r="O2" s="95" t="s">
        <v>68</v>
      </c>
      <c r="P2" s="51" t="s">
        <v>68</v>
      </c>
      <c r="Q2" s="99" t="s">
        <v>68</v>
      </c>
      <c r="R2" s="106">
        <v>0.06</v>
      </c>
      <c r="S2" s="99"/>
      <c r="T2" s="106">
        <v>0.94</v>
      </c>
      <c r="U2" s="99" t="s">
        <v>451</v>
      </c>
      <c r="V2" s="105">
        <v>0.49</v>
      </c>
      <c r="W2" s="99" t="s">
        <v>451</v>
      </c>
      <c r="X2" s="123">
        <f>Tab_Def_Flows[[#This Row],[CC_DM'[%']]]*Tab_Def_Flows[[#This Row],[DM]]</f>
        <v>0.46059999999999995</v>
      </c>
      <c r="Y2" s="51"/>
    </row>
    <row r="3" spans="1:25" x14ac:dyDescent="0.35">
      <c r="A3" s="93" t="b">
        <v>1</v>
      </c>
      <c r="B3" s="49">
        <f t="shared" si="0"/>
        <v>2</v>
      </c>
      <c r="C3" s="49" t="str">
        <f t="shared" ref="C3:C66" si="1">"F_"&amp;LEFT(K3,2)&amp;"_"&amp;LEFT(M3,2)</f>
        <v>F_20_15</v>
      </c>
      <c r="D3" s="51" t="s">
        <v>334</v>
      </c>
      <c r="E3" s="92" t="s">
        <v>376</v>
      </c>
      <c r="F3" s="51" t="s">
        <v>353</v>
      </c>
      <c r="G3" s="92"/>
      <c r="H3" s="51" t="s">
        <v>379</v>
      </c>
      <c r="I3" s="92"/>
      <c r="J3" s="95" t="s">
        <v>345</v>
      </c>
      <c r="K3" s="49" t="str">
        <f>_xlfn.XLOOKUP(J3,Tab_Def_Processes[Name(EN)],Tab_Def_Processes[Process_ID],,0,)</f>
        <v>20_Rye_BB</v>
      </c>
      <c r="L3" s="51" t="s">
        <v>447</v>
      </c>
      <c r="M3" s="61" t="str">
        <f>_xlfn.XLOOKUP(L3,Tab_Def_Processes[Name(EN)],Tab_Def_Processes[Process_ID],,0,)</f>
        <v>15_Rye_BB</v>
      </c>
      <c r="N3" s="51" t="s">
        <v>410</v>
      </c>
      <c r="O3" s="95" t="s">
        <v>68</v>
      </c>
      <c r="P3" s="51" t="s">
        <v>68</v>
      </c>
      <c r="Q3" s="99" t="s">
        <v>68</v>
      </c>
      <c r="R3" s="106">
        <v>0.06</v>
      </c>
      <c r="S3" s="99"/>
      <c r="T3" s="106">
        <v>0.94</v>
      </c>
      <c r="U3" s="99" t="s">
        <v>451</v>
      </c>
      <c r="V3" s="106">
        <v>0.49</v>
      </c>
      <c r="W3" s="99" t="s">
        <v>451</v>
      </c>
      <c r="X3" s="123">
        <f>Tab_Def_Flows[[#This Row],[CC_DM'[%']]]*Tab_Def_Flows[[#This Row],[DM]]</f>
        <v>0.46059999999999995</v>
      </c>
      <c r="Y3" s="51"/>
    </row>
    <row r="4" spans="1:25" x14ac:dyDescent="0.35">
      <c r="A4" s="93" t="b">
        <v>1</v>
      </c>
      <c r="B4" s="49">
        <f t="shared" si="0"/>
        <v>3</v>
      </c>
      <c r="C4" s="49" t="str">
        <f t="shared" si="1"/>
        <v>F_20_01</v>
      </c>
      <c r="D4" s="51" t="s">
        <v>335</v>
      </c>
      <c r="E4" s="92" t="s">
        <v>377</v>
      </c>
      <c r="F4" s="51" t="s">
        <v>353</v>
      </c>
      <c r="G4" s="92"/>
      <c r="H4" s="51" t="s">
        <v>380</v>
      </c>
      <c r="I4" s="92"/>
      <c r="J4" s="95" t="s">
        <v>345</v>
      </c>
      <c r="K4" s="49" t="str">
        <f>_xlfn.XLOOKUP(J4,Tab_Def_Processes[Name(EN)],Tab_Def_Processes[Process_ID],,0,)</f>
        <v>20_Rye_BB</v>
      </c>
      <c r="L4" s="51" t="s">
        <v>346</v>
      </c>
      <c r="M4" s="61" t="str">
        <f>_xlfn.XLOOKUP(L4,Tab_Def_Processes[Name(EN)],Tab_Def_Processes[Process_ID],,0,)</f>
        <v>01_Bio_BB</v>
      </c>
      <c r="N4" s="51" t="s">
        <v>410</v>
      </c>
      <c r="O4" s="95" t="s">
        <v>68</v>
      </c>
      <c r="P4" s="51" t="s">
        <v>68</v>
      </c>
      <c r="Q4" s="99" t="s">
        <v>68</v>
      </c>
      <c r="R4" s="106">
        <v>0.06</v>
      </c>
      <c r="S4" s="99"/>
      <c r="T4" s="106">
        <v>0.94</v>
      </c>
      <c r="U4" s="99" t="s">
        <v>451</v>
      </c>
      <c r="V4" s="106">
        <v>0.49</v>
      </c>
      <c r="W4" s="99" t="s">
        <v>451</v>
      </c>
      <c r="X4" s="123">
        <f>Tab_Def_Flows[[#This Row],[CC_DM'[%']]]*Tab_Def_Flows[[#This Row],[DM]]</f>
        <v>0.46059999999999995</v>
      </c>
      <c r="Y4" s="51"/>
    </row>
    <row r="5" spans="1:25" x14ac:dyDescent="0.35">
      <c r="A5" s="93" t="b">
        <v>1</v>
      </c>
      <c r="B5" s="49">
        <f t="shared" si="0"/>
        <v>4</v>
      </c>
      <c r="C5" s="49" t="str">
        <f t="shared" si="1"/>
        <v>F_20_16</v>
      </c>
      <c r="D5" s="51" t="s">
        <v>336</v>
      </c>
      <c r="E5" s="92" t="s">
        <v>378</v>
      </c>
      <c r="F5" s="51" t="s">
        <v>353</v>
      </c>
      <c r="G5" s="92"/>
      <c r="H5" s="51" t="s">
        <v>380</v>
      </c>
      <c r="I5" s="92"/>
      <c r="J5" s="95" t="s">
        <v>345</v>
      </c>
      <c r="K5" s="49" t="str">
        <f>_xlfn.XLOOKUP(J5,Tab_Def_Processes[Name(EN)],Tab_Def_Processes[Process_ID],,0,)</f>
        <v>20_Rye_BB</v>
      </c>
      <c r="L5" s="51" t="s">
        <v>395</v>
      </c>
      <c r="M5" s="61" t="str">
        <f>_xlfn.XLOOKUP(L5,Tab_Def_Processes[Name(EN)],Tab_Def_Processes[Process_ID],,0,)</f>
        <v>16_Not_BB</v>
      </c>
      <c r="N5" s="51" t="s">
        <v>410</v>
      </c>
      <c r="O5" s="95" t="s">
        <v>68</v>
      </c>
      <c r="P5" s="51" t="s">
        <v>68</v>
      </c>
      <c r="Q5" s="99" t="s">
        <v>68</v>
      </c>
      <c r="R5" s="106">
        <v>0.06</v>
      </c>
      <c r="S5" s="99"/>
      <c r="T5" s="106">
        <v>0.94</v>
      </c>
      <c r="U5" s="99" t="s">
        <v>451</v>
      </c>
      <c r="V5" s="106">
        <v>0.49</v>
      </c>
      <c r="W5" s="99" t="s">
        <v>451</v>
      </c>
      <c r="X5" s="123">
        <f>Tab_Def_Flows[[#This Row],[CC_DM'[%']]]*Tab_Def_Flows[[#This Row],[DM]]</f>
        <v>0.46059999999999995</v>
      </c>
      <c r="Y5" s="51"/>
    </row>
    <row r="6" spans="1:25" x14ac:dyDescent="0.35">
      <c r="A6" s="93" t="b">
        <v>1</v>
      </c>
      <c r="B6" s="49">
        <f t="shared" si="0"/>
        <v>5</v>
      </c>
      <c r="C6" s="49" t="str">
        <f t="shared" si="1"/>
        <v>F_04_01</v>
      </c>
      <c r="D6" s="51" t="s">
        <v>337</v>
      </c>
      <c r="E6" s="92" t="s">
        <v>381</v>
      </c>
      <c r="F6" s="51" t="s">
        <v>353</v>
      </c>
      <c r="G6" s="92"/>
      <c r="H6" s="51" t="s">
        <v>380</v>
      </c>
      <c r="I6" s="92"/>
      <c r="J6" s="95" t="s">
        <v>441</v>
      </c>
      <c r="K6" s="49" t="str">
        <f>_xlfn.XLOOKUP(J6,Tab_Def_Processes[Name(EN)],Tab_Def_Processes[Process_ID],,0,)</f>
        <v>04_Lif_BB</v>
      </c>
      <c r="L6" s="51" t="s">
        <v>346</v>
      </c>
      <c r="M6" s="61" t="str">
        <f>_xlfn.XLOOKUP(L6,Tab_Def_Processes[Name(EN)],Tab_Def_Processes[Process_ID],,0,)</f>
        <v>01_Bio_BB</v>
      </c>
      <c r="N6" s="51"/>
      <c r="O6" s="95" t="s">
        <v>68</v>
      </c>
      <c r="P6" s="51" t="s">
        <v>68</v>
      </c>
      <c r="Q6" s="99" t="s">
        <v>68</v>
      </c>
      <c r="R6" s="106">
        <v>0.94</v>
      </c>
      <c r="S6" s="99"/>
      <c r="T6" s="106">
        <v>0.06</v>
      </c>
      <c r="U6" s="99" t="s">
        <v>368</v>
      </c>
      <c r="V6" s="106">
        <v>0.49</v>
      </c>
      <c r="W6" s="99" t="s">
        <v>368</v>
      </c>
      <c r="X6" s="123">
        <f>Tab_Def_Flows[[#This Row],[CC_DM'[%']]]*Tab_Def_Flows[[#This Row],[DM]]</f>
        <v>2.9399999999999999E-2</v>
      </c>
      <c r="Y6" s="51"/>
    </row>
    <row r="7" spans="1:25" x14ac:dyDescent="0.35">
      <c r="A7" s="93" t="b">
        <v>0</v>
      </c>
      <c r="B7" s="49">
        <f t="shared" si="0"/>
        <v>6</v>
      </c>
      <c r="C7" s="49" t="str">
        <f t="shared" si="1"/>
        <v>F_01_05</v>
      </c>
      <c r="D7" s="51" t="s">
        <v>338</v>
      </c>
      <c r="E7" s="92" t="s">
        <v>338</v>
      </c>
      <c r="F7" s="51" t="s">
        <v>353</v>
      </c>
      <c r="G7" s="92"/>
      <c r="H7" s="51" t="s">
        <v>379</v>
      </c>
      <c r="I7" s="92"/>
      <c r="J7" s="95" t="s">
        <v>346</v>
      </c>
      <c r="K7" s="49" t="str">
        <f>_xlfn.XLOOKUP(J7,Tab_Def_Processes[Name(EN)],Tab_Def_Processes[Process_ID],,0,)</f>
        <v>01_Bio_BB</v>
      </c>
      <c r="L7" s="51" t="s">
        <v>442</v>
      </c>
      <c r="M7" s="61" t="str">
        <f>_xlfn.XLOOKUP(L7,Tab_Def_Processes[Name(EN)],Tab_Def_Processes[Process_ID],,0,)</f>
        <v>05_Bio_BB</v>
      </c>
      <c r="N7" s="51" t="s">
        <v>409</v>
      </c>
      <c r="O7" s="95" t="s">
        <v>68</v>
      </c>
      <c r="P7" s="51" t="s">
        <v>68</v>
      </c>
      <c r="Q7" s="99" t="s">
        <v>68</v>
      </c>
      <c r="R7" s="106">
        <v>0</v>
      </c>
      <c r="S7" s="99"/>
      <c r="T7" s="106">
        <v>1</v>
      </c>
      <c r="U7" s="99" t="s">
        <v>368</v>
      </c>
      <c r="V7" s="106">
        <v>0.27</v>
      </c>
      <c r="W7" s="99" t="s">
        <v>368</v>
      </c>
      <c r="X7" s="123">
        <f>Tab_Def_Flows[[#This Row],[CC_DM'[%']]]*Tab_Def_Flows[[#This Row],[DM]]</f>
        <v>0.27</v>
      </c>
      <c r="Y7" s="51"/>
    </row>
    <row r="8" spans="1:25" x14ac:dyDescent="0.35">
      <c r="A8" s="93" t="b">
        <v>0</v>
      </c>
      <c r="B8" s="49">
        <f t="shared" si="0"/>
        <v>7</v>
      </c>
      <c r="C8" s="49" t="str">
        <f t="shared" si="1"/>
        <v>F_01_02</v>
      </c>
      <c r="D8" s="51" t="s">
        <v>339</v>
      </c>
      <c r="E8" s="92" t="s">
        <v>383</v>
      </c>
      <c r="F8" s="51" t="s">
        <v>353</v>
      </c>
      <c r="G8" s="92"/>
      <c r="H8" s="51" t="s">
        <v>380</v>
      </c>
      <c r="I8" s="92"/>
      <c r="J8" s="95" t="s">
        <v>346</v>
      </c>
      <c r="K8" s="49" t="str">
        <f>_xlfn.XLOOKUP(J8,Tab_Def_Processes[Name(EN)],Tab_Def_Processes[Process_ID],,0,)</f>
        <v>01_Bio_BB</v>
      </c>
      <c r="L8" s="51" t="s">
        <v>347</v>
      </c>
      <c r="M8" s="61" t="str">
        <f>_xlfn.XLOOKUP(L8,Tab_Def_Processes[Name(EN)],Tab_Def_Processes[Process_ID],,0,)</f>
        <v>02_MBC_BB</v>
      </c>
      <c r="N8" s="51" t="s">
        <v>411</v>
      </c>
      <c r="O8" s="95" t="s">
        <v>68</v>
      </c>
      <c r="P8" s="51" t="s">
        <v>68</v>
      </c>
      <c r="Q8" s="99" t="s">
        <v>68</v>
      </c>
      <c r="R8" s="106">
        <v>0.64</v>
      </c>
      <c r="S8" s="99"/>
      <c r="T8" s="106">
        <v>0.36</v>
      </c>
      <c r="U8" s="99" t="s">
        <v>368</v>
      </c>
      <c r="V8" s="106">
        <v>0.38</v>
      </c>
      <c r="W8" s="99" t="s">
        <v>368</v>
      </c>
      <c r="X8" s="123">
        <f>Tab_Def_Flows[[#This Row],[CC_DM'[%']]]*Tab_Def_Flows[[#This Row],[DM]]</f>
        <v>0.1368</v>
      </c>
      <c r="Y8" s="51"/>
    </row>
    <row r="9" spans="1:25" x14ac:dyDescent="0.35">
      <c r="A9" s="93" t="b">
        <v>0</v>
      </c>
      <c r="B9" s="49">
        <f t="shared" si="0"/>
        <v>8</v>
      </c>
      <c r="C9" s="49" t="str">
        <f t="shared" si="1"/>
        <v>F_02_03</v>
      </c>
      <c r="D9" s="51" t="s">
        <v>393</v>
      </c>
      <c r="E9" s="92" t="s">
        <v>384</v>
      </c>
      <c r="F9" s="51" t="s">
        <v>353</v>
      </c>
      <c r="G9" s="92"/>
      <c r="H9" s="51" t="s">
        <v>379</v>
      </c>
      <c r="I9" s="92"/>
      <c r="J9" s="95" t="s">
        <v>347</v>
      </c>
      <c r="K9" s="49" t="str">
        <f>_xlfn.XLOOKUP(J9,Tab_Def_Processes[Name(EN)],Tab_Def_Processes[Process_ID],,0,)</f>
        <v>02_MBC_BB</v>
      </c>
      <c r="L9" s="51" t="s">
        <v>440</v>
      </c>
      <c r="M9" s="61" t="str">
        <f>_xlfn.XLOOKUP(L9,Tab_Def_Processes[Name(EN)],Tab_Def_Processes[Process_ID],,0,)</f>
        <v>03_MBC_BB</v>
      </c>
      <c r="N9" s="51"/>
      <c r="O9" s="95" t="s">
        <v>68</v>
      </c>
      <c r="P9" s="51" t="s">
        <v>68</v>
      </c>
      <c r="Q9" s="99" t="s">
        <v>68</v>
      </c>
      <c r="R9" s="106">
        <v>0.61</v>
      </c>
      <c r="S9" s="99"/>
      <c r="T9" s="106">
        <v>0.39</v>
      </c>
      <c r="U9" s="99"/>
      <c r="V9" s="106">
        <v>0.4</v>
      </c>
      <c r="W9" s="99"/>
      <c r="X9" s="124">
        <f>Tab_Def_Flows[[#This Row],[CC_DM'[%']]]*Tab_Def_Flows[[#This Row],[DM]]</f>
        <v>0.15600000000000003</v>
      </c>
      <c r="Y9" s="51"/>
    </row>
    <row r="10" spans="1:25" x14ac:dyDescent="0.35">
      <c r="A10" s="93" t="b">
        <v>0</v>
      </c>
      <c r="B10" s="49">
        <f>ROW()-1</f>
        <v>9</v>
      </c>
      <c r="C10" s="49" t="str">
        <f t="shared" si="1"/>
        <v>F_03_07</v>
      </c>
      <c r="D10" s="51" t="s">
        <v>394</v>
      </c>
      <c r="E10" s="92" t="s">
        <v>400</v>
      </c>
      <c r="F10" s="51" t="s">
        <v>353</v>
      </c>
      <c r="G10" s="92"/>
      <c r="H10" s="51" t="s">
        <v>382</v>
      </c>
      <c r="I10" s="92"/>
      <c r="J10" s="95" t="s">
        <v>440</v>
      </c>
      <c r="K10" s="49" t="str">
        <f>_xlfn.XLOOKUP(J10,Tab_Def_Processes[Name(EN)],Tab_Def_Processes[Process_ID],,0,)</f>
        <v>03_MBC_BB</v>
      </c>
      <c r="L10" s="51" t="s">
        <v>363</v>
      </c>
      <c r="M10" s="61" t="str">
        <f>_xlfn.XLOOKUP(L10,Tab_Def_Processes[Name(EN)],Tab_Def_Processes[Process_ID],,0,)</f>
        <v>07_EoL_BB</v>
      </c>
      <c r="N10" s="51"/>
      <c r="O10" s="95" t="s">
        <v>68</v>
      </c>
      <c r="P10" s="51" t="s">
        <v>68</v>
      </c>
      <c r="Q10" s="99" t="s">
        <v>68</v>
      </c>
      <c r="R10" s="106">
        <v>0.61</v>
      </c>
      <c r="S10" s="99"/>
      <c r="T10" s="106">
        <v>0.39</v>
      </c>
      <c r="U10" s="99"/>
      <c r="V10" s="106">
        <v>0.4</v>
      </c>
      <c r="W10" s="99"/>
      <c r="X10" s="124">
        <f>Tab_Def_Flows[[#This Row],[CC_DM'[%']]]*Tab_Def_Flows[[#This Row],[DM]]</f>
        <v>0.15600000000000003</v>
      </c>
      <c r="Y10" s="51"/>
    </row>
    <row r="11" spans="1:25" x14ac:dyDescent="0.35">
      <c r="A11" s="93" t="b">
        <v>0</v>
      </c>
      <c r="B11" s="49">
        <f t="shared" si="0"/>
        <v>10</v>
      </c>
      <c r="C11" s="49" t="str">
        <f t="shared" si="1"/>
        <v>F_02_06</v>
      </c>
      <c r="D11" s="51" t="s">
        <v>340</v>
      </c>
      <c r="E11" s="96" t="s">
        <v>385</v>
      </c>
      <c r="F11" s="51" t="s">
        <v>353</v>
      </c>
      <c r="G11" s="92"/>
      <c r="H11" s="51" t="s">
        <v>382</v>
      </c>
      <c r="I11" s="92"/>
      <c r="J11" s="95" t="s">
        <v>347</v>
      </c>
      <c r="K11" s="49" t="str">
        <f>_xlfn.XLOOKUP(J11,Tab_Def_Processes[Name(EN)],Tab_Def_Processes[Process_ID],,0,)</f>
        <v>02_MBC_BB</v>
      </c>
      <c r="L11" s="51" t="s">
        <v>443</v>
      </c>
      <c r="M11" s="61" t="str">
        <f>_xlfn.XLOOKUP(L11,Tab_Def_Processes[Name(EN)],Tab_Def_Processes[Process_ID],,0,)</f>
        <v>06_EoL_BB</v>
      </c>
      <c r="N11" s="51"/>
      <c r="O11" s="95" t="s">
        <v>68</v>
      </c>
      <c r="P11" s="51" t="s">
        <v>68</v>
      </c>
      <c r="Q11" s="99" t="s">
        <v>68</v>
      </c>
      <c r="R11" s="106">
        <v>0.64</v>
      </c>
      <c r="S11" s="99"/>
      <c r="T11" s="106">
        <v>0.36</v>
      </c>
      <c r="U11" s="99"/>
      <c r="V11" s="106">
        <v>0.38</v>
      </c>
      <c r="W11" s="99"/>
      <c r="X11" s="123">
        <f>Tab_Def_Flows[[#This Row],[CC_DM'[%']]]*Tab_Def_Flows[[#This Row],[DM]]</f>
        <v>0.1368</v>
      </c>
      <c r="Y11" s="51"/>
    </row>
    <row r="12" spans="1:25" x14ac:dyDescent="0.35">
      <c r="A12" s="93" t="b">
        <v>0</v>
      </c>
      <c r="B12" s="49">
        <f t="shared" si="0"/>
        <v>11</v>
      </c>
      <c r="C12" s="49" t="str">
        <f t="shared" si="1"/>
        <v>F_11_02</v>
      </c>
      <c r="D12" s="51" t="s">
        <v>341</v>
      </c>
      <c r="E12" s="96" t="s">
        <v>401</v>
      </c>
      <c r="F12" s="51" t="s">
        <v>353</v>
      </c>
      <c r="G12" s="92"/>
      <c r="H12" s="51" t="s">
        <v>379</v>
      </c>
      <c r="I12" s="92"/>
      <c r="J12" s="95" t="s">
        <v>366</v>
      </c>
      <c r="K12" s="49" t="str">
        <f>_xlfn.XLOOKUP(J12,Tab_Def_Processes[Name(EN)],Tab_Def_Processes[Process_ID],,0,)</f>
        <v>11_Mil_BB</v>
      </c>
      <c r="L12" s="51" t="s">
        <v>347</v>
      </c>
      <c r="M12" s="61" t="str">
        <f>_xlfn.XLOOKUP(L12,Tab_Def_Processes[Name(EN)],Tab_Def_Processes[Process_ID],,0,)</f>
        <v>02_MBC_BB</v>
      </c>
      <c r="N12" s="51"/>
      <c r="O12" s="95" t="s">
        <v>68</v>
      </c>
      <c r="P12" s="51" t="s">
        <v>68</v>
      </c>
      <c r="Q12" s="99" t="s">
        <v>68</v>
      </c>
      <c r="R12" s="106">
        <v>0.66</v>
      </c>
      <c r="S12" s="99"/>
      <c r="T12" s="106">
        <v>0.34</v>
      </c>
      <c r="U12" s="99"/>
      <c r="V12" s="106">
        <v>0.47</v>
      </c>
      <c r="W12" s="99"/>
      <c r="X12" s="123">
        <f>Tab_Def_Flows[[#This Row],[CC_DM'[%']]]*Tab_Def_Flows[[#This Row],[DM]]</f>
        <v>0.1598</v>
      </c>
      <c r="Y12" s="51"/>
    </row>
    <row r="13" spans="1:25" x14ac:dyDescent="0.35">
      <c r="A13" s="93" t="b">
        <v>0</v>
      </c>
      <c r="B13" s="49">
        <f t="shared" si="0"/>
        <v>12</v>
      </c>
      <c r="C13" s="49" t="str">
        <f t="shared" si="1"/>
        <v>F_08_02</v>
      </c>
      <c r="D13" s="51" t="s">
        <v>343</v>
      </c>
      <c r="E13" s="92" t="s">
        <v>402</v>
      </c>
      <c r="F13" s="51" t="s">
        <v>353</v>
      </c>
      <c r="G13" s="92"/>
      <c r="H13" s="51" t="s">
        <v>379</v>
      </c>
      <c r="I13" s="92"/>
      <c r="J13" s="95" t="s">
        <v>444</v>
      </c>
      <c r="K13" s="49" t="str">
        <f>_xlfn.XLOOKUP(J13,Tab_Def_Processes[Name(EN)],Tab_Def_Processes[Process_ID],,0,)</f>
        <v>08_Wat_BB</v>
      </c>
      <c r="L13" s="51" t="s">
        <v>347</v>
      </c>
      <c r="M13" s="61" t="str">
        <f>_xlfn.XLOOKUP(L13,Tab_Def_Processes[Name(EN)],Tab_Def_Processes[Process_ID],,0,)</f>
        <v>02_MBC_BB</v>
      </c>
      <c r="N13" s="51"/>
      <c r="O13" s="95" t="s">
        <v>68</v>
      </c>
      <c r="P13" s="51" t="s">
        <v>68</v>
      </c>
      <c r="Q13" s="99" t="s">
        <v>68</v>
      </c>
      <c r="R13" s="106">
        <v>1</v>
      </c>
      <c r="S13" s="99"/>
      <c r="T13" s="106">
        <v>0</v>
      </c>
      <c r="U13" s="99"/>
      <c r="V13" s="106">
        <v>0</v>
      </c>
      <c r="W13" s="99"/>
      <c r="X13" s="123">
        <f>Tab_Def_Flows[[#This Row],[CC_DM'[%']]]*Tab_Def_Flows[[#This Row],[DM]]</f>
        <v>0</v>
      </c>
      <c r="Y13" s="51"/>
    </row>
    <row r="14" spans="1:25" x14ac:dyDescent="0.35">
      <c r="A14" s="93" t="b">
        <v>0</v>
      </c>
      <c r="B14" s="49">
        <f t="shared" si="0"/>
        <v>13</v>
      </c>
      <c r="C14" s="49" t="str">
        <f t="shared" si="1"/>
        <v>F_02_14</v>
      </c>
      <c r="D14" s="51" t="s">
        <v>344</v>
      </c>
      <c r="E14" s="92" t="s">
        <v>403</v>
      </c>
      <c r="F14" s="51" t="s">
        <v>353</v>
      </c>
      <c r="G14" s="92"/>
      <c r="H14" s="51" t="s">
        <v>382</v>
      </c>
      <c r="I14" s="92"/>
      <c r="J14" s="95" t="s">
        <v>347</v>
      </c>
      <c r="K14" s="49" t="str">
        <f>_xlfn.XLOOKUP(J14,Tab_Def_Processes[Name(EN)],Tab_Def_Processes[Process_ID],,0,)</f>
        <v>02_MBC_BB</v>
      </c>
      <c r="L14" s="51" t="s">
        <v>446</v>
      </c>
      <c r="M14" s="61" t="str">
        <f>_xlfn.XLOOKUP(L14,Tab_Def_Processes[Name(EN)],Tab_Def_Processes[Process_ID],,0,)</f>
        <v>14_Wat_BB</v>
      </c>
      <c r="N14" s="51"/>
      <c r="O14" s="95" t="s">
        <v>68</v>
      </c>
      <c r="P14" s="51" t="s">
        <v>68</v>
      </c>
      <c r="Q14" s="99" t="s">
        <v>68</v>
      </c>
      <c r="R14" s="106">
        <v>1</v>
      </c>
      <c r="S14" s="99"/>
      <c r="T14" s="106">
        <v>0</v>
      </c>
      <c r="U14" s="99"/>
      <c r="V14" s="106">
        <v>0</v>
      </c>
      <c r="W14" s="99"/>
      <c r="X14" s="123">
        <f>Tab_Def_Flows[[#This Row],[CC_DM'[%']]]*Tab_Def_Flows[[#This Row],[DM]]</f>
        <v>0</v>
      </c>
      <c r="Y14" s="51"/>
    </row>
    <row r="15" spans="1:25" x14ac:dyDescent="0.35">
      <c r="A15" s="93" t="b">
        <v>0</v>
      </c>
      <c r="B15" s="49">
        <f t="shared" si="0"/>
        <v>14</v>
      </c>
      <c r="C15" s="49" t="str">
        <f t="shared" si="1"/>
        <v>F_02_12</v>
      </c>
      <c r="D15" s="51" t="s">
        <v>367</v>
      </c>
      <c r="E15" s="92" t="s">
        <v>404</v>
      </c>
      <c r="F15" s="51" t="s">
        <v>353</v>
      </c>
      <c r="G15" s="92"/>
      <c r="H15" s="51" t="s">
        <v>382</v>
      </c>
      <c r="I15" s="92"/>
      <c r="J15" s="95" t="s">
        <v>347</v>
      </c>
      <c r="K15" s="49" t="str">
        <f>_xlfn.XLOOKUP(J15,Tab_Def_Processes[Name(EN)],Tab_Def_Processes[Process_ID],,0,)</f>
        <v>02_MBC_BB</v>
      </c>
      <c r="L15" s="51" t="s">
        <v>392</v>
      </c>
      <c r="M15" s="61" t="str">
        <f>_xlfn.XLOOKUP(L15,Tab_Def_Processes[Name(EN)],Tab_Def_Processes[Process_ID],,0,)</f>
        <v>12_Del_BB</v>
      </c>
      <c r="N15" s="51"/>
      <c r="O15" s="95" t="s">
        <v>68</v>
      </c>
      <c r="P15" s="51" t="s">
        <v>68</v>
      </c>
      <c r="Q15" s="99" t="s">
        <v>68</v>
      </c>
      <c r="R15" s="106">
        <v>1</v>
      </c>
      <c r="S15" s="99"/>
      <c r="T15" s="106">
        <v>0</v>
      </c>
      <c r="U15" s="99"/>
      <c r="V15" s="106">
        <v>0</v>
      </c>
      <c r="W15" s="99"/>
      <c r="X15" s="123">
        <f>Tab_Def_Flows[[#This Row],[CC_DM'[%']]]*Tab_Def_Flows[[#This Row],[DM]]</f>
        <v>0</v>
      </c>
      <c r="Y15" s="51"/>
    </row>
    <row r="16" spans="1:25" x14ac:dyDescent="0.35">
      <c r="A16" s="93" t="b">
        <v>0</v>
      </c>
      <c r="B16" s="49">
        <f t="shared" si="0"/>
        <v>15</v>
      </c>
      <c r="C16" s="49" t="str">
        <f t="shared" si="1"/>
        <v>F_07_09</v>
      </c>
      <c r="D16" s="51" t="s">
        <v>396</v>
      </c>
      <c r="E16" s="92" t="s">
        <v>396</v>
      </c>
      <c r="F16" s="51" t="s">
        <v>353</v>
      </c>
      <c r="G16" s="92"/>
      <c r="H16" s="51" t="s">
        <v>382</v>
      </c>
      <c r="I16" s="92"/>
      <c r="J16" s="95" t="s">
        <v>363</v>
      </c>
      <c r="K16" s="49" t="str">
        <f>_xlfn.XLOOKUP(J16,Tab_Def_Processes[Name(EN)],Tab_Def_Processes[Process_ID],,0,)</f>
        <v>07_EoL_BB</v>
      </c>
      <c r="L16" s="51" t="s">
        <v>364</v>
      </c>
      <c r="M16" s="61" t="str">
        <f>_xlfn.XLOOKUP(L16,Tab_Def_Processes[Name(EN)],Tab_Def_Processes[Process_ID],,0,)</f>
        <v>09_Bio_BB</v>
      </c>
      <c r="N16" s="51"/>
      <c r="O16" s="95" t="s">
        <v>68</v>
      </c>
      <c r="P16" s="51" t="s">
        <v>68</v>
      </c>
      <c r="Q16" s="99" t="s">
        <v>68</v>
      </c>
      <c r="R16" s="106">
        <v>0.61</v>
      </c>
      <c r="S16" s="99"/>
      <c r="T16" s="106">
        <v>0.39</v>
      </c>
      <c r="U16" s="99"/>
      <c r="V16" s="106">
        <v>0.4</v>
      </c>
      <c r="W16" s="99"/>
      <c r="X16" s="123">
        <f>Tab_Def_Flows[[#This Row],[CC_DM'[%']]]*Tab_Def_Flows[[#This Row],[DM]]</f>
        <v>0.15600000000000003</v>
      </c>
      <c r="Y16" s="51"/>
    </row>
    <row r="17" spans="1:25" x14ac:dyDescent="0.35">
      <c r="A17" s="93" t="b">
        <v>0</v>
      </c>
      <c r="B17" s="49">
        <f t="shared" si="0"/>
        <v>16</v>
      </c>
      <c r="C17" s="49" t="str">
        <f t="shared" si="1"/>
        <v>F_07_10</v>
      </c>
      <c r="D17" s="51" t="s">
        <v>397</v>
      </c>
      <c r="E17" s="92" t="s">
        <v>397</v>
      </c>
      <c r="F17" s="51" t="s">
        <v>353</v>
      </c>
      <c r="G17" s="92"/>
      <c r="H17" s="51" t="s">
        <v>382</v>
      </c>
      <c r="I17" s="92"/>
      <c r="J17" s="95" t="s">
        <v>363</v>
      </c>
      <c r="K17" s="49" t="str">
        <f>_xlfn.XLOOKUP(J17,Tab_Def_Processes[Name(EN)],Tab_Def_Processes[Process_ID],,0,)</f>
        <v>07_EoL_BB</v>
      </c>
      <c r="L17" s="51" t="s">
        <v>365</v>
      </c>
      <c r="M17" s="61" t="str">
        <f>_xlfn.XLOOKUP(L17,Tab_Def_Processes[Name(EN)],Tab_Def_Processes[Process_ID],,0,)</f>
        <v>10_Bio_BB</v>
      </c>
      <c r="N17" s="51"/>
      <c r="O17" s="95" t="s">
        <v>68</v>
      </c>
      <c r="P17" s="51" t="s">
        <v>68</v>
      </c>
      <c r="Q17" s="99" t="s">
        <v>68</v>
      </c>
      <c r="R17" s="106">
        <v>0.61</v>
      </c>
      <c r="S17" s="99"/>
      <c r="T17" s="106">
        <v>0.39</v>
      </c>
      <c r="U17" s="99"/>
      <c r="V17" s="106">
        <v>0.4</v>
      </c>
      <c r="W17" s="99"/>
      <c r="X17" s="123">
        <f>Tab_Def_Flows[[#This Row],[CC_DM'[%']]]*Tab_Def_Flows[[#This Row],[DM]]</f>
        <v>0.15600000000000003</v>
      </c>
      <c r="Y17" s="51"/>
    </row>
    <row r="18" spans="1:25" x14ac:dyDescent="0.35">
      <c r="A18" s="93" t="b">
        <v>0</v>
      </c>
      <c r="B18" s="49">
        <f t="shared" si="0"/>
        <v>17</v>
      </c>
      <c r="C18" s="49" t="str">
        <f t="shared" si="1"/>
        <v>F_09_17</v>
      </c>
      <c r="D18" s="51" t="s">
        <v>399</v>
      </c>
      <c r="E18" s="92" t="s">
        <v>405</v>
      </c>
      <c r="F18" s="51" t="s">
        <v>353</v>
      </c>
      <c r="G18" s="92"/>
      <c r="H18" s="51" t="s">
        <v>379</v>
      </c>
      <c r="I18" s="92"/>
      <c r="J18" s="95" t="s">
        <v>364</v>
      </c>
      <c r="K18" s="49" t="str">
        <f>_xlfn.XLOOKUP(J18,Tab_Def_Processes[Name(EN)],Tab_Def_Processes[Process_ID],,0,)</f>
        <v>09_Bio_BB</v>
      </c>
      <c r="L18" s="51" t="s">
        <v>349</v>
      </c>
      <c r="M18" s="61" t="str">
        <f>_xlfn.XLOOKUP(L18,Tab_Def_Processes[Name(EN)],Tab_Def_Processes[Process_ID],,0,)</f>
        <v>17_Lit_BB</v>
      </c>
      <c r="N18" s="51"/>
      <c r="O18" s="95" t="s">
        <v>68</v>
      </c>
      <c r="P18" s="51" t="s">
        <v>68</v>
      </c>
      <c r="Q18" s="99" t="s">
        <v>68</v>
      </c>
      <c r="R18" s="106">
        <v>0</v>
      </c>
      <c r="S18" s="99"/>
      <c r="T18" s="106">
        <v>1</v>
      </c>
      <c r="U18" s="99"/>
      <c r="V18" s="106">
        <v>0.95</v>
      </c>
      <c r="W18" s="99" t="s">
        <v>419</v>
      </c>
      <c r="X18" s="123">
        <f>Tab_Def_Flows[[#This Row],[CC_DM'[%']]]*Tab_Def_Flows[[#This Row],[DM]]</f>
        <v>0.95</v>
      </c>
      <c r="Y18" s="51"/>
    </row>
    <row r="19" spans="1:25" x14ac:dyDescent="0.35">
      <c r="A19" s="93" t="b">
        <v>0</v>
      </c>
      <c r="B19" s="49">
        <f t="shared" si="0"/>
        <v>18</v>
      </c>
      <c r="C19" s="49" t="str">
        <f t="shared" si="1"/>
        <v>F_10_18</v>
      </c>
      <c r="D19" s="51" t="s">
        <v>189</v>
      </c>
      <c r="E19" s="92" t="s">
        <v>406</v>
      </c>
      <c r="F19" s="51" t="s">
        <v>353</v>
      </c>
      <c r="G19" s="92"/>
      <c r="H19" s="51" t="s">
        <v>382</v>
      </c>
      <c r="I19" s="92"/>
      <c r="J19" s="95" t="s">
        <v>365</v>
      </c>
      <c r="K19" s="49" t="str">
        <f>_xlfn.XLOOKUP(J19,Tab_Def_Processes[Name(EN)],Tab_Def_Processes[Process_ID],,0,)</f>
        <v>10_Bio_BB</v>
      </c>
      <c r="L19" s="51" t="s">
        <v>448</v>
      </c>
      <c r="M19" s="61" t="str">
        <f>_xlfn.XLOOKUP(L19,Tab_Def_Processes[Name(EN)],Tab_Def_Processes[Process_ID],,0,)</f>
        <v>18_Ash_BB</v>
      </c>
      <c r="N19" s="51"/>
      <c r="O19" s="95" t="s">
        <v>68</v>
      </c>
      <c r="P19" s="51" t="s">
        <v>68</v>
      </c>
      <c r="Q19" s="99" t="s">
        <v>68</v>
      </c>
      <c r="R19" s="106">
        <v>0</v>
      </c>
      <c r="S19" s="99"/>
      <c r="T19" s="106">
        <v>1</v>
      </c>
      <c r="U19" s="99"/>
      <c r="V19" s="106">
        <v>0.4</v>
      </c>
      <c r="W19" s="99"/>
      <c r="X19" s="123">
        <f>Tab_Def_Flows[[#This Row],[CC_DM'[%']]]*Tab_Def_Flows[[#This Row],[DM]]</f>
        <v>0.4</v>
      </c>
      <c r="Y19" s="51"/>
    </row>
    <row r="20" spans="1:25" x14ac:dyDescent="0.35">
      <c r="A20" s="93" t="b">
        <v>0</v>
      </c>
      <c r="B20" s="49">
        <f t="shared" si="0"/>
        <v>19</v>
      </c>
      <c r="C20" s="49" t="str">
        <f t="shared" si="1"/>
        <v>F_10_19</v>
      </c>
      <c r="D20" s="51" t="s">
        <v>417</v>
      </c>
      <c r="E20" s="92" t="s">
        <v>418</v>
      </c>
      <c r="F20" s="51" t="s">
        <v>353</v>
      </c>
      <c r="G20" s="92"/>
      <c r="H20" s="51" t="s">
        <v>382</v>
      </c>
      <c r="I20" s="92"/>
      <c r="J20" s="95" t="s">
        <v>365</v>
      </c>
      <c r="K20" s="49" t="str">
        <f>_xlfn.XLOOKUP(J20,Tab_Def_Processes[Name(EN)],Tab_Def_Processes[Process_ID],,0,)</f>
        <v>10_Bio_BB</v>
      </c>
      <c r="L20" s="51" t="s">
        <v>449</v>
      </c>
      <c r="M20" s="61" t="str">
        <f>_xlfn.XLOOKUP(L20,Tab_Def_Processes[Name(EN)],Tab_Def_Processes[Process_ID],,0,)</f>
        <v>19_Atm_BB</v>
      </c>
      <c r="N20" s="51" t="s">
        <v>409</v>
      </c>
      <c r="O20" s="95" t="s">
        <v>68</v>
      </c>
      <c r="P20" s="51" t="s">
        <v>68</v>
      </c>
      <c r="Q20" s="99" t="s">
        <v>68</v>
      </c>
      <c r="R20" s="106">
        <v>0</v>
      </c>
      <c r="S20" s="99"/>
      <c r="T20" s="106">
        <v>1</v>
      </c>
      <c r="U20" s="99"/>
      <c r="V20" s="106">
        <v>0.95</v>
      </c>
      <c r="W20" s="99" t="s">
        <v>419</v>
      </c>
      <c r="X20" s="123">
        <f>Tab_Def_Flows[[#This Row],[CC_DM'[%']]]*Tab_Def_Flows[[#This Row],[DM]]</f>
        <v>0.95</v>
      </c>
      <c r="Y20" s="51"/>
    </row>
    <row r="21" spans="1:25" x14ac:dyDescent="0.35">
      <c r="A21" s="93" t="b">
        <v>0</v>
      </c>
      <c r="B21" s="49">
        <f t="shared" si="0"/>
        <v>20</v>
      </c>
      <c r="C21" s="49" t="str">
        <f t="shared" si="1"/>
        <v>F_00_13</v>
      </c>
      <c r="D21" s="51" t="s">
        <v>427</v>
      </c>
      <c r="E21" s="92"/>
      <c r="F21" s="51" t="s">
        <v>353</v>
      </c>
      <c r="G21" s="92"/>
      <c r="H21" s="51" t="s">
        <v>379</v>
      </c>
      <c r="I21" s="92"/>
      <c r="J21" s="95" t="s">
        <v>426</v>
      </c>
      <c r="K21" s="49" t="str">
        <f>_xlfn.XLOOKUP(J21,Tab_Def_Processes[Name(EN)],Tab_Def_Processes[Process_ID],,0,)</f>
        <v>00_Env_BB</v>
      </c>
      <c r="L21" s="51" t="s">
        <v>391</v>
      </c>
      <c r="M21" s="61" t="str">
        <f>_xlfn.XLOOKUP(L21,Tab_Def_Processes[Name(EN)],Tab_Def_Processes[Process_ID],,0,)</f>
        <v>13_Rye_BB</v>
      </c>
      <c r="N21" s="51"/>
      <c r="O21" s="95" t="s">
        <v>68</v>
      </c>
      <c r="P21" s="51" t="s">
        <v>68</v>
      </c>
      <c r="Q21" s="99" t="s">
        <v>68</v>
      </c>
      <c r="R21" s="106">
        <v>0.06</v>
      </c>
      <c r="S21" s="99"/>
      <c r="T21" s="106">
        <v>0.94</v>
      </c>
      <c r="U21" s="99" t="s">
        <v>451</v>
      </c>
      <c r="V21" s="105">
        <v>0.49</v>
      </c>
      <c r="W21" s="99" t="s">
        <v>451</v>
      </c>
      <c r="X21" s="123">
        <f>Tab_Def_Flows[[#This Row],[CC_DM'[%']]]*Tab_Def_Flows[[#This Row],[DM]]</f>
        <v>0.46059999999999995</v>
      </c>
      <c r="Y21" s="51"/>
    </row>
    <row r="22" spans="1:25" x14ac:dyDescent="0.35">
      <c r="A22" s="93" t="b">
        <v>0</v>
      </c>
      <c r="B22" s="49">
        <f t="shared" si="0"/>
        <v>21</v>
      </c>
      <c r="C22" s="49" t="str">
        <f t="shared" si="1"/>
        <v>F_00_04</v>
      </c>
      <c r="D22" s="51" t="s">
        <v>428</v>
      </c>
      <c r="E22" s="92"/>
      <c r="F22" s="51" t="s">
        <v>353</v>
      </c>
      <c r="G22" s="92"/>
      <c r="H22" s="51" t="s">
        <v>380</v>
      </c>
      <c r="I22" s="92"/>
      <c r="J22" s="95" t="s">
        <v>426</v>
      </c>
      <c r="K22" s="49" t="str">
        <f>_xlfn.XLOOKUP(J22,Tab_Def_Processes[Name(EN)],Tab_Def_Processes[Process_ID],,0,)</f>
        <v>00_Env_BB</v>
      </c>
      <c r="L22" s="51" t="s">
        <v>441</v>
      </c>
      <c r="M22" s="61" t="str">
        <f>_xlfn.XLOOKUP(L22,Tab_Def_Processes[Name(EN)],Tab_Def_Processes[Process_ID],,0,)</f>
        <v>04_Lif_BB</v>
      </c>
      <c r="N22" s="51"/>
      <c r="O22" s="95" t="s">
        <v>68</v>
      </c>
      <c r="P22" s="51" t="s">
        <v>68</v>
      </c>
      <c r="Q22" s="99" t="s">
        <v>68</v>
      </c>
      <c r="R22" s="106">
        <v>0.94</v>
      </c>
      <c r="S22" s="99"/>
      <c r="T22" s="106">
        <v>0.06</v>
      </c>
      <c r="U22" s="99" t="s">
        <v>368</v>
      </c>
      <c r="V22" s="106">
        <v>0.49</v>
      </c>
      <c r="W22" s="99" t="s">
        <v>368</v>
      </c>
      <c r="X22" s="123">
        <f>Tab_Def_Flows[[#This Row],[CC_DM'[%']]]*Tab_Def_Flows[[#This Row],[DM]]</f>
        <v>2.9399999999999999E-2</v>
      </c>
      <c r="Y22" s="51"/>
    </row>
    <row r="23" spans="1:25" x14ac:dyDescent="0.35">
      <c r="A23" s="93" t="b">
        <v>0</v>
      </c>
      <c r="B23" s="49">
        <f t="shared" si="0"/>
        <v>22</v>
      </c>
      <c r="C23" s="49" t="str">
        <f t="shared" si="1"/>
        <v>F_00_11</v>
      </c>
      <c r="D23" s="51" t="s">
        <v>429</v>
      </c>
      <c r="E23" s="92"/>
      <c r="F23" s="51" t="s">
        <v>353</v>
      </c>
      <c r="G23" s="92"/>
      <c r="H23" s="51" t="s">
        <v>379</v>
      </c>
      <c r="I23" s="92"/>
      <c r="J23" s="95" t="s">
        <v>426</v>
      </c>
      <c r="K23" s="49" t="str">
        <f>_xlfn.XLOOKUP(J23,Tab_Def_Processes[Name(EN)],Tab_Def_Processes[Process_ID],,0,)</f>
        <v>00_Env_BB</v>
      </c>
      <c r="L23" s="51" t="s">
        <v>366</v>
      </c>
      <c r="M23" s="61" t="str">
        <f>_xlfn.XLOOKUP(L23,Tab_Def_Processes[Name(EN)],Tab_Def_Processes[Process_ID],,0,)</f>
        <v>11_Mil_BB</v>
      </c>
      <c r="N23" s="51"/>
      <c r="O23" s="95" t="s">
        <v>68</v>
      </c>
      <c r="P23" s="51" t="s">
        <v>68</v>
      </c>
      <c r="Q23" s="99" t="s">
        <v>68</v>
      </c>
      <c r="R23" s="106">
        <v>0.66</v>
      </c>
      <c r="S23" s="99"/>
      <c r="T23" s="106">
        <v>0.34</v>
      </c>
      <c r="U23" s="99"/>
      <c r="V23" s="106">
        <v>0.47</v>
      </c>
      <c r="W23" s="99"/>
      <c r="X23" s="123">
        <f>Tab_Def_Flows[[#This Row],[CC_DM'[%']]]*Tab_Def_Flows[[#This Row],[DM]]</f>
        <v>0.1598</v>
      </c>
      <c r="Y23" s="51"/>
    </row>
    <row r="24" spans="1:25" x14ac:dyDescent="0.35">
      <c r="A24" s="93" t="b">
        <v>0</v>
      </c>
      <c r="B24" s="49">
        <f t="shared" si="0"/>
        <v>23</v>
      </c>
      <c r="C24" s="49" t="str">
        <f t="shared" si="1"/>
        <v>F_00_08</v>
      </c>
      <c r="D24" s="51" t="s">
        <v>430</v>
      </c>
      <c r="E24" s="92"/>
      <c r="F24" s="51" t="s">
        <v>353</v>
      </c>
      <c r="G24" s="92"/>
      <c r="H24" s="51" t="s">
        <v>379</v>
      </c>
      <c r="I24" s="92"/>
      <c r="J24" s="95" t="s">
        <v>426</v>
      </c>
      <c r="K24" s="49" t="str">
        <f>_xlfn.XLOOKUP(J24,Tab_Def_Processes[Name(EN)],Tab_Def_Processes[Process_ID],,0,)</f>
        <v>00_Env_BB</v>
      </c>
      <c r="L24" s="51" t="s">
        <v>444</v>
      </c>
      <c r="M24" s="61" t="str">
        <f>_xlfn.XLOOKUP(L24,Tab_Def_Processes[Name(EN)],Tab_Def_Processes[Process_ID],,0,)</f>
        <v>08_Wat_BB</v>
      </c>
      <c r="N24" s="51"/>
      <c r="O24" s="95" t="s">
        <v>68</v>
      </c>
      <c r="P24" s="51" t="s">
        <v>68</v>
      </c>
      <c r="Q24" s="99" t="s">
        <v>68</v>
      </c>
      <c r="R24" s="106">
        <v>1</v>
      </c>
      <c r="S24" s="99"/>
      <c r="T24" s="106">
        <v>0</v>
      </c>
      <c r="U24" s="99"/>
      <c r="V24" s="106">
        <v>0</v>
      </c>
      <c r="W24" s="99"/>
      <c r="X24" s="123">
        <f>Tab_Def_Flows[[#This Row],[CC_DM'[%']]]*Tab_Def_Flows[[#This Row],[DM]]</f>
        <v>0</v>
      </c>
      <c r="Y24" s="51"/>
    </row>
    <row r="25" spans="1:25" x14ac:dyDescent="0.35">
      <c r="A25" s="93" t="b">
        <v>0</v>
      </c>
      <c r="B25" s="49">
        <f t="shared" si="0"/>
        <v>24</v>
      </c>
      <c r="C25" s="49" t="str">
        <f t="shared" si="1"/>
        <v>F_09_19</v>
      </c>
      <c r="D25" s="51" t="s">
        <v>503</v>
      </c>
      <c r="E25" s="92"/>
      <c r="F25" s="51" t="s">
        <v>353</v>
      </c>
      <c r="G25" s="92"/>
      <c r="H25" s="51" t="s">
        <v>364</v>
      </c>
      <c r="I25" s="92"/>
      <c r="J25" s="95" t="s">
        <v>364</v>
      </c>
      <c r="K25" s="49" t="str">
        <f>_xlfn.XLOOKUP(J25,Tab_Def_Processes[Name(EN)],Tab_Def_Processes[Process_ID],,0,)</f>
        <v>09_Bio_BB</v>
      </c>
      <c r="L25" s="51" t="s">
        <v>449</v>
      </c>
      <c r="M25" s="61" t="str">
        <f>_xlfn.XLOOKUP(L25,Tab_Def_Processes[Name(EN)],Tab_Def_Processes[Process_ID],,0,)</f>
        <v>19_Atm_BB</v>
      </c>
      <c r="N25" s="51"/>
      <c r="O25" s="95" t="s">
        <v>68</v>
      </c>
      <c r="P25" s="51" t="s">
        <v>68</v>
      </c>
      <c r="Q25" s="99" t="s">
        <v>68</v>
      </c>
      <c r="R25" s="106">
        <v>0</v>
      </c>
      <c r="S25" s="99"/>
      <c r="T25" s="106">
        <v>1</v>
      </c>
      <c r="U25" s="99"/>
      <c r="V25" s="106">
        <v>0.95</v>
      </c>
      <c r="W25" s="99" t="s">
        <v>419</v>
      </c>
      <c r="X25" s="123">
        <f>Tab_Def_Flows[[#This Row],[CC_DM'[%']]]*Tab_Def_Flows[[#This Row],[DM]]</f>
        <v>0.95</v>
      </c>
      <c r="Y25" s="51"/>
    </row>
    <row r="26" spans="1:25" x14ac:dyDescent="0.35">
      <c r="A26" s="93" t="b">
        <v>0</v>
      </c>
      <c r="B26" s="49">
        <f t="shared" si="0"/>
        <v>25</v>
      </c>
      <c r="C26" s="49" t="str">
        <f t="shared" si="1"/>
        <v>F_17_19</v>
      </c>
      <c r="D26" s="51" t="s">
        <v>507</v>
      </c>
      <c r="E26" s="92"/>
      <c r="F26" s="51" t="s">
        <v>353</v>
      </c>
      <c r="G26" s="92"/>
      <c r="H26" s="51" t="s">
        <v>382</v>
      </c>
      <c r="I26" s="92"/>
      <c r="J26" s="95" t="s">
        <v>349</v>
      </c>
      <c r="K26" s="49" t="str">
        <f>_xlfn.XLOOKUP(J26,Tab_Def_Processes[Name(EN)],Tab_Def_Processes[Process_ID],,0,)</f>
        <v>17_Lit_BB</v>
      </c>
      <c r="L26" s="51" t="s">
        <v>449</v>
      </c>
      <c r="M26" s="61" t="str">
        <f>_xlfn.XLOOKUP(L26,Tab_Def_Processes[Name(EN)],Tab_Def_Processes[Process_ID],,0,)</f>
        <v>19_Atm_BB</v>
      </c>
      <c r="N26" s="51"/>
      <c r="O26" s="95" t="s">
        <v>68</v>
      </c>
      <c r="P26" s="51" t="s">
        <v>68</v>
      </c>
      <c r="Q26" s="99" t="s">
        <v>68</v>
      </c>
      <c r="R26" s="106">
        <v>0</v>
      </c>
      <c r="S26" s="99"/>
      <c r="T26" s="106">
        <v>0</v>
      </c>
      <c r="U26" s="99"/>
      <c r="V26" s="106">
        <v>0</v>
      </c>
      <c r="W26" s="99"/>
      <c r="X26" s="125">
        <f>12.011/(12.011+2*15.999)</f>
        <v>0.27292144788565975</v>
      </c>
      <c r="Y26" s="51"/>
    </row>
    <row r="27" spans="1:25" x14ac:dyDescent="0.35">
      <c r="A27" s="93" t="b">
        <v>0</v>
      </c>
      <c r="B27" s="49">
        <f t="shared" si="0"/>
        <v>26</v>
      </c>
      <c r="C27" s="49" t="str">
        <f t="shared" si="1"/>
        <v>F_21_21</v>
      </c>
      <c r="D27" s="51"/>
      <c r="E27" s="92"/>
      <c r="F27" s="51"/>
      <c r="G27" s="92"/>
      <c r="H27" s="51"/>
      <c r="I27" s="92"/>
      <c r="J27" s="95"/>
      <c r="K27" s="49" t="str">
        <f>_xlfn.XLOOKUP(J27,Tab_Def_Processes[Name(EN)],Tab_Def_Processes[Process_ID],,0,)</f>
        <v>21__</v>
      </c>
      <c r="L27" s="51"/>
      <c r="M27" s="61" t="str">
        <f>_xlfn.XLOOKUP(L27,Tab_Def_Processes[Name(EN)],Tab_Def_Processes[Process_ID],,0,)</f>
        <v>21__</v>
      </c>
      <c r="N27" s="51"/>
      <c r="O27" s="95"/>
      <c r="P27" s="51"/>
      <c r="Q27" s="99"/>
      <c r="R27" s="106"/>
      <c r="S27" s="99"/>
      <c r="T27" s="106"/>
      <c r="U27" s="99"/>
      <c r="V27" s="106"/>
      <c r="W27" s="99"/>
      <c r="X27" s="51"/>
      <c r="Y27" s="51"/>
    </row>
    <row r="28" spans="1:25" x14ac:dyDescent="0.35">
      <c r="A28" s="93" t="b">
        <v>0</v>
      </c>
      <c r="B28" s="49">
        <f t="shared" si="0"/>
        <v>27</v>
      </c>
      <c r="C28" s="49" t="str">
        <f t="shared" si="1"/>
        <v>F_21_21</v>
      </c>
      <c r="D28" s="51"/>
      <c r="E28" s="92"/>
      <c r="F28" s="51"/>
      <c r="G28" s="92"/>
      <c r="H28" s="51"/>
      <c r="I28" s="92"/>
      <c r="J28" s="95"/>
      <c r="K28" s="49" t="str">
        <f>_xlfn.XLOOKUP(J28,Tab_Def_Processes[Name(EN)],Tab_Def_Processes[Process_ID],,0,)</f>
        <v>21__</v>
      </c>
      <c r="L28" s="51"/>
      <c r="M28" s="61" t="str">
        <f>_xlfn.XLOOKUP(L28,Tab_Def_Processes[Name(EN)],Tab_Def_Processes[Process_ID],,0,)</f>
        <v>21__</v>
      </c>
      <c r="N28" s="51"/>
      <c r="O28" s="95"/>
      <c r="P28" s="51"/>
      <c r="Q28" s="99"/>
      <c r="R28" s="106"/>
      <c r="S28" s="99"/>
      <c r="T28" s="106"/>
      <c r="U28" s="99"/>
      <c r="V28" s="106"/>
      <c r="W28" s="99"/>
      <c r="X28" s="51"/>
      <c r="Y28" s="51"/>
    </row>
    <row r="29" spans="1:25" x14ac:dyDescent="0.35">
      <c r="A29" s="93" t="b">
        <v>0</v>
      </c>
      <c r="B29" s="49">
        <f t="shared" si="0"/>
        <v>28</v>
      </c>
      <c r="C29" s="49" t="str">
        <f t="shared" si="1"/>
        <v>F_21_21</v>
      </c>
      <c r="D29" s="51"/>
      <c r="E29" s="92"/>
      <c r="F29" s="51"/>
      <c r="G29" s="92"/>
      <c r="H29" s="51"/>
      <c r="I29" s="92"/>
      <c r="J29" s="95"/>
      <c r="K29" s="49" t="str">
        <f>_xlfn.XLOOKUP(J29,Tab_Def_Processes[Name(EN)],Tab_Def_Processes[Process_ID],,0,)</f>
        <v>21__</v>
      </c>
      <c r="L29" s="51"/>
      <c r="M29" s="61" t="str">
        <f>_xlfn.XLOOKUP(L29,Tab_Def_Processes[Name(EN)],Tab_Def_Processes[Process_ID],,0,)</f>
        <v>21__</v>
      </c>
      <c r="N29" s="51"/>
      <c r="O29" s="95"/>
      <c r="P29" s="51"/>
      <c r="Q29" s="99"/>
      <c r="R29" s="106"/>
      <c r="S29" s="99"/>
      <c r="T29" s="106"/>
      <c r="U29" s="99"/>
      <c r="V29" s="106"/>
      <c r="W29" s="99"/>
      <c r="X29" s="51"/>
      <c r="Y29" s="51"/>
    </row>
    <row r="30" spans="1:25" x14ac:dyDescent="0.35">
      <c r="A30" s="93" t="b">
        <v>0</v>
      </c>
      <c r="B30" s="49">
        <f t="shared" si="0"/>
        <v>29</v>
      </c>
      <c r="C30" s="49" t="str">
        <f t="shared" si="1"/>
        <v>F_21_21</v>
      </c>
      <c r="D30" s="51"/>
      <c r="E30" s="92"/>
      <c r="F30" s="51"/>
      <c r="G30" s="92"/>
      <c r="H30" s="51"/>
      <c r="I30" s="92"/>
      <c r="J30" s="95"/>
      <c r="K30" s="49" t="str">
        <f>_xlfn.XLOOKUP(J30,Tab_Def_Processes[Name(EN)],Tab_Def_Processes[Process_ID],,0,)</f>
        <v>21__</v>
      </c>
      <c r="L30" s="51"/>
      <c r="M30" s="61" t="str">
        <f>_xlfn.XLOOKUP(L30,Tab_Def_Processes[Name(EN)],Tab_Def_Processes[Process_ID],,0,)</f>
        <v>21__</v>
      </c>
      <c r="N30" s="51"/>
      <c r="O30" s="95"/>
      <c r="P30" s="51"/>
      <c r="Q30" s="99"/>
      <c r="R30" s="106"/>
      <c r="S30" s="99"/>
      <c r="T30" s="106"/>
      <c r="U30" s="99"/>
      <c r="V30" s="106"/>
      <c r="W30" s="99"/>
      <c r="X30" s="51"/>
      <c r="Y30" s="51"/>
    </row>
    <row r="31" spans="1:25" x14ac:dyDescent="0.35">
      <c r="A31" s="93" t="b">
        <v>0</v>
      </c>
      <c r="B31" s="49">
        <f t="shared" si="0"/>
        <v>30</v>
      </c>
      <c r="C31" s="49" t="str">
        <f t="shared" si="1"/>
        <v>F_21_21</v>
      </c>
      <c r="D31" s="51"/>
      <c r="E31" s="92"/>
      <c r="F31" s="51"/>
      <c r="G31" s="92"/>
      <c r="H31" s="51"/>
      <c r="I31" s="92"/>
      <c r="J31" s="95"/>
      <c r="K31" s="49" t="str">
        <f>_xlfn.XLOOKUP(J31,Tab_Def_Processes[Name(EN)],Tab_Def_Processes[Process_ID],,0,)</f>
        <v>21__</v>
      </c>
      <c r="L31" s="51"/>
      <c r="M31" s="61" t="str">
        <f>_xlfn.XLOOKUP(L31,Tab_Def_Processes[Name(EN)],Tab_Def_Processes[Process_ID],,0,)</f>
        <v>21__</v>
      </c>
      <c r="N31" s="51"/>
      <c r="O31" s="95"/>
      <c r="P31" s="51"/>
      <c r="Q31" s="99"/>
      <c r="R31" s="106"/>
      <c r="S31" s="99"/>
      <c r="T31" s="106"/>
      <c r="U31" s="99"/>
      <c r="V31" s="106"/>
      <c r="W31" s="99"/>
      <c r="X31" s="51"/>
      <c r="Y31" s="51"/>
    </row>
    <row r="32" spans="1:25" x14ac:dyDescent="0.35">
      <c r="A32" s="93" t="b">
        <v>0</v>
      </c>
      <c r="B32" s="49">
        <f t="shared" si="0"/>
        <v>31</v>
      </c>
      <c r="C32" s="49" t="str">
        <f t="shared" si="1"/>
        <v>F_21_21</v>
      </c>
      <c r="D32" s="51"/>
      <c r="E32" s="92"/>
      <c r="F32" s="51"/>
      <c r="G32" s="92"/>
      <c r="H32" s="51"/>
      <c r="I32" s="92"/>
      <c r="J32" s="95"/>
      <c r="K32" s="49" t="str">
        <f>_xlfn.XLOOKUP(J32,Tab_Def_Processes[Name(EN)],Tab_Def_Processes[Process_ID],,0,)</f>
        <v>21__</v>
      </c>
      <c r="L32" s="51"/>
      <c r="M32" s="61" t="str">
        <f>_xlfn.XLOOKUP(L32,Tab_Def_Processes[Name(EN)],Tab_Def_Processes[Process_ID],,0,)</f>
        <v>21__</v>
      </c>
      <c r="N32" s="51"/>
      <c r="O32" s="95"/>
      <c r="P32" s="51"/>
      <c r="Q32" s="99"/>
      <c r="R32" s="106"/>
      <c r="S32" s="99"/>
      <c r="T32" s="106"/>
      <c r="U32" s="99"/>
      <c r="V32" s="106"/>
      <c r="W32" s="99"/>
      <c r="X32" s="51"/>
      <c r="Y32" s="51"/>
    </row>
    <row r="33" spans="1:25" x14ac:dyDescent="0.35">
      <c r="A33" s="93" t="b">
        <v>0</v>
      </c>
      <c r="B33" s="49">
        <f t="shared" ref="B33:B64" si="2">ROW()-1</f>
        <v>32</v>
      </c>
      <c r="C33" s="49" t="str">
        <f t="shared" si="1"/>
        <v>F_21_21</v>
      </c>
      <c r="D33" s="51"/>
      <c r="E33" s="92"/>
      <c r="F33" s="51"/>
      <c r="G33" s="92"/>
      <c r="H33" s="51"/>
      <c r="I33" s="92"/>
      <c r="J33" s="95"/>
      <c r="K33" s="49" t="str">
        <f>_xlfn.XLOOKUP(J33,Tab_Def_Processes[Name(EN)],Tab_Def_Processes[Process_ID],,0,)</f>
        <v>21__</v>
      </c>
      <c r="L33" s="51"/>
      <c r="M33" s="61" t="str">
        <f>_xlfn.XLOOKUP(L33,Tab_Def_Processes[Name(EN)],Tab_Def_Processes[Process_ID],,0,)</f>
        <v>21__</v>
      </c>
      <c r="N33" s="51"/>
      <c r="O33" s="95"/>
      <c r="P33" s="51"/>
      <c r="Q33" s="99"/>
      <c r="R33" s="122"/>
      <c r="S33" s="99"/>
      <c r="T33" s="122"/>
      <c r="U33" s="99"/>
      <c r="V33" s="122"/>
      <c r="W33" s="99"/>
      <c r="X33" s="51"/>
      <c r="Y33" s="51"/>
    </row>
    <row r="34" spans="1:25" x14ac:dyDescent="0.35">
      <c r="A34" s="93" t="b">
        <v>0</v>
      </c>
      <c r="B34" s="49">
        <f t="shared" si="2"/>
        <v>33</v>
      </c>
      <c r="C34" s="49" t="str">
        <f t="shared" si="1"/>
        <v>F_21_21</v>
      </c>
      <c r="D34" s="51"/>
      <c r="E34" s="92"/>
      <c r="F34" s="51"/>
      <c r="G34" s="92"/>
      <c r="H34" s="51"/>
      <c r="I34" s="92"/>
      <c r="J34" s="95"/>
      <c r="K34" s="49" t="str">
        <f>_xlfn.XLOOKUP(J34,Tab_Def_Processes[Name(EN)],Tab_Def_Processes[Process_ID],,0,)</f>
        <v>21__</v>
      </c>
      <c r="L34" s="51"/>
      <c r="M34" s="61" t="str">
        <f>_xlfn.XLOOKUP(L34,Tab_Def_Processes[Name(EN)],Tab_Def_Processes[Process_ID],,0,)</f>
        <v>21__</v>
      </c>
      <c r="N34" s="51"/>
      <c r="O34" s="95"/>
      <c r="P34" s="51"/>
      <c r="Q34" s="99"/>
      <c r="R34" s="122"/>
      <c r="S34" s="99"/>
      <c r="T34" s="122"/>
      <c r="U34" s="99"/>
      <c r="V34" s="122"/>
      <c r="W34" s="99"/>
      <c r="X34" s="51"/>
      <c r="Y34" s="51"/>
    </row>
    <row r="35" spans="1:25" x14ac:dyDescent="0.35">
      <c r="A35" s="93" t="b">
        <v>0</v>
      </c>
      <c r="B35" s="49">
        <f t="shared" si="2"/>
        <v>34</v>
      </c>
      <c r="C35" s="49" t="str">
        <f t="shared" si="1"/>
        <v>F_21_21</v>
      </c>
      <c r="D35" s="51"/>
      <c r="E35" s="92"/>
      <c r="F35" s="51"/>
      <c r="G35" s="92"/>
      <c r="H35" s="51"/>
      <c r="I35" s="92"/>
      <c r="J35" s="95"/>
      <c r="K35" s="49" t="str">
        <f>_xlfn.XLOOKUP(J35,Tab_Def_Processes[Name(EN)],Tab_Def_Processes[Process_ID],,0,)</f>
        <v>21__</v>
      </c>
      <c r="L35" s="51"/>
      <c r="M35" s="61" t="str">
        <f>_xlfn.XLOOKUP(L35,Tab_Def_Processes[Name(EN)],Tab_Def_Processes[Process_ID],,0,)</f>
        <v>21__</v>
      </c>
      <c r="N35" s="51"/>
      <c r="O35" s="95"/>
      <c r="P35" s="51"/>
      <c r="Q35" s="99"/>
      <c r="R35" s="122"/>
      <c r="S35" s="99"/>
      <c r="T35" s="122"/>
      <c r="U35" s="99"/>
      <c r="V35" s="122"/>
      <c r="W35" s="99"/>
      <c r="X35" s="51"/>
      <c r="Y35" s="51"/>
    </row>
    <row r="36" spans="1:25" x14ac:dyDescent="0.35">
      <c r="A36" s="93" t="b">
        <v>0</v>
      </c>
      <c r="B36" s="49">
        <f t="shared" si="2"/>
        <v>35</v>
      </c>
      <c r="C36" s="49" t="str">
        <f t="shared" si="1"/>
        <v>F_21_21</v>
      </c>
      <c r="D36" s="51"/>
      <c r="E36" s="92"/>
      <c r="F36" s="51"/>
      <c r="G36" s="92"/>
      <c r="H36" s="51"/>
      <c r="I36" s="92"/>
      <c r="J36" s="95"/>
      <c r="K36" s="49" t="str">
        <f>_xlfn.XLOOKUP(J36,Tab_Def_Processes[Name(EN)],Tab_Def_Processes[Process_ID],,0,)</f>
        <v>21__</v>
      </c>
      <c r="L36" s="51"/>
      <c r="M36" s="61" t="str">
        <f>_xlfn.XLOOKUP(L36,Tab_Def_Processes[Name(EN)],Tab_Def_Processes[Process_ID],,0,)</f>
        <v>21__</v>
      </c>
      <c r="N36" s="51"/>
      <c r="O36" s="95"/>
      <c r="P36" s="51"/>
      <c r="Q36" s="99"/>
      <c r="R36" s="122"/>
      <c r="S36" s="99"/>
      <c r="T36" s="122"/>
      <c r="U36" s="99"/>
      <c r="V36" s="122"/>
      <c r="W36" s="99"/>
      <c r="X36" s="51"/>
      <c r="Y36" s="51"/>
    </row>
    <row r="37" spans="1:25" x14ac:dyDescent="0.35">
      <c r="A37" s="93" t="b">
        <v>0</v>
      </c>
      <c r="B37" s="49">
        <f t="shared" si="2"/>
        <v>36</v>
      </c>
      <c r="C37" s="49" t="str">
        <f t="shared" si="1"/>
        <v>F_21_21</v>
      </c>
      <c r="D37" s="51"/>
      <c r="E37" s="92"/>
      <c r="F37" s="51"/>
      <c r="G37" s="92"/>
      <c r="H37" s="51"/>
      <c r="I37" s="92"/>
      <c r="J37" s="95"/>
      <c r="K37" s="49" t="str">
        <f>_xlfn.XLOOKUP(J37,Tab_Def_Processes[Name(EN)],Tab_Def_Processes[Process_ID],,0,)</f>
        <v>21__</v>
      </c>
      <c r="L37" s="51"/>
      <c r="M37" s="61" t="str">
        <f>_xlfn.XLOOKUP(L37,Tab_Def_Processes[Name(EN)],Tab_Def_Processes[Process_ID],,0,)</f>
        <v>21__</v>
      </c>
      <c r="N37" s="51"/>
      <c r="O37" s="95"/>
      <c r="P37" s="51"/>
      <c r="Q37" s="99"/>
      <c r="R37" s="122"/>
      <c r="S37" s="99"/>
      <c r="T37" s="122"/>
      <c r="U37" s="99"/>
      <c r="V37" s="122"/>
      <c r="W37" s="99"/>
      <c r="X37" s="51"/>
      <c r="Y37" s="51"/>
    </row>
    <row r="38" spans="1:25" x14ac:dyDescent="0.35">
      <c r="A38" s="93" t="b">
        <v>0</v>
      </c>
      <c r="B38" s="49">
        <f t="shared" si="2"/>
        <v>37</v>
      </c>
      <c r="C38" s="49" t="str">
        <f t="shared" si="1"/>
        <v>F_21_21</v>
      </c>
      <c r="D38" s="51"/>
      <c r="E38" s="92"/>
      <c r="F38" s="51"/>
      <c r="G38" s="92"/>
      <c r="H38" s="51"/>
      <c r="I38" s="92"/>
      <c r="J38" s="95"/>
      <c r="K38" s="49" t="str">
        <f>_xlfn.XLOOKUP(J38,Tab_Def_Processes[Name(EN)],Tab_Def_Processes[Process_ID],,0,)</f>
        <v>21__</v>
      </c>
      <c r="L38" s="51"/>
      <c r="M38" s="61" t="str">
        <f>_xlfn.XLOOKUP(L38,Tab_Def_Processes[Name(EN)],Tab_Def_Processes[Process_ID],,0,)</f>
        <v>21__</v>
      </c>
      <c r="N38" s="51"/>
      <c r="O38" s="95"/>
      <c r="P38" s="51"/>
      <c r="Q38" s="99"/>
      <c r="R38" s="122"/>
      <c r="S38" s="99"/>
      <c r="T38" s="122"/>
      <c r="U38" s="99"/>
      <c r="V38" s="122"/>
      <c r="W38" s="99"/>
      <c r="X38" s="51"/>
      <c r="Y38" s="51"/>
    </row>
    <row r="39" spans="1:25" x14ac:dyDescent="0.35">
      <c r="A39" s="93" t="b">
        <v>0</v>
      </c>
      <c r="B39" s="49">
        <f t="shared" si="2"/>
        <v>38</v>
      </c>
      <c r="C39" s="49" t="str">
        <f t="shared" si="1"/>
        <v>F_21_21</v>
      </c>
      <c r="D39" s="51"/>
      <c r="E39" s="92"/>
      <c r="F39" s="51"/>
      <c r="G39" s="92"/>
      <c r="H39" s="51"/>
      <c r="I39" s="92"/>
      <c r="J39" s="95"/>
      <c r="K39" s="49" t="str">
        <f>_xlfn.XLOOKUP(J39,Tab_Def_Processes[Name(EN)],Tab_Def_Processes[Process_ID],,0,)</f>
        <v>21__</v>
      </c>
      <c r="L39" s="51"/>
      <c r="M39" s="61" t="str">
        <f>_xlfn.XLOOKUP(L39,Tab_Def_Processes[Name(EN)],Tab_Def_Processes[Process_ID],,0,)</f>
        <v>21__</v>
      </c>
      <c r="N39" s="51"/>
      <c r="O39" s="95"/>
      <c r="P39" s="51"/>
      <c r="Q39" s="99"/>
      <c r="R39" s="122"/>
      <c r="S39" s="99"/>
      <c r="T39" s="122"/>
      <c r="U39" s="99"/>
      <c r="V39" s="122"/>
      <c r="W39" s="99"/>
      <c r="X39" s="51"/>
      <c r="Y39" s="51"/>
    </row>
    <row r="40" spans="1:25" x14ac:dyDescent="0.35">
      <c r="A40" s="93" t="b">
        <v>0</v>
      </c>
      <c r="B40" s="49">
        <f t="shared" si="2"/>
        <v>39</v>
      </c>
      <c r="C40" s="49" t="str">
        <f t="shared" si="1"/>
        <v>F_21_21</v>
      </c>
      <c r="D40" s="51"/>
      <c r="E40" s="92"/>
      <c r="F40" s="51"/>
      <c r="G40" s="92"/>
      <c r="H40" s="51"/>
      <c r="I40" s="92"/>
      <c r="J40" s="95"/>
      <c r="K40" s="49" t="str">
        <f>_xlfn.XLOOKUP(J40,Tab_Def_Processes[Name(EN)],Tab_Def_Processes[Process_ID],,0,)</f>
        <v>21__</v>
      </c>
      <c r="L40" s="51"/>
      <c r="M40" s="61" t="str">
        <f>_xlfn.XLOOKUP(L40,Tab_Def_Processes[Name(EN)],Tab_Def_Processes[Process_ID],,0,)</f>
        <v>21__</v>
      </c>
      <c r="N40" s="51"/>
      <c r="O40" s="95"/>
      <c r="P40" s="51"/>
      <c r="Q40" s="99"/>
      <c r="R40" s="122"/>
      <c r="S40" s="99"/>
      <c r="T40" s="122"/>
      <c r="U40" s="99"/>
      <c r="V40" s="122"/>
      <c r="W40" s="99"/>
      <c r="X40" s="51"/>
      <c r="Y40" s="51"/>
    </row>
    <row r="41" spans="1:25" x14ac:dyDescent="0.35">
      <c r="A41" s="93" t="b">
        <v>0</v>
      </c>
      <c r="B41" s="49">
        <f t="shared" si="2"/>
        <v>40</v>
      </c>
      <c r="C41" s="49" t="str">
        <f t="shared" si="1"/>
        <v>F_21_21</v>
      </c>
      <c r="D41" s="51"/>
      <c r="E41" s="92"/>
      <c r="F41" s="51"/>
      <c r="G41" s="92"/>
      <c r="H41" s="51"/>
      <c r="I41" s="92"/>
      <c r="J41" s="95"/>
      <c r="K41" s="49" t="str">
        <f>_xlfn.XLOOKUP(J41,Tab_Def_Processes[Name(EN)],Tab_Def_Processes[Process_ID],,0,)</f>
        <v>21__</v>
      </c>
      <c r="L41" s="51"/>
      <c r="M41" s="61" t="str">
        <f>_xlfn.XLOOKUP(L41,Tab_Def_Processes[Name(EN)],Tab_Def_Processes[Process_ID],,0,)</f>
        <v>21__</v>
      </c>
      <c r="N41" s="51"/>
      <c r="O41" s="95"/>
      <c r="P41" s="51"/>
      <c r="Q41" s="99"/>
      <c r="R41" s="122"/>
      <c r="S41" s="99"/>
      <c r="T41" s="122"/>
      <c r="U41" s="99"/>
      <c r="V41" s="122"/>
      <c r="W41" s="99"/>
      <c r="X41" s="51"/>
      <c r="Y41" s="51"/>
    </row>
    <row r="42" spans="1:25" x14ac:dyDescent="0.35">
      <c r="A42" s="93" t="b">
        <v>0</v>
      </c>
      <c r="B42" s="49">
        <f t="shared" si="2"/>
        <v>41</v>
      </c>
      <c r="C42" s="49" t="str">
        <f t="shared" si="1"/>
        <v>F_21_21</v>
      </c>
      <c r="D42" s="51"/>
      <c r="E42" s="92"/>
      <c r="F42" s="51"/>
      <c r="G42" s="92"/>
      <c r="H42" s="51"/>
      <c r="I42" s="92"/>
      <c r="J42" s="95"/>
      <c r="K42" s="49" t="str">
        <f>_xlfn.XLOOKUP(J42,Tab_Def_Processes[Name(EN)],Tab_Def_Processes[Process_ID],,0,)</f>
        <v>21__</v>
      </c>
      <c r="L42" s="51"/>
      <c r="M42" s="61" t="str">
        <f>_xlfn.XLOOKUP(L42,Tab_Def_Processes[Name(EN)],Tab_Def_Processes[Process_ID],,0,)</f>
        <v>21__</v>
      </c>
      <c r="N42" s="51"/>
      <c r="O42" s="95"/>
      <c r="P42" s="51"/>
      <c r="Q42" s="99"/>
      <c r="R42" s="122"/>
      <c r="S42" s="99"/>
      <c r="T42" s="122"/>
      <c r="U42" s="99"/>
      <c r="V42" s="122"/>
      <c r="W42" s="99"/>
      <c r="X42" s="51"/>
      <c r="Y42" s="51"/>
    </row>
    <row r="43" spans="1:25" x14ac:dyDescent="0.35">
      <c r="A43" s="93" t="b">
        <v>0</v>
      </c>
      <c r="B43" s="49">
        <f t="shared" si="2"/>
        <v>42</v>
      </c>
      <c r="C43" s="49" t="str">
        <f t="shared" si="1"/>
        <v>F_21_21</v>
      </c>
      <c r="D43" s="51"/>
      <c r="E43" s="92"/>
      <c r="F43" s="51"/>
      <c r="G43" s="92"/>
      <c r="H43" s="51"/>
      <c r="I43" s="92"/>
      <c r="J43" s="95"/>
      <c r="K43" s="49" t="str">
        <f>_xlfn.XLOOKUP(J43,Tab_Def_Processes[Name(EN)],Tab_Def_Processes[Process_ID],,0,)</f>
        <v>21__</v>
      </c>
      <c r="L43" s="51"/>
      <c r="M43" s="61" t="str">
        <f>_xlfn.XLOOKUP(L43,Tab_Def_Processes[Name(EN)],Tab_Def_Processes[Process_ID],,0,)</f>
        <v>21__</v>
      </c>
      <c r="N43" s="51"/>
      <c r="O43" s="95"/>
      <c r="P43" s="51"/>
      <c r="Q43" s="99"/>
      <c r="R43" s="122"/>
      <c r="S43" s="99"/>
      <c r="T43" s="122"/>
      <c r="U43" s="99"/>
      <c r="V43" s="122"/>
      <c r="W43" s="99"/>
      <c r="X43" s="51"/>
      <c r="Y43" s="51"/>
    </row>
    <row r="44" spans="1:25" x14ac:dyDescent="0.35">
      <c r="A44" s="93" t="b">
        <v>0</v>
      </c>
      <c r="B44" s="49">
        <f t="shared" si="2"/>
        <v>43</v>
      </c>
      <c r="C44" s="49" t="str">
        <f t="shared" si="1"/>
        <v>F_21_21</v>
      </c>
      <c r="D44" s="51"/>
      <c r="E44" s="92"/>
      <c r="F44" s="51"/>
      <c r="G44" s="92"/>
      <c r="H44" s="51"/>
      <c r="I44" s="92"/>
      <c r="J44" s="95"/>
      <c r="K44" s="49" t="str">
        <f>_xlfn.XLOOKUP(J44,Tab_Def_Processes[Name(EN)],Tab_Def_Processes[Process_ID],,0,)</f>
        <v>21__</v>
      </c>
      <c r="L44" s="51"/>
      <c r="M44" s="61" t="str">
        <f>_xlfn.XLOOKUP(L44,Tab_Def_Processes[Name(EN)],Tab_Def_Processes[Process_ID],,0,)</f>
        <v>21__</v>
      </c>
      <c r="N44" s="51"/>
      <c r="O44" s="95"/>
      <c r="P44" s="51"/>
      <c r="Q44" s="99"/>
      <c r="R44" s="122"/>
      <c r="S44" s="99"/>
      <c r="T44" s="122"/>
      <c r="U44" s="99"/>
      <c r="V44" s="122"/>
      <c r="W44" s="99"/>
      <c r="X44" s="51"/>
      <c r="Y44" s="51"/>
    </row>
    <row r="45" spans="1:25" x14ac:dyDescent="0.35">
      <c r="A45" s="93" t="b">
        <v>0</v>
      </c>
      <c r="B45" s="49">
        <f t="shared" si="2"/>
        <v>44</v>
      </c>
      <c r="C45" s="49" t="str">
        <f t="shared" si="1"/>
        <v>F_21_21</v>
      </c>
      <c r="D45" s="51"/>
      <c r="E45" s="92"/>
      <c r="F45" s="51"/>
      <c r="G45" s="92"/>
      <c r="H45" s="51"/>
      <c r="I45" s="92"/>
      <c r="J45" s="95"/>
      <c r="K45" s="49" t="str">
        <f>_xlfn.XLOOKUP(J45,Tab_Def_Processes[Name(EN)],Tab_Def_Processes[Process_ID],,0,)</f>
        <v>21__</v>
      </c>
      <c r="L45" s="51"/>
      <c r="M45" s="61" t="str">
        <f>_xlfn.XLOOKUP(L45,Tab_Def_Processes[Name(EN)],Tab_Def_Processes[Process_ID],,0,)</f>
        <v>21__</v>
      </c>
      <c r="N45" s="51"/>
      <c r="O45" s="95"/>
      <c r="P45" s="51"/>
      <c r="Q45" s="99"/>
      <c r="R45" s="122"/>
      <c r="S45" s="99"/>
      <c r="T45" s="122"/>
      <c r="U45" s="99"/>
      <c r="V45" s="122"/>
      <c r="W45" s="99"/>
      <c r="X45" s="51"/>
      <c r="Y45" s="51"/>
    </row>
    <row r="46" spans="1:25" x14ac:dyDescent="0.35">
      <c r="A46" s="93" t="b">
        <v>0</v>
      </c>
      <c r="B46" s="49">
        <f t="shared" si="2"/>
        <v>45</v>
      </c>
      <c r="C46" s="49" t="str">
        <f t="shared" si="1"/>
        <v>F_21_21</v>
      </c>
      <c r="D46" s="51"/>
      <c r="E46" s="92"/>
      <c r="F46" s="51"/>
      <c r="G46" s="92"/>
      <c r="H46" s="51"/>
      <c r="I46" s="92"/>
      <c r="J46" s="95"/>
      <c r="K46" s="49" t="str">
        <f>_xlfn.XLOOKUP(J46,Tab_Def_Processes[Name(EN)],Tab_Def_Processes[Process_ID],,0,)</f>
        <v>21__</v>
      </c>
      <c r="L46" s="51"/>
      <c r="M46" s="61" t="str">
        <f>_xlfn.XLOOKUP(L46,Tab_Def_Processes[Name(EN)],Tab_Def_Processes[Process_ID],,0,)</f>
        <v>21__</v>
      </c>
      <c r="N46" s="51"/>
      <c r="O46" s="95"/>
      <c r="P46" s="51"/>
      <c r="Q46" s="99"/>
      <c r="R46" s="122"/>
      <c r="S46" s="99"/>
      <c r="T46" s="122"/>
      <c r="U46" s="99"/>
      <c r="V46" s="122"/>
      <c r="W46" s="99"/>
      <c r="X46" s="51"/>
      <c r="Y46" s="51"/>
    </row>
    <row r="47" spans="1:25" x14ac:dyDescent="0.35">
      <c r="A47" s="93" t="b">
        <v>0</v>
      </c>
      <c r="B47" s="49">
        <f t="shared" si="2"/>
        <v>46</v>
      </c>
      <c r="C47" s="49" t="str">
        <f t="shared" si="1"/>
        <v>F_21_21</v>
      </c>
      <c r="D47" s="51"/>
      <c r="E47" s="92"/>
      <c r="F47" s="51"/>
      <c r="G47" s="92"/>
      <c r="H47" s="51"/>
      <c r="I47" s="92"/>
      <c r="J47" s="95"/>
      <c r="K47" s="49" t="str">
        <f>_xlfn.XLOOKUP(J47,Tab_Def_Processes[Name(EN)],Tab_Def_Processes[Process_ID],,0,)</f>
        <v>21__</v>
      </c>
      <c r="L47" s="51"/>
      <c r="M47" s="61" t="str">
        <f>_xlfn.XLOOKUP(L47,Tab_Def_Processes[Name(EN)],Tab_Def_Processes[Process_ID],,0,)</f>
        <v>21__</v>
      </c>
      <c r="N47" s="51"/>
      <c r="O47" s="95"/>
      <c r="P47" s="51"/>
      <c r="Q47" s="99"/>
      <c r="R47" s="122"/>
      <c r="S47" s="99"/>
      <c r="T47" s="122"/>
      <c r="U47" s="99"/>
      <c r="V47" s="122"/>
      <c r="W47" s="99"/>
      <c r="X47" s="51"/>
      <c r="Y47" s="51"/>
    </row>
    <row r="48" spans="1:25" x14ac:dyDescent="0.35">
      <c r="A48" s="93" t="b">
        <v>0</v>
      </c>
      <c r="B48" s="49">
        <f t="shared" si="2"/>
        <v>47</v>
      </c>
      <c r="C48" s="49" t="str">
        <f t="shared" si="1"/>
        <v>F_21_21</v>
      </c>
      <c r="D48" s="51"/>
      <c r="E48" s="92"/>
      <c r="F48" s="51"/>
      <c r="G48" s="92"/>
      <c r="H48" s="51"/>
      <c r="I48" s="92"/>
      <c r="J48" s="95"/>
      <c r="K48" s="49" t="str">
        <f>_xlfn.XLOOKUP(J48,Tab_Def_Processes[Name(EN)],Tab_Def_Processes[Process_ID],,0,)</f>
        <v>21__</v>
      </c>
      <c r="L48" s="51"/>
      <c r="M48" s="61" t="str">
        <f>_xlfn.XLOOKUP(L48,Tab_Def_Processes[Name(EN)],Tab_Def_Processes[Process_ID],,0,)</f>
        <v>21__</v>
      </c>
      <c r="N48" s="51"/>
      <c r="O48" s="95"/>
      <c r="P48" s="51"/>
      <c r="Q48" s="99"/>
      <c r="R48" s="122"/>
      <c r="S48" s="99"/>
      <c r="T48" s="122"/>
      <c r="U48" s="99"/>
      <c r="V48" s="122"/>
      <c r="W48" s="99"/>
      <c r="X48" s="51"/>
      <c r="Y48" s="51"/>
    </row>
    <row r="49" spans="1:25" x14ac:dyDescent="0.35">
      <c r="A49" s="93" t="b">
        <v>0</v>
      </c>
      <c r="B49" s="49">
        <f t="shared" si="2"/>
        <v>48</v>
      </c>
      <c r="C49" s="49" t="str">
        <f t="shared" si="1"/>
        <v>F_21_21</v>
      </c>
      <c r="D49" s="51"/>
      <c r="E49" s="92"/>
      <c r="F49" s="51"/>
      <c r="G49" s="92"/>
      <c r="H49" s="51"/>
      <c r="I49" s="92"/>
      <c r="J49" s="95"/>
      <c r="K49" s="49" t="str">
        <f>_xlfn.XLOOKUP(J49,Tab_Def_Processes[Name(EN)],Tab_Def_Processes[Process_ID],,0,)</f>
        <v>21__</v>
      </c>
      <c r="L49" s="51"/>
      <c r="M49" s="61" t="str">
        <f>_xlfn.XLOOKUP(L49,Tab_Def_Processes[Name(EN)],Tab_Def_Processes[Process_ID],,0,)</f>
        <v>21__</v>
      </c>
      <c r="N49" s="51"/>
      <c r="O49" s="95"/>
      <c r="P49" s="51"/>
      <c r="Q49" s="99"/>
      <c r="R49" s="122"/>
      <c r="S49" s="99"/>
      <c r="T49" s="122"/>
      <c r="U49" s="99"/>
      <c r="V49" s="122"/>
      <c r="W49" s="99"/>
      <c r="X49" s="51"/>
      <c r="Y49" s="51"/>
    </row>
    <row r="50" spans="1:25" x14ac:dyDescent="0.35">
      <c r="A50" s="93" t="b">
        <v>0</v>
      </c>
      <c r="B50" s="49">
        <f t="shared" si="2"/>
        <v>49</v>
      </c>
      <c r="C50" s="49" t="str">
        <f t="shared" si="1"/>
        <v>F_21_21</v>
      </c>
      <c r="D50" s="51"/>
      <c r="E50" s="92"/>
      <c r="F50" s="51"/>
      <c r="G50" s="92"/>
      <c r="H50" s="51"/>
      <c r="I50" s="92"/>
      <c r="J50" s="95"/>
      <c r="K50" s="49" t="str">
        <f>_xlfn.XLOOKUP(J50,Tab_Def_Processes[Name(EN)],Tab_Def_Processes[Process_ID],,0,)</f>
        <v>21__</v>
      </c>
      <c r="L50" s="51"/>
      <c r="M50" s="61" t="str">
        <f>_xlfn.XLOOKUP(L50,Tab_Def_Processes[Name(EN)],Tab_Def_Processes[Process_ID],,0,)</f>
        <v>21__</v>
      </c>
      <c r="N50" s="51"/>
      <c r="O50" s="95"/>
      <c r="P50" s="51"/>
      <c r="Q50" s="99"/>
      <c r="R50" s="122"/>
      <c r="S50" s="99"/>
      <c r="T50" s="122"/>
      <c r="U50" s="99"/>
      <c r="V50" s="122"/>
      <c r="W50" s="99"/>
      <c r="X50" s="51"/>
      <c r="Y50" s="51"/>
    </row>
    <row r="51" spans="1:25" x14ac:dyDescent="0.35">
      <c r="A51" s="93" t="b">
        <v>0</v>
      </c>
      <c r="B51" s="49">
        <f t="shared" si="2"/>
        <v>50</v>
      </c>
      <c r="C51" s="49" t="str">
        <f t="shared" si="1"/>
        <v>F_21_21</v>
      </c>
      <c r="D51" s="51"/>
      <c r="E51" s="92"/>
      <c r="F51" s="51"/>
      <c r="G51" s="92"/>
      <c r="H51" s="51"/>
      <c r="I51" s="92"/>
      <c r="J51" s="95"/>
      <c r="K51" s="49" t="str">
        <f>_xlfn.XLOOKUP(J51,Tab_Def_Processes[Name(EN)],Tab_Def_Processes[Process_ID],,0,)</f>
        <v>21__</v>
      </c>
      <c r="L51" s="51"/>
      <c r="M51" s="61" t="str">
        <f>_xlfn.XLOOKUP(L51,Tab_Def_Processes[Name(EN)],Tab_Def_Processes[Process_ID],,0,)</f>
        <v>21__</v>
      </c>
      <c r="N51" s="51"/>
      <c r="O51" s="95"/>
      <c r="P51" s="51"/>
      <c r="Q51" s="99"/>
      <c r="R51" s="122"/>
      <c r="S51" s="99"/>
      <c r="T51" s="122"/>
      <c r="U51" s="99"/>
      <c r="V51" s="122"/>
      <c r="W51" s="99"/>
      <c r="X51" s="51"/>
      <c r="Y51" s="51"/>
    </row>
    <row r="52" spans="1:25" ht="15" customHeight="1" x14ac:dyDescent="0.35">
      <c r="A52" s="93" t="b">
        <v>0</v>
      </c>
      <c r="B52" s="49">
        <f t="shared" si="2"/>
        <v>51</v>
      </c>
      <c r="C52" s="49" t="str">
        <f t="shared" si="1"/>
        <v>F_21_21</v>
      </c>
      <c r="D52" s="51"/>
      <c r="E52" s="96"/>
      <c r="F52" s="69"/>
      <c r="G52" s="92"/>
      <c r="H52" s="51"/>
      <c r="I52" s="96"/>
      <c r="J52" s="95"/>
      <c r="K52" s="49" t="str">
        <f>_xlfn.XLOOKUP(J52,Tab_Def_Processes[Name(EN)],Tab_Def_Processes[Process_ID],,0,)</f>
        <v>21__</v>
      </c>
      <c r="L52" s="51"/>
      <c r="M52" s="61" t="str">
        <f>_xlfn.XLOOKUP(L52,Tab_Def_Processes[Name(EN)],Tab_Def_Processes[Process_ID],,0,)</f>
        <v>21__</v>
      </c>
      <c r="N52" s="51"/>
      <c r="O52" s="95"/>
      <c r="P52" s="51"/>
      <c r="Q52" s="99"/>
      <c r="R52" s="122"/>
      <c r="S52" s="99"/>
      <c r="T52" s="122"/>
      <c r="U52" s="99"/>
      <c r="V52" s="122"/>
      <c r="W52" s="99"/>
      <c r="X52" s="51"/>
      <c r="Y52" s="51"/>
    </row>
    <row r="53" spans="1:25" ht="15" customHeight="1" x14ac:dyDescent="0.35">
      <c r="A53" s="93" t="b">
        <v>0</v>
      </c>
      <c r="B53" s="49">
        <f t="shared" si="2"/>
        <v>52</v>
      </c>
      <c r="C53" s="49" t="str">
        <f t="shared" si="1"/>
        <v>F_21_21</v>
      </c>
      <c r="D53" s="51"/>
      <c r="E53" s="96"/>
      <c r="F53" s="69"/>
      <c r="G53" s="92"/>
      <c r="H53" s="51"/>
      <c r="I53" s="96"/>
      <c r="J53" s="95"/>
      <c r="K53" s="49" t="str">
        <f>_xlfn.XLOOKUP(J53,Tab_Def_Processes[Name(EN)],Tab_Def_Processes[Process_ID],,0,)</f>
        <v>21__</v>
      </c>
      <c r="L53" s="51"/>
      <c r="M53" s="61" t="str">
        <f>_xlfn.XLOOKUP(L53,Tab_Def_Processes[Name(EN)],Tab_Def_Processes[Process_ID],,0,)</f>
        <v>21__</v>
      </c>
      <c r="N53" s="51"/>
      <c r="O53" s="95"/>
      <c r="P53" s="51"/>
      <c r="Q53" s="99"/>
      <c r="R53" s="122"/>
      <c r="S53" s="99"/>
      <c r="T53" s="122"/>
      <c r="U53" s="99"/>
      <c r="V53" s="122"/>
      <c r="W53" s="99"/>
      <c r="X53" s="51"/>
      <c r="Y53" s="51"/>
    </row>
    <row r="54" spans="1:25" ht="15" customHeight="1" x14ac:dyDescent="0.35">
      <c r="A54" s="93" t="b">
        <v>0</v>
      </c>
      <c r="B54" s="49">
        <f t="shared" si="2"/>
        <v>53</v>
      </c>
      <c r="C54" s="49" t="str">
        <f t="shared" si="1"/>
        <v>F_21_21</v>
      </c>
      <c r="D54" s="51"/>
      <c r="E54" s="96"/>
      <c r="F54" s="69"/>
      <c r="G54" s="92"/>
      <c r="H54" s="51"/>
      <c r="I54" s="96"/>
      <c r="J54" s="95"/>
      <c r="K54" s="49" t="str">
        <f>_xlfn.XLOOKUP(J54,Tab_Def_Processes[Name(EN)],Tab_Def_Processes[Process_ID],,0,)</f>
        <v>21__</v>
      </c>
      <c r="L54" s="51"/>
      <c r="M54" s="61" t="str">
        <f>_xlfn.XLOOKUP(L54,Tab_Def_Processes[Name(EN)],Tab_Def_Processes[Process_ID],,0,)</f>
        <v>21__</v>
      </c>
      <c r="N54" s="51"/>
      <c r="O54" s="95"/>
      <c r="P54" s="51"/>
      <c r="Q54" s="99"/>
      <c r="R54" s="122"/>
      <c r="S54" s="99"/>
      <c r="T54" s="122"/>
      <c r="U54" s="99"/>
      <c r="V54" s="122"/>
      <c r="W54" s="99"/>
      <c r="X54" s="51"/>
      <c r="Y54" s="51"/>
    </row>
    <row r="55" spans="1:25" ht="15" customHeight="1" x14ac:dyDescent="0.35">
      <c r="A55" s="93" t="b">
        <v>0</v>
      </c>
      <c r="B55" s="49">
        <f t="shared" si="2"/>
        <v>54</v>
      </c>
      <c r="C55" s="49" t="str">
        <f t="shared" si="1"/>
        <v>F_21_21</v>
      </c>
      <c r="D55" s="51"/>
      <c r="E55" s="96"/>
      <c r="F55" s="69"/>
      <c r="G55" s="92"/>
      <c r="H55" s="51"/>
      <c r="I55" s="96"/>
      <c r="J55" s="95"/>
      <c r="K55" s="49" t="str">
        <f>_xlfn.XLOOKUP(J55,Tab_Def_Processes[Name(EN)],Tab_Def_Processes[Process_ID],,0,)</f>
        <v>21__</v>
      </c>
      <c r="L55" s="51"/>
      <c r="M55" s="61" t="str">
        <f>_xlfn.XLOOKUP(L55,Tab_Def_Processes[Name(EN)],Tab_Def_Processes[Process_ID],,0,)</f>
        <v>21__</v>
      </c>
      <c r="N55" s="51"/>
      <c r="O55" s="95"/>
      <c r="P55" s="51"/>
      <c r="Q55" s="99"/>
      <c r="R55" s="122"/>
      <c r="S55" s="99"/>
      <c r="T55" s="122"/>
      <c r="U55" s="99"/>
      <c r="V55" s="122"/>
      <c r="W55" s="99"/>
      <c r="X55" s="51"/>
      <c r="Y55" s="51"/>
    </row>
    <row r="56" spans="1:25" ht="15" customHeight="1" x14ac:dyDescent="0.35">
      <c r="A56" s="93" t="b">
        <v>0</v>
      </c>
      <c r="B56" s="49">
        <f t="shared" si="2"/>
        <v>55</v>
      </c>
      <c r="C56" s="49" t="str">
        <f t="shared" si="1"/>
        <v>F_21_21</v>
      </c>
      <c r="D56" s="51"/>
      <c r="E56" s="96"/>
      <c r="F56" s="51"/>
      <c r="G56" s="92"/>
      <c r="H56" s="51"/>
      <c r="I56" s="96"/>
      <c r="J56" s="95"/>
      <c r="K56" s="49" t="str">
        <f>_xlfn.XLOOKUP(J56,Tab_Def_Processes[Name(EN)],Tab_Def_Processes[Process_ID],,0,)</f>
        <v>21__</v>
      </c>
      <c r="L56" s="51"/>
      <c r="M56" s="61" t="str">
        <f>_xlfn.XLOOKUP(L56,Tab_Def_Processes[Name(EN)],Tab_Def_Processes[Process_ID],,0,)</f>
        <v>21__</v>
      </c>
      <c r="N56" s="51"/>
      <c r="O56" s="95"/>
      <c r="P56" s="51"/>
      <c r="Q56" s="99"/>
      <c r="R56" s="122"/>
      <c r="S56" s="99"/>
      <c r="T56" s="122"/>
      <c r="U56" s="99"/>
      <c r="V56" s="122"/>
      <c r="W56" s="99"/>
      <c r="X56" s="51"/>
      <c r="Y56" s="51"/>
    </row>
    <row r="57" spans="1:25" ht="15" customHeight="1" x14ac:dyDescent="0.35">
      <c r="A57" s="93" t="b">
        <v>0</v>
      </c>
      <c r="B57" s="49">
        <f t="shared" si="2"/>
        <v>56</v>
      </c>
      <c r="C57" s="49" t="str">
        <f t="shared" si="1"/>
        <v>F_21_21</v>
      </c>
      <c r="D57" s="51"/>
      <c r="E57" s="96"/>
      <c r="F57" s="51"/>
      <c r="G57" s="92"/>
      <c r="H57" s="51"/>
      <c r="I57" s="96"/>
      <c r="J57" s="95"/>
      <c r="K57" s="49" t="str">
        <f>_xlfn.XLOOKUP(J57,Tab_Def_Processes[Name(EN)],Tab_Def_Processes[Process_ID],,0,)</f>
        <v>21__</v>
      </c>
      <c r="L57" s="51"/>
      <c r="M57" s="61" t="str">
        <f>_xlfn.XLOOKUP(L57,Tab_Def_Processes[Name(EN)],Tab_Def_Processes[Process_ID],,0,)</f>
        <v>21__</v>
      </c>
      <c r="N57" s="51"/>
      <c r="O57" s="95"/>
      <c r="P57" s="51"/>
      <c r="Q57" s="99"/>
      <c r="R57" s="122"/>
      <c r="S57" s="99"/>
      <c r="T57" s="122"/>
      <c r="U57" s="99"/>
      <c r="V57" s="122"/>
      <c r="W57" s="99"/>
      <c r="X57" s="51"/>
      <c r="Y57" s="51"/>
    </row>
    <row r="58" spans="1:25" ht="15" customHeight="1" x14ac:dyDescent="0.35">
      <c r="A58" s="93" t="b">
        <v>0</v>
      </c>
      <c r="B58" s="49">
        <f t="shared" si="2"/>
        <v>57</v>
      </c>
      <c r="C58" s="49" t="str">
        <f t="shared" si="1"/>
        <v>F_21_21</v>
      </c>
      <c r="D58" s="51"/>
      <c r="E58" s="96"/>
      <c r="F58" s="51"/>
      <c r="G58" s="92"/>
      <c r="H58" s="51"/>
      <c r="I58" s="96"/>
      <c r="J58" s="95"/>
      <c r="K58" s="49" t="str">
        <f>_xlfn.XLOOKUP(J58,Tab_Def_Processes[Name(EN)],Tab_Def_Processes[Process_ID],,0,)</f>
        <v>21__</v>
      </c>
      <c r="L58" s="51"/>
      <c r="M58" s="61" t="str">
        <f>_xlfn.XLOOKUP(L58,Tab_Def_Processes[Name(EN)],Tab_Def_Processes[Process_ID],,0,)</f>
        <v>21__</v>
      </c>
      <c r="N58" s="51"/>
      <c r="O58" s="95"/>
      <c r="P58" s="51"/>
      <c r="Q58" s="99"/>
      <c r="R58" s="122"/>
      <c r="S58" s="99"/>
      <c r="T58" s="122"/>
      <c r="U58" s="99"/>
      <c r="V58" s="122"/>
      <c r="W58" s="99"/>
      <c r="X58" s="51"/>
      <c r="Y58" s="51"/>
    </row>
    <row r="59" spans="1:25" ht="15" customHeight="1" x14ac:dyDescent="0.35">
      <c r="A59" s="93" t="b">
        <v>0</v>
      </c>
      <c r="B59" s="49">
        <f t="shared" si="2"/>
        <v>58</v>
      </c>
      <c r="C59" s="49" t="str">
        <f t="shared" si="1"/>
        <v>F_21_21</v>
      </c>
      <c r="D59" s="51"/>
      <c r="E59" s="96"/>
      <c r="F59" s="51"/>
      <c r="G59" s="92"/>
      <c r="H59" s="51"/>
      <c r="I59" s="96"/>
      <c r="J59" s="95"/>
      <c r="K59" s="49" t="str">
        <f>_xlfn.XLOOKUP(J59,Tab_Def_Processes[Name(EN)],Tab_Def_Processes[Process_ID],,0,)</f>
        <v>21__</v>
      </c>
      <c r="L59" s="51"/>
      <c r="M59" s="61" t="str">
        <f>_xlfn.XLOOKUP(L59,Tab_Def_Processes[Name(EN)],Tab_Def_Processes[Process_ID],,0,)</f>
        <v>21__</v>
      </c>
      <c r="N59" s="51"/>
      <c r="O59" s="95"/>
      <c r="P59" s="51"/>
      <c r="Q59" s="99"/>
      <c r="R59" s="122"/>
      <c r="S59" s="99"/>
      <c r="T59" s="122"/>
      <c r="U59" s="99"/>
      <c r="V59" s="122"/>
      <c r="W59" s="99"/>
      <c r="X59" s="51"/>
      <c r="Y59" s="51"/>
    </row>
    <row r="60" spans="1:25" x14ac:dyDescent="0.35">
      <c r="A60" s="93" t="b">
        <v>0</v>
      </c>
      <c r="B60" s="49">
        <f t="shared" si="2"/>
        <v>59</v>
      </c>
      <c r="C60" s="49" t="str">
        <f t="shared" si="1"/>
        <v>F_21_21</v>
      </c>
      <c r="D60" s="51"/>
      <c r="E60" s="96"/>
      <c r="F60" s="51"/>
      <c r="G60" s="92"/>
      <c r="H60" s="51"/>
      <c r="I60" s="92"/>
      <c r="J60" s="95"/>
      <c r="K60" s="49" t="str">
        <f>_xlfn.XLOOKUP(J60,Tab_Def_Processes[Name(EN)],Tab_Def_Processes[Process_ID],,0,)</f>
        <v>21__</v>
      </c>
      <c r="L60" s="51"/>
      <c r="M60" s="61" t="str">
        <f>_xlfn.XLOOKUP(L60,Tab_Def_Processes[Name(EN)],Tab_Def_Processes[Process_ID],,0,)</f>
        <v>21__</v>
      </c>
      <c r="N60" s="51"/>
      <c r="O60" s="95"/>
      <c r="P60" s="51"/>
      <c r="Q60" s="99"/>
      <c r="R60" s="122"/>
      <c r="S60" s="99"/>
      <c r="T60" s="122"/>
      <c r="U60" s="99"/>
      <c r="V60" s="122"/>
      <c r="W60" s="99"/>
      <c r="X60" s="51"/>
      <c r="Y60" s="51"/>
    </row>
    <row r="61" spans="1:25" x14ac:dyDescent="0.35">
      <c r="A61" s="93" t="b">
        <v>0</v>
      </c>
      <c r="B61" s="49">
        <f t="shared" si="2"/>
        <v>60</v>
      </c>
      <c r="C61" s="49" t="str">
        <f t="shared" si="1"/>
        <v>F_21_21</v>
      </c>
      <c r="D61" s="51"/>
      <c r="E61" s="96"/>
      <c r="F61" s="51"/>
      <c r="G61" s="92"/>
      <c r="H61" s="51"/>
      <c r="I61" s="92"/>
      <c r="J61" s="95"/>
      <c r="K61" s="49" t="str">
        <f>_xlfn.XLOOKUP(J61,Tab_Def_Processes[Name(EN)],Tab_Def_Processes[Process_ID],,0,)</f>
        <v>21__</v>
      </c>
      <c r="L61" s="51"/>
      <c r="M61" s="61" t="str">
        <f>_xlfn.XLOOKUP(L61,Tab_Def_Processes[Name(EN)],Tab_Def_Processes[Process_ID],,0,)</f>
        <v>21__</v>
      </c>
      <c r="N61" s="51"/>
      <c r="O61" s="95"/>
      <c r="P61" s="51"/>
      <c r="Q61" s="99"/>
      <c r="R61" s="122"/>
      <c r="S61" s="99"/>
      <c r="T61" s="122"/>
      <c r="U61" s="99"/>
      <c r="V61" s="122"/>
      <c r="W61" s="99"/>
      <c r="X61" s="51"/>
      <c r="Y61" s="51"/>
    </row>
    <row r="62" spans="1:25" x14ac:dyDescent="0.35">
      <c r="A62" s="93" t="b">
        <v>0</v>
      </c>
      <c r="B62" s="49">
        <f t="shared" si="2"/>
        <v>61</v>
      </c>
      <c r="C62" s="49" t="str">
        <f t="shared" si="1"/>
        <v>F_21_21</v>
      </c>
      <c r="D62" s="51"/>
      <c r="E62" s="96"/>
      <c r="F62" s="51"/>
      <c r="G62" s="92"/>
      <c r="H62" s="51"/>
      <c r="I62" s="92"/>
      <c r="J62" s="95"/>
      <c r="K62" s="49" t="str">
        <f>_xlfn.XLOOKUP(J62,Tab_Def_Processes[Name(EN)],Tab_Def_Processes[Process_ID],,0,)</f>
        <v>21__</v>
      </c>
      <c r="L62" s="51"/>
      <c r="M62" s="61" t="str">
        <f>_xlfn.XLOOKUP(L62,Tab_Def_Processes[Name(EN)],Tab_Def_Processes[Process_ID],,0,)</f>
        <v>21__</v>
      </c>
      <c r="N62" s="51"/>
      <c r="O62" s="95"/>
      <c r="P62" s="51"/>
      <c r="Q62" s="99"/>
      <c r="R62" s="122"/>
      <c r="S62" s="99"/>
      <c r="T62" s="122"/>
      <c r="U62" s="99"/>
      <c r="V62" s="122"/>
      <c r="W62" s="99"/>
      <c r="X62" s="51"/>
      <c r="Y62" s="51"/>
    </row>
    <row r="63" spans="1:25" x14ac:dyDescent="0.35">
      <c r="A63" s="93" t="b">
        <v>0</v>
      </c>
      <c r="B63" s="49">
        <f t="shared" si="2"/>
        <v>62</v>
      </c>
      <c r="C63" s="49" t="str">
        <f t="shared" si="1"/>
        <v>F_21_21</v>
      </c>
      <c r="D63" s="51"/>
      <c r="E63" s="96"/>
      <c r="F63" s="51"/>
      <c r="G63" s="92"/>
      <c r="H63" s="51"/>
      <c r="I63" s="92"/>
      <c r="J63" s="95"/>
      <c r="K63" s="49" t="str">
        <f>_xlfn.XLOOKUP(J63,Tab_Def_Processes[Name(EN)],Tab_Def_Processes[Process_ID],,0,)</f>
        <v>21__</v>
      </c>
      <c r="L63" s="51"/>
      <c r="M63" s="61" t="str">
        <f>_xlfn.XLOOKUP(L63,Tab_Def_Processes[Name(EN)],Tab_Def_Processes[Process_ID],,0,)</f>
        <v>21__</v>
      </c>
      <c r="N63" s="51"/>
      <c r="O63" s="95" t="s">
        <v>68</v>
      </c>
      <c r="P63" s="51"/>
      <c r="Q63" s="99"/>
      <c r="R63" s="122"/>
      <c r="S63" s="99"/>
      <c r="T63" s="122"/>
      <c r="U63" s="99"/>
      <c r="V63" s="122"/>
      <c r="W63" s="99"/>
      <c r="X63" s="51"/>
      <c r="Y63" s="51"/>
    </row>
    <row r="64" spans="1:25" x14ac:dyDescent="0.35">
      <c r="A64" s="93" t="b">
        <v>0</v>
      </c>
      <c r="B64" s="49">
        <f t="shared" si="2"/>
        <v>63</v>
      </c>
      <c r="C64" s="49" t="str">
        <f t="shared" si="1"/>
        <v>F_21_21</v>
      </c>
      <c r="D64" s="51"/>
      <c r="E64" s="92"/>
      <c r="F64" s="51"/>
      <c r="G64" s="92"/>
      <c r="H64" s="51"/>
      <c r="I64" s="92"/>
      <c r="J64" s="95"/>
      <c r="K64" s="49" t="str">
        <f>_xlfn.XLOOKUP(J64,Tab_Def_Processes[Name(EN)],Tab_Def_Processes[Process_ID],,0,)</f>
        <v>21__</v>
      </c>
      <c r="L64" s="51"/>
      <c r="M64" s="61" t="str">
        <f>_xlfn.XLOOKUP(L64,Tab_Def_Processes[Name(EN)],Tab_Def_Processes[Process_ID],,0,)</f>
        <v>21__</v>
      </c>
      <c r="N64" s="51"/>
      <c r="O64" s="95" t="s">
        <v>68</v>
      </c>
      <c r="P64" s="51"/>
      <c r="Q64" s="99"/>
      <c r="R64" s="122"/>
      <c r="S64" s="99"/>
      <c r="T64" s="122"/>
      <c r="U64" s="99"/>
      <c r="V64" s="122"/>
      <c r="W64" s="99"/>
      <c r="X64" s="51"/>
      <c r="Y64" s="51"/>
    </row>
    <row r="65" spans="1:25" x14ac:dyDescent="0.35">
      <c r="A65" s="93" t="b">
        <v>0</v>
      </c>
      <c r="B65" s="49">
        <f t="shared" ref="B65:B77" si="3">ROW()-1</f>
        <v>64</v>
      </c>
      <c r="C65" s="49" t="str">
        <f t="shared" si="1"/>
        <v>F_21_21</v>
      </c>
      <c r="D65" s="51"/>
      <c r="E65" s="92"/>
      <c r="F65" s="51"/>
      <c r="G65" s="92"/>
      <c r="H65" s="51"/>
      <c r="I65" s="92"/>
      <c r="J65" s="95"/>
      <c r="K65" s="49" t="str">
        <f>_xlfn.XLOOKUP(J65,Tab_Def_Processes[Name(EN)],Tab_Def_Processes[Process_ID],,0,)</f>
        <v>21__</v>
      </c>
      <c r="L65" s="51"/>
      <c r="M65" s="61" t="str">
        <f>_xlfn.XLOOKUP(L65,Tab_Def_Processes[Name(EN)],Tab_Def_Processes[Process_ID],,0,)</f>
        <v>21__</v>
      </c>
      <c r="N65" s="51"/>
      <c r="O65" s="95" t="s">
        <v>68</v>
      </c>
      <c r="P65" s="51"/>
      <c r="Q65" s="99"/>
      <c r="R65" s="122"/>
      <c r="S65" s="99"/>
      <c r="T65" s="122"/>
      <c r="U65" s="99"/>
      <c r="V65" s="122"/>
      <c r="W65" s="99"/>
      <c r="X65" s="51"/>
      <c r="Y65" s="51"/>
    </row>
    <row r="66" spans="1:25" x14ac:dyDescent="0.35">
      <c r="A66" s="93" t="b">
        <v>0</v>
      </c>
      <c r="B66" s="49">
        <f t="shared" si="3"/>
        <v>65</v>
      </c>
      <c r="C66" s="49" t="str">
        <f t="shared" si="1"/>
        <v>F_21_21</v>
      </c>
      <c r="D66" s="51"/>
      <c r="E66" s="92"/>
      <c r="F66" s="51"/>
      <c r="G66" s="92"/>
      <c r="H66" s="51"/>
      <c r="I66" s="92"/>
      <c r="J66" s="95"/>
      <c r="K66" s="49" t="str">
        <f>_xlfn.XLOOKUP(J66,Tab_Def_Processes[Name(EN)],Tab_Def_Processes[Process_ID],,0,)</f>
        <v>21__</v>
      </c>
      <c r="L66" s="51"/>
      <c r="M66" s="61" t="str">
        <f>_xlfn.XLOOKUP(L66,Tab_Def_Processes[Name(EN)],Tab_Def_Processes[Process_ID],,0,)</f>
        <v>21__</v>
      </c>
      <c r="N66" s="51"/>
      <c r="O66" s="95" t="s">
        <v>68</v>
      </c>
      <c r="P66" s="51"/>
      <c r="Q66" s="99"/>
      <c r="R66" s="122"/>
      <c r="S66" s="99"/>
      <c r="T66" s="122"/>
      <c r="U66" s="99"/>
      <c r="V66" s="122"/>
      <c r="W66" s="99"/>
      <c r="X66" s="51"/>
      <c r="Y66" s="51"/>
    </row>
    <row r="67" spans="1:25" x14ac:dyDescent="0.35">
      <c r="A67" s="93" t="b">
        <v>0</v>
      </c>
      <c r="B67" s="49">
        <f t="shared" si="3"/>
        <v>66</v>
      </c>
      <c r="C67" s="49" t="str">
        <f t="shared" ref="C67:C77" si="4">"F_"&amp;LEFT(K67,2)&amp;"_"&amp;LEFT(M67,2)</f>
        <v>F_21_21</v>
      </c>
      <c r="D67" s="51"/>
      <c r="E67" s="92"/>
      <c r="F67" s="51"/>
      <c r="G67" s="92"/>
      <c r="H67" s="51"/>
      <c r="I67" s="92"/>
      <c r="J67" s="95"/>
      <c r="K67" s="49" t="str">
        <f>_xlfn.XLOOKUP(J67,Tab_Def_Processes[Name(EN)],Tab_Def_Processes[Process_ID],,0,)</f>
        <v>21__</v>
      </c>
      <c r="L67" s="51"/>
      <c r="M67" s="61" t="str">
        <f>_xlfn.XLOOKUP(L67,Tab_Def_Processes[Name(EN)],Tab_Def_Processes[Process_ID],,0,)</f>
        <v>21__</v>
      </c>
      <c r="N67" s="51"/>
      <c r="O67" s="95" t="s">
        <v>68</v>
      </c>
      <c r="P67" s="51"/>
      <c r="Q67" s="99"/>
      <c r="R67" s="122"/>
      <c r="S67" s="99"/>
      <c r="T67" s="122"/>
      <c r="U67" s="99"/>
      <c r="V67" s="122"/>
      <c r="W67" s="99"/>
      <c r="X67" s="51"/>
      <c r="Y67" s="51"/>
    </row>
    <row r="68" spans="1:25" x14ac:dyDescent="0.35">
      <c r="A68" s="93" t="b">
        <v>0</v>
      </c>
      <c r="B68" s="49">
        <f t="shared" si="3"/>
        <v>67</v>
      </c>
      <c r="C68" s="49" t="str">
        <f t="shared" si="4"/>
        <v>F_21_21</v>
      </c>
      <c r="D68" s="51"/>
      <c r="E68" s="92"/>
      <c r="F68" s="51"/>
      <c r="G68" s="92"/>
      <c r="H68" s="51"/>
      <c r="I68" s="92"/>
      <c r="J68" s="95"/>
      <c r="K68" s="49" t="str">
        <f>_xlfn.XLOOKUP(J68,Tab_Def_Processes[Name(EN)],Tab_Def_Processes[Process_ID],,0,)</f>
        <v>21__</v>
      </c>
      <c r="L68" s="51"/>
      <c r="M68" s="61" t="str">
        <f>_xlfn.XLOOKUP(L68,Tab_Def_Processes[Name(EN)],Tab_Def_Processes[Process_ID],,0,)</f>
        <v>21__</v>
      </c>
      <c r="N68" s="51"/>
      <c r="O68" s="95" t="s">
        <v>68</v>
      </c>
      <c r="P68" s="51"/>
      <c r="Q68" s="99"/>
      <c r="R68" s="122"/>
      <c r="S68" s="99"/>
      <c r="T68" s="122"/>
      <c r="U68" s="99"/>
      <c r="V68" s="122"/>
      <c r="W68" s="99"/>
      <c r="X68" s="51"/>
      <c r="Y68" s="51"/>
    </row>
    <row r="69" spans="1:25" x14ac:dyDescent="0.35">
      <c r="A69" s="93" t="b">
        <v>0</v>
      </c>
      <c r="B69" s="49">
        <f t="shared" si="3"/>
        <v>68</v>
      </c>
      <c r="C69" s="49" t="str">
        <f t="shared" si="4"/>
        <v>F_21_21</v>
      </c>
      <c r="D69" s="51"/>
      <c r="E69" s="92"/>
      <c r="F69" s="51"/>
      <c r="G69" s="92"/>
      <c r="H69" s="51"/>
      <c r="I69" s="92"/>
      <c r="J69" s="95"/>
      <c r="K69" s="49" t="str">
        <f>_xlfn.XLOOKUP(J69,Tab_Def_Processes[Name(EN)],Tab_Def_Processes[Process_ID],,0,)</f>
        <v>21__</v>
      </c>
      <c r="L69" s="51"/>
      <c r="M69" s="61" t="str">
        <f>_xlfn.XLOOKUP(L69,Tab_Def_Processes[Name(EN)],Tab_Def_Processes[Process_ID],,0,)</f>
        <v>21__</v>
      </c>
      <c r="N69" s="51"/>
      <c r="O69" s="95" t="s">
        <v>68</v>
      </c>
      <c r="P69" s="51"/>
      <c r="Q69" s="99"/>
      <c r="R69" s="122"/>
      <c r="S69" s="99"/>
      <c r="T69" s="122"/>
      <c r="U69" s="99"/>
      <c r="V69" s="122"/>
      <c r="W69" s="99"/>
      <c r="X69" s="51"/>
      <c r="Y69" s="51"/>
    </row>
    <row r="70" spans="1:25" x14ac:dyDescent="0.35">
      <c r="A70" s="93" t="b">
        <v>0</v>
      </c>
      <c r="B70" s="49">
        <f t="shared" si="3"/>
        <v>69</v>
      </c>
      <c r="C70" s="49" t="str">
        <f t="shared" si="4"/>
        <v>F_21_21</v>
      </c>
      <c r="D70" s="51"/>
      <c r="E70" s="92"/>
      <c r="F70" s="51"/>
      <c r="G70" s="92"/>
      <c r="H70" s="51"/>
      <c r="I70" s="92"/>
      <c r="J70" s="95"/>
      <c r="K70" s="49" t="str">
        <f>_xlfn.XLOOKUP(J70,Tab_Def_Processes[Name(EN)],Tab_Def_Processes[Process_ID],,0,)</f>
        <v>21__</v>
      </c>
      <c r="L70" s="51"/>
      <c r="M70" s="61" t="str">
        <f>_xlfn.XLOOKUP(L70,Tab_Def_Processes[Name(EN)],Tab_Def_Processes[Process_ID],,0,)</f>
        <v>21__</v>
      </c>
      <c r="N70" s="51"/>
      <c r="O70" s="95" t="s">
        <v>68</v>
      </c>
      <c r="P70" s="51"/>
      <c r="Q70" s="99"/>
      <c r="R70" s="122"/>
      <c r="S70" s="99"/>
      <c r="T70" s="122"/>
      <c r="U70" s="99"/>
      <c r="V70" s="122"/>
      <c r="W70" s="99"/>
      <c r="X70" s="51"/>
      <c r="Y70" s="51"/>
    </row>
    <row r="71" spans="1:25" x14ac:dyDescent="0.35">
      <c r="A71" s="93" t="b">
        <v>0</v>
      </c>
      <c r="B71" s="49">
        <f t="shared" si="3"/>
        <v>70</v>
      </c>
      <c r="C71" s="49" t="str">
        <f t="shared" si="4"/>
        <v>F_21_21</v>
      </c>
      <c r="D71" s="51"/>
      <c r="E71" s="92"/>
      <c r="F71" s="51"/>
      <c r="G71" s="92"/>
      <c r="H71" s="51"/>
      <c r="I71" s="92"/>
      <c r="J71" s="95"/>
      <c r="K71" s="49" t="str">
        <f>_xlfn.XLOOKUP(J71,Tab_Def_Processes[Name(EN)],Tab_Def_Processes[Process_ID],,0,)</f>
        <v>21__</v>
      </c>
      <c r="L71" s="51"/>
      <c r="M71" s="61" t="str">
        <f>_xlfn.XLOOKUP(L71,Tab_Def_Processes[Name(EN)],Tab_Def_Processes[Process_ID],,0,)</f>
        <v>21__</v>
      </c>
      <c r="N71" s="51"/>
      <c r="O71" s="95" t="s">
        <v>68</v>
      </c>
      <c r="P71" s="51"/>
      <c r="Q71" s="99"/>
      <c r="R71" s="122"/>
      <c r="S71" s="99"/>
      <c r="T71" s="122"/>
      <c r="U71" s="99"/>
      <c r="V71" s="122"/>
      <c r="W71" s="99"/>
      <c r="X71" s="51"/>
      <c r="Y71" s="51"/>
    </row>
    <row r="72" spans="1:25" x14ac:dyDescent="0.35">
      <c r="A72" s="93" t="b">
        <v>0</v>
      </c>
      <c r="B72" s="49">
        <f t="shared" si="3"/>
        <v>71</v>
      </c>
      <c r="C72" s="49" t="str">
        <f t="shared" si="4"/>
        <v>F_21_21</v>
      </c>
      <c r="D72" s="51"/>
      <c r="E72" s="92"/>
      <c r="F72" s="51"/>
      <c r="G72" s="92"/>
      <c r="H72" s="51"/>
      <c r="I72" s="92"/>
      <c r="J72" s="95"/>
      <c r="K72" s="49" t="str">
        <f>_xlfn.XLOOKUP(J72,Tab_Def_Processes[Name(EN)],Tab_Def_Processes[Process_ID],,0,)</f>
        <v>21__</v>
      </c>
      <c r="L72" s="51"/>
      <c r="M72" s="61" t="str">
        <f>_xlfn.XLOOKUP(L72,Tab_Def_Processes[Name(EN)],Tab_Def_Processes[Process_ID],,0,)</f>
        <v>21__</v>
      </c>
      <c r="N72" s="51"/>
      <c r="O72" s="95" t="s">
        <v>68</v>
      </c>
      <c r="P72" s="51"/>
      <c r="Q72" s="99"/>
      <c r="R72" s="122"/>
      <c r="S72" s="99"/>
      <c r="T72" s="122"/>
      <c r="U72" s="99"/>
      <c r="V72" s="122"/>
      <c r="W72" s="99"/>
      <c r="X72" s="51"/>
      <c r="Y72" s="51"/>
    </row>
    <row r="73" spans="1:25" x14ac:dyDescent="0.35">
      <c r="A73" s="93" t="b">
        <v>0</v>
      </c>
      <c r="B73" s="49">
        <f t="shared" si="3"/>
        <v>72</v>
      </c>
      <c r="C73" s="49" t="str">
        <f t="shared" si="4"/>
        <v>F_21_21</v>
      </c>
      <c r="D73" s="51"/>
      <c r="E73" s="92"/>
      <c r="F73" s="51"/>
      <c r="G73" s="92"/>
      <c r="H73" s="51"/>
      <c r="I73" s="92"/>
      <c r="J73" s="95"/>
      <c r="K73" s="49" t="str">
        <f>_xlfn.XLOOKUP(J73,Tab_Def_Processes[Name(EN)],Tab_Def_Processes[Process_ID],,0,)</f>
        <v>21__</v>
      </c>
      <c r="L73" s="51"/>
      <c r="M73" s="61" t="str">
        <f>_xlfn.XLOOKUP(L73,Tab_Def_Processes[Name(EN)],Tab_Def_Processes[Process_ID],,0,)</f>
        <v>21__</v>
      </c>
      <c r="N73" s="51"/>
      <c r="O73" s="95" t="s">
        <v>68</v>
      </c>
      <c r="P73" s="51"/>
      <c r="Q73" s="99"/>
      <c r="R73" s="122"/>
      <c r="S73" s="99"/>
      <c r="T73" s="122"/>
      <c r="U73" s="99"/>
      <c r="V73" s="122"/>
      <c r="W73" s="99"/>
      <c r="X73" s="51"/>
      <c r="Y73" s="51"/>
    </row>
    <row r="74" spans="1:25" x14ac:dyDescent="0.35">
      <c r="A74" s="93" t="b">
        <v>0</v>
      </c>
      <c r="B74" s="49">
        <f t="shared" si="3"/>
        <v>73</v>
      </c>
      <c r="C74" s="49" t="str">
        <f t="shared" si="4"/>
        <v>F_21_21</v>
      </c>
      <c r="D74" s="51"/>
      <c r="E74" s="92"/>
      <c r="F74" s="51"/>
      <c r="G74" s="92"/>
      <c r="H74" s="51"/>
      <c r="I74" s="92"/>
      <c r="J74" s="95"/>
      <c r="K74" s="49" t="str">
        <f>_xlfn.XLOOKUP(J74,Tab_Def_Processes[Name(EN)],Tab_Def_Processes[Process_ID],,0,)</f>
        <v>21__</v>
      </c>
      <c r="L74" s="51"/>
      <c r="M74" s="61" t="str">
        <f>_xlfn.XLOOKUP(L74,Tab_Def_Processes[Name(EN)],Tab_Def_Processes[Process_ID],,0,)</f>
        <v>21__</v>
      </c>
      <c r="N74" s="51"/>
      <c r="O74" s="95" t="s">
        <v>68</v>
      </c>
      <c r="P74" s="51"/>
      <c r="Q74" s="99"/>
      <c r="R74" s="122"/>
      <c r="S74" s="99"/>
      <c r="T74" s="122"/>
      <c r="U74" s="99"/>
      <c r="V74" s="122"/>
      <c r="W74" s="99"/>
      <c r="X74" s="51"/>
      <c r="Y74" s="51"/>
    </row>
    <row r="75" spans="1:25" x14ac:dyDescent="0.35">
      <c r="A75" s="93" t="b">
        <v>0</v>
      </c>
      <c r="B75" s="49">
        <f t="shared" si="3"/>
        <v>74</v>
      </c>
      <c r="C75" s="49" t="str">
        <f t="shared" si="4"/>
        <v>F_21_21</v>
      </c>
      <c r="D75" s="51"/>
      <c r="E75" s="92"/>
      <c r="F75" s="51"/>
      <c r="G75" s="92"/>
      <c r="H75" s="51"/>
      <c r="I75" s="92"/>
      <c r="J75" s="95"/>
      <c r="K75" s="49" t="str">
        <f>_xlfn.XLOOKUP(J75,Tab_Def_Processes[Name(EN)],Tab_Def_Processes[Process_ID],,0,)</f>
        <v>21__</v>
      </c>
      <c r="L75" s="51"/>
      <c r="M75" s="61" t="str">
        <f>_xlfn.XLOOKUP(L75,Tab_Def_Processes[Name(EN)],Tab_Def_Processes[Process_ID],,0,)</f>
        <v>21__</v>
      </c>
      <c r="N75" s="51"/>
      <c r="O75" s="95" t="s">
        <v>68</v>
      </c>
      <c r="P75" s="51"/>
      <c r="Q75" s="99"/>
      <c r="R75" s="122"/>
      <c r="S75" s="99"/>
      <c r="T75" s="122"/>
      <c r="U75" s="99"/>
      <c r="V75" s="122"/>
      <c r="W75" s="99"/>
      <c r="X75" s="51"/>
      <c r="Y75" s="51"/>
    </row>
    <row r="76" spans="1:25" x14ac:dyDescent="0.35">
      <c r="A76" s="93" t="b">
        <v>0</v>
      </c>
      <c r="B76" s="49">
        <f t="shared" si="3"/>
        <v>75</v>
      </c>
      <c r="C76" s="49" t="str">
        <f t="shared" si="4"/>
        <v>F_21_21</v>
      </c>
      <c r="D76" s="51"/>
      <c r="E76" s="92"/>
      <c r="F76" s="51"/>
      <c r="G76" s="92"/>
      <c r="H76" s="51"/>
      <c r="I76" s="92"/>
      <c r="J76" s="95"/>
      <c r="K76" s="49" t="str">
        <f>_xlfn.XLOOKUP(J76,Tab_Def_Processes[Name(EN)],Tab_Def_Processes[Process_ID],,0,)</f>
        <v>21__</v>
      </c>
      <c r="L76" s="51"/>
      <c r="M76" s="61" t="str">
        <f>_xlfn.XLOOKUP(L76,Tab_Def_Processes[Name(EN)],Tab_Def_Processes[Process_ID],,0,)</f>
        <v>21__</v>
      </c>
      <c r="N76" s="51"/>
      <c r="O76" s="95" t="s">
        <v>68</v>
      </c>
      <c r="P76" s="51"/>
      <c r="Q76" s="99"/>
      <c r="R76" s="122"/>
      <c r="S76" s="99"/>
      <c r="T76" s="122"/>
      <c r="U76" s="99"/>
      <c r="V76" s="122"/>
      <c r="W76" s="99"/>
      <c r="X76" s="51"/>
      <c r="Y76" s="51"/>
    </row>
    <row r="77" spans="1:25" x14ac:dyDescent="0.35">
      <c r="A77" s="93" t="b">
        <v>0</v>
      </c>
      <c r="B77" s="49">
        <f t="shared" si="3"/>
        <v>76</v>
      </c>
      <c r="C77" s="49" t="str">
        <f t="shared" si="4"/>
        <v>F_21_21</v>
      </c>
      <c r="D77" s="51"/>
      <c r="E77" s="92"/>
      <c r="F77" s="51"/>
      <c r="G77" s="92"/>
      <c r="H77" s="51"/>
      <c r="I77" s="92"/>
      <c r="J77" s="95"/>
      <c r="K77" s="49" t="str">
        <f>_xlfn.XLOOKUP(J77,Tab_Def_Processes[Name(EN)],Tab_Def_Processes[Process_ID],,0,)</f>
        <v>21__</v>
      </c>
      <c r="L77" s="51"/>
      <c r="M77" s="61" t="str">
        <f>_xlfn.XLOOKUP(L77,Tab_Def_Processes[Name(EN)],Tab_Def_Processes[Process_ID],,0,)</f>
        <v>21__</v>
      </c>
      <c r="N77" s="51"/>
      <c r="O77" s="95" t="s">
        <v>68</v>
      </c>
      <c r="P77" s="51"/>
      <c r="Q77" s="99"/>
      <c r="R77" s="122"/>
      <c r="S77" s="99"/>
      <c r="T77" s="122"/>
      <c r="U77" s="99"/>
      <c r="V77" s="122"/>
      <c r="W77" s="99"/>
      <c r="X77" s="51"/>
      <c r="Y77"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8E2A383A-BFF3-42AA-912B-482C6C1A2DAB}">
          <x14:formula1>
            <xm:f>'4_1 Codelists'!$G$16:$G$19</xm:f>
          </x14:formula1>
          <xm:sqref>N2:N77</xm:sqref>
        </x14:dataValidation>
        <x14:dataValidation type="list" allowBlank="1" showInputMessage="1" showErrorMessage="1" xr:uid="{DEB85BD0-124F-4151-B691-0ABA301771C2}">
          <x14:formula1>
            <xm:f>'4_1 Codelists'!$O$4:$O$5</xm:f>
          </x14:formula1>
          <xm:sqref>R33:W77 O2:Q77</xm:sqref>
        </x14:dataValidation>
        <x14:dataValidation type="list" allowBlank="1" showInputMessage="1" showErrorMessage="1" xr:uid="{4802C009-D5CD-4ED0-AC7A-55F162A86DD7}">
          <x14:formula1>
            <xm:f>'2_1_Definition_Processes'!$D$2:$D$58</xm:f>
          </x14:formula1>
          <xm:sqref>L2:L77 J2:J77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tabColor theme="7" tint="0.79998168889431442"/>
  </sheetPr>
  <dimension ref="A1:AK410"/>
  <sheetViews>
    <sheetView tabSelected="1" topLeftCell="K90" zoomScale="85" zoomScaleNormal="85" workbookViewId="0">
      <selection activeCell="O108" sqref="O108:O121"/>
    </sheetView>
  </sheetViews>
  <sheetFormatPr defaultColWidth="10.81640625" defaultRowHeight="14.5" x14ac:dyDescent="0.35"/>
  <cols>
    <col min="2" max="2" width="18.7265625" customWidth="1"/>
    <col min="3" max="3" width="28.54296875" customWidth="1"/>
    <col min="4" max="4" width="15.26953125" customWidth="1"/>
    <col min="5" max="5" width="14.26953125" customWidth="1"/>
    <col min="6" max="6" width="16" customWidth="1"/>
    <col min="7" max="7" width="26.54296875" customWidth="1"/>
    <col min="8" max="12" width="18.1796875" customWidth="1"/>
    <col min="13" max="13" width="15.26953125" customWidth="1"/>
    <col min="14" max="14" width="17" customWidth="1"/>
    <col min="15" max="15" width="16.453125" customWidth="1"/>
    <col min="16" max="16" width="17.54296875" customWidth="1"/>
    <col min="17" max="17" width="28.1796875" customWidth="1"/>
    <col min="19" max="19" width="50.7265625" customWidth="1"/>
    <col min="20" max="20" width="22.81640625" customWidth="1"/>
    <col min="21" max="21" width="16.7265625" customWidth="1"/>
    <col min="22" max="22" width="15.81640625" customWidth="1"/>
    <col min="23" max="23" width="8.81640625" customWidth="1"/>
    <col min="24" max="24" width="14.1796875" customWidth="1"/>
    <col min="25" max="25" width="6.54296875" customWidth="1"/>
    <col min="27" max="27" width="15.453125" customWidth="1"/>
    <col min="28" max="29" width="15.1796875" customWidth="1"/>
    <col min="30" max="30" width="14.1796875" customWidth="1"/>
    <col min="31" max="31" width="19.81640625" customWidth="1"/>
    <col min="32" max="32" width="19.81640625" style="119" customWidth="1"/>
    <col min="33" max="33" width="16.54296875" customWidth="1"/>
    <col min="34" max="35" width="19.7265625" customWidth="1"/>
    <col min="36" max="36" width="15.26953125" customWidth="1"/>
    <col min="37" max="37" width="19" style="49" customWidth="1"/>
  </cols>
  <sheetData>
    <row r="1" spans="1:37" ht="15" thickBot="1" x14ac:dyDescent="0.4">
      <c r="A1" s="12" t="s">
        <v>225</v>
      </c>
      <c r="B1" s="13" t="s">
        <v>268</v>
      </c>
      <c r="C1" t="s">
        <v>320</v>
      </c>
      <c r="D1" s="13" t="s">
        <v>269</v>
      </c>
      <c r="E1" s="48" t="s">
        <v>272</v>
      </c>
      <c r="F1" s="48" t="s">
        <v>273</v>
      </c>
      <c r="G1" s="48" t="s">
        <v>274</v>
      </c>
      <c r="H1" s="48" t="s">
        <v>275</v>
      </c>
      <c r="I1" s="48" t="s">
        <v>293</v>
      </c>
      <c r="J1" s="21" t="s">
        <v>354</v>
      </c>
      <c r="K1" s="22" t="s">
        <v>356</v>
      </c>
      <c r="L1" s="23" t="s">
        <v>355</v>
      </c>
      <c r="M1" t="s">
        <v>287</v>
      </c>
      <c r="N1" t="s">
        <v>286</v>
      </c>
      <c r="O1" t="s">
        <v>284</v>
      </c>
      <c r="P1" t="s">
        <v>285</v>
      </c>
      <c r="Q1" t="s">
        <v>276</v>
      </c>
      <c r="R1" t="s">
        <v>258</v>
      </c>
      <c r="S1" t="s">
        <v>277</v>
      </c>
      <c r="T1" t="s">
        <v>278</v>
      </c>
      <c r="U1" t="s">
        <v>279</v>
      </c>
      <c r="V1" t="s">
        <v>280</v>
      </c>
      <c r="W1" t="s">
        <v>10</v>
      </c>
      <c r="X1" t="s">
        <v>281</v>
      </c>
      <c r="Y1" t="s">
        <v>282</v>
      </c>
      <c r="Z1" t="s">
        <v>283</v>
      </c>
      <c r="AA1" t="s">
        <v>288</v>
      </c>
      <c r="AB1" t="s">
        <v>289</v>
      </c>
      <c r="AC1" t="s">
        <v>357</v>
      </c>
      <c r="AD1" t="s">
        <v>369</v>
      </c>
      <c r="AE1" t="s">
        <v>373</v>
      </c>
      <c r="AF1" s="84" t="s">
        <v>359</v>
      </c>
      <c r="AG1" t="s">
        <v>370</v>
      </c>
      <c r="AH1" t="s">
        <v>372</v>
      </c>
      <c r="AI1" t="s">
        <v>361</v>
      </c>
      <c r="AJ1" t="s">
        <v>374</v>
      </c>
      <c r="AK1" t="s">
        <v>371</v>
      </c>
    </row>
    <row r="2" spans="1:37" ht="15" thickBot="1" x14ac:dyDescent="0.4">
      <c r="A2" s="60">
        <f>ROW()-1</f>
        <v>1</v>
      </c>
      <c r="B2" s="49" t="str">
        <f>_xlfn.XLOOKUP(C2,Tab_Def_Flows[Name(EN)],Tab_Def_Flows[Flow_ID],,0,)</f>
        <v>F_13_20</v>
      </c>
      <c r="C2" s="51" t="s">
        <v>450</v>
      </c>
      <c r="D2" s="49">
        <f>_xlfn.XLOOKUP(C2,Tab_Def_Flows[Name(EN)],Tab_Def_Flows[Type_Biomass],,0,)</f>
        <v>0</v>
      </c>
      <c r="E2" s="49" t="str">
        <f>_xlfn.XLOOKUP(C2,Tab_Def_Flows[Name(EN)],Tab_Def_Flows[Output_Process],,0,)</f>
        <v>Rye cultivation</v>
      </c>
      <c r="F2" s="49" t="str">
        <f>_xlfn.XLOOKUP(C2,Tab_Def_Flows[Name(EN)],Tab_Def_Flows[Process_ID_O],,0,)</f>
        <v>13_Rye_BB</v>
      </c>
      <c r="G2" s="49" t="str">
        <f>_xlfn.XLOOKUP(C2,Tab_Def_Flows[Name(EN)],Tab_Def_Flows[Input_Process],,0,)</f>
        <v>Rye cultivation and harvest</v>
      </c>
      <c r="H2" s="61" t="str">
        <f>_xlfn.XLOOKUP(C2,Tab_Def_Flows[Name(EN)],Tab_Def_Flows[Process_ID_I],,0,)</f>
        <v>20_Rye_BB</v>
      </c>
      <c r="I2" s="61" t="str">
        <f>_xlfn.XLOOKUP(C2,Tab_Def_Flows[Name(EN)],Tab_Def_Flows[Value_Source],,0,)</f>
        <v>Data_assumption</v>
      </c>
      <c r="J2" s="61" t="str">
        <f>_xlfn.XLOOKUP(C2,Tab_Def_Flows[Name(EN)],Tab_Def_Flows[WC?],,0,)</f>
        <v>Yes</v>
      </c>
      <c r="K2" s="61" t="str">
        <f>_xlfn.XLOOKUP(C2,Tab_Def_Flows[Name(EN)],Tab_Def_Flows[DM?],,0,)</f>
        <v>Yes</v>
      </c>
      <c r="L2" s="61" t="str">
        <f>_xlfn.XLOOKUP(C2,Tab_Def_Flows[Name(EN)],Tab_Def_Flows[CC?],,0,)</f>
        <v>Yes</v>
      </c>
      <c r="M2" s="51">
        <v>2022</v>
      </c>
      <c r="N2" s="51" t="s">
        <v>353</v>
      </c>
      <c r="O2" s="126">
        <v>129</v>
      </c>
      <c r="P2" s="51" t="s">
        <v>398</v>
      </c>
      <c r="Q2" s="51" t="s">
        <v>368</v>
      </c>
      <c r="R2" s="51"/>
      <c r="S2" s="51"/>
      <c r="T2" s="51"/>
      <c r="U2" s="51"/>
      <c r="V2" s="51"/>
      <c r="W2" s="51"/>
      <c r="X2" s="51" t="s">
        <v>71</v>
      </c>
      <c r="Y2" s="109">
        <v>365</v>
      </c>
      <c r="Z2" s="51"/>
      <c r="AA2" s="89">
        <f>IF(X2="no",O2,O2*Y2)</f>
        <v>129</v>
      </c>
      <c r="AB2" s="51" t="s">
        <v>63</v>
      </c>
      <c r="AC2" s="114">
        <f>INDEX(Tab_Def_Flows[[Flow_ID]:[CC_DM_source]],MATCH(Tab_Data_Flows[[#This Row],[Name(EN)]],Tab_Def_Flows[Name(EN)],0),16)</f>
        <v>0.06</v>
      </c>
      <c r="AD2" s="112">
        <f>IF(J2="Yes",AA2*Tab_Data_Flows[[#This Row],[WC_'[%']]],"N.A.")</f>
        <v>7.7399999999999993</v>
      </c>
      <c r="AE2" s="113" t="str">
        <f>Tab_Data_Flows[[#This Row],[UoM_Flow_Py]]</f>
        <v>Mg</v>
      </c>
      <c r="AF2" s="114">
        <f>INDEX(Tab_Def_Flows[[Flow_ID]:[CC_DM_source]],MATCH(Tab_Data_Flows[[#This Row],[Name(EN)]],Tab_Def_Flows[Name(EN)],0),18)</f>
        <v>0.94</v>
      </c>
      <c r="AG2" s="112">
        <f>IF(K2="Yes",AF2*Tab_Data_Flows[[#This Row],[Flow_Py]],"N.A.")</f>
        <v>121.25999999999999</v>
      </c>
      <c r="AH2" s="113" t="str">
        <f>Tab_Data_Flows[[#This Row],[UoM_Flow_Py]]</f>
        <v>Mg</v>
      </c>
      <c r="AI2" s="114">
        <f>INDEX(Tab_Def_Flows[[Flow_ID]:[CC_DM_source]],MATCH(Tab_Data_Flows[[#This Row],[Name(EN)]],Tab_Def_Flows[Name(EN)],0),20)</f>
        <v>0.49</v>
      </c>
      <c r="AJ2" s="112">
        <f>IF(L2="Yes",AI2*Tab_Data_Flows[[#This Row],[Flow_Py]],"N.A.")</f>
        <v>63.21</v>
      </c>
      <c r="AK2" s="113" t="str">
        <f>Tab_Data_Flows[[#This Row],[UoM_Flow_Py]]</f>
        <v>Mg</v>
      </c>
    </row>
    <row r="3" spans="1:37" ht="15" thickBot="1" x14ac:dyDescent="0.4">
      <c r="A3" s="60">
        <f t="shared" ref="A3:A31" si="0">ROW()-1</f>
        <v>2</v>
      </c>
      <c r="B3" s="49" t="str">
        <f>_xlfn.XLOOKUP(C3,Tab_Def_Flows[Name(EN)],Tab_Def_Flows[Flow_ID],,0,)</f>
        <v>F_13_20</v>
      </c>
      <c r="C3" s="51" t="s">
        <v>450</v>
      </c>
      <c r="D3" s="49">
        <f>_xlfn.XLOOKUP(C3,Tab_Def_Flows[Name(EN)],Tab_Def_Flows[Type_Biomass],,0,)</f>
        <v>0</v>
      </c>
      <c r="E3" s="49" t="str">
        <f>_xlfn.XLOOKUP(C3,Tab_Def_Flows[Name(EN)],Tab_Def_Flows[Output_Process],,0,)</f>
        <v>Rye cultivation</v>
      </c>
      <c r="F3" s="49" t="str">
        <f>_xlfn.XLOOKUP(C3,Tab_Def_Flows[Name(EN)],Tab_Def_Flows[Process_ID_O],,0,)</f>
        <v>13_Rye_BB</v>
      </c>
      <c r="G3" s="49" t="str">
        <f>_xlfn.XLOOKUP(C3,Tab_Def_Flows[Name(EN)],Tab_Def_Flows[Input_Process],,0,)</f>
        <v>Rye cultivation and harvest</v>
      </c>
      <c r="H3" s="61" t="str">
        <f>_xlfn.XLOOKUP(C3,Tab_Def_Flows[Name(EN)],Tab_Def_Flows[Process_ID_I],,0,)</f>
        <v>20_Rye_BB</v>
      </c>
      <c r="I3" s="61" t="str">
        <f>_xlfn.XLOOKUP(C3,Tab_Def_Flows[Name(EN)],Tab_Def_Flows[Value_Source],,0,)</f>
        <v>Data_assumption</v>
      </c>
      <c r="J3" s="61" t="str">
        <f>_xlfn.XLOOKUP(C3,Tab_Def_Flows[Name(EN)],Tab_Def_Flows[WC?],,0,)</f>
        <v>Yes</v>
      </c>
      <c r="K3" s="61" t="str">
        <f>_xlfn.XLOOKUP(C3,Tab_Def_Flows[Name(EN)],Tab_Def_Flows[DM?],,0,)</f>
        <v>Yes</v>
      </c>
      <c r="L3" s="61" t="str">
        <f>_xlfn.XLOOKUP(C3,Tab_Def_Flows[Name(EN)],Tab_Def_Flows[CC?],,0,)</f>
        <v>Yes</v>
      </c>
      <c r="M3" s="51">
        <v>2023</v>
      </c>
      <c r="N3" s="51" t="s">
        <v>353</v>
      </c>
      <c r="O3" s="126">
        <f>O2*1.02</f>
        <v>131.58000000000001</v>
      </c>
      <c r="P3" s="51" t="s">
        <v>398</v>
      </c>
      <c r="Q3" s="51" t="s">
        <v>368</v>
      </c>
      <c r="R3" s="51"/>
      <c r="S3" s="51"/>
      <c r="T3" s="51"/>
      <c r="U3" s="51"/>
      <c r="V3" s="51"/>
      <c r="W3" s="51"/>
      <c r="X3" s="51" t="s">
        <v>71</v>
      </c>
      <c r="Y3" s="109">
        <v>365</v>
      </c>
      <c r="Z3" s="51"/>
      <c r="AA3" s="89">
        <f t="shared" ref="AA3:AA8" si="1">IF(X3="no",O3,O3*Y3)</f>
        <v>131.58000000000001</v>
      </c>
      <c r="AB3" s="51" t="s">
        <v>63</v>
      </c>
      <c r="AC3" s="114">
        <f>INDEX(Tab_Def_Flows[[Flow_ID]:[CC_DM_source]],MATCH(Tab_Data_Flows[[#This Row],[Name(EN)]],Tab_Def_Flows[Name(EN)],0),16)</f>
        <v>0.06</v>
      </c>
      <c r="AD3" s="112">
        <f>IF(J3="Yes",AA3*Tab_Data_Flows[[#This Row],[WC_'[%']]],"N.A.")</f>
        <v>7.8948</v>
      </c>
      <c r="AE3" s="113" t="str">
        <f>Tab_Data_Flows[[#This Row],[UoM_Flow_Py]]</f>
        <v>Mg</v>
      </c>
      <c r="AF3" s="114">
        <f>INDEX(Tab_Def_Flows[[Flow_ID]:[CC_DM_source]],MATCH(Tab_Data_Flows[[#This Row],[Name(EN)]],Tab_Def_Flows[Name(EN)],0),18)</f>
        <v>0.94</v>
      </c>
      <c r="AG3" s="112">
        <f>IF(K3="Yes",AF3*Tab_Data_Flows[[#This Row],[Flow_Py]],"N.A.")</f>
        <v>123.68520000000001</v>
      </c>
      <c r="AH3" s="113" t="str">
        <f>Tab_Data_Flows[[#This Row],[UoM_Flow_Py]]</f>
        <v>Mg</v>
      </c>
      <c r="AI3" s="114">
        <f>INDEX(Tab_Def_Flows[[Flow_ID]:[CC_DM_source]],MATCH(Tab_Data_Flows[[#This Row],[Name(EN)]],Tab_Def_Flows[Name(EN)],0),20)</f>
        <v>0.49</v>
      </c>
      <c r="AJ3" s="112">
        <f>IF(L3="Yes",AI3*Tab_Data_Flows[[#This Row],[Flow_Py]],"N.A.")</f>
        <v>64.47420000000001</v>
      </c>
      <c r="AK3" s="113" t="str">
        <f>Tab_Data_Flows[[#This Row],[UoM_Flow_Py]]</f>
        <v>Mg</v>
      </c>
    </row>
    <row r="4" spans="1:37" ht="15" thickBot="1" x14ac:dyDescent="0.4">
      <c r="A4" s="60">
        <f t="shared" si="0"/>
        <v>3</v>
      </c>
      <c r="B4" s="49" t="str">
        <f>_xlfn.XLOOKUP(C4,Tab_Def_Flows[Name(EN)],Tab_Def_Flows[Flow_ID],,0,)</f>
        <v>F_13_20</v>
      </c>
      <c r="C4" s="51" t="s">
        <v>450</v>
      </c>
      <c r="D4" s="49">
        <f>_xlfn.XLOOKUP(C4,Tab_Def_Flows[Name(EN)],Tab_Def_Flows[Type_Biomass],,0,)</f>
        <v>0</v>
      </c>
      <c r="E4" s="49" t="str">
        <f>_xlfn.XLOOKUP(C4,Tab_Def_Flows[Name(EN)],Tab_Def_Flows[Output_Process],,0,)</f>
        <v>Rye cultivation</v>
      </c>
      <c r="F4" s="49" t="str">
        <f>_xlfn.XLOOKUP(C4,Tab_Def_Flows[Name(EN)],Tab_Def_Flows[Process_ID_O],,0,)</f>
        <v>13_Rye_BB</v>
      </c>
      <c r="G4" s="49" t="str">
        <f>_xlfn.XLOOKUP(C4,Tab_Def_Flows[Name(EN)],Tab_Def_Flows[Input_Process],,0,)</f>
        <v>Rye cultivation and harvest</v>
      </c>
      <c r="H4" s="61" t="str">
        <f>_xlfn.XLOOKUP(C4,Tab_Def_Flows[Name(EN)],Tab_Def_Flows[Process_ID_I],,0,)</f>
        <v>20_Rye_BB</v>
      </c>
      <c r="I4" s="61" t="str">
        <f>_xlfn.XLOOKUP(C4,Tab_Def_Flows[Name(EN)],Tab_Def_Flows[Value_Source],,0,)</f>
        <v>Data_assumption</v>
      </c>
      <c r="J4" s="61" t="str">
        <f>_xlfn.XLOOKUP(C4,Tab_Def_Flows[Name(EN)],Tab_Def_Flows[WC?],,0,)</f>
        <v>Yes</v>
      </c>
      <c r="K4" s="61" t="str">
        <f>_xlfn.XLOOKUP(C4,Tab_Def_Flows[Name(EN)],Tab_Def_Flows[DM?],,0,)</f>
        <v>Yes</v>
      </c>
      <c r="L4" s="61" t="str">
        <f>_xlfn.XLOOKUP(C4,Tab_Def_Flows[Name(EN)],Tab_Def_Flows[CC?],,0,)</f>
        <v>Yes</v>
      </c>
      <c r="M4" s="51">
        <v>2024</v>
      </c>
      <c r="N4" s="51" t="s">
        <v>353</v>
      </c>
      <c r="O4" s="126">
        <f t="shared" ref="O4:O7" si="2">O3*1.02</f>
        <v>134.2116</v>
      </c>
      <c r="P4" s="51" t="s">
        <v>398</v>
      </c>
      <c r="Q4" s="51" t="s">
        <v>368</v>
      </c>
      <c r="R4" s="51"/>
      <c r="S4" s="51"/>
      <c r="T4" s="51"/>
      <c r="U4" s="51"/>
      <c r="V4" s="51"/>
      <c r="W4" s="51"/>
      <c r="X4" s="51" t="s">
        <v>71</v>
      </c>
      <c r="Y4" s="109">
        <v>365</v>
      </c>
      <c r="Z4" s="51"/>
      <c r="AA4" s="89">
        <f t="shared" si="1"/>
        <v>134.2116</v>
      </c>
      <c r="AB4" s="51" t="s">
        <v>63</v>
      </c>
      <c r="AC4" s="114">
        <f>INDEX(Tab_Def_Flows[[Flow_ID]:[CC_DM_source]],MATCH(Tab_Data_Flows[[#This Row],[Name(EN)]],Tab_Def_Flows[Name(EN)],0),16)</f>
        <v>0.06</v>
      </c>
      <c r="AD4" s="112">
        <f>IF(J4="Yes",AA4*Tab_Data_Flows[[#This Row],[WC_'[%']]],"N.A.")</f>
        <v>8.0526959999999992</v>
      </c>
      <c r="AE4" s="113" t="str">
        <f>Tab_Data_Flows[[#This Row],[UoM_Flow_Py]]</f>
        <v>Mg</v>
      </c>
      <c r="AF4" s="114">
        <f>INDEX(Tab_Def_Flows[[Flow_ID]:[CC_DM_source]],MATCH(Tab_Data_Flows[[#This Row],[Name(EN)]],Tab_Def_Flows[Name(EN)],0),18)</f>
        <v>0.94</v>
      </c>
      <c r="AG4" s="112">
        <f>IF(K4="Yes",AF4*Tab_Data_Flows[[#This Row],[Flow_Py]],"N.A.")</f>
        <v>126.15890399999999</v>
      </c>
      <c r="AH4" s="113" t="str">
        <f>Tab_Data_Flows[[#This Row],[UoM_Flow_Py]]</f>
        <v>Mg</v>
      </c>
      <c r="AI4" s="114">
        <f>INDEX(Tab_Def_Flows[[Flow_ID]:[CC_DM_source]],MATCH(Tab_Data_Flows[[#This Row],[Name(EN)]],Tab_Def_Flows[Name(EN)],0),20)</f>
        <v>0.49</v>
      </c>
      <c r="AJ4" s="112">
        <f>IF(L4="Yes",AI4*Tab_Data_Flows[[#This Row],[Flow_Py]],"N.A.")</f>
        <v>65.763683999999998</v>
      </c>
      <c r="AK4" s="113" t="str">
        <f>Tab_Data_Flows[[#This Row],[UoM_Flow_Py]]</f>
        <v>Mg</v>
      </c>
    </row>
    <row r="5" spans="1:37" ht="15" thickBot="1" x14ac:dyDescent="0.4">
      <c r="A5" s="60">
        <f t="shared" si="0"/>
        <v>4</v>
      </c>
      <c r="B5" s="49" t="str">
        <f>_xlfn.XLOOKUP(C5,Tab_Def_Flows[Name(EN)],Tab_Def_Flows[Flow_ID],,0,)</f>
        <v>F_13_20</v>
      </c>
      <c r="C5" s="51" t="s">
        <v>450</v>
      </c>
      <c r="D5" s="49">
        <f>_xlfn.XLOOKUP(C5,Tab_Def_Flows[Name(EN)],Tab_Def_Flows[Type_Biomass],,0,)</f>
        <v>0</v>
      </c>
      <c r="E5" s="49" t="str">
        <f>_xlfn.XLOOKUP(C5,Tab_Def_Flows[Name(EN)],Tab_Def_Flows[Output_Process],,0,)</f>
        <v>Rye cultivation</v>
      </c>
      <c r="F5" s="49" t="str">
        <f>_xlfn.XLOOKUP(C5,Tab_Def_Flows[Name(EN)],Tab_Def_Flows[Process_ID_O],,0,)</f>
        <v>13_Rye_BB</v>
      </c>
      <c r="G5" s="49" t="str">
        <f>_xlfn.XLOOKUP(C5,Tab_Def_Flows[Name(EN)],Tab_Def_Flows[Input_Process],,0,)</f>
        <v>Rye cultivation and harvest</v>
      </c>
      <c r="H5" s="61" t="str">
        <f>_xlfn.XLOOKUP(C5,Tab_Def_Flows[Name(EN)],Tab_Def_Flows[Process_ID_I],,0,)</f>
        <v>20_Rye_BB</v>
      </c>
      <c r="I5" s="61" t="str">
        <f>_xlfn.XLOOKUP(C5,Tab_Def_Flows[Name(EN)],Tab_Def_Flows[Value_Source],,0,)</f>
        <v>Data_assumption</v>
      </c>
      <c r="J5" s="61" t="str">
        <f>_xlfn.XLOOKUP(C5,Tab_Def_Flows[Name(EN)],Tab_Def_Flows[WC?],,0,)</f>
        <v>Yes</v>
      </c>
      <c r="K5" s="61" t="str">
        <f>_xlfn.XLOOKUP(C5,Tab_Def_Flows[Name(EN)],Tab_Def_Flows[DM?],,0,)</f>
        <v>Yes</v>
      </c>
      <c r="L5" s="61" t="str">
        <f>_xlfn.XLOOKUP(C5,Tab_Def_Flows[Name(EN)],Tab_Def_Flows[CC?],,0,)</f>
        <v>Yes</v>
      </c>
      <c r="M5" s="51">
        <v>2025</v>
      </c>
      <c r="N5" s="51" t="s">
        <v>353</v>
      </c>
      <c r="O5" s="126">
        <f t="shared" si="2"/>
        <v>136.89583200000001</v>
      </c>
      <c r="P5" s="51" t="s">
        <v>398</v>
      </c>
      <c r="Q5" s="51" t="s">
        <v>368</v>
      </c>
      <c r="R5" s="51"/>
      <c r="S5" s="51"/>
      <c r="T5" s="51"/>
      <c r="U5" s="51"/>
      <c r="V5" s="51"/>
      <c r="W5" s="51"/>
      <c r="X5" s="51" t="s">
        <v>71</v>
      </c>
      <c r="Y5" s="109">
        <v>365</v>
      </c>
      <c r="Z5" s="51"/>
      <c r="AA5" s="89">
        <f t="shared" si="1"/>
        <v>136.89583200000001</v>
      </c>
      <c r="AB5" s="51" t="s">
        <v>63</v>
      </c>
      <c r="AC5" s="114">
        <f>INDEX(Tab_Def_Flows[[Flow_ID]:[CC_DM_source]],MATCH(Tab_Data_Flows[[#This Row],[Name(EN)]],Tab_Def_Flows[Name(EN)],0),16)</f>
        <v>0.06</v>
      </c>
      <c r="AD5" s="112">
        <f>IF(J5="Yes",AA5*Tab_Data_Flows[[#This Row],[WC_'[%']]],"N.A.")</f>
        <v>8.2137499199999997</v>
      </c>
      <c r="AE5" s="113" t="str">
        <f>Tab_Data_Flows[[#This Row],[UoM_Flow_Py]]</f>
        <v>Mg</v>
      </c>
      <c r="AF5" s="114">
        <f>INDEX(Tab_Def_Flows[[Flow_ID]:[CC_DM_source]],MATCH(Tab_Data_Flows[[#This Row],[Name(EN)]],Tab_Def_Flows[Name(EN)],0),18)</f>
        <v>0.94</v>
      </c>
      <c r="AG5" s="112">
        <f>IF(K5="Yes",AF5*Tab_Data_Flows[[#This Row],[Flow_Py]],"N.A.")</f>
        <v>128.68208208000001</v>
      </c>
      <c r="AH5" s="113" t="str">
        <f>Tab_Data_Flows[[#This Row],[UoM_Flow_Py]]</f>
        <v>Mg</v>
      </c>
      <c r="AI5" s="114">
        <f>INDEX(Tab_Def_Flows[[Flow_ID]:[CC_DM_source]],MATCH(Tab_Data_Flows[[#This Row],[Name(EN)]],Tab_Def_Flows[Name(EN)],0),20)</f>
        <v>0.49</v>
      </c>
      <c r="AJ5" s="112">
        <f>IF(L5="Yes",AI5*Tab_Data_Flows[[#This Row],[Flow_Py]],"N.A.")</f>
        <v>67.078957680000002</v>
      </c>
      <c r="AK5" s="113" t="str">
        <f>Tab_Data_Flows[[#This Row],[UoM_Flow_Py]]</f>
        <v>Mg</v>
      </c>
    </row>
    <row r="6" spans="1:37" ht="15" thickBot="1" x14ac:dyDescent="0.4">
      <c r="A6" s="60">
        <f t="shared" si="0"/>
        <v>5</v>
      </c>
      <c r="B6" s="49" t="str">
        <f>_xlfn.XLOOKUP(C6,Tab_Def_Flows[Name(EN)],Tab_Def_Flows[Flow_ID],,0,)</f>
        <v>F_13_20</v>
      </c>
      <c r="C6" s="51" t="s">
        <v>450</v>
      </c>
      <c r="D6" s="49">
        <f>_xlfn.XLOOKUP(C6,Tab_Def_Flows[Name(EN)],Tab_Def_Flows[Type_Biomass],,0,)</f>
        <v>0</v>
      </c>
      <c r="E6" s="49" t="str">
        <f>_xlfn.XLOOKUP(C6,Tab_Def_Flows[Name(EN)],Tab_Def_Flows[Output_Process],,0,)</f>
        <v>Rye cultivation</v>
      </c>
      <c r="F6" s="49" t="str">
        <f>_xlfn.XLOOKUP(C6,Tab_Def_Flows[Name(EN)],Tab_Def_Flows[Process_ID_O],,0,)</f>
        <v>13_Rye_BB</v>
      </c>
      <c r="G6" s="49" t="str">
        <f>_xlfn.XLOOKUP(C6,Tab_Def_Flows[Name(EN)],Tab_Def_Flows[Input_Process],,0,)</f>
        <v>Rye cultivation and harvest</v>
      </c>
      <c r="H6" s="61" t="str">
        <f>_xlfn.XLOOKUP(C6,Tab_Def_Flows[Name(EN)],Tab_Def_Flows[Process_ID_I],,0,)</f>
        <v>20_Rye_BB</v>
      </c>
      <c r="I6" s="61" t="str">
        <f>_xlfn.XLOOKUP(C6,Tab_Def_Flows[Name(EN)],Tab_Def_Flows[Value_Source],,0,)</f>
        <v>Data_assumption</v>
      </c>
      <c r="J6" s="61" t="str">
        <f>_xlfn.XLOOKUP(C6,Tab_Def_Flows[Name(EN)],Tab_Def_Flows[WC?],,0,)</f>
        <v>Yes</v>
      </c>
      <c r="K6" s="61" t="str">
        <f>_xlfn.XLOOKUP(C6,Tab_Def_Flows[Name(EN)],Tab_Def_Flows[DM?],,0,)</f>
        <v>Yes</v>
      </c>
      <c r="L6" s="61" t="str">
        <f>_xlfn.XLOOKUP(C6,Tab_Def_Flows[Name(EN)],Tab_Def_Flows[CC?],,0,)</f>
        <v>Yes</v>
      </c>
      <c r="M6" s="51">
        <v>2026</v>
      </c>
      <c r="N6" s="51" t="s">
        <v>353</v>
      </c>
      <c r="O6" s="126">
        <f t="shared" si="2"/>
        <v>139.63374864000002</v>
      </c>
      <c r="P6" s="51" t="s">
        <v>398</v>
      </c>
      <c r="Q6" s="51" t="s">
        <v>368</v>
      </c>
      <c r="R6" s="51"/>
      <c r="S6" s="51"/>
      <c r="T6" s="51"/>
      <c r="U6" s="51"/>
      <c r="V6" s="51"/>
      <c r="W6" s="51"/>
      <c r="X6" s="51" t="s">
        <v>71</v>
      </c>
      <c r="Y6" s="109">
        <v>365</v>
      </c>
      <c r="Z6" s="51"/>
      <c r="AA6" s="89">
        <f t="shared" si="1"/>
        <v>139.63374864000002</v>
      </c>
      <c r="AB6" s="51" t="s">
        <v>63</v>
      </c>
      <c r="AC6" s="114">
        <f>INDEX(Tab_Def_Flows[[Flow_ID]:[CC_DM_source]],MATCH(Tab_Data_Flows[[#This Row],[Name(EN)]],Tab_Def_Flows[Name(EN)],0),16)</f>
        <v>0.06</v>
      </c>
      <c r="AD6" s="112">
        <f>IF(J6="Yes",AA6*Tab_Data_Flows[[#This Row],[WC_'[%']]],"N.A.")</f>
        <v>8.3780249184000013</v>
      </c>
      <c r="AE6" s="113" t="str">
        <f>Tab_Data_Flows[[#This Row],[UoM_Flow_Py]]</f>
        <v>Mg</v>
      </c>
      <c r="AF6" s="114">
        <f>INDEX(Tab_Def_Flows[[Flow_ID]:[CC_DM_source]],MATCH(Tab_Data_Flows[[#This Row],[Name(EN)]],Tab_Def_Flows[Name(EN)],0),18)</f>
        <v>0.94</v>
      </c>
      <c r="AG6" s="112">
        <f>IF(K6="Yes",AF6*Tab_Data_Flows[[#This Row],[Flow_Py]],"N.A.")</f>
        <v>131.25572372160002</v>
      </c>
      <c r="AH6" s="113" t="str">
        <f>Tab_Data_Flows[[#This Row],[UoM_Flow_Py]]</f>
        <v>Mg</v>
      </c>
      <c r="AI6" s="114">
        <f>INDEX(Tab_Def_Flows[[Flow_ID]:[CC_DM_source]],MATCH(Tab_Data_Flows[[#This Row],[Name(EN)]],Tab_Def_Flows[Name(EN)],0),20)</f>
        <v>0.49</v>
      </c>
      <c r="AJ6" s="112">
        <f>IF(L6="Yes",AI6*Tab_Data_Flows[[#This Row],[Flow_Py]],"N.A.")</f>
        <v>68.420536833600011</v>
      </c>
      <c r="AK6" s="113" t="str">
        <f>Tab_Data_Flows[[#This Row],[UoM_Flow_Py]]</f>
        <v>Mg</v>
      </c>
    </row>
    <row r="7" spans="1:37" ht="15" thickBot="1" x14ac:dyDescent="0.4">
      <c r="A7" s="60">
        <f t="shared" si="0"/>
        <v>6</v>
      </c>
      <c r="B7" s="49" t="str">
        <f>_xlfn.XLOOKUP(C7,Tab_Def_Flows[Name(EN)],Tab_Def_Flows[Flow_ID],,0,)</f>
        <v>F_13_20</v>
      </c>
      <c r="C7" s="51" t="s">
        <v>450</v>
      </c>
      <c r="D7" s="49">
        <f>_xlfn.XLOOKUP(C7,Tab_Def_Flows[Name(EN)],Tab_Def_Flows[Type_Biomass],,0,)</f>
        <v>0</v>
      </c>
      <c r="E7" s="49" t="str">
        <f>_xlfn.XLOOKUP(C7,Tab_Def_Flows[Name(EN)],Tab_Def_Flows[Output_Process],,0,)</f>
        <v>Rye cultivation</v>
      </c>
      <c r="F7" s="49" t="str">
        <f>_xlfn.XLOOKUP(C7,Tab_Def_Flows[Name(EN)],Tab_Def_Flows[Process_ID_O],,0,)</f>
        <v>13_Rye_BB</v>
      </c>
      <c r="G7" s="49" t="str">
        <f>_xlfn.XLOOKUP(C7,Tab_Def_Flows[Name(EN)],Tab_Def_Flows[Input_Process],,0,)</f>
        <v>Rye cultivation and harvest</v>
      </c>
      <c r="H7" s="61" t="str">
        <f>_xlfn.XLOOKUP(C7,Tab_Def_Flows[Name(EN)],Tab_Def_Flows[Process_ID_I],,0,)</f>
        <v>20_Rye_BB</v>
      </c>
      <c r="I7" s="61" t="str">
        <f>_xlfn.XLOOKUP(C7,Tab_Def_Flows[Name(EN)],Tab_Def_Flows[Value_Source],,0,)</f>
        <v>Data_assumption</v>
      </c>
      <c r="J7" s="61" t="str">
        <f>_xlfn.XLOOKUP(C7,Tab_Def_Flows[Name(EN)],Tab_Def_Flows[WC?],,0,)</f>
        <v>Yes</v>
      </c>
      <c r="K7" s="61" t="str">
        <f>_xlfn.XLOOKUP(C7,Tab_Def_Flows[Name(EN)],Tab_Def_Flows[DM?],,0,)</f>
        <v>Yes</v>
      </c>
      <c r="L7" s="61" t="str">
        <f>_xlfn.XLOOKUP(C7,Tab_Def_Flows[Name(EN)],Tab_Def_Flows[CC?],,0,)</f>
        <v>Yes</v>
      </c>
      <c r="M7" s="51">
        <v>2027</v>
      </c>
      <c r="N7" s="51" t="s">
        <v>353</v>
      </c>
      <c r="O7" s="126">
        <f t="shared" si="2"/>
        <v>142.42642361280002</v>
      </c>
      <c r="P7" s="51" t="s">
        <v>398</v>
      </c>
      <c r="Q7" s="51" t="s">
        <v>368</v>
      </c>
      <c r="R7" s="51"/>
      <c r="S7" s="51"/>
      <c r="T7" s="51"/>
      <c r="U7" s="51"/>
      <c r="V7" s="51"/>
      <c r="W7" s="51"/>
      <c r="X7" s="51" t="s">
        <v>71</v>
      </c>
      <c r="Y7" s="109">
        <v>365</v>
      </c>
      <c r="Z7" s="51"/>
      <c r="AA7" s="89">
        <f t="shared" si="1"/>
        <v>142.42642361280002</v>
      </c>
      <c r="AB7" s="51" t="s">
        <v>63</v>
      </c>
      <c r="AC7" s="114">
        <f>INDEX(Tab_Def_Flows[[Flow_ID]:[CC_DM_source]],MATCH(Tab_Data_Flows[[#This Row],[Name(EN)]],Tab_Def_Flows[Name(EN)],0),16)</f>
        <v>0.06</v>
      </c>
      <c r="AD7" s="112">
        <f>IF(J7="Yes",AA7*Tab_Data_Flows[[#This Row],[WC_'[%']]],"N.A.")</f>
        <v>8.5455854167680005</v>
      </c>
      <c r="AE7" s="113" t="str">
        <f>Tab_Data_Flows[[#This Row],[UoM_Flow_Py]]</f>
        <v>Mg</v>
      </c>
      <c r="AF7" s="114">
        <f>INDEX(Tab_Def_Flows[[Flow_ID]:[CC_DM_source]],MATCH(Tab_Data_Flows[[#This Row],[Name(EN)]],Tab_Def_Flows[Name(EN)],0),18)</f>
        <v>0.94</v>
      </c>
      <c r="AG7" s="112">
        <f>IF(K7="Yes",AF7*Tab_Data_Flows[[#This Row],[Flow_Py]],"N.A.")</f>
        <v>133.88083819603202</v>
      </c>
      <c r="AH7" s="113" t="str">
        <f>Tab_Data_Flows[[#This Row],[UoM_Flow_Py]]</f>
        <v>Mg</v>
      </c>
      <c r="AI7" s="114">
        <f>INDEX(Tab_Def_Flows[[Flow_ID]:[CC_DM_source]],MATCH(Tab_Data_Flows[[#This Row],[Name(EN)]],Tab_Def_Flows[Name(EN)],0),20)</f>
        <v>0.49</v>
      </c>
      <c r="AJ7" s="112">
        <f>IF(L7="Yes",AI7*Tab_Data_Flows[[#This Row],[Flow_Py]],"N.A.")</f>
        <v>69.788947570272015</v>
      </c>
      <c r="AK7" s="113" t="str">
        <f>Tab_Data_Flows[[#This Row],[UoM_Flow_Py]]</f>
        <v>Mg</v>
      </c>
    </row>
    <row r="8" spans="1:37" ht="15" thickBot="1" x14ac:dyDescent="0.4">
      <c r="A8" s="60">
        <f t="shared" si="0"/>
        <v>7</v>
      </c>
      <c r="B8" s="49" t="str">
        <f>_xlfn.XLOOKUP(C8,Tab_Def_Flows[Name(EN)],Tab_Def_Flows[Flow_ID],,0,)</f>
        <v>F_13_20</v>
      </c>
      <c r="C8" s="51" t="s">
        <v>450</v>
      </c>
      <c r="D8" s="49">
        <f>_xlfn.XLOOKUP(C8,Tab_Def_Flows[Name(EN)],Tab_Def_Flows[Type_Biomass],,0,)</f>
        <v>0</v>
      </c>
      <c r="E8" s="49" t="str">
        <f>_xlfn.XLOOKUP(C8,Tab_Def_Flows[Name(EN)],Tab_Def_Flows[Output_Process],,0,)</f>
        <v>Rye cultivation</v>
      </c>
      <c r="F8" s="49" t="str">
        <f>_xlfn.XLOOKUP(C8,Tab_Def_Flows[Name(EN)],Tab_Def_Flows[Process_ID_O],,0,)</f>
        <v>13_Rye_BB</v>
      </c>
      <c r="G8" s="49" t="str">
        <f>_xlfn.XLOOKUP(C8,Tab_Def_Flows[Name(EN)],Tab_Def_Flows[Input_Process],,0,)</f>
        <v>Rye cultivation and harvest</v>
      </c>
      <c r="H8" s="61" t="str">
        <f>_xlfn.XLOOKUP(C8,Tab_Def_Flows[Name(EN)],Tab_Def_Flows[Process_ID_I],,0,)</f>
        <v>20_Rye_BB</v>
      </c>
      <c r="I8" s="61" t="str">
        <f>_xlfn.XLOOKUP(C8,Tab_Def_Flows[Name(EN)],Tab_Def_Flows[Value_Source],,0,)</f>
        <v>Data_assumption</v>
      </c>
      <c r="J8" s="61" t="str">
        <f>_xlfn.XLOOKUP(C8,Tab_Def_Flows[Name(EN)],Tab_Def_Flows[WC?],,0,)</f>
        <v>Yes</v>
      </c>
      <c r="K8" s="61" t="str">
        <f>_xlfn.XLOOKUP(C8,Tab_Def_Flows[Name(EN)],Tab_Def_Flows[DM?],,0,)</f>
        <v>Yes</v>
      </c>
      <c r="L8" s="61" t="str">
        <f>_xlfn.XLOOKUP(C8,Tab_Def_Flows[Name(EN)],Tab_Def_Flows[CC?],,0,)</f>
        <v>Yes</v>
      </c>
      <c r="M8" s="51">
        <v>2028</v>
      </c>
      <c r="N8" s="51" t="s">
        <v>353</v>
      </c>
      <c r="O8" s="126">
        <f>O7*1.02</f>
        <v>145.27495208505601</v>
      </c>
      <c r="P8" s="51" t="s">
        <v>398</v>
      </c>
      <c r="Q8" s="51" t="s">
        <v>368</v>
      </c>
      <c r="R8" s="51"/>
      <c r="S8" s="51"/>
      <c r="T8" s="51"/>
      <c r="U8" s="51"/>
      <c r="V8" s="51"/>
      <c r="W8" s="51"/>
      <c r="X8" s="51" t="s">
        <v>71</v>
      </c>
      <c r="Y8" s="109">
        <v>365</v>
      </c>
      <c r="Z8" s="51"/>
      <c r="AA8" s="89">
        <f t="shared" si="1"/>
        <v>145.27495208505601</v>
      </c>
      <c r="AB8" s="51" t="s">
        <v>63</v>
      </c>
      <c r="AC8" s="114">
        <f>INDEX(Tab_Def_Flows[[Flow_ID]:[CC_DM_source]],MATCH(Tab_Data_Flows[[#This Row],[Name(EN)]],Tab_Def_Flows[Name(EN)],0),16)</f>
        <v>0.06</v>
      </c>
      <c r="AD8" s="112">
        <f>IF(J8="Yes",AA8*Tab_Data_Flows[[#This Row],[WC_'[%']]],"N.A.")</f>
        <v>8.7164971251033609</v>
      </c>
      <c r="AE8" s="113" t="str">
        <f>Tab_Data_Flows[[#This Row],[UoM_Flow_Py]]</f>
        <v>Mg</v>
      </c>
      <c r="AF8" s="114">
        <f>INDEX(Tab_Def_Flows[[Flow_ID]:[CC_DM_source]],MATCH(Tab_Data_Flows[[#This Row],[Name(EN)]],Tab_Def_Flows[Name(EN)],0),18)</f>
        <v>0.94</v>
      </c>
      <c r="AG8" s="112">
        <f>IF(K8="Yes",AF8*Tab_Data_Flows[[#This Row],[Flow_Py]],"N.A.")</f>
        <v>136.55845495995266</v>
      </c>
      <c r="AH8" s="113" t="str">
        <f>Tab_Data_Flows[[#This Row],[UoM_Flow_Py]]</f>
        <v>Mg</v>
      </c>
      <c r="AI8" s="114">
        <f>INDEX(Tab_Def_Flows[[Flow_ID]:[CC_DM_source]],MATCH(Tab_Data_Flows[[#This Row],[Name(EN)]],Tab_Def_Flows[Name(EN)],0),20)</f>
        <v>0.49</v>
      </c>
      <c r="AJ8" s="112">
        <f>IF(L8="Yes",AI8*Tab_Data_Flows[[#This Row],[Flow_Py]],"N.A.")</f>
        <v>71.184726521677447</v>
      </c>
      <c r="AK8" s="113" t="str">
        <f>Tab_Data_Flows[[#This Row],[UoM_Flow_Py]]</f>
        <v>Mg</v>
      </c>
    </row>
    <row r="9" spans="1:37" ht="15" thickBot="1" x14ac:dyDescent="0.4">
      <c r="A9" s="60">
        <f t="shared" si="0"/>
        <v>8</v>
      </c>
      <c r="B9" s="49" t="str">
        <f>_xlfn.XLOOKUP(C9,Tab_Def_Flows[Name(EN)],Tab_Def_Flows[Flow_ID],,0,)</f>
        <v>F_13_20</v>
      </c>
      <c r="C9" s="51" t="s">
        <v>450</v>
      </c>
      <c r="D9" s="49">
        <f>_xlfn.XLOOKUP(C9,Tab_Def_Flows[Name(EN)],Tab_Def_Flows[Type_Biomass],,0,)</f>
        <v>0</v>
      </c>
      <c r="E9" s="49" t="str">
        <f>_xlfn.XLOOKUP(C9,Tab_Def_Flows[Name(EN)],Tab_Def_Flows[Output_Process],,0,)</f>
        <v>Rye cultivation</v>
      </c>
      <c r="F9" s="49" t="str">
        <f>_xlfn.XLOOKUP(C9,Tab_Def_Flows[Name(EN)],Tab_Def_Flows[Process_ID_O],,0,)</f>
        <v>13_Rye_BB</v>
      </c>
      <c r="G9" s="49" t="str">
        <f>_xlfn.XLOOKUP(C9,Tab_Def_Flows[Name(EN)],Tab_Def_Flows[Input_Process],,0,)</f>
        <v>Rye cultivation and harvest</v>
      </c>
      <c r="H9" s="61" t="str">
        <f>_xlfn.XLOOKUP(C9,Tab_Def_Flows[Name(EN)],Tab_Def_Flows[Process_ID_I],,0,)</f>
        <v>20_Rye_BB</v>
      </c>
      <c r="I9" s="61" t="str">
        <f>_xlfn.XLOOKUP(C9,Tab_Def_Flows[Name(EN)],Tab_Def_Flows[Value_Source],,0,)</f>
        <v>Data_assumption</v>
      </c>
      <c r="J9" s="61" t="str">
        <f>_xlfn.XLOOKUP(C9,Tab_Def_Flows[Name(EN)],Tab_Def_Flows[WC?],,0,)</f>
        <v>Yes</v>
      </c>
      <c r="K9" s="61" t="str">
        <f>_xlfn.XLOOKUP(C9,Tab_Def_Flows[Name(EN)],Tab_Def_Flows[DM?],,0,)</f>
        <v>Yes</v>
      </c>
      <c r="L9" s="61" t="str">
        <f>_xlfn.XLOOKUP(C9,Tab_Def_Flows[Name(EN)],Tab_Def_Flows[CC?],,0,)</f>
        <v>Yes</v>
      </c>
      <c r="M9" s="51">
        <v>2029</v>
      </c>
      <c r="N9" s="51" t="s">
        <v>353</v>
      </c>
      <c r="O9" s="126">
        <f t="shared" ref="O9:O13" si="3">O8*1.02</f>
        <v>148.18045112675713</v>
      </c>
      <c r="P9" s="51" t="s">
        <v>398</v>
      </c>
      <c r="Q9" s="51" t="s">
        <v>368</v>
      </c>
      <c r="R9" s="51"/>
      <c r="S9" s="51"/>
      <c r="T9" s="51"/>
      <c r="U9" s="51"/>
      <c r="V9" s="51"/>
      <c r="W9" s="51"/>
      <c r="X9" s="51" t="s">
        <v>71</v>
      </c>
      <c r="Y9" s="109">
        <v>366</v>
      </c>
      <c r="Z9" s="51"/>
      <c r="AA9" s="89">
        <f t="shared" ref="AA9:AA16" si="4">IF(X9="no",O9,O9*Y9)</f>
        <v>148.18045112675713</v>
      </c>
      <c r="AB9" s="51" t="s">
        <v>63</v>
      </c>
      <c r="AC9" s="114">
        <f>INDEX(Tab_Def_Flows[[Flow_ID]:[CC_DM_source]],MATCH(Tab_Data_Flows[[#This Row],[Name(EN)]],Tab_Def_Flows[Name(EN)],0),16)</f>
        <v>0.06</v>
      </c>
      <c r="AD9" s="112">
        <f>IF(J9="Yes",AA9*Tab_Data_Flows[[#This Row],[WC_'[%']]],"N.A.")</f>
        <v>8.8908270676054268</v>
      </c>
      <c r="AE9" s="113" t="str">
        <f>Tab_Data_Flows[[#This Row],[UoM_Flow_Py]]</f>
        <v>Mg</v>
      </c>
      <c r="AF9" s="114">
        <f>INDEX(Tab_Def_Flows[[Flow_ID]:[CC_DM_source]],MATCH(Tab_Data_Flows[[#This Row],[Name(EN)]],Tab_Def_Flows[Name(EN)],0),18)</f>
        <v>0.94</v>
      </c>
      <c r="AG9" s="112">
        <f>IF(K9="Yes",AF9*Tab_Data_Flows[[#This Row],[Flow_Py]],"N.A.")</f>
        <v>139.28962405915169</v>
      </c>
      <c r="AH9" s="113" t="str">
        <f>Tab_Data_Flows[[#This Row],[UoM_Flow_Py]]</f>
        <v>Mg</v>
      </c>
      <c r="AI9" s="114">
        <f>INDEX(Tab_Def_Flows[[Flow_ID]:[CC_DM_source]],MATCH(Tab_Data_Flows[[#This Row],[Name(EN)]],Tab_Def_Flows[Name(EN)],0),20)</f>
        <v>0.49</v>
      </c>
      <c r="AJ9" s="112">
        <f>IF(L9="Yes",AI9*Tab_Data_Flows[[#This Row],[Flow_Py]],"N.A.")</f>
        <v>72.608421052110998</v>
      </c>
      <c r="AK9" s="113" t="str">
        <f>Tab_Data_Flows[[#This Row],[UoM_Flow_Py]]</f>
        <v>Mg</v>
      </c>
    </row>
    <row r="10" spans="1:37" ht="15" thickBot="1" x14ac:dyDescent="0.4">
      <c r="A10" s="60">
        <f t="shared" si="0"/>
        <v>9</v>
      </c>
      <c r="B10" s="49" t="str">
        <f>_xlfn.XLOOKUP(C10,Tab_Def_Flows[Name(EN)],Tab_Def_Flows[Flow_ID],,0,)</f>
        <v>F_13_20</v>
      </c>
      <c r="C10" s="51" t="s">
        <v>450</v>
      </c>
      <c r="D10" s="49">
        <f>_xlfn.XLOOKUP(C10,Tab_Def_Flows[Name(EN)],Tab_Def_Flows[Type_Biomass],,0,)</f>
        <v>0</v>
      </c>
      <c r="E10" s="49" t="str">
        <f>_xlfn.XLOOKUP(C10,Tab_Def_Flows[Name(EN)],Tab_Def_Flows[Output_Process],,0,)</f>
        <v>Rye cultivation</v>
      </c>
      <c r="F10" s="49" t="str">
        <f>_xlfn.XLOOKUP(C10,Tab_Def_Flows[Name(EN)],Tab_Def_Flows[Process_ID_O],,0,)</f>
        <v>13_Rye_BB</v>
      </c>
      <c r="G10" s="49" t="str">
        <f>_xlfn.XLOOKUP(C10,Tab_Def_Flows[Name(EN)],Tab_Def_Flows[Input_Process],,0,)</f>
        <v>Rye cultivation and harvest</v>
      </c>
      <c r="H10" s="61" t="str">
        <f>_xlfn.XLOOKUP(C10,Tab_Def_Flows[Name(EN)],Tab_Def_Flows[Process_ID_I],,0,)</f>
        <v>20_Rye_BB</v>
      </c>
      <c r="I10" s="61" t="str">
        <f>_xlfn.XLOOKUP(C10,Tab_Def_Flows[Name(EN)],Tab_Def_Flows[Value_Source],,0,)</f>
        <v>Data_assumption</v>
      </c>
      <c r="J10" s="61" t="str">
        <f>_xlfn.XLOOKUP(C10,Tab_Def_Flows[Name(EN)],Tab_Def_Flows[WC?],,0,)</f>
        <v>Yes</v>
      </c>
      <c r="K10" s="61" t="str">
        <f>_xlfn.XLOOKUP(C10,Tab_Def_Flows[Name(EN)],Tab_Def_Flows[DM?],,0,)</f>
        <v>Yes</v>
      </c>
      <c r="L10" s="61" t="str">
        <f>_xlfn.XLOOKUP(C10,Tab_Def_Flows[Name(EN)],Tab_Def_Flows[CC?],,0,)</f>
        <v>Yes</v>
      </c>
      <c r="M10" s="51">
        <v>2030</v>
      </c>
      <c r="N10" s="51" t="s">
        <v>353</v>
      </c>
      <c r="O10" s="126">
        <f t="shared" si="3"/>
        <v>151.14406014929227</v>
      </c>
      <c r="P10" s="51" t="s">
        <v>398</v>
      </c>
      <c r="Q10" s="51" t="s">
        <v>368</v>
      </c>
      <c r="R10" s="51"/>
      <c r="S10" s="51"/>
      <c r="T10" s="51"/>
      <c r="U10" s="51"/>
      <c r="V10" s="51"/>
      <c r="W10" s="51"/>
      <c r="X10" s="51" t="s">
        <v>71</v>
      </c>
      <c r="Y10" s="109">
        <v>367</v>
      </c>
      <c r="Z10" s="51"/>
      <c r="AA10" s="89">
        <f t="shared" si="4"/>
        <v>151.14406014929227</v>
      </c>
      <c r="AB10" s="51" t="s">
        <v>63</v>
      </c>
      <c r="AC10" s="114">
        <f>INDEX(Tab_Def_Flows[[Flow_ID]:[CC_DM_source]],MATCH(Tab_Data_Flows[[#This Row],[Name(EN)]],Tab_Def_Flows[Name(EN)],0),16)</f>
        <v>0.06</v>
      </c>
      <c r="AD10" s="112">
        <f>IF(J10="Yes",AA10*Tab_Data_Flows[[#This Row],[WC_'[%']]],"N.A.")</f>
        <v>9.0686436089575366</v>
      </c>
      <c r="AE10" s="113" t="str">
        <f>Tab_Data_Flows[[#This Row],[UoM_Flow_Py]]</f>
        <v>Mg</v>
      </c>
      <c r="AF10" s="114">
        <f>INDEX(Tab_Def_Flows[[Flow_ID]:[CC_DM_source]],MATCH(Tab_Data_Flows[[#This Row],[Name(EN)]],Tab_Def_Flows[Name(EN)],0),18)</f>
        <v>0.94</v>
      </c>
      <c r="AG10" s="112">
        <f>IF(K10="Yes",AF10*Tab_Data_Flows[[#This Row],[Flow_Py]],"N.A.")</f>
        <v>142.07541654033471</v>
      </c>
      <c r="AH10" s="113" t="str">
        <f>Tab_Data_Flows[[#This Row],[UoM_Flow_Py]]</f>
        <v>Mg</v>
      </c>
      <c r="AI10" s="114">
        <f>INDEX(Tab_Def_Flows[[Flow_ID]:[CC_DM_source]],MATCH(Tab_Data_Flows[[#This Row],[Name(EN)]],Tab_Def_Flows[Name(EN)],0),20)</f>
        <v>0.49</v>
      </c>
      <c r="AJ10" s="112">
        <f>IF(L10="Yes",AI10*Tab_Data_Flows[[#This Row],[Flow_Py]],"N.A.")</f>
        <v>74.060589473153215</v>
      </c>
      <c r="AK10" s="113" t="str">
        <f>Tab_Data_Flows[[#This Row],[UoM_Flow_Py]]</f>
        <v>Mg</v>
      </c>
    </row>
    <row r="11" spans="1:37" ht="15" thickBot="1" x14ac:dyDescent="0.4">
      <c r="A11" s="60">
        <f t="shared" si="0"/>
        <v>10</v>
      </c>
      <c r="B11" s="49" t="str">
        <f>_xlfn.XLOOKUP(C11,Tab_Def_Flows[Name(EN)],Tab_Def_Flows[Flow_ID],,0,)</f>
        <v>F_13_20</v>
      </c>
      <c r="C11" s="51" t="s">
        <v>450</v>
      </c>
      <c r="D11" s="49">
        <f>_xlfn.XLOOKUP(C11,Tab_Def_Flows[Name(EN)],Tab_Def_Flows[Type_Biomass],,0,)</f>
        <v>0</v>
      </c>
      <c r="E11" s="49" t="str">
        <f>_xlfn.XLOOKUP(C11,Tab_Def_Flows[Name(EN)],Tab_Def_Flows[Output_Process],,0,)</f>
        <v>Rye cultivation</v>
      </c>
      <c r="F11" s="49" t="str">
        <f>_xlfn.XLOOKUP(C11,Tab_Def_Flows[Name(EN)],Tab_Def_Flows[Process_ID_O],,0,)</f>
        <v>13_Rye_BB</v>
      </c>
      <c r="G11" s="49" t="str">
        <f>_xlfn.XLOOKUP(C11,Tab_Def_Flows[Name(EN)],Tab_Def_Flows[Input_Process],,0,)</f>
        <v>Rye cultivation and harvest</v>
      </c>
      <c r="H11" s="61" t="str">
        <f>_xlfn.XLOOKUP(C11,Tab_Def_Flows[Name(EN)],Tab_Def_Flows[Process_ID_I],,0,)</f>
        <v>20_Rye_BB</v>
      </c>
      <c r="I11" s="61" t="str">
        <f>_xlfn.XLOOKUP(C11,Tab_Def_Flows[Name(EN)],Tab_Def_Flows[Value_Source],,0,)</f>
        <v>Data_assumption</v>
      </c>
      <c r="J11" s="61" t="str">
        <f>_xlfn.XLOOKUP(C11,Tab_Def_Flows[Name(EN)],Tab_Def_Flows[WC?],,0,)</f>
        <v>Yes</v>
      </c>
      <c r="K11" s="61" t="str">
        <f>_xlfn.XLOOKUP(C11,Tab_Def_Flows[Name(EN)],Tab_Def_Flows[DM?],,0,)</f>
        <v>Yes</v>
      </c>
      <c r="L11" s="61" t="str">
        <f>_xlfn.XLOOKUP(C11,Tab_Def_Flows[Name(EN)],Tab_Def_Flows[CC?],,0,)</f>
        <v>Yes</v>
      </c>
      <c r="M11" s="51">
        <v>2031</v>
      </c>
      <c r="N11" s="51" t="s">
        <v>353</v>
      </c>
      <c r="O11" s="126">
        <f t="shared" si="3"/>
        <v>154.16694135227812</v>
      </c>
      <c r="P11" s="51" t="s">
        <v>398</v>
      </c>
      <c r="Q11" s="51" t="s">
        <v>368</v>
      </c>
      <c r="R11" s="51"/>
      <c r="S11" s="51"/>
      <c r="T11" s="51"/>
      <c r="U11" s="51"/>
      <c r="V11" s="51"/>
      <c r="W11" s="51"/>
      <c r="X11" s="51" t="s">
        <v>71</v>
      </c>
      <c r="Y11" s="109">
        <v>368</v>
      </c>
      <c r="Z11" s="51"/>
      <c r="AA11" s="89">
        <f t="shared" si="4"/>
        <v>154.16694135227812</v>
      </c>
      <c r="AB11" s="51" t="s">
        <v>63</v>
      </c>
      <c r="AC11" s="114">
        <f>INDEX(Tab_Def_Flows[[Flow_ID]:[CC_DM_source]],MATCH(Tab_Data_Flows[[#This Row],[Name(EN)]],Tab_Def_Flows[Name(EN)],0),16)</f>
        <v>0.06</v>
      </c>
      <c r="AD11" s="112">
        <f>IF(J11="Yes",AA11*Tab_Data_Flows[[#This Row],[WC_'[%']]],"N.A.")</f>
        <v>9.2500164811366865</v>
      </c>
      <c r="AE11" s="113" t="str">
        <f>Tab_Data_Flows[[#This Row],[UoM_Flow_Py]]</f>
        <v>Mg</v>
      </c>
      <c r="AF11" s="114">
        <f>INDEX(Tab_Def_Flows[[Flow_ID]:[CC_DM_source]],MATCH(Tab_Data_Flows[[#This Row],[Name(EN)]],Tab_Def_Flows[Name(EN)],0),18)</f>
        <v>0.94</v>
      </c>
      <c r="AG11" s="112">
        <f>IF(K11="Yes",AF11*Tab_Data_Flows[[#This Row],[Flow_Py]],"N.A.")</f>
        <v>144.91692487114142</v>
      </c>
      <c r="AH11" s="113" t="str">
        <f>Tab_Data_Flows[[#This Row],[UoM_Flow_Py]]</f>
        <v>Mg</v>
      </c>
      <c r="AI11" s="114">
        <f>INDEX(Tab_Def_Flows[[Flow_ID]:[CC_DM_source]],MATCH(Tab_Data_Flows[[#This Row],[Name(EN)]],Tab_Def_Flows[Name(EN)],0),20)</f>
        <v>0.49</v>
      </c>
      <c r="AJ11" s="112">
        <f>IF(L11="Yes",AI11*Tab_Data_Flows[[#This Row],[Flow_Py]],"N.A.")</f>
        <v>75.541801262616275</v>
      </c>
      <c r="AK11" s="113" t="str">
        <f>Tab_Data_Flows[[#This Row],[UoM_Flow_Py]]</f>
        <v>Mg</v>
      </c>
    </row>
    <row r="12" spans="1:37" ht="15" thickBot="1" x14ac:dyDescent="0.4">
      <c r="A12" s="60">
        <f t="shared" si="0"/>
        <v>11</v>
      </c>
      <c r="B12" s="49" t="str">
        <f>_xlfn.XLOOKUP(C12,Tab_Def_Flows[Name(EN)],Tab_Def_Flows[Flow_ID],,0,)</f>
        <v>F_13_20</v>
      </c>
      <c r="C12" s="51" t="s">
        <v>450</v>
      </c>
      <c r="D12" s="49">
        <f>_xlfn.XLOOKUP(C12,Tab_Def_Flows[Name(EN)],Tab_Def_Flows[Type_Biomass],,0,)</f>
        <v>0</v>
      </c>
      <c r="E12" s="49" t="str">
        <f>_xlfn.XLOOKUP(C12,Tab_Def_Flows[Name(EN)],Tab_Def_Flows[Output_Process],,0,)</f>
        <v>Rye cultivation</v>
      </c>
      <c r="F12" s="49" t="str">
        <f>_xlfn.XLOOKUP(C12,Tab_Def_Flows[Name(EN)],Tab_Def_Flows[Process_ID_O],,0,)</f>
        <v>13_Rye_BB</v>
      </c>
      <c r="G12" s="49" t="str">
        <f>_xlfn.XLOOKUP(C12,Tab_Def_Flows[Name(EN)],Tab_Def_Flows[Input_Process],,0,)</f>
        <v>Rye cultivation and harvest</v>
      </c>
      <c r="H12" s="61" t="str">
        <f>_xlfn.XLOOKUP(C12,Tab_Def_Flows[Name(EN)],Tab_Def_Flows[Process_ID_I],,0,)</f>
        <v>20_Rye_BB</v>
      </c>
      <c r="I12" s="61" t="str">
        <f>_xlfn.XLOOKUP(C12,Tab_Def_Flows[Name(EN)],Tab_Def_Flows[Value_Source],,0,)</f>
        <v>Data_assumption</v>
      </c>
      <c r="J12" s="61" t="str">
        <f>_xlfn.XLOOKUP(C12,Tab_Def_Flows[Name(EN)],Tab_Def_Flows[WC?],,0,)</f>
        <v>Yes</v>
      </c>
      <c r="K12" s="61" t="str">
        <f>_xlfn.XLOOKUP(C12,Tab_Def_Flows[Name(EN)],Tab_Def_Flows[DM?],,0,)</f>
        <v>Yes</v>
      </c>
      <c r="L12" s="61" t="str">
        <f>_xlfn.XLOOKUP(C12,Tab_Def_Flows[Name(EN)],Tab_Def_Flows[CC?],,0,)</f>
        <v>Yes</v>
      </c>
      <c r="M12" s="51">
        <v>2032</v>
      </c>
      <c r="N12" s="51" t="s">
        <v>353</v>
      </c>
      <c r="O12" s="126">
        <f t="shared" si="3"/>
        <v>157.25028017932368</v>
      </c>
      <c r="P12" s="51" t="s">
        <v>398</v>
      </c>
      <c r="Q12" s="51" t="s">
        <v>368</v>
      </c>
      <c r="R12" s="51"/>
      <c r="S12" s="51"/>
      <c r="T12" s="51"/>
      <c r="U12" s="51"/>
      <c r="V12" s="51"/>
      <c r="W12" s="51"/>
      <c r="X12" s="51" t="s">
        <v>71</v>
      </c>
      <c r="Y12" s="109">
        <v>369</v>
      </c>
      <c r="Z12" s="51"/>
      <c r="AA12" s="89">
        <f t="shared" si="4"/>
        <v>157.25028017932368</v>
      </c>
      <c r="AB12" s="51" t="s">
        <v>63</v>
      </c>
      <c r="AC12" s="114">
        <f>INDEX(Tab_Def_Flows[[Flow_ID]:[CC_DM_source]],MATCH(Tab_Data_Flows[[#This Row],[Name(EN)]],Tab_Def_Flows[Name(EN)],0),16)</f>
        <v>0.06</v>
      </c>
      <c r="AD12" s="112">
        <f>IF(J12="Yes",AA12*Tab_Data_Flows[[#This Row],[WC_'[%']]],"N.A.")</f>
        <v>9.4350168107594197</v>
      </c>
      <c r="AE12" s="113" t="str">
        <f>Tab_Data_Flows[[#This Row],[UoM_Flow_Py]]</f>
        <v>Mg</v>
      </c>
      <c r="AF12" s="114">
        <f>INDEX(Tab_Def_Flows[[Flow_ID]:[CC_DM_source]],MATCH(Tab_Data_Flows[[#This Row],[Name(EN)]],Tab_Def_Flows[Name(EN)],0),18)</f>
        <v>0.94</v>
      </c>
      <c r="AG12" s="112">
        <f>IF(K12="Yes",AF12*Tab_Data_Flows[[#This Row],[Flow_Py]],"N.A.")</f>
        <v>147.81526336856425</v>
      </c>
      <c r="AH12" s="113" t="str">
        <f>Tab_Data_Flows[[#This Row],[UoM_Flow_Py]]</f>
        <v>Mg</v>
      </c>
      <c r="AI12" s="114">
        <f>INDEX(Tab_Def_Flows[[Flow_ID]:[CC_DM_source]],MATCH(Tab_Data_Flows[[#This Row],[Name(EN)]],Tab_Def_Flows[Name(EN)],0),20)</f>
        <v>0.49</v>
      </c>
      <c r="AJ12" s="112">
        <f>IF(L12="Yes",AI12*Tab_Data_Flows[[#This Row],[Flow_Py]],"N.A.")</f>
        <v>77.052637287868606</v>
      </c>
      <c r="AK12" s="113" t="str">
        <f>Tab_Data_Flows[[#This Row],[UoM_Flow_Py]]</f>
        <v>Mg</v>
      </c>
    </row>
    <row r="13" spans="1:37" ht="15" thickBot="1" x14ac:dyDescent="0.4">
      <c r="A13" s="60">
        <f t="shared" si="0"/>
        <v>12</v>
      </c>
      <c r="B13" s="49" t="str">
        <f>_xlfn.XLOOKUP(C13,Tab_Def_Flows[Name(EN)],Tab_Def_Flows[Flow_ID],,0,)</f>
        <v>F_13_20</v>
      </c>
      <c r="C13" s="51" t="s">
        <v>450</v>
      </c>
      <c r="D13" s="49">
        <f>_xlfn.XLOOKUP(C13,Tab_Def_Flows[Name(EN)],Tab_Def_Flows[Type_Biomass],,0,)</f>
        <v>0</v>
      </c>
      <c r="E13" s="49" t="str">
        <f>_xlfn.XLOOKUP(C13,Tab_Def_Flows[Name(EN)],Tab_Def_Flows[Output_Process],,0,)</f>
        <v>Rye cultivation</v>
      </c>
      <c r="F13" s="49" t="str">
        <f>_xlfn.XLOOKUP(C13,Tab_Def_Flows[Name(EN)],Tab_Def_Flows[Process_ID_O],,0,)</f>
        <v>13_Rye_BB</v>
      </c>
      <c r="G13" s="49" t="str">
        <f>_xlfn.XLOOKUP(C13,Tab_Def_Flows[Name(EN)],Tab_Def_Flows[Input_Process],,0,)</f>
        <v>Rye cultivation and harvest</v>
      </c>
      <c r="H13" s="61" t="str">
        <f>_xlfn.XLOOKUP(C13,Tab_Def_Flows[Name(EN)],Tab_Def_Flows[Process_ID_I],,0,)</f>
        <v>20_Rye_BB</v>
      </c>
      <c r="I13" s="61" t="str">
        <f>_xlfn.XLOOKUP(C13,Tab_Def_Flows[Name(EN)],Tab_Def_Flows[Value_Source],,0,)</f>
        <v>Data_assumption</v>
      </c>
      <c r="J13" s="61" t="str">
        <f>_xlfn.XLOOKUP(C13,Tab_Def_Flows[Name(EN)],Tab_Def_Flows[WC?],,0,)</f>
        <v>Yes</v>
      </c>
      <c r="K13" s="61" t="str">
        <f>_xlfn.XLOOKUP(C13,Tab_Def_Flows[Name(EN)],Tab_Def_Flows[DM?],,0,)</f>
        <v>Yes</v>
      </c>
      <c r="L13" s="61" t="str">
        <f>_xlfn.XLOOKUP(C13,Tab_Def_Flows[Name(EN)],Tab_Def_Flows[CC?],,0,)</f>
        <v>Yes</v>
      </c>
      <c r="M13" s="51">
        <v>2033</v>
      </c>
      <c r="N13" s="51" t="s">
        <v>353</v>
      </c>
      <c r="O13" s="126">
        <f t="shared" si="3"/>
        <v>160.39528578291015</v>
      </c>
      <c r="P13" s="51" t="s">
        <v>398</v>
      </c>
      <c r="Q13" s="51" t="s">
        <v>368</v>
      </c>
      <c r="R13" s="51"/>
      <c r="S13" s="51"/>
      <c r="T13" s="51"/>
      <c r="U13" s="51"/>
      <c r="V13" s="51"/>
      <c r="W13" s="51"/>
      <c r="X13" s="51" t="s">
        <v>71</v>
      </c>
      <c r="Y13" s="109">
        <v>370</v>
      </c>
      <c r="Z13" s="51"/>
      <c r="AA13" s="89">
        <f t="shared" si="4"/>
        <v>160.39528578291015</v>
      </c>
      <c r="AB13" s="51" t="s">
        <v>63</v>
      </c>
      <c r="AC13" s="114">
        <f>INDEX(Tab_Def_Flows[[Flow_ID]:[CC_DM_source]],MATCH(Tab_Data_Flows[[#This Row],[Name(EN)]],Tab_Def_Flows[Name(EN)],0),16)</f>
        <v>0.06</v>
      </c>
      <c r="AD13" s="112">
        <f>IF(J13="Yes",AA13*Tab_Data_Flows[[#This Row],[WC_'[%']]],"N.A.")</f>
        <v>9.6237171469746094</v>
      </c>
      <c r="AE13" s="113" t="str">
        <f>Tab_Data_Flows[[#This Row],[UoM_Flow_Py]]</f>
        <v>Mg</v>
      </c>
      <c r="AF13" s="114">
        <f>INDEX(Tab_Def_Flows[[Flow_ID]:[CC_DM_source]],MATCH(Tab_Data_Flows[[#This Row],[Name(EN)]],Tab_Def_Flows[Name(EN)],0),18)</f>
        <v>0.94</v>
      </c>
      <c r="AG13" s="112">
        <f>IF(K13="Yes",AF13*Tab_Data_Flows[[#This Row],[Flow_Py]],"N.A.")</f>
        <v>150.77156863593552</v>
      </c>
      <c r="AH13" s="113" t="str">
        <f>Tab_Data_Flows[[#This Row],[UoM_Flow_Py]]</f>
        <v>Mg</v>
      </c>
      <c r="AI13" s="114">
        <f>INDEX(Tab_Def_Flows[[Flow_ID]:[CC_DM_source]],MATCH(Tab_Data_Flows[[#This Row],[Name(EN)]],Tab_Def_Flows[Name(EN)],0),20)</f>
        <v>0.49</v>
      </c>
      <c r="AJ13" s="112">
        <f>IF(L13="Yes",AI13*Tab_Data_Flows[[#This Row],[Flow_Py]],"N.A.")</f>
        <v>78.593690033625975</v>
      </c>
      <c r="AK13" s="113" t="str">
        <f>Tab_Data_Flows[[#This Row],[UoM_Flow_Py]]</f>
        <v>Mg</v>
      </c>
    </row>
    <row r="14" spans="1:37" ht="15" thickBot="1" x14ac:dyDescent="0.4">
      <c r="A14" s="60">
        <f t="shared" si="0"/>
        <v>13</v>
      </c>
      <c r="B14" s="49" t="str">
        <f>_xlfn.XLOOKUP(C14,Tab_Def_Flows[Name(EN)],Tab_Def_Flows[Flow_ID],,0,)</f>
        <v>F_13_20</v>
      </c>
      <c r="C14" s="51" t="s">
        <v>450</v>
      </c>
      <c r="D14" s="49">
        <f>_xlfn.XLOOKUP(C14,Tab_Def_Flows[Name(EN)],Tab_Def_Flows[Type_Biomass],,0,)</f>
        <v>0</v>
      </c>
      <c r="E14" s="49" t="str">
        <f>_xlfn.XLOOKUP(C14,Tab_Def_Flows[Name(EN)],Tab_Def_Flows[Output_Process],,0,)</f>
        <v>Rye cultivation</v>
      </c>
      <c r="F14" s="49" t="str">
        <f>_xlfn.XLOOKUP(C14,Tab_Def_Flows[Name(EN)],Tab_Def_Flows[Process_ID_O],,0,)</f>
        <v>13_Rye_BB</v>
      </c>
      <c r="G14" s="49" t="str">
        <f>_xlfn.XLOOKUP(C14,Tab_Def_Flows[Name(EN)],Tab_Def_Flows[Input_Process],,0,)</f>
        <v>Rye cultivation and harvest</v>
      </c>
      <c r="H14" s="61" t="str">
        <f>_xlfn.XLOOKUP(C14,Tab_Def_Flows[Name(EN)],Tab_Def_Flows[Process_ID_I],,0,)</f>
        <v>20_Rye_BB</v>
      </c>
      <c r="I14" s="61" t="str">
        <f>_xlfn.XLOOKUP(C14,Tab_Def_Flows[Name(EN)],Tab_Def_Flows[Value_Source],,0,)</f>
        <v>Data_assumption</v>
      </c>
      <c r="J14" s="61" t="str">
        <f>_xlfn.XLOOKUP(C14,Tab_Def_Flows[Name(EN)],Tab_Def_Flows[WC?],,0,)</f>
        <v>Yes</v>
      </c>
      <c r="K14" s="61" t="str">
        <f>_xlfn.XLOOKUP(C14,Tab_Def_Flows[Name(EN)],Tab_Def_Flows[DM?],,0,)</f>
        <v>Yes</v>
      </c>
      <c r="L14" s="61" t="str">
        <f>_xlfn.XLOOKUP(C14,Tab_Def_Flows[Name(EN)],Tab_Def_Flows[CC?],,0,)</f>
        <v>Yes</v>
      </c>
      <c r="M14" s="51">
        <v>2034</v>
      </c>
      <c r="N14" s="51" t="s">
        <v>353</v>
      </c>
      <c r="O14" s="126">
        <f t="shared" ref="O14:O16" si="5">O13*1.02</f>
        <v>163.60319149856835</v>
      </c>
      <c r="P14" s="51" t="s">
        <v>398</v>
      </c>
      <c r="Q14" s="51" t="s">
        <v>368</v>
      </c>
      <c r="R14" s="51"/>
      <c r="S14" s="51"/>
      <c r="T14" s="51"/>
      <c r="U14" s="51"/>
      <c r="V14" s="51"/>
      <c r="W14" s="51"/>
      <c r="X14" s="51" t="s">
        <v>71</v>
      </c>
      <c r="Y14" s="109">
        <v>371</v>
      </c>
      <c r="Z14" s="51"/>
      <c r="AA14" s="89">
        <f t="shared" ref="AA14:AA15" si="6">IF(X14="no",O14,O14*Y14)</f>
        <v>163.60319149856835</v>
      </c>
      <c r="AB14" s="51" t="s">
        <v>63</v>
      </c>
      <c r="AC14" s="114">
        <f>INDEX(Tab_Def_Flows[[Flow_ID]:[CC_DM_source]],MATCH(Tab_Data_Flows[[#This Row],[Name(EN)]],Tab_Def_Flows[Name(EN)],0),16)</f>
        <v>0.06</v>
      </c>
      <c r="AD14" s="112">
        <f>IF(J14="Yes",AA14*Tab_Data_Flows[[#This Row],[WC_'[%']]],"N.A.")</f>
        <v>9.8161914899141003</v>
      </c>
      <c r="AE14" s="113" t="str">
        <f>Tab_Data_Flows[[#This Row],[UoM_Flow_Py]]</f>
        <v>Mg</v>
      </c>
      <c r="AF14" s="114">
        <f>INDEX(Tab_Def_Flows[[Flow_ID]:[CC_DM_source]],MATCH(Tab_Data_Flows[[#This Row],[Name(EN)]],Tab_Def_Flows[Name(EN)],0),18)</f>
        <v>0.94</v>
      </c>
      <c r="AG14" s="112">
        <f>IF(K14="Yes",AF14*Tab_Data_Flows[[#This Row],[Flow_Py]],"N.A.")</f>
        <v>153.78700000865425</v>
      </c>
      <c r="AH14" s="113" t="str">
        <f>Tab_Data_Flows[[#This Row],[UoM_Flow_Py]]</f>
        <v>Mg</v>
      </c>
      <c r="AI14" s="114">
        <f>INDEX(Tab_Def_Flows[[Flow_ID]:[CC_DM_source]],MATCH(Tab_Data_Flows[[#This Row],[Name(EN)]],Tab_Def_Flows[Name(EN)],0),20)</f>
        <v>0.49</v>
      </c>
      <c r="AJ14" s="112">
        <f>IF(L14="Yes",AI14*Tab_Data_Flows[[#This Row],[Flow_Py]],"N.A.")</f>
        <v>80.165563834298496</v>
      </c>
      <c r="AK14" s="113" t="str">
        <f>Tab_Data_Flows[[#This Row],[UoM_Flow_Py]]</f>
        <v>Mg</v>
      </c>
    </row>
    <row r="15" spans="1:37" ht="15" thickBot="1" x14ac:dyDescent="0.4">
      <c r="A15" s="60">
        <f t="shared" si="0"/>
        <v>14</v>
      </c>
      <c r="B15" s="49" t="str">
        <f>_xlfn.XLOOKUP(C15,Tab_Def_Flows[Name(EN)],Tab_Def_Flows[Flow_ID],,0,)</f>
        <v>F_13_20</v>
      </c>
      <c r="C15" s="51" t="s">
        <v>450</v>
      </c>
      <c r="D15" s="49">
        <f>_xlfn.XLOOKUP(C15,Tab_Def_Flows[Name(EN)],Tab_Def_Flows[Type_Biomass],,0,)</f>
        <v>0</v>
      </c>
      <c r="E15" s="49" t="str">
        <f>_xlfn.XLOOKUP(C15,Tab_Def_Flows[Name(EN)],Tab_Def_Flows[Output_Process],,0,)</f>
        <v>Rye cultivation</v>
      </c>
      <c r="F15" s="49" t="str">
        <f>_xlfn.XLOOKUP(C15,Tab_Def_Flows[Name(EN)],Tab_Def_Flows[Process_ID_O],,0,)</f>
        <v>13_Rye_BB</v>
      </c>
      <c r="G15" s="49" t="str">
        <f>_xlfn.XLOOKUP(C15,Tab_Def_Flows[Name(EN)],Tab_Def_Flows[Input_Process],,0,)</f>
        <v>Rye cultivation and harvest</v>
      </c>
      <c r="H15" s="61" t="str">
        <f>_xlfn.XLOOKUP(C15,Tab_Def_Flows[Name(EN)],Tab_Def_Flows[Process_ID_I],,0,)</f>
        <v>20_Rye_BB</v>
      </c>
      <c r="I15" s="61" t="str">
        <f>_xlfn.XLOOKUP(C15,Tab_Def_Flows[Name(EN)],Tab_Def_Flows[Value_Source],,0,)</f>
        <v>Data_assumption</v>
      </c>
      <c r="J15" s="61" t="str">
        <f>_xlfn.XLOOKUP(C15,Tab_Def_Flows[Name(EN)],Tab_Def_Flows[WC?],,0,)</f>
        <v>Yes</v>
      </c>
      <c r="K15" s="61" t="str">
        <f>_xlfn.XLOOKUP(C15,Tab_Def_Flows[Name(EN)],Tab_Def_Flows[DM?],,0,)</f>
        <v>Yes</v>
      </c>
      <c r="L15" s="61" t="str">
        <f>_xlfn.XLOOKUP(C15,Tab_Def_Flows[Name(EN)],Tab_Def_Flows[CC?],,0,)</f>
        <v>Yes</v>
      </c>
      <c r="M15" s="51">
        <v>2035</v>
      </c>
      <c r="N15" s="51" t="s">
        <v>353</v>
      </c>
      <c r="O15" s="126">
        <f t="shared" si="5"/>
        <v>166.87525532853971</v>
      </c>
      <c r="P15" s="51" t="s">
        <v>398</v>
      </c>
      <c r="Q15" s="51" t="s">
        <v>368</v>
      </c>
      <c r="R15" s="51"/>
      <c r="S15" s="51"/>
      <c r="T15" s="51"/>
      <c r="U15" s="51"/>
      <c r="V15" s="51"/>
      <c r="W15" s="51"/>
      <c r="X15" s="51" t="s">
        <v>71</v>
      </c>
      <c r="Y15" s="109">
        <v>372</v>
      </c>
      <c r="Z15" s="51"/>
      <c r="AA15" s="89">
        <f t="shared" si="6"/>
        <v>166.87525532853971</v>
      </c>
      <c r="AB15" s="51" t="s">
        <v>63</v>
      </c>
      <c r="AC15" s="114">
        <f>INDEX(Tab_Def_Flows[[Flow_ID]:[CC_DM_source]],MATCH(Tab_Data_Flows[[#This Row],[Name(EN)]],Tab_Def_Flows[Name(EN)],0),16)</f>
        <v>0.06</v>
      </c>
      <c r="AD15" s="112">
        <f>IF(J15="Yes",AA15*Tab_Data_Flows[[#This Row],[WC_'[%']]],"N.A.")</f>
        <v>10.012515319712382</v>
      </c>
      <c r="AE15" s="113" t="str">
        <f>Tab_Data_Flows[[#This Row],[UoM_Flow_Py]]</f>
        <v>Mg</v>
      </c>
      <c r="AF15" s="114">
        <f>INDEX(Tab_Def_Flows[[Flow_ID]:[CC_DM_source]],MATCH(Tab_Data_Flows[[#This Row],[Name(EN)]],Tab_Def_Flows[Name(EN)],0),18)</f>
        <v>0.94</v>
      </c>
      <c r="AG15" s="112">
        <f>IF(K15="Yes",AF15*Tab_Data_Flows[[#This Row],[Flow_Py]],"N.A.")</f>
        <v>156.86274000882733</v>
      </c>
      <c r="AH15" s="113" t="str">
        <f>Tab_Data_Flows[[#This Row],[UoM_Flow_Py]]</f>
        <v>Mg</v>
      </c>
      <c r="AI15" s="114">
        <f>INDEX(Tab_Def_Flows[[Flow_ID]:[CC_DM_source]],MATCH(Tab_Data_Flows[[#This Row],[Name(EN)]],Tab_Def_Flows[Name(EN)],0),20)</f>
        <v>0.49</v>
      </c>
      <c r="AJ15" s="112">
        <f>IF(L15="Yes",AI15*Tab_Data_Flows[[#This Row],[Flow_Py]],"N.A.")</f>
        <v>81.768875110984453</v>
      </c>
      <c r="AK15" s="113" t="str">
        <f>Tab_Data_Flows[[#This Row],[UoM_Flow_Py]]</f>
        <v>Mg</v>
      </c>
    </row>
    <row r="16" spans="1:37" x14ac:dyDescent="0.35">
      <c r="A16" s="60">
        <f t="shared" si="0"/>
        <v>15</v>
      </c>
      <c r="B16" s="49" t="str">
        <f>_xlfn.XLOOKUP(C16,Tab_Def_Flows[Name(EN)],Tab_Def_Flows[Flow_ID],,0,)</f>
        <v>F_13_20</v>
      </c>
      <c r="C16" s="51" t="s">
        <v>450</v>
      </c>
      <c r="D16" s="49">
        <f>_xlfn.XLOOKUP(C16,Tab_Def_Flows[Name(EN)],Tab_Def_Flows[Type_Biomass],,0,)</f>
        <v>0</v>
      </c>
      <c r="E16" s="49" t="str">
        <f>_xlfn.XLOOKUP(C16,Tab_Def_Flows[Name(EN)],Tab_Def_Flows[Output_Process],,0,)</f>
        <v>Rye cultivation</v>
      </c>
      <c r="F16" s="49" t="str">
        <f>_xlfn.XLOOKUP(C16,Tab_Def_Flows[Name(EN)],Tab_Def_Flows[Process_ID_O],,0,)</f>
        <v>13_Rye_BB</v>
      </c>
      <c r="G16" s="49" t="str">
        <f>_xlfn.XLOOKUP(C16,Tab_Def_Flows[Name(EN)],Tab_Def_Flows[Input_Process],,0,)</f>
        <v>Rye cultivation and harvest</v>
      </c>
      <c r="H16" s="61" t="str">
        <f>_xlfn.XLOOKUP(C16,Tab_Def_Flows[Name(EN)],Tab_Def_Flows[Process_ID_I],,0,)</f>
        <v>20_Rye_BB</v>
      </c>
      <c r="I16" s="61" t="str">
        <f>_xlfn.XLOOKUP(C16,Tab_Def_Flows[Name(EN)],Tab_Def_Flows[Value_Source],,0,)</f>
        <v>Data_assumption</v>
      </c>
      <c r="J16" s="61" t="str">
        <f>_xlfn.XLOOKUP(C16,Tab_Def_Flows[Name(EN)],Tab_Def_Flows[WC?],,0,)</f>
        <v>Yes</v>
      </c>
      <c r="K16" s="61" t="str">
        <f>_xlfn.XLOOKUP(C16,Tab_Def_Flows[Name(EN)],Tab_Def_Flows[DM?],,0,)</f>
        <v>Yes</v>
      </c>
      <c r="L16" s="61" t="str">
        <f>_xlfn.XLOOKUP(C16,Tab_Def_Flows[Name(EN)],Tab_Def_Flows[CC?],,0,)</f>
        <v>Yes</v>
      </c>
      <c r="M16" s="51">
        <v>2036</v>
      </c>
      <c r="N16" s="51" t="s">
        <v>353</v>
      </c>
      <c r="O16" s="126">
        <f t="shared" si="5"/>
        <v>170.21276043511051</v>
      </c>
      <c r="P16" s="51" t="s">
        <v>398</v>
      </c>
      <c r="Q16" s="51" t="s">
        <v>368</v>
      </c>
      <c r="R16" s="51"/>
      <c r="S16" s="51"/>
      <c r="T16" s="51"/>
      <c r="U16" s="51"/>
      <c r="V16" s="51"/>
      <c r="W16" s="51"/>
      <c r="X16" s="51" t="s">
        <v>71</v>
      </c>
      <c r="Y16" s="109">
        <v>371</v>
      </c>
      <c r="Z16" s="51"/>
      <c r="AA16" s="89">
        <f t="shared" si="4"/>
        <v>170.21276043511051</v>
      </c>
      <c r="AB16" s="51" t="s">
        <v>63</v>
      </c>
      <c r="AC16" s="114">
        <f>INDEX(Tab_Def_Flows[[Flow_ID]:[CC_DM_source]],MATCH(Tab_Data_Flows[[#This Row],[Name(EN)]],Tab_Def_Flows[Name(EN)],0),16)</f>
        <v>0.06</v>
      </c>
      <c r="AD16" s="112">
        <f>IF(J16="Yes",AA16*Tab_Data_Flows[[#This Row],[WC_'[%']]],"N.A.")</f>
        <v>10.212765626106631</v>
      </c>
      <c r="AE16" s="113" t="str">
        <f>Tab_Data_Flows[[#This Row],[UoM_Flow_Py]]</f>
        <v>Mg</v>
      </c>
      <c r="AF16" s="114">
        <f>INDEX(Tab_Def_Flows[[Flow_ID]:[CC_DM_source]],MATCH(Tab_Data_Flows[[#This Row],[Name(EN)]],Tab_Def_Flows[Name(EN)],0),18)</f>
        <v>0.94</v>
      </c>
      <c r="AG16" s="112">
        <f>IF(K16="Yes",AF16*Tab_Data_Flows[[#This Row],[Flow_Py]],"N.A.")</f>
        <v>159.99999480900388</v>
      </c>
      <c r="AH16" s="113" t="str">
        <f>Tab_Data_Flows[[#This Row],[UoM_Flow_Py]]</f>
        <v>Mg</v>
      </c>
      <c r="AI16" s="114">
        <f>INDEX(Tab_Def_Flows[[Flow_ID]:[CC_DM_source]],MATCH(Tab_Data_Flows[[#This Row],[Name(EN)]],Tab_Def_Flows[Name(EN)],0),20)</f>
        <v>0.49</v>
      </c>
      <c r="AJ16" s="112">
        <f>IF(L16="Yes",AI16*Tab_Data_Flows[[#This Row],[Flow_Py]],"N.A.")</f>
        <v>83.40425261320415</v>
      </c>
      <c r="AK16" s="113" t="str">
        <f>Tab_Data_Flows[[#This Row],[UoM_Flow_Py]]</f>
        <v>Mg</v>
      </c>
    </row>
    <row r="17" spans="1:37" x14ac:dyDescent="0.35">
      <c r="A17" s="60">
        <f t="shared" si="0"/>
        <v>16</v>
      </c>
      <c r="B17" s="49" t="str">
        <f>_xlfn.XLOOKUP(C17,Tab_Def_Flows[Name(EN)],Tab_Def_Flows[Flow_ID],,0,)</f>
        <v>F_04_01</v>
      </c>
      <c r="C17" s="51" t="s">
        <v>337</v>
      </c>
      <c r="D17" s="49">
        <f>_xlfn.XLOOKUP(C17,Tab_Def_Flows[Name(EN)],Tab_Def_Flows[Type_Biomass],,0,)</f>
        <v>0</v>
      </c>
      <c r="E17" s="49" t="str">
        <f>_xlfn.XLOOKUP(C17,Tab_Def_Flows[Name(EN)],Tab_Def_Flows[Output_Process],,0,)</f>
        <v>Life stock farming</v>
      </c>
      <c r="F17" s="49" t="str">
        <f>_xlfn.XLOOKUP(C17,Tab_Def_Flows[Name(EN)],Tab_Def_Flows[Process_ID_O],,0,)</f>
        <v>04_Lif_BB</v>
      </c>
      <c r="G17" s="49" t="str">
        <f>_xlfn.XLOOKUP(C17,Tab_Def_Flows[Name(EN)],Tab_Def_Flows[Input_Process],,0,)</f>
        <v>Biogas production</v>
      </c>
      <c r="H17" s="61" t="str">
        <f>_xlfn.XLOOKUP(C17,Tab_Def_Flows[Name(EN)],Tab_Def_Flows[Process_ID_I],,0,)</f>
        <v>01_Bio_BB</v>
      </c>
      <c r="I17" s="61">
        <f>_xlfn.XLOOKUP(C17,Tab_Def_Flows[Name(EN)],Tab_Def_Flows[Value_Source],,0,)</f>
        <v>0</v>
      </c>
      <c r="J17" s="61" t="str">
        <f>_xlfn.XLOOKUP(C17,Tab_Def_Flows[Name(EN)],Tab_Def_Flows[WC?],,0,)</f>
        <v>Yes</v>
      </c>
      <c r="K17" s="61" t="str">
        <f>_xlfn.XLOOKUP(C17,Tab_Def_Flows[Name(EN)],Tab_Def_Flows[DM?],,0,)</f>
        <v>Yes</v>
      </c>
      <c r="L17" s="61" t="str">
        <f>_xlfn.XLOOKUP(C17,Tab_Def_Flows[Name(EN)],Tab_Def_Flows[CC?],,0,)</f>
        <v>Yes</v>
      </c>
      <c r="M17" s="51">
        <v>2022</v>
      </c>
      <c r="N17" s="51" t="s">
        <v>353</v>
      </c>
      <c r="O17" s="126">
        <v>39</v>
      </c>
      <c r="P17" s="51" t="s">
        <v>398</v>
      </c>
      <c r="Q17" s="51"/>
      <c r="R17" s="51"/>
      <c r="S17" s="51"/>
      <c r="T17" s="51"/>
      <c r="U17" s="51"/>
      <c r="V17" s="51"/>
      <c r="W17" s="51"/>
      <c r="X17" s="51" t="s">
        <v>71</v>
      </c>
      <c r="Y17" s="109"/>
      <c r="Z17" s="51"/>
      <c r="AA17" s="89">
        <f t="shared" ref="AA17:AA160" si="7">IF(X17="no",O17,O17*Y17)</f>
        <v>39</v>
      </c>
      <c r="AB17" s="51" t="s">
        <v>63</v>
      </c>
      <c r="AC17" s="114">
        <f>INDEX(Tab_Def_Flows[[Flow_ID]:[CC_DM_source]],MATCH(Tab_Data_Flows[[#This Row],[Name(EN)]],Tab_Def_Flows[Name(EN)],0),16)</f>
        <v>0.94</v>
      </c>
      <c r="AD17" s="115">
        <f>IF(J17="Yes",AA17*Tab_Data_Flows[[#This Row],[WC_'[%']]],"N.A.")</f>
        <v>36.659999999999997</v>
      </c>
      <c r="AE17" s="61" t="str">
        <f>Tab_Data_Flows[[#This Row],[UoM_Flow_Py]]</f>
        <v>Mg</v>
      </c>
      <c r="AF17" s="114">
        <f>INDEX(Tab_Def_Flows[[Flow_ID]:[CC_DM_source]],MATCH(Tab_Data_Flows[[#This Row],[Name(EN)]],Tab_Def_Flows[Name(EN)],0),18)</f>
        <v>0.06</v>
      </c>
      <c r="AG17" s="115">
        <f>IF(K17="Yes",AF17*Tab_Data_Flows[[#This Row],[Flow_Py]],"N.A.")</f>
        <v>2.34</v>
      </c>
      <c r="AH17" s="61" t="str">
        <f>Tab_Data_Flows[[#This Row],[UoM_Flow_Py]]</f>
        <v>Mg</v>
      </c>
      <c r="AI17" s="114">
        <f>INDEX(Tab_Def_Flows[[Flow_ID]:[CC_DM_source]],MATCH(Tab_Data_Flows[[#This Row],[Name(EN)]],Tab_Def_Flows[Name(EN)],0),20)</f>
        <v>0.49</v>
      </c>
      <c r="AJ17" s="115">
        <f>IF(L17="Yes",AI17*Tab_Data_Flows[[#This Row],[Flow_Py]],"N.A.")</f>
        <v>19.11</v>
      </c>
      <c r="AK17" s="61" t="str">
        <f>Tab_Data_Flows[[#This Row],[UoM_Flow_Py]]</f>
        <v>Mg</v>
      </c>
    </row>
    <row r="18" spans="1:37" x14ac:dyDescent="0.35">
      <c r="A18" s="60">
        <f t="shared" si="0"/>
        <v>17</v>
      </c>
      <c r="B18" s="49" t="str">
        <f>_xlfn.XLOOKUP(C18,Tab_Def_Flows[Name(EN)],Tab_Def_Flows[Flow_ID],,0,)</f>
        <v>F_04_01</v>
      </c>
      <c r="C18" s="51" t="s">
        <v>337</v>
      </c>
      <c r="D18" s="49">
        <f>_xlfn.XLOOKUP(C18,Tab_Def_Flows[Name(EN)],Tab_Def_Flows[Type_Biomass],,0,)</f>
        <v>0</v>
      </c>
      <c r="E18" s="49" t="str">
        <f>_xlfn.XLOOKUP(C18,Tab_Def_Flows[Name(EN)],Tab_Def_Flows[Output_Process],,0,)</f>
        <v>Life stock farming</v>
      </c>
      <c r="F18" s="49" t="str">
        <f>_xlfn.XLOOKUP(C18,Tab_Def_Flows[Name(EN)],Tab_Def_Flows[Process_ID_O],,0,)</f>
        <v>04_Lif_BB</v>
      </c>
      <c r="G18" s="49" t="str">
        <f>_xlfn.XLOOKUP(C18,Tab_Def_Flows[Name(EN)],Tab_Def_Flows[Input_Process],,0,)</f>
        <v>Biogas production</v>
      </c>
      <c r="H18" s="61" t="str">
        <f>_xlfn.XLOOKUP(C18,Tab_Def_Flows[Name(EN)],Tab_Def_Flows[Process_ID_I],,0,)</f>
        <v>01_Bio_BB</v>
      </c>
      <c r="I18" s="61">
        <f>_xlfn.XLOOKUP(C18,Tab_Def_Flows[Name(EN)],Tab_Def_Flows[Value_Source],,0,)</f>
        <v>0</v>
      </c>
      <c r="J18" s="61" t="str">
        <f>_xlfn.XLOOKUP(C18,Tab_Def_Flows[Name(EN)],Tab_Def_Flows[WC?],,0,)</f>
        <v>Yes</v>
      </c>
      <c r="K18" s="61" t="str">
        <f>_xlfn.XLOOKUP(C18,Tab_Def_Flows[Name(EN)],Tab_Def_Flows[DM?],,0,)</f>
        <v>Yes</v>
      </c>
      <c r="L18" s="61" t="str">
        <f>_xlfn.XLOOKUP(C18,Tab_Def_Flows[Name(EN)],Tab_Def_Flows[CC?],,0,)</f>
        <v>Yes</v>
      </c>
      <c r="M18" s="51">
        <v>2023</v>
      </c>
      <c r="N18" s="51" t="s">
        <v>353</v>
      </c>
      <c r="O18" s="126">
        <f>O17*1.02</f>
        <v>39.78</v>
      </c>
      <c r="P18" s="51" t="s">
        <v>398</v>
      </c>
      <c r="Q18" s="51"/>
      <c r="R18" s="51"/>
      <c r="S18" s="51"/>
      <c r="T18" s="51"/>
      <c r="U18" s="51"/>
      <c r="V18" s="51"/>
      <c r="W18" s="51"/>
      <c r="X18" s="51" t="s">
        <v>71</v>
      </c>
      <c r="Y18" s="109"/>
      <c r="Z18" s="51"/>
      <c r="AA18" s="89">
        <f t="shared" ref="AA18:AA24" si="8">IF(X18="no",O18,O18*Y18)</f>
        <v>39.78</v>
      </c>
      <c r="AB18" s="51" t="s">
        <v>63</v>
      </c>
      <c r="AC18" s="114">
        <f>INDEX(Tab_Def_Flows[[Flow_ID]:[CC_DM_source]],MATCH(Tab_Data_Flows[[#This Row],[Name(EN)]],Tab_Def_Flows[Name(EN)],0),16)</f>
        <v>0.94</v>
      </c>
      <c r="AD18" s="115">
        <f>IF(J18="Yes",AA18*Tab_Data_Flows[[#This Row],[WC_'[%']]],"N.A.")</f>
        <v>37.3932</v>
      </c>
      <c r="AE18" s="61" t="str">
        <f>Tab_Data_Flows[[#This Row],[UoM_Flow_Py]]</f>
        <v>Mg</v>
      </c>
      <c r="AF18" s="114">
        <f>INDEX(Tab_Def_Flows[[Flow_ID]:[CC_DM_source]],MATCH(Tab_Data_Flows[[#This Row],[Name(EN)]],Tab_Def_Flows[Name(EN)],0),18)</f>
        <v>0.06</v>
      </c>
      <c r="AG18" s="115">
        <f>IF(K18="Yes",AF18*Tab_Data_Flows[[#This Row],[Flow_Py]],"N.A.")</f>
        <v>2.3868</v>
      </c>
      <c r="AH18" s="61" t="str">
        <f>Tab_Data_Flows[[#This Row],[UoM_Flow_Py]]</f>
        <v>Mg</v>
      </c>
      <c r="AI18" s="114">
        <f>INDEX(Tab_Def_Flows[[Flow_ID]:[CC_DM_source]],MATCH(Tab_Data_Flows[[#This Row],[Name(EN)]],Tab_Def_Flows[Name(EN)],0),20)</f>
        <v>0.49</v>
      </c>
      <c r="AJ18" s="115">
        <f>IF(L18="Yes",AI18*Tab_Data_Flows[[#This Row],[Flow_Py]],"N.A.")</f>
        <v>19.4922</v>
      </c>
      <c r="AK18" s="61" t="str">
        <f>Tab_Data_Flows[[#This Row],[UoM_Flow_Py]]</f>
        <v>Mg</v>
      </c>
    </row>
    <row r="19" spans="1:37" x14ac:dyDescent="0.35">
      <c r="A19" s="60">
        <f t="shared" si="0"/>
        <v>18</v>
      </c>
      <c r="B19" s="49" t="str">
        <f>_xlfn.XLOOKUP(C19,Tab_Def_Flows[Name(EN)],Tab_Def_Flows[Flow_ID],,0,)</f>
        <v>F_04_01</v>
      </c>
      <c r="C19" s="51" t="s">
        <v>337</v>
      </c>
      <c r="D19" s="49">
        <f>_xlfn.XLOOKUP(C19,Tab_Def_Flows[Name(EN)],Tab_Def_Flows[Type_Biomass],,0,)</f>
        <v>0</v>
      </c>
      <c r="E19" s="49" t="str">
        <f>_xlfn.XLOOKUP(C19,Tab_Def_Flows[Name(EN)],Tab_Def_Flows[Output_Process],,0,)</f>
        <v>Life stock farming</v>
      </c>
      <c r="F19" s="49" t="str">
        <f>_xlfn.XLOOKUP(C19,Tab_Def_Flows[Name(EN)],Tab_Def_Flows[Process_ID_O],,0,)</f>
        <v>04_Lif_BB</v>
      </c>
      <c r="G19" s="49" t="str">
        <f>_xlfn.XLOOKUP(C19,Tab_Def_Flows[Name(EN)],Tab_Def_Flows[Input_Process],,0,)</f>
        <v>Biogas production</v>
      </c>
      <c r="H19" s="61" t="str">
        <f>_xlfn.XLOOKUP(C19,Tab_Def_Flows[Name(EN)],Tab_Def_Flows[Process_ID_I],,0,)</f>
        <v>01_Bio_BB</v>
      </c>
      <c r="I19" s="61">
        <f>_xlfn.XLOOKUP(C19,Tab_Def_Flows[Name(EN)],Tab_Def_Flows[Value_Source],,0,)</f>
        <v>0</v>
      </c>
      <c r="J19" s="61" t="str">
        <f>_xlfn.XLOOKUP(C19,Tab_Def_Flows[Name(EN)],Tab_Def_Flows[WC?],,0,)</f>
        <v>Yes</v>
      </c>
      <c r="K19" s="61" t="str">
        <f>_xlfn.XLOOKUP(C19,Tab_Def_Flows[Name(EN)],Tab_Def_Flows[DM?],,0,)</f>
        <v>Yes</v>
      </c>
      <c r="L19" s="61" t="str">
        <f>_xlfn.XLOOKUP(C19,Tab_Def_Flows[Name(EN)],Tab_Def_Flows[CC?],,0,)</f>
        <v>Yes</v>
      </c>
      <c r="M19" s="51">
        <v>2024</v>
      </c>
      <c r="N19" s="51" t="s">
        <v>353</v>
      </c>
      <c r="O19" s="126">
        <f t="shared" ref="O19:O31" si="9">O18*1.02</f>
        <v>40.575600000000001</v>
      </c>
      <c r="P19" s="51" t="s">
        <v>398</v>
      </c>
      <c r="Q19" s="51"/>
      <c r="R19" s="51"/>
      <c r="S19" s="51"/>
      <c r="T19" s="51"/>
      <c r="U19" s="51"/>
      <c r="V19" s="51"/>
      <c r="W19" s="51"/>
      <c r="X19" s="51" t="s">
        <v>71</v>
      </c>
      <c r="Y19" s="109"/>
      <c r="Z19" s="51"/>
      <c r="AA19" s="89">
        <f t="shared" si="8"/>
        <v>40.575600000000001</v>
      </c>
      <c r="AB19" s="51" t="s">
        <v>63</v>
      </c>
      <c r="AC19" s="114">
        <f>INDEX(Tab_Def_Flows[[Flow_ID]:[CC_DM_source]],MATCH(Tab_Data_Flows[[#This Row],[Name(EN)]],Tab_Def_Flows[Name(EN)],0),16)</f>
        <v>0.94</v>
      </c>
      <c r="AD19" s="115">
        <f>IF(J19="Yes",AA19*Tab_Data_Flows[[#This Row],[WC_'[%']]],"N.A.")</f>
        <v>38.141064</v>
      </c>
      <c r="AE19" s="61" t="str">
        <f>Tab_Data_Flows[[#This Row],[UoM_Flow_Py]]</f>
        <v>Mg</v>
      </c>
      <c r="AF19" s="114">
        <f>INDEX(Tab_Def_Flows[[Flow_ID]:[CC_DM_source]],MATCH(Tab_Data_Flows[[#This Row],[Name(EN)]],Tab_Def_Flows[Name(EN)],0),18)</f>
        <v>0.06</v>
      </c>
      <c r="AG19" s="115">
        <f>IF(K19="Yes",AF19*Tab_Data_Flows[[#This Row],[Flow_Py]],"N.A.")</f>
        <v>2.434536</v>
      </c>
      <c r="AH19" s="61" t="str">
        <f>Tab_Data_Flows[[#This Row],[UoM_Flow_Py]]</f>
        <v>Mg</v>
      </c>
      <c r="AI19" s="114">
        <f>INDEX(Tab_Def_Flows[[Flow_ID]:[CC_DM_source]],MATCH(Tab_Data_Flows[[#This Row],[Name(EN)]],Tab_Def_Flows[Name(EN)],0),20)</f>
        <v>0.49</v>
      </c>
      <c r="AJ19" s="115">
        <f>IF(L19="Yes",AI19*Tab_Data_Flows[[#This Row],[Flow_Py]],"N.A.")</f>
        <v>19.882044</v>
      </c>
      <c r="AK19" s="61" t="str">
        <f>Tab_Data_Flows[[#This Row],[UoM_Flow_Py]]</f>
        <v>Mg</v>
      </c>
    </row>
    <row r="20" spans="1:37" x14ac:dyDescent="0.35">
      <c r="A20" s="60">
        <f t="shared" si="0"/>
        <v>19</v>
      </c>
      <c r="B20" s="49" t="str">
        <f>_xlfn.XLOOKUP(C20,Tab_Def_Flows[Name(EN)],Tab_Def_Flows[Flow_ID],,0,)</f>
        <v>F_04_01</v>
      </c>
      <c r="C20" s="51" t="s">
        <v>337</v>
      </c>
      <c r="D20" s="49">
        <f>_xlfn.XLOOKUP(C20,Tab_Def_Flows[Name(EN)],Tab_Def_Flows[Type_Biomass],,0,)</f>
        <v>0</v>
      </c>
      <c r="E20" s="49" t="str">
        <f>_xlfn.XLOOKUP(C20,Tab_Def_Flows[Name(EN)],Tab_Def_Flows[Output_Process],,0,)</f>
        <v>Life stock farming</v>
      </c>
      <c r="F20" s="49" t="str">
        <f>_xlfn.XLOOKUP(C20,Tab_Def_Flows[Name(EN)],Tab_Def_Flows[Process_ID_O],,0,)</f>
        <v>04_Lif_BB</v>
      </c>
      <c r="G20" s="49" t="str">
        <f>_xlfn.XLOOKUP(C20,Tab_Def_Flows[Name(EN)],Tab_Def_Flows[Input_Process],,0,)</f>
        <v>Biogas production</v>
      </c>
      <c r="H20" s="61" t="str">
        <f>_xlfn.XLOOKUP(C20,Tab_Def_Flows[Name(EN)],Tab_Def_Flows[Process_ID_I],,0,)</f>
        <v>01_Bio_BB</v>
      </c>
      <c r="I20" s="61">
        <f>_xlfn.XLOOKUP(C20,Tab_Def_Flows[Name(EN)],Tab_Def_Flows[Value_Source],,0,)</f>
        <v>0</v>
      </c>
      <c r="J20" s="61" t="str">
        <f>_xlfn.XLOOKUP(C20,Tab_Def_Flows[Name(EN)],Tab_Def_Flows[WC?],,0,)</f>
        <v>Yes</v>
      </c>
      <c r="K20" s="61" t="str">
        <f>_xlfn.XLOOKUP(C20,Tab_Def_Flows[Name(EN)],Tab_Def_Flows[DM?],,0,)</f>
        <v>Yes</v>
      </c>
      <c r="L20" s="61" t="str">
        <f>_xlfn.XLOOKUP(C20,Tab_Def_Flows[Name(EN)],Tab_Def_Flows[CC?],,0,)</f>
        <v>Yes</v>
      </c>
      <c r="M20" s="51">
        <v>2025</v>
      </c>
      <c r="N20" s="51" t="s">
        <v>353</v>
      </c>
      <c r="O20" s="126">
        <f t="shared" si="9"/>
        <v>41.387112000000002</v>
      </c>
      <c r="P20" s="51" t="s">
        <v>398</v>
      </c>
      <c r="Q20" s="51"/>
      <c r="R20" s="51"/>
      <c r="S20" s="51"/>
      <c r="T20" s="51"/>
      <c r="U20" s="51"/>
      <c r="V20" s="51"/>
      <c r="W20" s="51"/>
      <c r="X20" s="51" t="s">
        <v>71</v>
      </c>
      <c r="Y20" s="109"/>
      <c r="Z20" s="51"/>
      <c r="AA20" s="89">
        <f t="shared" si="8"/>
        <v>41.387112000000002</v>
      </c>
      <c r="AB20" s="51" t="s">
        <v>63</v>
      </c>
      <c r="AC20" s="114">
        <f>INDEX(Tab_Def_Flows[[Flow_ID]:[CC_DM_source]],MATCH(Tab_Data_Flows[[#This Row],[Name(EN)]],Tab_Def_Flows[Name(EN)],0),16)</f>
        <v>0.94</v>
      </c>
      <c r="AD20" s="115">
        <f>IF(J20="Yes",AA20*Tab_Data_Flows[[#This Row],[WC_'[%']]],"N.A.")</f>
        <v>38.903885279999997</v>
      </c>
      <c r="AE20" s="61" t="str">
        <f>Tab_Data_Flows[[#This Row],[UoM_Flow_Py]]</f>
        <v>Mg</v>
      </c>
      <c r="AF20" s="114">
        <f>INDEX(Tab_Def_Flows[[Flow_ID]:[CC_DM_source]],MATCH(Tab_Data_Flows[[#This Row],[Name(EN)]],Tab_Def_Flows[Name(EN)],0),18)</f>
        <v>0.06</v>
      </c>
      <c r="AG20" s="115">
        <f>IF(K20="Yes",AF20*Tab_Data_Flows[[#This Row],[Flow_Py]],"N.A.")</f>
        <v>2.4832267200000002</v>
      </c>
      <c r="AH20" s="61" t="str">
        <f>Tab_Data_Flows[[#This Row],[UoM_Flow_Py]]</f>
        <v>Mg</v>
      </c>
      <c r="AI20" s="114">
        <f>INDEX(Tab_Def_Flows[[Flow_ID]:[CC_DM_source]],MATCH(Tab_Data_Flows[[#This Row],[Name(EN)]],Tab_Def_Flows[Name(EN)],0),20)</f>
        <v>0.49</v>
      </c>
      <c r="AJ20" s="115">
        <f>IF(L20="Yes",AI20*Tab_Data_Flows[[#This Row],[Flow_Py]],"N.A.")</f>
        <v>20.279684880000001</v>
      </c>
      <c r="AK20" s="61" t="str">
        <f>Tab_Data_Flows[[#This Row],[UoM_Flow_Py]]</f>
        <v>Mg</v>
      </c>
    </row>
    <row r="21" spans="1:37" x14ac:dyDescent="0.35">
      <c r="A21" s="60">
        <f t="shared" si="0"/>
        <v>20</v>
      </c>
      <c r="B21" s="49" t="str">
        <f>_xlfn.XLOOKUP(C21,Tab_Def_Flows[Name(EN)],Tab_Def_Flows[Flow_ID],,0,)</f>
        <v>F_04_01</v>
      </c>
      <c r="C21" s="51" t="s">
        <v>337</v>
      </c>
      <c r="D21" s="49">
        <f>_xlfn.XLOOKUP(C21,Tab_Def_Flows[Name(EN)],Tab_Def_Flows[Type_Biomass],,0,)</f>
        <v>0</v>
      </c>
      <c r="E21" s="49" t="str">
        <f>_xlfn.XLOOKUP(C21,Tab_Def_Flows[Name(EN)],Tab_Def_Flows[Output_Process],,0,)</f>
        <v>Life stock farming</v>
      </c>
      <c r="F21" s="49" t="str">
        <f>_xlfn.XLOOKUP(C21,Tab_Def_Flows[Name(EN)],Tab_Def_Flows[Process_ID_O],,0,)</f>
        <v>04_Lif_BB</v>
      </c>
      <c r="G21" s="49" t="str">
        <f>_xlfn.XLOOKUP(C21,Tab_Def_Flows[Name(EN)],Tab_Def_Flows[Input_Process],,0,)</f>
        <v>Biogas production</v>
      </c>
      <c r="H21" s="61" t="str">
        <f>_xlfn.XLOOKUP(C21,Tab_Def_Flows[Name(EN)],Tab_Def_Flows[Process_ID_I],,0,)</f>
        <v>01_Bio_BB</v>
      </c>
      <c r="I21" s="61">
        <f>_xlfn.XLOOKUP(C21,Tab_Def_Flows[Name(EN)],Tab_Def_Flows[Value_Source],,0,)</f>
        <v>0</v>
      </c>
      <c r="J21" s="61" t="str">
        <f>_xlfn.XLOOKUP(C21,Tab_Def_Flows[Name(EN)],Tab_Def_Flows[WC?],,0,)</f>
        <v>Yes</v>
      </c>
      <c r="K21" s="61" t="str">
        <f>_xlfn.XLOOKUP(C21,Tab_Def_Flows[Name(EN)],Tab_Def_Flows[DM?],,0,)</f>
        <v>Yes</v>
      </c>
      <c r="L21" s="61" t="str">
        <f>_xlfn.XLOOKUP(C21,Tab_Def_Flows[Name(EN)],Tab_Def_Flows[CC?],,0,)</f>
        <v>Yes</v>
      </c>
      <c r="M21" s="51">
        <v>2026</v>
      </c>
      <c r="N21" s="51" t="s">
        <v>353</v>
      </c>
      <c r="O21" s="126">
        <f t="shared" si="9"/>
        <v>42.214854240000001</v>
      </c>
      <c r="P21" s="51" t="s">
        <v>398</v>
      </c>
      <c r="Q21" s="51"/>
      <c r="R21" s="51"/>
      <c r="S21" s="51"/>
      <c r="T21" s="51"/>
      <c r="U21" s="51"/>
      <c r="V21" s="51"/>
      <c r="W21" s="51"/>
      <c r="X21" s="51" t="s">
        <v>71</v>
      </c>
      <c r="Y21" s="109"/>
      <c r="Z21" s="51"/>
      <c r="AA21" s="89">
        <f t="shared" si="8"/>
        <v>42.214854240000001</v>
      </c>
      <c r="AB21" s="51" t="s">
        <v>63</v>
      </c>
      <c r="AC21" s="114">
        <f>INDEX(Tab_Def_Flows[[Flow_ID]:[CC_DM_source]],MATCH(Tab_Data_Flows[[#This Row],[Name(EN)]],Tab_Def_Flows[Name(EN)],0),16)</f>
        <v>0.94</v>
      </c>
      <c r="AD21" s="115">
        <f>IF(J21="Yes",AA21*Tab_Data_Flows[[#This Row],[WC_'[%']]],"N.A.")</f>
        <v>39.681962985600002</v>
      </c>
      <c r="AE21" s="61" t="str">
        <f>Tab_Data_Flows[[#This Row],[UoM_Flow_Py]]</f>
        <v>Mg</v>
      </c>
      <c r="AF21" s="114">
        <f>INDEX(Tab_Def_Flows[[Flow_ID]:[CC_DM_source]],MATCH(Tab_Data_Flows[[#This Row],[Name(EN)]],Tab_Def_Flows[Name(EN)],0),18)</f>
        <v>0.06</v>
      </c>
      <c r="AG21" s="115">
        <f>IF(K21="Yes",AF21*Tab_Data_Flows[[#This Row],[Flow_Py]],"N.A.")</f>
        <v>2.5328912544</v>
      </c>
      <c r="AH21" s="61" t="str">
        <f>Tab_Data_Flows[[#This Row],[UoM_Flow_Py]]</f>
        <v>Mg</v>
      </c>
      <c r="AI21" s="114">
        <f>INDEX(Tab_Def_Flows[[Flow_ID]:[CC_DM_source]],MATCH(Tab_Data_Flows[[#This Row],[Name(EN)]],Tab_Def_Flows[Name(EN)],0),20)</f>
        <v>0.49</v>
      </c>
      <c r="AJ21" s="115">
        <f>IF(L21="Yes",AI21*Tab_Data_Flows[[#This Row],[Flow_Py]],"N.A.")</f>
        <v>20.685278577600002</v>
      </c>
      <c r="AK21" s="61" t="str">
        <f>Tab_Data_Flows[[#This Row],[UoM_Flow_Py]]</f>
        <v>Mg</v>
      </c>
    </row>
    <row r="22" spans="1:37" x14ac:dyDescent="0.35">
      <c r="A22" s="60">
        <f t="shared" si="0"/>
        <v>21</v>
      </c>
      <c r="B22" s="49" t="str">
        <f>_xlfn.XLOOKUP(C22,Tab_Def_Flows[Name(EN)],Tab_Def_Flows[Flow_ID],,0,)</f>
        <v>F_04_01</v>
      </c>
      <c r="C22" s="51" t="s">
        <v>337</v>
      </c>
      <c r="D22" s="49">
        <f>_xlfn.XLOOKUP(C22,Tab_Def_Flows[Name(EN)],Tab_Def_Flows[Type_Biomass],,0,)</f>
        <v>0</v>
      </c>
      <c r="E22" s="49" t="str">
        <f>_xlfn.XLOOKUP(C22,Tab_Def_Flows[Name(EN)],Tab_Def_Flows[Output_Process],,0,)</f>
        <v>Life stock farming</v>
      </c>
      <c r="F22" s="49" t="str">
        <f>_xlfn.XLOOKUP(C22,Tab_Def_Flows[Name(EN)],Tab_Def_Flows[Process_ID_O],,0,)</f>
        <v>04_Lif_BB</v>
      </c>
      <c r="G22" s="49" t="str">
        <f>_xlfn.XLOOKUP(C22,Tab_Def_Flows[Name(EN)],Tab_Def_Flows[Input_Process],,0,)</f>
        <v>Biogas production</v>
      </c>
      <c r="H22" s="61" t="str">
        <f>_xlfn.XLOOKUP(C22,Tab_Def_Flows[Name(EN)],Tab_Def_Flows[Process_ID_I],,0,)</f>
        <v>01_Bio_BB</v>
      </c>
      <c r="I22" s="61">
        <f>_xlfn.XLOOKUP(C22,Tab_Def_Flows[Name(EN)],Tab_Def_Flows[Value_Source],,0,)</f>
        <v>0</v>
      </c>
      <c r="J22" s="61" t="str">
        <f>_xlfn.XLOOKUP(C22,Tab_Def_Flows[Name(EN)],Tab_Def_Flows[WC?],,0,)</f>
        <v>Yes</v>
      </c>
      <c r="K22" s="61" t="str">
        <f>_xlfn.XLOOKUP(C22,Tab_Def_Flows[Name(EN)],Tab_Def_Flows[DM?],,0,)</f>
        <v>Yes</v>
      </c>
      <c r="L22" s="61" t="str">
        <f>_xlfn.XLOOKUP(C22,Tab_Def_Flows[Name(EN)],Tab_Def_Flows[CC?],,0,)</f>
        <v>Yes</v>
      </c>
      <c r="M22" s="51">
        <v>2027</v>
      </c>
      <c r="N22" s="51" t="s">
        <v>353</v>
      </c>
      <c r="O22" s="126">
        <f t="shared" si="9"/>
        <v>43.059151324799998</v>
      </c>
      <c r="P22" s="51" t="s">
        <v>398</v>
      </c>
      <c r="Q22" s="51"/>
      <c r="R22" s="51"/>
      <c r="S22" s="51"/>
      <c r="T22" s="51"/>
      <c r="U22" s="51"/>
      <c r="V22" s="51"/>
      <c r="W22" s="51"/>
      <c r="X22" s="51" t="s">
        <v>71</v>
      </c>
      <c r="Y22" s="109"/>
      <c r="Z22" s="51"/>
      <c r="AA22" s="89">
        <f t="shared" si="8"/>
        <v>43.059151324799998</v>
      </c>
      <c r="AB22" s="51" t="s">
        <v>63</v>
      </c>
      <c r="AC22" s="114">
        <f>INDEX(Tab_Def_Flows[[Flow_ID]:[CC_DM_source]],MATCH(Tab_Data_Flows[[#This Row],[Name(EN)]],Tab_Def_Flows[Name(EN)],0),16)</f>
        <v>0.94</v>
      </c>
      <c r="AD22" s="115">
        <f>IF(J22="Yes",AA22*Tab_Data_Flows[[#This Row],[WC_'[%']]],"N.A.")</f>
        <v>40.475602245311997</v>
      </c>
      <c r="AE22" s="61" t="str">
        <f>Tab_Data_Flows[[#This Row],[UoM_Flow_Py]]</f>
        <v>Mg</v>
      </c>
      <c r="AF22" s="114">
        <f>INDEX(Tab_Def_Flows[[Flow_ID]:[CC_DM_source]],MATCH(Tab_Data_Flows[[#This Row],[Name(EN)]],Tab_Def_Flows[Name(EN)],0),18)</f>
        <v>0.06</v>
      </c>
      <c r="AG22" s="115">
        <f>IF(K22="Yes",AF22*Tab_Data_Flows[[#This Row],[Flow_Py]],"N.A.")</f>
        <v>2.5835490794879998</v>
      </c>
      <c r="AH22" s="61" t="str">
        <f>Tab_Data_Flows[[#This Row],[UoM_Flow_Py]]</f>
        <v>Mg</v>
      </c>
      <c r="AI22" s="114">
        <f>INDEX(Tab_Def_Flows[[Flow_ID]:[CC_DM_source]],MATCH(Tab_Data_Flows[[#This Row],[Name(EN)]],Tab_Def_Flows[Name(EN)],0),20)</f>
        <v>0.49</v>
      </c>
      <c r="AJ22" s="115">
        <f>IF(L22="Yes",AI22*Tab_Data_Flows[[#This Row],[Flow_Py]],"N.A.")</f>
        <v>21.098984149151999</v>
      </c>
      <c r="AK22" s="61" t="str">
        <f>Tab_Data_Flows[[#This Row],[UoM_Flow_Py]]</f>
        <v>Mg</v>
      </c>
    </row>
    <row r="23" spans="1:37" x14ac:dyDescent="0.35">
      <c r="A23" s="60">
        <f t="shared" si="0"/>
        <v>22</v>
      </c>
      <c r="B23" s="49" t="str">
        <f>_xlfn.XLOOKUP(C23,Tab_Def_Flows[Name(EN)],Tab_Def_Flows[Flow_ID],,0,)</f>
        <v>F_04_01</v>
      </c>
      <c r="C23" s="51" t="s">
        <v>337</v>
      </c>
      <c r="D23" s="49">
        <f>_xlfn.XLOOKUP(C23,Tab_Def_Flows[Name(EN)],Tab_Def_Flows[Type_Biomass],,0,)</f>
        <v>0</v>
      </c>
      <c r="E23" s="49" t="str">
        <f>_xlfn.XLOOKUP(C23,Tab_Def_Flows[Name(EN)],Tab_Def_Flows[Output_Process],,0,)</f>
        <v>Life stock farming</v>
      </c>
      <c r="F23" s="49" t="str">
        <f>_xlfn.XLOOKUP(C23,Tab_Def_Flows[Name(EN)],Tab_Def_Flows[Process_ID_O],,0,)</f>
        <v>04_Lif_BB</v>
      </c>
      <c r="G23" s="49" t="str">
        <f>_xlfn.XLOOKUP(C23,Tab_Def_Flows[Name(EN)],Tab_Def_Flows[Input_Process],,0,)</f>
        <v>Biogas production</v>
      </c>
      <c r="H23" s="61" t="str">
        <f>_xlfn.XLOOKUP(C23,Tab_Def_Flows[Name(EN)],Tab_Def_Flows[Process_ID_I],,0,)</f>
        <v>01_Bio_BB</v>
      </c>
      <c r="I23" s="61">
        <f>_xlfn.XLOOKUP(C23,Tab_Def_Flows[Name(EN)],Tab_Def_Flows[Value_Source],,0,)</f>
        <v>0</v>
      </c>
      <c r="J23" s="61" t="str">
        <f>_xlfn.XLOOKUP(C23,Tab_Def_Flows[Name(EN)],Tab_Def_Flows[WC?],,0,)</f>
        <v>Yes</v>
      </c>
      <c r="K23" s="61" t="str">
        <f>_xlfn.XLOOKUP(C23,Tab_Def_Flows[Name(EN)],Tab_Def_Flows[DM?],,0,)</f>
        <v>Yes</v>
      </c>
      <c r="L23" s="61" t="str">
        <f>_xlfn.XLOOKUP(C23,Tab_Def_Flows[Name(EN)],Tab_Def_Flows[CC?],,0,)</f>
        <v>Yes</v>
      </c>
      <c r="M23" s="51">
        <v>2028</v>
      </c>
      <c r="N23" s="51" t="s">
        <v>353</v>
      </c>
      <c r="O23" s="126">
        <f t="shared" si="9"/>
        <v>43.920334351295999</v>
      </c>
      <c r="P23" s="51" t="s">
        <v>398</v>
      </c>
      <c r="Q23" s="51"/>
      <c r="R23" s="51"/>
      <c r="S23" s="51"/>
      <c r="T23" s="51"/>
      <c r="U23" s="51"/>
      <c r="V23" s="51"/>
      <c r="W23" s="51"/>
      <c r="X23" s="51" t="s">
        <v>71</v>
      </c>
      <c r="Y23" s="109"/>
      <c r="Z23" s="51"/>
      <c r="AA23" s="89">
        <f t="shared" si="8"/>
        <v>43.920334351295999</v>
      </c>
      <c r="AB23" s="51" t="s">
        <v>63</v>
      </c>
      <c r="AC23" s="114">
        <f>INDEX(Tab_Def_Flows[[Flow_ID]:[CC_DM_source]],MATCH(Tab_Data_Flows[[#This Row],[Name(EN)]],Tab_Def_Flows[Name(EN)],0),16)</f>
        <v>0.94</v>
      </c>
      <c r="AD23" s="115">
        <f>IF(J23="Yes",AA23*Tab_Data_Flows[[#This Row],[WC_'[%']]],"N.A.")</f>
        <v>41.285114290218239</v>
      </c>
      <c r="AE23" s="61" t="str">
        <f>Tab_Data_Flows[[#This Row],[UoM_Flow_Py]]</f>
        <v>Mg</v>
      </c>
      <c r="AF23" s="114">
        <f>INDEX(Tab_Def_Flows[[Flow_ID]:[CC_DM_source]],MATCH(Tab_Data_Flows[[#This Row],[Name(EN)]],Tab_Def_Flows[Name(EN)],0),18)</f>
        <v>0.06</v>
      </c>
      <c r="AG23" s="115">
        <f>IF(K23="Yes",AF23*Tab_Data_Flows[[#This Row],[Flow_Py]],"N.A.")</f>
        <v>2.6352200610777596</v>
      </c>
      <c r="AH23" s="61" t="str">
        <f>Tab_Data_Flows[[#This Row],[UoM_Flow_Py]]</f>
        <v>Mg</v>
      </c>
      <c r="AI23" s="114">
        <f>INDEX(Tab_Def_Flows[[Flow_ID]:[CC_DM_source]],MATCH(Tab_Data_Flows[[#This Row],[Name(EN)]],Tab_Def_Flows[Name(EN)],0),20)</f>
        <v>0.49</v>
      </c>
      <c r="AJ23" s="115">
        <f>IF(L23="Yes",AI23*Tab_Data_Flows[[#This Row],[Flow_Py]],"N.A.")</f>
        <v>21.520963832135038</v>
      </c>
      <c r="AK23" s="61" t="str">
        <f>Tab_Data_Flows[[#This Row],[UoM_Flow_Py]]</f>
        <v>Mg</v>
      </c>
    </row>
    <row r="24" spans="1:37" x14ac:dyDescent="0.35">
      <c r="A24" s="60">
        <f t="shared" si="0"/>
        <v>23</v>
      </c>
      <c r="B24" s="49" t="str">
        <f>_xlfn.XLOOKUP(C24,Tab_Def_Flows[Name(EN)],Tab_Def_Flows[Flow_ID],,0,)</f>
        <v>F_04_01</v>
      </c>
      <c r="C24" s="51" t="s">
        <v>337</v>
      </c>
      <c r="D24" s="49">
        <f>_xlfn.XLOOKUP(C24,Tab_Def_Flows[Name(EN)],Tab_Def_Flows[Type_Biomass],,0,)</f>
        <v>0</v>
      </c>
      <c r="E24" s="49" t="str">
        <f>_xlfn.XLOOKUP(C24,Tab_Def_Flows[Name(EN)],Tab_Def_Flows[Output_Process],,0,)</f>
        <v>Life stock farming</v>
      </c>
      <c r="F24" s="49" t="str">
        <f>_xlfn.XLOOKUP(C24,Tab_Def_Flows[Name(EN)],Tab_Def_Flows[Process_ID_O],,0,)</f>
        <v>04_Lif_BB</v>
      </c>
      <c r="G24" s="49" t="str">
        <f>_xlfn.XLOOKUP(C24,Tab_Def_Flows[Name(EN)],Tab_Def_Flows[Input_Process],,0,)</f>
        <v>Biogas production</v>
      </c>
      <c r="H24" s="61" t="str">
        <f>_xlfn.XLOOKUP(C24,Tab_Def_Flows[Name(EN)],Tab_Def_Flows[Process_ID_I],,0,)</f>
        <v>01_Bio_BB</v>
      </c>
      <c r="I24" s="61">
        <f>_xlfn.XLOOKUP(C24,Tab_Def_Flows[Name(EN)],Tab_Def_Flows[Value_Source],,0,)</f>
        <v>0</v>
      </c>
      <c r="J24" s="61" t="str">
        <f>_xlfn.XLOOKUP(C24,Tab_Def_Flows[Name(EN)],Tab_Def_Flows[WC?],,0,)</f>
        <v>Yes</v>
      </c>
      <c r="K24" s="61" t="str">
        <f>_xlfn.XLOOKUP(C24,Tab_Def_Flows[Name(EN)],Tab_Def_Flows[DM?],,0,)</f>
        <v>Yes</v>
      </c>
      <c r="L24" s="61" t="str">
        <f>_xlfn.XLOOKUP(C24,Tab_Def_Flows[Name(EN)],Tab_Def_Flows[CC?],,0,)</f>
        <v>Yes</v>
      </c>
      <c r="M24" s="51">
        <v>2029</v>
      </c>
      <c r="N24" s="51" t="s">
        <v>353</v>
      </c>
      <c r="O24" s="126">
        <f t="shared" si="9"/>
        <v>44.798741038321921</v>
      </c>
      <c r="P24" s="51" t="s">
        <v>398</v>
      </c>
      <c r="Q24" s="51"/>
      <c r="R24" s="51"/>
      <c r="S24" s="51"/>
      <c r="T24" s="51"/>
      <c r="U24" s="51"/>
      <c r="V24" s="51"/>
      <c r="W24" s="51"/>
      <c r="X24" s="51" t="s">
        <v>71</v>
      </c>
      <c r="Y24" s="109"/>
      <c r="Z24" s="51"/>
      <c r="AA24" s="89">
        <f t="shared" si="8"/>
        <v>44.798741038321921</v>
      </c>
      <c r="AB24" s="51" t="s">
        <v>63</v>
      </c>
      <c r="AC24" s="114">
        <f>INDEX(Tab_Def_Flows[[Flow_ID]:[CC_DM_source]],MATCH(Tab_Data_Flows[[#This Row],[Name(EN)]],Tab_Def_Flows[Name(EN)],0),16)</f>
        <v>0.94</v>
      </c>
      <c r="AD24" s="115">
        <f>IF(J24="Yes",AA24*Tab_Data_Flows[[#This Row],[WC_'[%']]],"N.A.")</f>
        <v>42.110816576022607</v>
      </c>
      <c r="AE24" s="61" t="str">
        <f>Tab_Data_Flows[[#This Row],[UoM_Flow_Py]]</f>
        <v>Mg</v>
      </c>
      <c r="AF24" s="114">
        <f>INDEX(Tab_Def_Flows[[Flow_ID]:[CC_DM_source]],MATCH(Tab_Data_Flows[[#This Row],[Name(EN)]],Tab_Def_Flows[Name(EN)],0),18)</f>
        <v>0.06</v>
      </c>
      <c r="AG24" s="115">
        <f>IF(K24="Yes",AF24*Tab_Data_Flows[[#This Row],[Flow_Py]],"N.A.")</f>
        <v>2.687924462299315</v>
      </c>
      <c r="AH24" s="61" t="str">
        <f>Tab_Data_Flows[[#This Row],[UoM_Flow_Py]]</f>
        <v>Mg</v>
      </c>
      <c r="AI24" s="114">
        <f>INDEX(Tab_Def_Flows[[Flow_ID]:[CC_DM_source]],MATCH(Tab_Data_Flows[[#This Row],[Name(EN)]],Tab_Def_Flows[Name(EN)],0),20)</f>
        <v>0.49</v>
      </c>
      <c r="AJ24" s="115">
        <f>IF(L24="Yes",AI24*Tab_Data_Flows[[#This Row],[Flow_Py]],"N.A.")</f>
        <v>21.95138310877774</v>
      </c>
      <c r="AK24" s="61" t="str">
        <f>Tab_Data_Flows[[#This Row],[UoM_Flow_Py]]</f>
        <v>Mg</v>
      </c>
    </row>
    <row r="25" spans="1:37" x14ac:dyDescent="0.35">
      <c r="A25" s="60">
        <f t="shared" si="0"/>
        <v>24</v>
      </c>
      <c r="B25" s="49" t="str">
        <f>_xlfn.XLOOKUP(C25,Tab_Def_Flows[Name(EN)],Tab_Def_Flows[Flow_ID],,0,)</f>
        <v>F_04_01</v>
      </c>
      <c r="C25" s="51" t="s">
        <v>337</v>
      </c>
      <c r="D25" s="49">
        <f>_xlfn.XLOOKUP(C25,Tab_Def_Flows[Name(EN)],Tab_Def_Flows[Type_Biomass],,0,)</f>
        <v>0</v>
      </c>
      <c r="E25" s="49" t="str">
        <f>_xlfn.XLOOKUP(C25,Tab_Def_Flows[Name(EN)],Tab_Def_Flows[Output_Process],,0,)</f>
        <v>Life stock farming</v>
      </c>
      <c r="F25" s="49" t="str">
        <f>_xlfn.XLOOKUP(C25,Tab_Def_Flows[Name(EN)],Tab_Def_Flows[Process_ID_O],,0,)</f>
        <v>04_Lif_BB</v>
      </c>
      <c r="G25" s="49" t="str">
        <f>_xlfn.XLOOKUP(C25,Tab_Def_Flows[Name(EN)],Tab_Def_Flows[Input_Process],,0,)</f>
        <v>Biogas production</v>
      </c>
      <c r="H25" s="61" t="str">
        <f>_xlfn.XLOOKUP(C25,Tab_Def_Flows[Name(EN)],Tab_Def_Flows[Process_ID_I],,0,)</f>
        <v>01_Bio_BB</v>
      </c>
      <c r="I25" s="61">
        <f>_xlfn.XLOOKUP(C25,Tab_Def_Flows[Name(EN)],Tab_Def_Flows[Value_Source],,0,)</f>
        <v>0</v>
      </c>
      <c r="J25" s="61" t="str">
        <f>_xlfn.XLOOKUP(C25,Tab_Def_Flows[Name(EN)],Tab_Def_Flows[WC?],,0,)</f>
        <v>Yes</v>
      </c>
      <c r="K25" s="61" t="str">
        <f>_xlfn.XLOOKUP(C25,Tab_Def_Flows[Name(EN)],Tab_Def_Flows[DM?],,0,)</f>
        <v>Yes</v>
      </c>
      <c r="L25" s="61" t="str">
        <f>_xlfn.XLOOKUP(C25,Tab_Def_Flows[Name(EN)],Tab_Def_Flows[CC?],,0,)</f>
        <v>Yes</v>
      </c>
      <c r="M25" s="51">
        <v>2030</v>
      </c>
      <c r="N25" s="51" t="s">
        <v>353</v>
      </c>
      <c r="O25" s="126">
        <f t="shared" si="9"/>
        <v>45.694715859088362</v>
      </c>
      <c r="P25" s="51" t="s">
        <v>398</v>
      </c>
      <c r="Q25" s="51"/>
      <c r="R25" s="51"/>
      <c r="S25" s="51"/>
      <c r="T25" s="51"/>
      <c r="U25" s="51"/>
      <c r="V25" s="51"/>
      <c r="W25" s="51"/>
      <c r="X25" s="51" t="s">
        <v>71</v>
      </c>
      <c r="Y25" s="109"/>
      <c r="Z25" s="51"/>
      <c r="AA25" s="89">
        <f t="shared" ref="AA25:AA31" si="10">IF(X25="no",O25,O25*Y25)</f>
        <v>45.694715859088362</v>
      </c>
      <c r="AB25" s="51" t="s">
        <v>63</v>
      </c>
      <c r="AC25" s="114">
        <f>INDEX(Tab_Def_Flows[[Flow_ID]:[CC_DM_source]],MATCH(Tab_Data_Flows[[#This Row],[Name(EN)]],Tab_Def_Flows[Name(EN)],0),16)</f>
        <v>0.94</v>
      </c>
      <c r="AD25" s="115">
        <f>IF(J25="Yes",AA25*Tab_Data_Flows[[#This Row],[WC_'[%']]],"N.A.")</f>
        <v>42.953032907543054</v>
      </c>
      <c r="AE25" s="61" t="str">
        <f>Tab_Data_Flows[[#This Row],[UoM_Flow_Py]]</f>
        <v>Mg</v>
      </c>
      <c r="AF25" s="114">
        <f>INDEX(Tab_Def_Flows[[Flow_ID]:[CC_DM_source]],MATCH(Tab_Data_Flows[[#This Row],[Name(EN)]],Tab_Def_Flows[Name(EN)],0),18)</f>
        <v>0.06</v>
      </c>
      <c r="AG25" s="115">
        <f>IF(K25="Yes",AF25*Tab_Data_Flows[[#This Row],[Flow_Py]],"N.A.")</f>
        <v>2.7416829515453016</v>
      </c>
      <c r="AH25" s="61" t="str">
        <f>Tab_Data_Flows[[#This Row],[UoM_Flow_Py]]</f>
        <v>Mg</v>
      </c>
      <c r="AI25" s="114">
        <f>INDEX(Tab_Def_Flows[[Flow_ID]:[CC_DM_source]],MATCH(Tab_Data_Flows[[#This Row],[Name(EN)]],Tab_Def_Flows[Name(EN)],0),20)</f>
        <v>0.49</v>
      </c>
      <c r="AJ25" s="115">
        <f>IF(L25="Yes",AI25*Tab_Data_Flows[[#This Row],[Flow_Py]],"N.A.")</f>
        <v>22.390410770953295</v>
      </c>
      <c r="AK25" s="61" t="str">
        <f>Tab_Data_Flows[[#This Row],[UoM_Flow_Py]]</f>
        <v>Mg</v>
      </c>
    </row>
    <row r="26" spans="1:37" x14ac:dyDescent="0.35">
      <c r="A26" s="60">
        <f t="shared" si="0"/>
        <v>25</v>
      </c>
      <c r="B26" s="49" t="str">
        <f>_xlfn.XLOOKUP(C26,Tab_Def_Flows[Name(EN)],Tab_Def_Flows[Flow_ID],,0,)</f>
        <v>F_04_01</v>
      </c>
      <c r="C26" s="51" t="s">
        <v>337</v>
      </c>
      <c r="D26" s="49">
        <f>_xlfn.XLOOKUP(C26,Tab_Def_Flows[Name(EN)],Tab_Def_Flows[Type_Biomass],,0,)</f>
        <v>0</v>
      </c>
      <c r="E26" s="49" t="str">
        <f>_xlfn.XLOOKUP(C26,Tab_Def_Flows[Name(EN)],Tab_Def_Flows[Output_Process],,0,)</f>
        <v>Life stock farming</v>
      </c>
      <c r="F26" s="49" t="str">
        <f>_xlfn.XLOOKUP(C26,Tab_Def_Flows[Name(EN)],Tab_Def_Flows[Process_ID_O],,0,)</f>
        <v>04_Lif_BB</v>
      </c>
      <c r="G26" s="49" t="str">
        <f>_xlfn.XLOOKUP(C26,Tab_Def_Flows[Name(EN)],Tab_Def_Flows[Input_Process],,0,)</f>
        <v>Biogas production</v>
      </c>
      <c r="H26" s="61" t="str">
        <f>_xlfn.XLOOKUP(C26,Tab_Def_Flows[Name(EN)],Tab_Def_Flows[Process_ID_I],,0,)</f>
        <v>01_Bio_BB</v>
      </c>
      <c r="I26" s="61">
        <f>_xlfn.XLOOKUP(C26,Tab_Def_Flows[Name(EN)],Tab_Def_Flows[Value_Source],,0,)</f>
        <v>0</v>
      </c>
      <c r="J26" s="61" t="str">
        <f>_xlfn.XLOOKUP(C26,Tab_Def_Flows[Name(EN)],Tab_Def_Flows[WC?],,0,)</f>
        <v>Yes</v>
      </c>
      <c r="K26" s="61" t="str">
        <f>_xlfn.XLOOKUP(C26,Tab_Def_Flows[Name(EN)],Tab_Def_Flows[DM?],,0,)</f>
        <v>Yes</v>
      </c>
      <c r="L26" s="61" t="str">
        <f>_xlfn.XLOOKUP(C26,Tab_Def_Flows[Name(EN)],Tab_Def_Flows[CC?],,0,)</f>
        <v>Yes</v>
      </c>
      <c r="M26" s="51">
        <v>2031</v>
      </c>
      <c r="N26" s="51" t="s">
        <v>353</v>
      </c>
      <c r="O26" s="126">
        <f t="shared" si="9"/>
        <v>46.608610176270133</v>
      </c>
      <c r="P26" s="51" t="s">
        <v>398</v>
      </c>
      <c r="Q26" s="51"/>
      <c r="R26" s="51"/>
      <c r="S26" s="51"/>
      <c r="T26" s="51"/>
      <c r="U26" s="51"/>
      <c r="V26" s="51"/>
      <c r="W26" s="51"/>
      <c r="X26" s="51" t="s">
        <v>71</v>
      </c>
      <c r="Y26" s="109"/>
      <c r="Z26" s="51"/>
      <c r="AA26" s="89">
        <f t="shared" si="10"/>
        <v>46.608610176270133</v>
      </c>
      <c r="AB26" s="51" t="s">
        <v>63</v>
      </c>
      <c r="AC26" s="114">
        <f>INDEX(Tab_Def_Flows[[Flow_ID]:[CC_DM_source]],MATCH(Tab_Data_Flows[[#This Row],[Name(EN)]],Tab_Def_Flows[Name(EN)],0),16)</f>
        <v>0.94</v>
      </c>
      <c r="AD26" s="115">
        <f>IF(J26="Yes",AA26*Tab_Data_Flows[[#This Row],[WC_'[%']]],"N.A.")</f>
        <v>43.812093565693921</v>
      </c>
      <c r="AE26" s="61" t="str">
        <f>Tab_Data_Flows[[#This Row],[UoM_Flow_Py]]</f>
        <v>Mg</v>
      </c>
      <c r="AF26" s="114">
        <f>INDEX(Tab_Def_Flows[[Flow_ID]:[CC_DM_source]],MATCH(Tab_Data_Flows[[#This Row],[Name(EN)]],Tab_Def_Flows[Name(EN)],0),18)</f>
        <v>0.06</v>
      </c>
      <c r="AG26" s="115">
        <f>IF(K26="Yes",AF26*Tab_Data_Flows[[#This Row],[Flow_Py]],"N.A.")</f>
        <v>2.7965166105762078</v>
      </c>
      <c r="AH26" s="61" t="str">
        <f>Tab_Data_Flows[[#This Row],[UoM_Flow_Py]]</f>
        <v>Mg</v>
      </c>
      <c r="AI26" s="114">
        <f>INDEX(Tab_Def_Flows[[Flow_ID]:[CC_DM_source]],MATCH(Tab_Data_Flows[[#This Row],[Name(EN)]],Tab_Def_Flows[Name(EN)],0),20)</f>
        <v>0.49</v>
      </c>
      <c r="AJ26" s="115">
        <f>IF(L26="Yes",AI26*Tab_Data_Flows[[#This Row],[Flow_Py]],"N.A.")</f>
        <v>22.838218986372365</v>
      </c>
      <c r="AK26" s="61" t="str">
        <f>Tab_Data_Flows[[#This Row],[UoM_Flow_Py]]</f>
        <v>Mg</v>
      </c>
    </row>
    <row r="27" spans="1:37" x14ac:dyDescent="0.35">
      <c r="A27" s="60">
        <f t="shared" si="0"/>
        <v>26</v>
      </c>
      <c r="B27" s="49" t="str">
        <f>_xlfn.XLOOKUP(C27,Tab_Def_Flows[Name(EN)],Tab_Def_Flows[Flow_ID],,0,)</f>
        <v>F_04_01</v>
      </c>
      <c r="C27" s="51" t="s">
        <v>337</v>
      </c>
      <c r="D27" s="49">
        <f>_xlfn.XLOOKUP(C27,Tab_Def_Flows[Name(EN)],Tab_Def_Flows[Type_Biomass],,0,)</f>
        <v>0</v>
      </c>
      <c r="E27" s="49" t="str">
        <f>_xlfn.XLOOKUP(C27,Tab_Def_Flows[Name(EN)],Tab_Def_Flows[Output_Process],,0,)</f>
        <v>Life stock farming</v>
      </c>
      <c r="F27" s="49" t="str">
        <f>_xlfn.XLOOKUP(C27,Tab_Def_Flows[Name(EN)],Tab_Def_Flows[Process_ID_O],,0,)</f>
        <v>04_Lif_BB</v>
      </c>
      <c r="G27" s="49" t="str">
        <f>_xlfn.XLOOKUP(C27,Tab_Def_Flows[Name(EN)],Tab_Def_Flows[Input_Process],,0,)</f>
        <v>Biogas production</v>
      </c>
      <c r="H27" s="61" t="str">
        <f>_xlfn.XLOOKUP(C27,Tab_Def_Flows[Name(EN)],Tab_Def_Flows[Process_ID_I],,0,)</f>
        <v>01_Bio_BB</v>
      </c>
      <c r="I27" s="61">
        <f>_xlfn.XLOOKUP(C27,Tab_Def_Flows[Name(EN)],Tab_Def_Flows[Value_Source],,0,)</f>
        <v>0</v>
      </c>
      <c r="J27" s="61" t="str">
        <f>_xlfn.XLOOKUP(C27,Tab_Def_Flows[Name(EN)],Tab_Def_Flows[WC?],,0,)</f>
        <v>Yes</v>
      </c>
      <c r="K27" s="61" t="str">
        <f>_xlfn.XLOOKUP(C27,Tab_Def_Flows[Name(EN)],Tab_Def_Flows[DM?],,0,)</f>
        <v>Yes</v>
      </c>
      <c r="L27" s="61" t="str">
        <f>_xlfn.XLOOKUP(C27,Tab_Def_Flows[Name(EN)],Tab_Def_Flows[CC?],,0,)</f>
        <v>Yes</v>
      </c>
      <c r="M27" s="51">
        <v>2032</v>
      </c>
      <c r="N27" s="51" t="s">
        <v>353</v>
      </c>
      <c r="O27" s="126">
        <f t="shared" si="9"/>
        <v>47.540782379795537</v>
      </c>
      <c r="P27" s="51" t="s">
        <v>398</v>
      </c>
      <c r="Q27" s="51"/>
      <c r="R27" s="51"/>
      <c r="S27" s="51"/>
      <c r="T27" s="51"/>
      <c r="U27" s="51"/>
      <c r="V27" s="51"/>
      <c r="W27" s="51"/>
      <c r="X27" s="51" t="s">
        <v>71</v>
      </c>
      <c r="Y27" s="109"/>
      <c r="Z27" s="51"/>
      <c r="AA27" s="89">
        <f t="shared" si="10"/>
        <v>47.540782379795537</v>
      </c>
      <c r="AB27" s="51" t="s">
        <v>63</v>
      </c>
      <c r="AC27" s="114">
        <f>INDEX(Tab_Def_Flows[[Flow_ID]:[CC_DM_source]],MATCH(Tab_Data_Flows[[#This Row],[Name(EN)]],Tab_Def_Flows[Name(EN)],0),16)</f>
        <v>0.94</v>
      </c>
      <c r="AD27" s="115">
        <f>IF(J27="Yes",AA27*Tab_Data_Flows[[#This Row],[WC_'[%']]],"N.A.")</f>
        <v>44.688335437007801</v>
      </c>
      <c r="AE27" s="61" t="str">
        <f>Tab_Data_Flows[[#This Row],[UoM_Flow_Py]]</f>
        <v>Mg</v>
      </c>
      <c r="AF27" s="114">
        <f>INDEX(Tab_Def_Flows[[Flow_ID]:[CC_DM_source]],MATCH(Tab_Data_Flows[[#This Row],[Name(EN)]],Tab_Def_Flows[Name(EN)],0),18)</f>
        <v>0.06</v>
      </c>
      <c r="AG27" s="115">
        <f>IF(K27="Yes",AF27*Tab_Data_Flows[[#This Row],[Flow_Py]],"N.A.")</f>
        <v>2.8524469427877319</v>
      </c>
      <c r="AH27" s="61" t="str">
        <f>Tab_Data_Flows[[#This Row],[UoM_Flow_Py]]</f>
        <v>Mg</v>
      </c>
      <c r="AI27" s="114">
        <f>INDEX(Tab_Def_Flows[[Flow_ID]:[CC_DM_source]],MATCH(Tab_Data_Flows[[#This Row],[Name(EN)]],Tab_Def_Flows[Name(EN)],0),20)</f>
        <v>0.49</v>
      </c>
      <c r="AJ27" s="115">
        <f>IF(L27="Yes",AI27*Tab_Data_Flows[[#This Row],[Flow_Py]],"N.A.")</f>
        <v>23.294983366099814</v>
      </c>
      <c r="AK27" s="61" t="str">
        <f>Tab_Data_Flows[[#This Row],[UoM_Flow_Py]]</f>
        <v>Mg</v>
      </c>
    </row>
    <row r="28" spans="1:37" x14ac:dyDescent="0.35">
      <c r="A28" s="60">
        <f t="shared" si="0"/>
        <v>27</v>
      </c>
      <c r="B28" s="49" t="str">
        <f>_xlfn.XLOOKUP(C28,Tab_Def_Flows[Name(EN)],Tab_Def_Flows[Flow_ID],,0,)</f>
        <v>F_04_01</v>
      </c>
      <c r="C28" s="51" t="s">
        <v>337</v>
      </c>
      <c r="D28" s="49">
        <f>_xlfn.XLOOKUP(C28,Tab_Def_Flows[Name(EN)],Tab_Def_Flows[Type_Biomass],,0,)</f>
        <v>0</v>
      </c>
      <c r="E28" s="49" t="str">
        <f>_xlfn.XLOOKUP(C28,Tab_Def_Flows[Name(EN)],Tab_Def_Flows[Output_Process],,0,)</f>
        <v>Life stock farming</v>
      </c>
      <c r="F28" s="49" t="str">
        <f>_xlfn.XLOOKUP(C28,Tab_Def_Flows[Name(EN)],Tab_Def_Flows[Process_ID_O],,0,)</f>
        <v>04_Lif_BB</v>
      </c>
      <c r="G28" s="49" t="str">
        <f>_xlfn.XLOOKUP(C28,Tab_Def_Flows[Name(EN)],Tab_Def_Flows[Input_Process],,0,)</f>
        <v>Biogas production</v>
      </c>
      <c r="H28" s="61" t="str">
        <f>_xlfn.XLOOKUP(C28,Tab_Def_Flows[Name(EN)],Tab_Def_Flows[Process_ID_I],,0,)</f>
        <v>01_Bio_BB</v>
      </c>
      <c r="I28" s="61">
        <f>_xlfn.XLOOKUP(C28,Tab_Def_Flows[Name(EN)],Tab_Def_Flows[Value_Source],,0,)</f>
        <v>0</v>
      </c>
      <c r="J28" s="61" t="str">
        <f>_xlfn.XLOOKUP(C28,Tab_Def_Flows[Name(EN)],Tab_Def_Flows[WC?],,0,)</f>
        <v>Yes</v>
      </c>
      <c r="K28" s="61" t="str">
        <f>_xlfn.XLOOKUP(C28,Tab_Def_Flows[Name(EN)],Tab_Def_Flows[DM?],,0,)</f>
        <v>Yes</v>
      </c>
      <c r="L28" s="61" t="str">
        <f>_xlfn.XLOOKUP(C28,Tab_Def_Flows[Name(EN)],Tab_Def_Flows[CC?],,0,)</f>
        <v>Yes</v>
      </c>
      <c r="M28" s="51">
        <v>2033</v>
      </c>
      <c r="N28" s="51" t="s">
        <v>353</v>
      </c>
      <c r="O28" s="126">
        <f t="shared" si="9"/>
        <v>48.491598027391447</v>
      </c>
      <c r="P28" s="51" t="s">
        <v>398</v>
      </c>
      <c r="Q28" s="51"/>
      <c r="R28" s="51"/>
      <c r="S28" s="51"/>
      <c r="T28" s="51"/>
      <c r="U28" s="51"/>
      <c r="V28" s="51"/>
      <c r="W28" s="51"/>
      <c r="X28" s="51" t="s">
        <v>71</v>
      </c>
      <c r="Y28" s="109"/>
      <c r="Z28" s="51"/>
      <c r="AA28" s="89">
        <f t="shared" si="10"/>
        <v>48.491598027391447</v>
      </c>
      <c r="AB28" s="51" t="s">
        <v>63</v>
      </c>
      <c r="AC28" s="114">
        <f>INDEX(Tab_Def_Flows[[Flow_ID]:[CC_DM_source]],MATCH(Tab_Data_Flows[[#This Row],[Name(EN)]],Tab_Def_Flows[Name(EN)],0),16)</f>
        <v>0.94</v>
      </c>
      <c r="AD28" s="115">
        <f>IF(J28="Yes",AA28*Tab_Data_Flows[[#This Row],[WC_'[%']]],"N.A.")</f>
        <v>45.58210214574796</v>
      </c>
      <c r="AE28" s="61" t="str">
        <f>Tab_Data_Flows[[#This Row],[UoM_Flow_Py]]</f>
        <v>Mg</v>
      </c>
      <c r="AF28" s="114">
        <f>INDEX(Tab_Def_Flows[[Flow_ID]:[CC_DM_source]],MATCH(Tab_Data_Flows[[#This Row],[Name(EN)]],Tab_Def_Flows[Name(EN)],0),18)</f>
        <v>0.06</v>
      </c>
      <c r="AG28" s="115">
        <f>IF(K28="Yes",AF28*Tab_Data_Flows[[#This Row],[Flow_Py]],"N.A.")</f>
        <v>2.9094958816434868</v>
      </c>
      <c r="AH28" s="61" t="str">
        <f>Tab_Data_Flows[[#This Row],[UoM_Flow_Py]]</f>
        <v>Mg</v>
      </c>
      <c r="AI28" s="114">
        <f>INDEX(Tab_Def_Flows[[Flow_ID]:[CC_DM_source]],MATCH(Tab_Data_Flows[[#This Row],[Name(EN)]],Tab_Def_Flows[Name(EN)],0),20)</f>
        <v>0.49</v>
      </c>
      <c r="AJ28" s="115">
        <f>IF(L28="Yes",AI28*Tab_Data_Flows[[#This Row],[Flow_Py]],"N.A.")</f>
        <v>23.760883033421809</v>
      </c>
      <c r="AK28" s="61" t="str">
        <f>Tab_Data_Flows[[#This Row],[UoM_Flow_Py]]</f>
        <v>Mg</v>
      </c>
    </row>
    <row r="29" spans="1:37" x14ac:dyDescent="0.35">
      <c r="A29" s="60">
        <f t="shared" si="0"/>
        <v>28</v>
      </c>
      <c r="B29" s="49" t="str">
        <f>_xlfn.XLOOKUP(C29,Tab_Def_Flows[Name(EN)],Tab_Def_Flows[Flow_ID],,0,)</f>
        <v>F_04_01</v>
      </c>
      <c r="C29" s="51" t="s">
        <v>337</v>
      </c>
      <c r="D29" s="49">
        <f>_xlfn.XLOOKUP(C29,Tab_Def_Flows[Name(EN)],Tab_Def_Flows[Type_Biomass],,0,)</f>
        <v>0</v>
      </c>
      <c r="E29" s="49" t="str">
        <f>_xlfn.XLOOKUP(C29,Tab_Def_Flows[Name(EN)],Tab_Def_Flows[Output_Process],,0,)</f>
        <v>Life stock farming</v>
      </c>
      <c r="F29" s="49" t="str">
        <f>_xlfn.XLOOKUP(C29,Tab_Def_Flows[Name(EN)],Tab_Def_Flows[Process_ID_O],,0,)</f>
        <v>04_Lif_BB</v>
      </c>
      <c r="G29" s="49" t="str">
        <f>_xlfn.XLOOKUP(C29,Tab_Def_Flows[Name(EN)],Tab_Def_Flows[Input_Process],,0,)</f>
        <v>Biogas production</v>
      </c>
      <c r="H29" s="61" t="str">
        <f>_xlfn.XLOOKUP(C29,Tab_Def_Flows[Name(EN)],Tab_Def_Flows[Process_ID_I],,0,)</f>
        <v>01_Bio_BB</v>
      </c>
      <c r="I29" s="61">
        <f>_xlfn.XLOOKUP(C29,Tab_Def_Flows[Name(EN)],Tab_Def_Flows[Value_Source],,0,)</f>
        <v>0</v>
      </c>
      <c r="J29" s="61" t="str">
        <f>_xlfn.XLOOKUP(C29,Tab_Def_Flows[Name(EN)],Tab_Def_Flows[WC?],,0,)</f>
        <v>Yes</v>
      </c>
      <c r="K29" s="61" t="str">
        <f>_xlfn.XLOOKUP(C29,Tab_Def_Flows[Name(EN)],Tab_Def_Flows[DM?],,0,)</f>
        <v>Yes</v>
      </c>
      <c r="L29" s="61" t="str">
        <f>_xlfn.XLOOKUP(C29,Tab_Def_Flows[Name(EN)],Tab_Def_Flows[CC?],,0,)</f>
        <v>Yes</v>
      </c>
      <c r="M29" s="51">
        <v>2034</v>
      </c>
      <c r="N29" s="51" t="s">
        <v>353</v>
      </c>
      <c r="O29" s="126">
        <f t="shared" si="9"/>
        <v>49.461429987939276</v>
      </c>
      <c r="P29" s="51" t="s">
        <v>398</v>
      </c>
      <c r="Q29" s="51"/>
      <c r="R29" s="51"/>
      <c r="S29" s="51"/>
      <c r="T29" s="51"/>
      <c r="U29" s="51"/>
      <c r="V29" s="51"/>
      <c r="W29" s="51"/>
      <c r="X29" s="51" t="s">
        <v>71</v>
      </c>
      <c r="Y29" s="109"/>
      <c r="Z29" s="51"/>
      <c r="AA29" s="89">
        <f t="shared" si="10"/>
        <v>49.461429987939276</v>
      </c>
      <c r="AB29" s="51" t="s">
        <v>63</v>
      </c>
      <c r="AC29" s="114">
        <f>INDEX(Tab_Def_Flows[[Flow_ID]:[CC_DM_source]],MATCH(Tab_Data_Flows[[#This Row],[Name(EN)]],Tab_Def_Flows[Name(EN)],0),16)</f>
        <v>0.94</v>
      </c>
      <c r="AD29" s="115">
        <f>IF(J29="Yes",AA29*Tab_Data_Flows[[#This Row],[WC_'[%']]],"N.A.")</f>
        <v>46.493744188662916</v>
      </c>
      <c r="AE29" s="61" t="str">
        <f>Tab_Data_Flows[[#This Row],[UoM_Flow_Py]]</f>
        <v>Mg</v>
      </c>
      <c r="AF29" s="114">
        <f>INDEX(Tab_Def_Flows[[Flow_ID]:[CC_DM_source]],MATCH(Tab_Data_Flows[[#This Row],[Name(EN)]],Tab_Def_Flows[Name(EN)],0),18)</f>
        <v>0.06</v>
      </c>
      <c r="AG29" s="115">
        <f>IF(K29="Yes",AF29*Tab_Data_Flows[[#This Row],[Flow_Py]],"N.A.")</f>
        <v>2.9676857992763566</v>
      </c>
      <c r="AH29" s="61" t="str">
        <f>Tab_Data_Flows[[#This Row],[UoM_Flow_Py]]</f>
        <v>Mg</v>
      </c>
      <c r="AI29" s="114">
        <f>INDEX(Tab_Def_Flows[[Flow_ID]:[CC_DM_source]],MATCH(Tab_Data_Flows[[#This Row],[Name(EN)]],Tab_Def_Flows[Name(EN)],0),20)</f>
        <v>0.49</v>
      </c>
      <c r="AJ29" s="115">
        <f>IF(L29="Yes",AI29*Tab_Data_Flows[[#This Row],[Flow_Py]],"N.A.")</f>
        <v>24.236100694090243</v>
      </c>
      <c r="AK29" s="61" t="str">
        <f>Tab_Data_Flows[[#This Row],[UoM_Flow_Py]]</f>
        <v>Mg</v>
      </c>
    </row>
    <row r="30" spans="1:37" x14ac:dyDescent="0.35">
      <c r="A30" s="60">
        <f t="shared" si="0"/>
        <v>29</v>
      </c>
      <c r="B30" s="49" t="str">
        <f>_xlfn.XLOOKUP(C30,Tab_Def_Flows[Name(EN)],Tab_Def_Flows[Flow_ID],,0,)</f>
        <v>F_04_01</v>
      </c>
      <c r="C30" s="51" t="s">
        <v>337</v>
      </c>
      <c r="D30" s="49">
        <f>_xlfn.XLOOKUP(C30,Tab_Def_Flows[Name(EN)],Tab_Def_Flows[Type_Biomass],,0,)</f>
        <v>0</v>
      </c>
      <c r="E30" s="49" t="str">
        <f>_xlfn.XLOOKUP(C30,Tab_Def_Flows[Name(EN)],Tab_Def_Flows[Output_Process],,0,)</f>
        <v>Life stock farming</v>
      </c>
      <c r="F30" s="49" t="str">
        <f>_xlfn.XLOOKUP(C30,Tab_Def_Flows[Name(EN)],Tab_Def_Flows[Process_ID_O],,0,)</f>
        <v>04_Lif_BB</v>
      </c>
      <c r="G30" s="49" t="str">
        <f>_xlfn.XLOOKUP(C30,Tab_Def_Flows[Name(EN)],Tab_Def_Flows[Input_Process],,0,)</f>
        <v>Biogas production</v>
      </c>
      <c r="H30" s="61" t="str">
        <f>_xlfn.XLOOKUP(C30,Tab_Def_Flows[Name(EN)],Tab_Def_Flows[Process_ID_I],,0,)</f>
        <v>01_Bio_BB</v>
      </c>
      <c r="I30" s="61">
        <f>_xlfn.XLOOKUP(C30,Tab_Def_Flows[Name(EN)],Tab_Def_Flows[Value_Source],,0,)</f>
        <v>0</v>
      </c>
      <c r="J30" s="61" t="str">
        <f>_xlfn.XLOOKUP(C30,Tab_Def_Flows[Name(EN)],Tab_Def_Flows[WC?],,0,)</f>
        <v>Yes</v>
      </c>
      <c r="K30" s="61" t="str">
        <f>_xlfn.XLOOKUP(C30,Tab_Def_Flows[Name(EN)],Tab_Def_Flows[DM?],,0,)</f>
        <v>Yes</v>
      </c>
      <c r="L30" s="61" t="str">
        <f>_xlfn.XLOOKUP(C30,Tab_Def_Flows[Name(EN)],Tab_Def_Flows[CC?],,0,)</f>
        <v>Yes</v>
      </c>
      <c r="M30" s="51">
        <v>2035</v>
      </c>
      <c r="N30" s="51" t="s">
        <v>353</v>
      </c>
      <c r="O30" s="126">
        <f t="shared" si="9"/>
        <v>50.450658587698065</v>
      </c>
      <c r="P30" s="51" t="s">
        <v>398</v>
      </c>
      <c r="Q30" s="51"/>
      <c r="R30" s="51"/>
      <c r="S30" s="51"/>
      <c r="T30" s="51"/>
      <c r="U30" s="51"/>
      <c r="V30" s="51"/>
      <c r="W30" s="51"/>
      <c r="X30" s="51" t="s">
        <v>71</v>
      </c>
      <c r="Y30" s="109"/>
      <c r="Z30" s="51"/>
      <c r="AA30" s="89">
        <f t="shared" ref="AA30" si="11">IF(X30="no",O30,O30*Y30)</f>
        <v>50.450658587698065</v>
      </c>
      <c r="AB30" s="51" t="s">
        <v>63</v>
      </c>
      <c r="AC30" s="114">
        <f>INDEX(Tab_Def_Flows[[Flow_ID]:[CC_DM_source]],MATCH(Tab_Data_Flows[[#This Row],[Name(EN)]],Tab_Def_Flows[Name(EN)],0),16)</f>
        <v>0.94</v>
      </c>
      <c r="AD30" s="115">
        <f>IF(J30="Yes",AA30*Tab_Data_Flows[[#This Row],[WC_'[%']]],"N.A.")</f>
        <v>47.423619072436182</v>
      </c>
      <c r="AE30" s="61" t="str">
        <f>Tab_Data_Flows[[#This Row],[UoM_Flow_Py]]</f>
        <v>Mg</v>
      </c>
      <c r="AF30" s="114">
        <f>INDEX(Tab_Def_Flows[[Flow_ID]:[CC_DM_source]],MATCH(Tab_Data_Flows[[#This Row],[Name(EN)]],Tab_Def_Flows[Name(EN)],0),18)</f>
        <v>0.06</v>
      </c>
      <c r="AG30" s="115">
        <f>IF(K30="Yes",AF30*Tab_Data_Flows[[#This Row],[Flow_Py]],"N.A.")</f>
        <v>3.0270395152618836</v>
      </c>
      <c r="AH30" s="61" t="str">
        <f>Tab_Data_Flows[[#This Row],[UoM_Flow_Py]]</f>
        <v>Mg</v>
      </c>
      <c r="AI30" s="114">
        <f>INDEX(Tab_Def_Flows[[Flow_ID]:[CC_DM_source]],MATCH(Tab_Data_Flows[[#This Row],[Name(EN)]],Tab_Def_Flows[Name(EN)],0),20)</f>
        <v>0.49</v>
      </c>
      <c r="AJ30" s="115">
        <f>IF(L30="Yes",AI30*Tab_Data_Flows[[#This Row],[Flow_Py]],"N.A.")</f>
        <v>24.720822707972051</v>
      </c>
      <c r="AK30" s="61" t="str">
        <f>Tab_Data_Flows[[#This Row],[UoM_Flow_Py]]</f>
        <v>Mg</v>
      </c>
    </row>
    <row r="31" spans="1:37" x14ac:dyDescent="0.35">
      <c r="A31" s="60">
        <f t="shared" si="0"/>
        <v>30</v>
      </c>
      <c r="B31" s="49" t="str">
        <f>_xlfn.XLOOKUP(C31,Tab_Def_Flows[Name(EN)],Tab_Def_Flows[Flow_ID],,0,)</f>
        <v>F_04_01</v>
      </c>
      <c r="C31" s="51" t="s">
        <v>337</v>
      </c>
      <c r="D31" s="49">
        <f>_xlfn.XLOOKUP(C31,Tab_Def_Flows[Name(EN)],Tab_Def_Flows[Type_Biomass],,0,)</f>
        <v>0</v>
      </c>
      <c r="E31" s="49" t="str">
        <f>_xlfn.XLOOKUP(C31,Tab_Def_Flows[Name(EN)],Tab_Def_Flows[Output_Process],,0,)</f>
        <v>Life stock farming</v>
      </c>
      <c r="F31" s="49" t="str">
        <f>_xlfn.XLOOKUP(C31,Tab_Def_Flows[Name(EN)],Tab_Def_Flows[Process_ID_O],,0,)</f>
        <v>04_Lif_BB</v>
      </c>
      <c r="G31" s="49" t="str">
        <f>_xlfn.XLOOKUP(C31,Tab_Def_Flows[Name(EN)],Tab_Def_Flows[Input_Process],,0,)</f>
        <v>Biogas production</v>
      </c>
      <c r="H31" s="61" t="str">
        <f>_xlfn.XLOOKUP(C31,Tab_Def_Flows[Name(EN)],Tab_Def_Flows[Process_ID_I],,0,)</f>
        <v>01_Bio_BB</v>
      </c>
      <c r="I31" s="61">
        <f>_xlfn.XLOOKUP(C31,Tab_Def_Flows[Name(EN)],Tab_Def_Flows[Value_Source],,0,)</f>
        <v>0</v>
      </c>
      <c r="J31" s="61" t="str">
        <f>_xlfn.XLOOKUP(C31,Tab_Def_Flows[Name(EN)],Tab_Def_Flows[WC?],,0,)</f>
        <v>Yes</v>
      </c>
      <c r="K31" s="61" t="str">
        <f>_xlfn.XLOOKUP(C31,Tab_Def_Flows[Name(EN)],Tab_Def_Flows[DM?],,0,)</f>
        <v>Yes</v>
      </c>
      <c r="L31" s="61" t="str">
        <f>_xlfn.XLOOKUP(C31,Tab_Def_Flows[Name(EN)],Tab_Def_Flows[CC?],,0,)</f>
        <v>Yes</v>
      </c>
      <c r="M31" s="51">
        <v>2036</v>
      </c>
      <c r="N31" s="51" t="s">
        <v>353</v>
      </c>
      <c r="O31" s="126">
        <f t="shared" si="9"/>
        <v>51.459671759452029</v>
      </c>
      <c r="P31" s="51" t="s">
        <v>398</v>
      </c>
      <c r="Q31" s="51"/>
      <c r="R31" s="51"/>
      <c r="S31" s="51"/>
      <c r="T31" s="51"/>
      <c r="U31" s="51"/>
      <c r="V31" s="51"/>
      <c r="W31" s="51"/>
      <c r="X31" s="51" t="s">
        <v>71</v>
      </c>
      <c r="Y31" s="109"/>
      <c r="Z31" s="51"/>
      <c r="AA31" s="89">
        <f t="shared" si="10"/>
        <v>51.459671759452029</v>
      </c>
      <c r="AB31" s="51" t="s">
        <v>63</v>
      </c>
      <c r="AC31" s="114">
        <f>INDEX(Tab_Def_Flows[[Flow_ID]:[CC_DM_source]],MATCH(Tab_Data_Flows[[#This Row],[Name(EN)]],Tab_Def_Flows[Name(EN)],0),16)</f>
        <v>0.94</v>
      </c>
      <c r="AD31" s="115">
        <f>IF(J31="Yes",AA31*Tab_Data_Flows[[#This Row],[WC_'[%']]],"N.A.")</f>
        <v>48.372091453884906</v>
      </c>
      <c r="AE31" s="61" t="str">
        <f>Tab_Data_Flows[[#This Row],[UoM_Flow_Py]]</f>
        <v>Mg</v>
      </c>
      <c r="AF31" s="114">
        <f>INDEX(Tab_Def_Flows[[Flow_ID]:[CC_DM_source]],MATCH(Tab_Data_Flows[[#This Row],[Name(EN)]],Tab_Def_Flows[Name(EN)],0),18)</f>
        <v>0.06</v>
      </c>
      <c r="AG31" s="115">
        <f>IF(K31="Yes",AF31*Tab_Data_Flows[[#This Row],[Flow_Py]],"N.A.")</f>
        <v>3.0875803055671218</v>
      </c>
      <c r="AH31" s="61" t="str">
        <f>Tab_Data_Flows[[#This Row],[UoM_Flow_Py]]</f>
        <v>Mg</v>
      </c>
      <c r="AI31" s="114">
        <f>INDEX(Tab_Def_Flows[[Flow_ID]:[CC_DM_source]],MATCH(Tab_Data_Flows[[#This Row],[Name(EN)]],Tab_Def_Flows[Name(EN)],0),20)</f>
        <v>0.49</v>
      </c>
      <c r="AJ31" s="115">
        <f>IF(L31="Yes",AI31*Tab_Data_Flows[[#This Row],[Flow_Py]],"N.A.")</f>
        <v>25.215239162131493</v>
      </c>
      <c r="AK31" s="61" t="str">
        <f>Tab_Data_Flows[[#This Row],[UoM_Flow_Py]]</f>
        <v>Mg</v>
      </c>
    </row>
    <row r="32" spans="1:37" x14ac:dyDescent="0.35">
      <c r="A32" s="60">
        <f t="shared" ref="A32:A160" si="12">ROW()-1</f>
        <v>31</v>
      </c>
      <c r="B32" s="49" t="str">
        <f>_xlfn.XLOOKUP(C32,Tab_Def_Flows[Name(EN)],Tab_Def_Flows[Flow_ID],,0,)</f>
        <v>F_11_02</v>
      </c>
      <c r="C32" s="51" t="s">
        <v>341</v>
      </c>
      <c r="D32" s="49">
        <f>_xlfn.XLOOKUP(C32,Tab_Def_Flows[Name(EN)],Tab_Def_Flows[Type_Biomass],,0,)</f>
        <v>0</v>
      </c>
      <c r="E32" s="49" t="str">
        <f>_xlfn.XLOOKUP(C32,Tab_Def_Flows[Name(EN)],Tab_Def_Flows[Output_Process],,0,)</f>
        <v>Millet production</v>
      </c>
      <c r="F32" s="49" t="str">
        <f>_xlfn.XLOOKUP(C32,Tab_Def_Flows[Name(EN)],Tab_Def_Flows[Process_ID_O],,0,)</f>
        <v>11_Mil_BB</v>
      </c>
      <c r="G32" s="49" t="str">
        <f>_xlfn.XLOOKUP(C32,Tab_Def_Flows[Name(EN)],Tab_Def_Flows[Input_Process],,0,)</f>
        <v>MBC production</v>
      </c>
      <c r="H32" s="61" t="str">
        <f>_xlfn.XLOOKUP(C32,Tab_Def_Flows[Name(EN)],Tab_Def_Flows[Process_ID_I],,0,)</f>
        <v>02_MBC_BB</v>
      </c>
      <c r="I32" s="61">
        <f>_xlfn.XLOOKUP(C32,Tab_Def_Flows[Name(EN)],Tab_Def_Flows[Value_Source],,0,)</f>
        <v>0</v>
      </c>
      <c r="J32" s="61" t="str">
        <f>_xlfn.XLOOKUP(C32,Tab_Def_Flows[Name(EN)],Tab_Def_Flows[WC?],,0,)</f>
        <v>Yes</v>
      </c>
      <c r="K32" s="61" t="str">
        <f>_xlfn.XLOOKUP(C32,Tab_Def_Flows[Name(EN)],Tab_Def_Flows[DM?],,0,)</f>
        <v>Yes</v>
      </c>
      <c r="L32" s="61" t="str">
        <f>_xlfn.XLOOKUP(C32,Tab_Def_Flows[Name(EN)],Tab_Def_Flows[CC?],,0,)</f>
        <v>Yes</v>
      </c>
      <c r="M32" s="51">
        <v>2022</v>
      </c>
      <c r="N32" s="51" t="s">
        <v>353</v>
      </c>
      <c r="O32" s="126">
        <v>1</v>
      </c>
      <c r="P32" s="51" t="s">
        <v>398</v>
      </c>
      <c r="Q32" s="51"/>
      <c r="R32" s="51"/>
      <c r="S32" s="51"/>
      <c r="T32" s="51"/>
      <c r="U32" s="51"/>
      <c r="V32" s="51"/>
      <c r="W32" s="51"/>
      <c r="X32" s="51" t="s">
        <v>71</v>
      </c>
      <c r="Y32" s="109"/>
      <c r="Z32" s="51"/>
      <c r="AA32" s="89">
        <f t="shared" si="7"/>
        <v>1</v>
      </c>
      <c r="AB32" s="51" t="s">
        <v>63</v>
      </c>
      <c r="AC32" s="114">
        <f>INDEX(Tab_Def_Flows[[Flow_ID]:[CC_DM_source]],MATCH(Tab_Data_Flows[[#This Row],[Name(EN)]],Tab_Def_Flows[Name(EN)],0),16)</f>
        <v>0.66</v>
      </c>
      <c r="AD32" s="115">
        <f>IF(J32="Yes",AA32*Tab_Data_Flows[[#This Row],[WC_'[%']]],"N.A.")</f>
        <v>0.66</v>
      </c>
      <c r="AE32" s="61" t="str">
        <f>Tab_Data_Flows[[#This Row],[UoM_Flow_Py]]</f>
        <v>Mg</v>
      </c>
      <c r="AF32" s="114">
        <f>INDEX(Tab_Def_Flows[[Flow_ID]:[CC_DM_source]],MATCH(Tab_Data_Flows[[#This Row],[Name(EN)]],Tab_Def_Flows[Name(EN)],0),18)</f>
        <v>0.34</v>
      </c>
      <c r="AG32" s="115">
        <f>IF(K32="Yes",AF32*Tab_Data_Flows[[#This Row],[Flow_Py]],"N.A.")</f>
        <v>0.34</v>
      </c>
      <c r="AH32" s="61" t="str">
        <f>Tab_Data_Flows[[#This Row],[UoM_Flow_Py]]</f>
        <v>Mg</v>
      </c>
      <c r="AI32" s="114">
        <f>INDEX(Tab_Def_Flows[[Flow_ID]:[CC_DM_source]],MATCH(Tab_Data_Flows[[#This Row],[Name(EN)]],Tab_Def_Flows[Name(EN)],0),20)</f>
        <v>0.47</v>
      </c>
      <c r="AJ32" s="115">
        <f>IF(L32="Yes",AI32*Tab_Data_Flows[[#This Row],[Flow_Py]],"N.A.")</f>
        <v>0.47</v>
      </c>
      <c r="AK32" s="61" t="str">
        <f>Tab_Data_Flows[[#This Row],[UoM_Flow_Py]]</f>
        <v>Mg</v>
      </c>
    </row>
    <row r="33" spans="1:37" x14ac:dyDescent="0.35">
      <c r="A33" s="60">
        <f t="shared" si="12"/>
        <v>32</v>
      </c>
      <c r="B33" s="49" t="str">
        <f>_xlfn.XLOOKUP(C33,Tab_Def_Flows[Name(EN)],Tab_Def_Flows[Flow_ID],,0,)</f>
        <v>F_11_02</v>
      </c>
      <c r="C33" s="51" t="s">
        <v>341</v>
      </c>
      <c r="D33" s="49">
        <f>_xlfn.XLOOKUP(C33,Tab_Def_Flows[Name(EN)],Tab_Def_Flows[Type_Biomass],,0,)</f>
        <v>0</v>
      </c>
      <c r="E33" s="49" t="str">
        <f>_xlfn.XLOOKUP(C33,Tab_Def_Flows[Name(EN)],Tab_Def_Flows[Output_Process],,0,)</f>
        <v>Millet production</v>
      </c>
      <c r="F33" s="49" t="str">
        <f>_xlfn.XLOOKUP(C33,Tab_Def_Flows[Name(EN)],Tab_Def_Flows[Process_ID_O],,0,)</f>
        <v>11_Mil_BB</v>
      </c>
      <c r="G33" s="49" t="str">
        <f>_xlfn.XLOOKUP(C33,Tab_Def_Flows[Name(EN)],Tab_Def_Flows[Input_Process],,0,)</f>
        <v>MBC production</v>
      </c>
      <c r="H33" s="61" t="str">
        <f>_xlfn.XLOOKUP(C33,Tab_Def_Flows[Name(EN)],Tab_Def_Flows[Process_ID_I],,0,)</f>
        <v>02_MBC_BB</v>
      </c>
      <c r="I33" s="61">
        <f>_xlfn.XLOOKUP(C33,Tab_Def_Flows[Name(EN)],Tab_Def_Flows[Value_Source],,0,)</f>
        <v>0</v>
      </c>
      <c r="J33" s="61" t="str">
        <f>_xlfn.XLOOKUP(C33,Tab_Def_Flows[Name(EN)],Tab_Def_Flows[WC?],,0,)</f>
        <v>Yes</v>
      </c>
      <c r="K33" s="61" t="str">
        <f>_xlfn.XLOOKUP(C33,Tab_Def_Flows[Name(EN)],Tab_Def_Flows[DM?],,0,)</f>
        <v>Yes</v>
      </c>
      <c r="L33" s="61" t="str">
        <f>_xlfn.XLOOKUP(C33,Tab_Def_Flows[Name(EN)],Tab_Def_Flows[CC?],,0,)</f>
        <v>Yes</v>
      </c>
      <c r="M33" s="51">
        <v>2023</v>
      </c>
      <c r="N33" s="51" t="s">
        <v>353</v>
      </c>
      <c r="O33" s="126">
        <f>O32*1.02</f>
        <v>1.02</v>
      </c>
      <c r="P33" s="51" t="s">
        <v>398</v>
      </c>
      <c r="Q33" s="51"/>
      <c r="R33" s="51"/>
      <c r="S33" s="51"/>
      <c r="T33" s="51"/>
      <c r="U33" s="51"/>
      <c r="V33" s="51"/>
      <c r="W33" s="51"/>
      <c r="X33" s="51" t="s">
        <v>71</v>
      </c>
      <c r="Y33" s="109"/>
      <c r="Z33" s="51"/>
      <c r="AA33" s="89">
        <f t="shared" ref="AA33:AA39" si="13">IF(X33="no",O33,O33*Y33)</f>
        <v>1.02</v>
      </c>
      <c r="AB33" s="51" t="s">
        <v>63</v>
      </c>
      <c r="AC33" s="114">
        <f>INDEX(Tab_Def_Flows[[Flow_ID]:[CC_DM_source]],MATCH(Tab_Data_Flows[[#This Row],[Name(EN)]],Tab_Def_Flows[Name(EN)],0),16)</f>
        <v>0.66</v>
      </c>
      <c r="AD33" s="115">
        <f>IF(J33="Yes",AA33*Tab_Data_Flows[[#This Row],[WC_'[%']]],"N.A.")</f>
        <v>0.67320000000000002</v>
      </c>
      <c r="AE33" s="61" t="str">
        <f>Tab_Data_Flows[[#This Row],[UoM_Flow_Py]]</f>
        <v>Mg</v>
      </c>
      <c r="AF33" s="114">
        <f>INDEX(Tab_Def_Flows[[Flow_ID]:[CC_DM_source]],MATCH(Tab_Data_Flows[[#This Row],[Name(EN)]],Tab_Def_Flows[Name(EN)],0),18)</f>
        <v>0.34</v>
      </c>
      <c r="AG33" s="115">
        <f>IF(K33="Yes",AF33*Tab_Data_Flows[[#This Row],[Flow_Py]],"N.A.")</f>
        <v>0.34680000000000005</v>
      </c>
      <c r="AH33" s="61" t="str">
        <f>Tab_Data_Flows[[#This Row],[UoM_Flow_Py]]</f>
        <v>Mg</v>
      </c>
      <c r="AI33" s="114">
        <f>INDEX(Tab_Def_Flows[[Flow_ID]:[CC_DM_source]],MATCH(Tab_Data_Flows[[#This Row],[Name(EN)]],Tab_Def_Flows[Name(EN)],0),20)</f>
        <v>0.47</v>
      </c>
      <c r="AJ33" s="115">
        <f>IF(L33="Yes",AI33*Tab_Data_Flows[[#This Row],[Flow_Py]],"N.A.")</f>
        <v>0.47939999999999999</v>
      </c>
      <c r="AK33" s="61" t="str">
        <f>Tab_Data_Flows[[#This Row],[UoM_Flow_Py]]</f>
        <v>Mg</v>
      </c>
    </row>
    <row r="34" spans="1:37" x14ac:dyDescent="0.35">
      <c r="A34" s="60">
        <f t="shared" si="12"/>
        <v>33</v>
      </c>
      <c r="B34" s="49" t="str">
        <f>_xlfn.XLOOKUP(C34,Tab_Def_Flows[Name(EN)],Tab_Def_Flows[Flow_ID],,0,)</f>
        <v>F_11_02</v>
      </c>
      <c r="C34" s="51" t="s">
        <v>341</v>
      </c>
      <c r="D34" s="49">
        <f>_xlfn.XLOOKUP(C34,Tab_Def_Flows[Name(EN)],Tab_Def_Flows[Type_Biomass],,0,)</f>
        <v>0</v>
      </c>
      <c r="E34" s="49" t="str">
        <f>_xlfn.XLOOKUP(C34,Tab_Def_Flows[Name(EN)],Tab_Def_Flows[Output_Process],,0,)</f>
        <v>Millet production</v>
      </c>
      <c r="F34" s="49" t="str">
        <f>_xlfn.XLOOKUP(C34,Tab_Def_Flows[Name(EN)],Tab_Def_Flows[Process_ID_O],,0,)</f>
        <v>11_Mil_BB</v>
      </c>
      <c r="G34" s="49" t="str">
        <f>_xlfn.XLOOKUP(C34,Tab_Def_Flows[Name(EN)],Tab_Def_Flows[Input_Process],,0,)</f>
        <v>MBC production</v>
      </c>
      <c r="H34" s="61" t="str">
        <f>_xlfn.XLOOKUP(C34,Tab_Def_Flows[Name(EN)],Tab_Def_Flows[Process_ID_I],,0,)</f>
        <v>02_MBC_BB</v>
      </c>
      <c r="I34" s="61">
        <f>_xlfn.XLOOKUP(C34,Tab_Def_Flows[Name(EN)],Tab_Def_Flows[Value_Source],,0,)</f>
        <v>0</v>
      </c>
      <c r="J34" s="61" t="str">
        <f>_xlfn.XLOOKUP(C34,Tab_Def_Flows[Name(EN)],Tab_Def_Flows[WC?],,0,)</f>
        <v>Yes</v>
      </c>
      <c r="K34" s="61" t="str">
        <f>_xlfn.XLOOKUP(C34,Tab_Def_Flows[Name(EN)],Tab_Def_Flows[DM?],,0,)</f>
        <v>Yes</v>
      </c>
      <c r="L34" s="61" t="str">
        <f>_xlfn.XLOOKUP(C34,Tab_Def_Flows[Name(EN)],Tab_Def_Flows[CC?],,0,)</f>
        <v>Yes</v>
      </c>
      <c r="M34" s="51">
        <v>2024</v>
      </c>
      <c r="N34" s="51" t="s">
        <v>353</v>
      </c>
      <c r="O34" s="126">
        <f t="shared" ref="O34:O46" si="14">O33*1.02</f>
        <v>1.0404</v>
      </c>
      <c r="P34" s="51" t="s">
        <v>398</v>
      </c>
      <c r="Q34" s="51"/>
      <c r="R34" s="51"/>
      <c r="S34" s="51"/>
      <c r="T34" s="51"/>
      <c r="U34" s="51"/>
      <c r="V34" s="51"/>
      <c r="W34" s="51"/>
      <c r="X34" s="51" t="s">
        <v>71</v>
      </c>
      <c r="Y34" s="109"/>
      <c r="Z34" s="51"/>
      <c r="AA34" s="89">
        <f t="shared" si="13"/>
        <v>1.0404</v>
      </c>
      <c r="AB34" s="51" t="s">
        <v>63</v>
      </c>
      <c r="AC34" s="114">
        <f>INDEX(Tab_Def_Flows[[Flow_ID]:[CC_DM_source]],MATCH(Tab_Data_Flows[[#This Row],[Name(EN)]],Tab_Def_Flows[Name(EN)],0),16)</f>
        <v>0.66</v>
      </c>
      <c r="AD34" s="115">
        <f>IF(J34="Yes",AA34*Tab_Data_Flows[[#This Row],[WC_'[%']]],"N.A.")</f>
        <v>0.68666400000000005</v>
      </c>
      <c r="AE34" s="61" t="str">
        <f>Tab_Data_Flows[[#This Row],[UoM_Flow_Py]]</f>
        <v>Mg</v>
      </c>
      <c r="AF34" s="114">
        <f>INDEX(Tab_Def_Flows[[Flow_ID]:[CC_DM_source]],MATCH(Tab_Data_Flows[[#This Row],[Name(EN)]],Tab_Def_Flows[Name(EN)],0),18)</f>
        <v>0.34</v>
      </c>
      <c r="AG34" s="115">
        <f>IF(K34="Yes",AF34*Tab_Data_Flows[[#This Row],[Flow_Py]],"N.A.")</f>
        <v>0.35373599999999999</v>
      </c>
      <c r="AH34" s="61" t="str">
        <f>Tab_Data_Flows[[#This Row],[UoM_Flow_Py]]</f>
        <v>Mg</v>
      </c>
      <c r="AI34" s="114">
        <f>INDEX(Tab_Def_Flows[[Flow_ID]:[CC_DM_source]],MATCH(Tab_Data_Flows[[#This Row],[Name(EN)]],Tab_Def_Flows[Name(EN)],0),20)</f>
        <v>0.47</v>
      </c>
      <c r="AJ34" s="115">
        <f>IF(L34="Yes",AI34*Tab_Data_Flows[[#This Row],[Flow_Py]],"N.A.")</f>
        <v>0.48898799999999998</v>
      </c>
      <c r="AK34" s="61" t="str">
        <f>Tab_Data_Flows[[#This Row],[UoM_Flow_Py]]</f>
        <v>Mg</v>
      </c>
    </row>
    <row r="35" spans="1:37" x14ac:dyDescent="0.35">
      <c r="A35" s="60">
        <f t="shared" si="12"/>
        <v>34</v>
      </c>
      <c r="B35" s="49" t="str">
        <f>_xlfn.XLOOKUP(C35,Tab_Def_Flows[Name(EN)],Tab_Def_Flows[Flow_ID],,0,)</f>
        <v>F_11_02</v>
      </c>
      <c r="C35" s="51" t="s">
        <v>341</v>
      </c>
      <c r="D35" s="49">
        <f>_xlfn.XLOOKUP(C35,Tab_Def_Flows[Name(EN)],Tab_Def_Flows[Type_Biomass],,0,)</f>
        <v>0</v>
      </c>
      <c r="E35" s="49" t="str">
        <f>_xlfn.XLOOKUP(C35,Tab_Def_Flows[Name(EN)],Tab_Def_Flows[Output_Process],,0,)</f>
        <v>Millet production</v>
      </c>
      <c r="F35" s="49" t="str">
        <f>_xlfn.XLOOKUP(C35,Tab_Def_Flows[Name(EN)],Tab_Def_Flows[Process_ID_O],,0,)</f>
        <v>11_Mil_BB</v>
      </c>
      <c r="G35" s="49" t="str">
        <f>_xlfn.XLOOKUP(C35,Tab_Def_Flows[Name(EN)],Tab_Def_Flows[Input_Process],,0,)</f>
        <v>MBC production</v>
      </c>
      <c r="H35" s="61" t="str">
        <f>_xlfn.XLOOKUP(C35,Tab_Def_Flows[Name(EN)],Tab_Def_Flows[Process_ID_I],,0,)</f>
        <v>02_MBC_BB</v>
      </c>
      <c r="I35" s="61">
        <f>_xlfn.XLOOKUP(C35,Tab_Def_Flows[Name(EN)],Tab_Def_Flows[Value_Source],,0,)</f>
        <v>0</v>
      </c>
      <c r="J35" s="61" t="str">
        <f>_xlfn.XLOOKUP(C35,Tab_Def_Flows[Name(EN)],Tab_Def_Flows[WC?],,0,)</f>
        <v>Yes</v>
      </c>
      <c r="K35" s="61" t="str">
        <f>_xlfn.XLOOKUP(C35,Tab_Def_Flows[Name(EN)],Tab_Def_Flows[DM?],,0,)</f>
        <v>Yes</v>
      </c>
      <c r="L35" s="61" t="str">
        <f>_xlfn.XLOOKUP(C35,Tab_Def_Flows[Name(EN)],Tab_Def_Flows[CC?],,0,)</f>
        <v>Yes</v>
      </c>
      <c r="M35" s="51">
        <v>2025</v>
      </c>
      <c r="N35" s="51" t="s">
        <v>353</v>
      </c>
      <c r="O35" s="126">
        <f t="shared" si="14"/>
        <v>1.0612079999999999</v>
      </c>
      <c r="P35" s="51" t="s">
        <v>398</v>
      </c>
      <c r="Q35" s="51"/>
      <c r="R35" s="51"/>
      <c r="S35" s="51"/>
      <c r="T35" s="51"/>
      <c r="U35" s="51"/>
      <c r="V35" s="51"/>
      <c r="W35" s="51"/>
      <c r="X35" s="51" t="s">
        <v>71</v>
      </c>
      <c r="Y35" s="109"/>
      <c r="Z35" s="51"/>
      <c r="AA35" s="89">
        <f t="shared" si="13"/>
        <v>1.0612079999999999</v>
      </c>
      <c r="AB35" s="51" t="s">
        <v>63</v>
      </c>
      <c r="AC35" s="114">
        <f>INDEX(Tab_Def_Flows[[Flow_ID]:[CC_DM_source]],MATCH(Tab_Data_Flows[[#This Row],[Name(EN)]],Tab_Def_Flows[Name(EN)],0),16)</f>
        <v>0.66</v>
      </c>
      <c r="AD35" s="115">
        <f>IF(J35="Yes",AA35*Tab_Data_Flows[[#This Row],[WC_'[%']]],"N.A.")</f>
        <v>0.70039728000000001</v>
      </c>
      <c r="AE35" s="61" t="str">
        <f>Tab_Data_Flows[[#This Row],[UoM_Flow_Py]]</f>
        <v>Mg</v>
      </c>
      <c r="AF35" s="114">
        <f>INDEX(Tab_Def_Flows[[Flow_ID]:[CC_DM_source]],MATCH(Tab_Data_Flows[[#This Row],[Name(EN)]],Tab_Def_Flows[Name(EN)],0),18)</f>
        <v>0.34</v>
      </c>
      <c r="AG35" s="115">
        <f>IF(K35="Yes",AF35*Tab_Data_Flows[[#This Row],[Flow_Py]],"N.A.")</f>
        <v>0.36081072000000003</v>
      </c>
      <c r="AH35" s="61" t="str">
        <f>Tab_Data_Flows[[#This Row],[UoM_Flow_Py]]</f>
        <v>Mg</v>
      </c>
      <c r="AI35" s="114">
        <f>INDEX(Tab_Def_Flows[[Flow_ID]:[CC_DM_source]],MATCH(Tab_Data_Flows[[#This Row],[Name(EN)]],Tab_Def_Flows[Name(EN)],0),20)</f>
        <v>0.47</v>
      </c>
      <c r="AJ35" s="115">
        <f>IF(L35="Yes",AI35*Tab_Data_Flows[[#This Row],[Flow_Py]],"N.A.")</f>
        <v>0.49876775999999995</v>
      </c>
      <c r="AK35" s="61" t="str">
        <f>Tab_Data_Flows[[#This Row],[UoM_Flow_Py]]</f>
        <v>Mg</v>
      </c>
    </row>
    <row r="36" spans="1:37" x14ac:dyDescent="0.35">
      <c r="A36" s="60">
        <f t="shared" si="12"/>
        <v>35</v>
      </c>
      <c r="B36" s="49" t="str">
        <f>_xlfn.XLOOKUP(C36,Tab_Def_Flows[Name(EN)],Tab_Def_Flows[Flow_ID],,0,)</f>
        <v>F_11_02</v>
      </c>
      <c r="C36" s="51" t="s">
        <v>341</v>
      </c>
      <c r="D36" s="49">
        <f>_xlfn.XLOOKUP(C36,Tab_Def_Flows[Name(EN)],Tab_Def_Flows[Type_Biomass],,0,)</f>
        <v>0</v>
      </c>
      <c r="E36" s="49" t="str">
        <f>_xlfn.XLOOKUP(C36,Tab_Def_Flows[Name(EN)],Tab_Def_Flows[Output_Process],,0,)</f>
        <v>Millet production</v>
      </c>
      <c r="F36" s="49" t="str">
        <f>_xlfn.XLOOKUP(C36,Tab_Def_Flows[Name(EN)],Tab_Def_Flows[Process_ID_O],,0,)</f>
        <v>11_Mil_BB</v>
      </c>
      <c r="G36" s="49" t="str">
        <f>_xlfn.XLOOKUP(C36,Tab_Def_Flows[Name(EN)],Tab_Def_Flows[Input_Process],,0,)</f>
        <v>MBC production</v>
      </c>
      <c r="H36" s="61" t="str">
        <f>_xlfn.XLOOKUP(C36,Tab_Def_Flows[Name(EN)],Tab_Def_Flows[Process_ID_I],,0,)</f>
        <v>02_MBC_BB</v>
      </c>
      <c r="I36" s="61">
        <f>_xlfn.XLOOKUP(C36,Tab_Def_Flows[Name(EN)],Tab_Def_Flows[Value_Source],,0,)</f>
        <v>0</v>
      </c>
      <c r="J36" s="61" t="str">
        <f>_xlfn.XLOOKUP(C36,Tab_Def_Flows[Name(EN)],Tab_Def_Flows[WC?],,0,)</f>
        <v>Yes</v>
      </c>
      <c r="K36" s="61" t="str">
        <f>_xlfn.XLOOKUP(C36,Tab_Def_Flows[Name(EN)],Tab_Def_Flows[DM?],,0,)</f>
        <v>Yes</v>
      </c>
      <c r="L36" s="61" t="str">
        <f>_xlfn.XLOOKUP(C36,Tab_Def_Flows[Name(EN)],Tab_Def_Flows[CC?],,0,)</f>
        <v>Yes</v>
      </c>
      <c r="M36" s="51">
        <v>2026</v>
      </c>
      <c r="N36" s="51" t="s">
        <v>353</v>
      </c>
      <c r="O36" s="126">
        <f t="shared" si="14"/>
        <v>1.08243216</v>
      </c>
      <c r="P36" s="51" t="s">
        <v>398</v>
      </c>
      <c r="Q36" s="51"/>
      <c r="R36" s="51"/>
      <c r="S36" s="51"/>
      <c r="T36" s="51"/>
      <c r="U36" s="51"/>
      <c r="V36" s="51"/>
      <c r="W36" s="51"/>
      <c r="X36" s="51" t="s">
        <v>71</v>
      </c>
      <c r="Y36" s="109"/>
      <c r="Z36" s="51"/>
      <c r="AA36" s="89">
        <f t="shared" si="13"/>
        <v>1.08243216</v>
      </c>
      <c r="AB36" s="51" t="s">
        <v>63</v>
      </c>
      <c r="AC36" s="114">
        <f>INDEX(Tab_Def_Flows[[Flow_ID]:[CC_DM_source]],MATCH(Tab_Data_Flows[[#This Row],[Name(EN)]],Tab_Def_Flows[Name(EN)],0),16)</f>
        <v>0.66</v>
      </c>
      <c r="AD36" s="115">
        <f>IF(J36="Yes",AA36*Tab_Data_Flows[[#This Row],[WC_'[%']]],"N.A.")</f>
        <v>0.71440522559999997</v>
      </c>
      <c r="AE36" s="61" t="str">
        <f>Tab_Data_Flows[[#This Row],[UoM_Flow_Py]]</f>
        <v>Mg</v>
      </c>
      <c r="AF36" s="114">
        <f>INDEX(Tab_Def_Flows[[Flow_ID]:[CC_DM_source]],MATCH(Tab_Data_Flows[[#This Row],[Name(EN)]],Tab_Def_Flows[Name(EN)],0),18)</f>
        <v>0.34</v>
      </c>
      <c r="AG36" s="115">
        <f>IF(K36="Yes",AF36*Tab_Data_Flows[[#This Row],[Flow_Py]],"N.A.")</f>
        <v>0.36802693440000001</v>
      </c>
      <c r="AH36" s="61" t="str">
        <f>Tab_Data_Flows[[#This Row],[UoM_Flow_Py]]</f>
        <v>Mg</v>
      </c>
      <c r="AI36" s="114">
        <f>INDEX(Tab_Def_Flows[[Flow_ID]:[CC_DM_source]],MATCH(Tab_Data_Flows[[#This Row],[Name(EN)]],Tab_Def_Flows[Name(EN)],0),20)</f>
        <v>0.47</v>
      </c>
      <c r="AJ36" s="115">
        <f>IF(L36="Yes",AI36*Tab_Data_Flows[[#This Row],[Flow_Py]],"N.A.")</f>
        <v>0.50874311519999993</v>
      </c>
      <c r="AK36" s="61" t="str">
        <f>Tab_Data_Flows[[#This Row],[UoM_Flow_Py]]</f>
        <v>Mg</v>
      </c>
    </row>
    <row r="37" spans="1:37" x14ac:dyDescent="0.35">
      <c r="A37" s="60">
        <f t="shared" si="12"/>
        <v>36</v>
      </c>
      <c r="B37" s="49" t="str">
        <f>_xlfn.XLOOKUP(C37,Tab_Def_Flows[Name(EN)],Tab_Def_Flows[Flow_ID],,0,)</f>
        <v>F_11_02</v>
      </c>
      <c r="C37" s="51" t="s">
        <v>341</v>
      </c>
      <c r="D37" s="49">
        <f>_xlfn.XLOOKUP(C37,Tab_Def_Flows[Name(EN)],Tab_Def_Flows[Type_Biomass],,0,)</f>
        <v>0</v>
      </c>
      <c r="E37" s="49" t="str">
        <f>_xlfn.XLOOKUP(C37,Tab_Def_Flows[Name(EN)],Tab_Def_Flows[Output_Process],,0,)</f>
        <v>Millet production</v>
      </c>
      <c r="F37" s="49" t="str">
        <f>_xlfn.XLOOKUP(C37,Tab_Def_Flows[Name(EN)],Tab_Def_Flows[Process_ID_O],,0,)</f>
        <v>11_Mil_BB</v>
      </c>
      <c r="G37" s="49" t="str">
        <f>_xlfn.XLOOKUP(C37,Tab_Def_Flows[Name(EN)],Tab_Def_Flows[Input_Process],,0,)</f>
        <v>MBC production</v>
      </c>
      <c r="H37" s="61" t="str">
        <f>_xlfn.XLOOKUP(C37,Tab_Def_Flows[Name(EN)],Tab_Def_Flows[Process_ID_I],,0,)</f>
        <v>02_MBC_BB</v>
      </c>
      <c r="I37" s="61">
        <f>_xlfn.XLOOKUP(C37,Tab_Def_Flows[Name(EN)],Tab_Def_Flows[Value_Source],,0,)</f>
        <v>0</v>
      </c>
      <c r="J37" s="61" t="str">
        <f>_xlfn.XLOOKUP(C37,Tab_Def_Flows[Name(EN)],Tab_Def_Flows[WC?],,0,)</f>
        <v>Yes</v>
      </c>
      <c r="K37" s="61" t="str">
        <f>_xlfn.XLOOKUP(C37,Tab_Def_Flows[Name(EN)],Tab_Def_Flows[DM?],,0,)</f>
        <v>Yes</v>
      </c>
      <c r="L37" s="61" t="str">
        <f>_xlfn.XLOOKUP(C37,Tab_Def_Flows[Name(EN)],Tab_Def_Flows[CC?],,0,)</f>
        <v>Yes</v>
      </c>
      <c r="M37" s="51">
        <v>2027</v>
      </c>
      <c r="N37" s="51" t="s">
        <v>353</v>
      </c>
      <c r="O37" s="126">
        <f t="shared" si="14"/>
        <v>1.1040808032</v>
      </c>
      <c r="P37" s="51" t="s">
        <v>398</v>
      </c>
      <c r="Q37" s="51"/>
      <c r="R37" s="51"/>
      <c r="S37" s="51"/>
      <c r="T37" s="51"/>
      <c r="U37" s="51"/>
      <c r="V37" s="51"/>
      <c r="W37" s="51"/>
      <c r="X37" s="51" t="s">
        <v>71</v>
      </c>
      <c r="Y37" s="109"/>
      <c r="Z37" s="51"/>
      <c r="AA37" s="89">
        <f t="shared" si="13"/>
        <v>1.1040808032</v>
      </c>
      <c r="AB37" s="51" t="s">
        <v>63</v>
      </c>
      <c r="AC37" s="114">
        <f>INDEX(Tab_Def_Flows[[Flow_ID]:[CC_DM_source]],MATCH(Tab_Data_Flows[[#This Row],[Name(EN)]],Tab_Def_Flows[Name(EN)],0),16)</f>
        <v>0.66</v>
      </c>
      <c r="AD37" s="115">
        <f>IF(J37="Yes",AA37*Tab_Data_Flows[[#This Row],[WC_'[%']]],"N.A.")</f>
        <v>0.72869333011199999</v>
      </c>
      <c r="AE37" s="61" t="str">
        <f>Tab_Data_Flows[[#This Row],[UoM_Flow_Py]]</f>
        <v>Mg</v>
      </c>
      <c r="AF37" s="114">
        <f>INDEX(Tab_Def_Flows[[Flow_ID]:[CC_DM_source]],MATCH(Tab_Data_Flows[[#This Row],[Name(EN)]],Tab_Def_Flows[Name(EN)],0),18)</f>
        <v>0.34</v>
      </c>
      <c r="AG37" s="115">
        <f>IF(K37="Yes",AF37*Tab_Data_Flows[[#This Row],[Flow_Py]],"N.A.")</f>
        <v>0.37538747308800002</v>
      </c>
      <c r="AH37" s="61" t="str">
        <f>Tab_Data_Flows[[#This Row],[UoM_Flow_Py]]</f>
        <v>Mg</v>
      </c>
      <c r="AI37" s="114">
        <f>INDEX(Tab_Def_Flows[[Flow_ID]:[CC_DM_source]],MATCH(Tab_Data_Flows[[#This Row],[Name(EN)]],Tab_Def_Flows[Name(EN)],0),20)</f>
        <v>0.47</v>
      </c>
      <c r="AJ37" s="115">
        <f>IF(L37="Yes",AI37*Tab_Data_Flows[[#This Row],[Flow_Py]],"N.A.")</f>
        <v>0.51891797750399993</v>
      </c>
      <c r="AK37" s="61" t="str">
        <f>Tab_Data_Flows[[#This Row],[UoM_Flow_Py]]</f>
        <v>Mg</v>
      </c>
    </row>
    <row r="38" spans="1:37" x14ac:dyDescent="0.35">
      <c r="A38" s="60">
        <f t="shared" si="12"/>
        <v>37</v>
      </c>
      <c r="B38" s="49" t="str">
        <f>_xlfn.XLOOKUP(C38,Tab_Def_Flows[Name(EN)],Tab_Def_Flows[Flow_ID],,0,)</f>
        <v>F_11_02</v>
      </c>
      <c r="C38" s="51" t="s">
        <v>341</v>
      </c>
      <c r="D38" s="49">
        <f>_xlfn.XLOOKUP(C38,Tab_Def_Flows[Name(EN)],Tab_Def_Flows[Type_Biomass],,0,)</f>
        <v>0</v>
      </c>
      <c r="E38" s="49" t="str">
        <f>_xlfn.XLOOKUP(C38,Tab_Def_Flows[Name(EN)],Tab_Def_Flows[Output_Process],,0,)</f>
        <v>Millet production</v>
      </c>
      <c r="F38" s="49" t="str">
        <f>_xlfn.XLOOKUP(C38,Tab_Def_Flows[Name(EN)],Tab_Def_Flows[Process_ID_O],,0,)</f>
        <v>11_Mil_BB</v>
      </c>
      <c r="G38" s="49" t="str">
        <f>_xlfn.XLOOKUP(C38,Tab_Def_Flows[Name(EN)],Tab_Def_Flows[Input_Process],,0,)</f>
        <v>MBC production</v>
      </c>
      <c r="H38" s="61" t="str">
        <f>_xlfn.XLOOKUP(C38,Tab_Def_Flows[Name(EN)],Tab_Def_Flows[Process_ID_I],,0,)</f>
        <v>02_MBC_BB</v>
      </c>
      <c r="I38" s="61">
        <f>_xlfn.XLOOKUP(C38,Tab_Def_Flows[Name(EN)],Tab_Def_Flows[Value_Source],,0,)</f>
        <v>0</v>
      </c>
      <c r="J38" s="61" t="str">
        <f>_xlfn.XLOOKUP(C38,Tab_Def_Flows[Name(EN)],Tab_Def_Flows[WC?],,0,)</f>
        <v>Yes</v>
      </c>
      <c r="K38" s="61" t="str">
        <f>_xlfn.XLOOKUP(C38,Tab_Def_Flows[Name(EN)],Tab_Def_Flows[DM?],,0,)</f>
        <v>Yes</v>
      </c>
      <c r="L38" s="61" t="str">
        <f>_xlfn.XLOOKUP(C38,Tab_Def_Flows[Name(EN)],Tab_Def_Flows[CC?],,0,)</f>
        <v>Yes</v>
      </c>
      <c r="M38" s="51">
        <v>2028</v>
      </c>
      <c r="N38" s="51" t="s">
        <v>353</v>
      </c>
      <c r="O38" s="126">
        <f t="shared" si="14"/>
        <v>1.1261624192640001</v>
      </c>
      <c r="P38" s="51" t="s">
        <v>398</v>
      </c>
      <c r="Q38" s="51"/>
      <c r="R38" s="51"/>
      <c r="S38" s="51"/>
      <c r="T38" s="51"/>
      <c r="U38" s="51"/>
      <c r="V38" s="51"/>
      <c r="W38" s="51"/>
      <c r="X38" s="51" t="s">
        <v>71</v>
      </c>
      <c r="Y38" s="109"/>
      <c r="Z38" s="51"/>
      <c r="AA38" s="89">
        <f t="shared" si="13"/>
        <v>1.1261624192640001</v>
      </c>
      <c r="AB38" s="51" t="s">
        <v>63</v>
      </c>
      <c r="AC38" s="114">
        <f>INDEX(Tab_Def_Flows[[Flow_ID]:[CC_DM_source]],MATCH(Tab_Data_Flows[[#This Row],[Name(EN)]],Tab_Def_Flows[Name(EN)],0),16)</f>
        <v>0.66</v>
      </c>
      <c r="AD38" s="115">
        <f>IF(J38="Yes",AA38*Tab_Data_Flows[[#This Row],[WC_'[%']]],"N.A.")</f>
        <v>0.74326719671424013</v>
      </c>
      <c r="AE38" s="61" t="str">
        <f>Tab_Data_Flows[[#This Row],[UoM_Flow_Py]]</f>
        <v>Mg</v>
      </c>
      <c r="AF38" s="114">
        <f>INDEX(Tab_Def_Flows[[Flow_ID]:[CC_DM_source]],MATCH(Tab_Data_Flows[[#This Row],[Name(EN)]],Tab_Def_Flows[Name(EN)],0),18)</f>
        <v>0.34</v>
      </c>
      <c r="AG38" s="115">
        <f>IF(K38="Yes",AF38*Tab_Data_Flows[[#This Row],[Flow_Py]],"N.A.")</f>
        <v>0.38289522254976005</v>
      </c>
      <c r="AH38" s="61" t="str">
        <f>Tab_Data_Flows[[#This Row],[UoM_Flow_Py]]</f>
        <v>Mg</v>
      </c>
      <c r="AI38" s="114">
        <f>INDEX(Tab_Def_Flows[[Flow_ID]:[CC_DM_source]],MATCH(Tab_Data_Flows[[#This Row],[Name(EN)]],Tab_Def_Flows[Name(EN)],0),20)</f>
        <v>0.47</v>
      </c>
      <c r="AJ38" s="115">
        <f>IF(L38="Yes",AI38*Tab_Data_Flows[[#This Row],[Flow_Py]],"N.A.")</f>
        <v>0.52929633705407997</v>
      </c>
      <c r="AK38" s="61" t="str">
        <f>Tab_Data_Flows[[#This Row],[UoM_Flow_Py]]</f>
        <v>Mg</v>
      </c>
    </row>
    <row r="39" spans="1:37" x14ac:dyDescent="0.35">
      <c r="A39" s="60">
        <f t="shared" si="12"/>
        <v>38</v>
      </c>
      <c r="B39" s="49" t="str">
        <f>_xlfn.XLOOKUP(C39,Tab_Def_Flows[Name(EN)],Tab_Def_Flows[Flow_ID],,0,)</f>
        <v>F_11_02</v>
      </c>
      <c r="C39" s="51" t="s">
        <v>341</v>
      </c>
      <c r="D39" s="49">
        <f>_xlfn.XLOOKUP(C39,Tab_Def_Flows[Name(EN)],Tab_Def_Flows[Type_Biomass],,0,)</f>
        <v>0</v>
      </c>
      <c r="E39" s="49" t="str">
        <f>_xlfn.XLOOKUP(C39,Tab_Def_Flows[Name(EN)],Tab_Def_Flows[Output_Process],,0,)</f>
        <v>Millet production</v>
      </c>
      <c r="F39" s="49" t="str">
        <f>_xlfn.XLOOKUP(C39,Tab_Def_Flows[Name(EN)],Tab_Def_Flows[Process_ID_O],,0,)</f>
        <v>11_Mil_BB</v>
      </c>
      <c r="G39" s="49" t="str">
        <f>_xlfn.XLOOKUP(C39,Tab_Def_Flows[Name(EN)],Tab_Def_Flows[Input_Process],,0,)</f>
        <v>MBC production</v>
      </c>
      <c r="H39" s="61" t="str">
        <f>_xlfn.XLOOKUP(C39,Tab_Def_Flows[Name(EN)],Tab_Def_Flows[Process_ID_I],,0,)</f>
        <v>02_MBC_BB</v>
      </c>
      <c r="I39" s="61">
        <f>_xlfn.XLOOKUP(C39,Tab_Def_Flows[Name(EN)],Tab_Def_Flows[Value_Source],,0,)</f>
        <v>0</v>
      </c>
      <c r="J39" s="61" t="str">
        <f>_xlfn.XLOOKUP(C39,Tab_Def_Flows[Name(EN)],Tab_Def_Flows[WC?],,0,)</f>
        <v>Yes</v>
      </c>
      <c r="K39" s="61" t="str">
        <f>_xlfn.XLOOKUP(C39,Tab_Def_Flows[Name(EN)],Tab_Def_Flows[DM?],,0,)</f>
        <v>Yes</v>
      </c>
      <c r="L39" s="61" t="str">
        <f>_xlfn.XLOOKUP(C39,Tab_Def_Flows[Name(EN)],Tab_Def_Flows[CC?],,0,)</f>
        <v>Yes</v>
      </c>
      <c r="M39" s="51">
        <v>2029</v>
      </c>
      <c r="N39" s="51" t="s">
        <v>353</v>
      </c>
      <c r="O39" s="126">
        <f t="shared" si="14"/>
        <v>1.14868566764928</v>
      </c>
      <c r="P39" s="51" t="s">
        <v>398</v>
      </c>
      <c r="Q39" s="51"/>
      <c r="R39" s="51"/>
      <c r="S39" s="51"/>
      <c r="T39" s="51"/>
      <c r="U39" s="51"/>
      <c r="V39" s="51"/>
      <c r="W39" s="51"/>
      <c r="X39" s="51" t="s">
        <v>71</v>
      </c>
      <c r="Y39" s="109"/>
      <c r="Z39" s="51"/>
      <c r="AA39" s="89">
        <f t="shared" si="13"/>
        <v>1.14868566764928</v>
      </c>
      <c r="AB39" s="51" t="s">
        <v>63</v>
      </c>
      <c r="AC39" s="114">
        <f>INDEX(Tab_Def_Flows[[Flow_ID]:[CC_DM_source]],MATCH(Tab_Data_Flows[[#This Row],[Name(EN)]],Tab_Def_Flows[Name(EN)],0),16)</f>
        <v>0.66</v>
      </c>
      <c r="AD39" s="115">
        <f>IF(J39="Yes",AA39*Tab_Data_Flows[[#This Row],[WC_'[%']]],"N.A.")</f>
        <v>0.75813254064852487</v>
      </c>
      <c r="AE39" s="61" t="str">
        <f>Tab_Data_Flows[[#This Row],[UoM_Flow_Py]]</f>
        <v>Mg</v>
      </c>
      <c r="AF39" s="114">
        <f>INDEX(Tab_Def_Flows[[Flow_ID]:[CC_DM_source]],MATCH(Tab_Data_Flows[[#This Row],[Name(EN)]],Tab_Def_Flows[Name(EN)],0),18)</f>
        <v>0.34</v>
      </c>
      <c r="AG39" s="115">
        <f>IF(K39="Yes",AF39*Tab_Data_Flows[[#This Row],[Flow_Py]],"N.A.")</f>
        <v>0.39055312700075523</v>
      </c>
      <c r="AH39" s="61" t="str">
        <f>Tab_Data_Flows[[#This Row],[UoM_Flow_Py]]</f>
        <v>Mg</v>
      </c>
      <c r="AI39" s="114">
        <f>INDEX(Tab_Def_Flows[[Flow_ID]:[CC_DM_source]],MATCH(Tab_Data_Flows[[#This Row],[Name(EN)]],Tab_Def_Flows[Name(EN)],0),20)</f>
        <v>0.47</v>
      </c>
      <c r="AJ39" s="115">
        <f>IF(L39="Yes",AI39*Tab_Data_Flows[[#This Row],[Flow_Py]],"N.A.")</f>
        <v>0.53988226379516158</v>
      </c>
      <c r="AK39" s="61" t="str">
        <f>Tab_Data_Flows[[#This Row],[UoM_Flow_Py]]</f>
        <v>Mg</v>
      </c>
    </row>
    <row r="40" spans="1:37" x14ac:dyDescent="0.35">
      <c r="A40" s="60">
        <f t="shared" si="12"/>
        <v>39</v>
      </c>
      <c r="B40" s="49" t="str">
        <f>_xlfn.XLOOKUP(C40,Tab_Def_Flows[Name(EN)],Tab_Def_Flows[Flow_ID],,0,)</f>
        <v>F_11_02</v>
      </c>
      <c r="C40" s="51" t="s">
        <v>341</v>
      </c>
      <c r="D40" s="49">
        <f>_xlfn.XLOOKUP(C40,Tab_Def_Flows[Name(EN)],Tab_Def_Flows[Type_Biomass],,0,)</f>
        <v>0</v>
      </c>
      <c r="E40" s="49" t="str">
        <f>_xlfn.XLOOKUP(C40,Tab_Def_Flows[Name(EN)],Tab_Def_Flows[Output_Process],,0,)</f>
        <v>Millet production</v>
      </c>
      <c r="F40" s="49" t="str">
        <f>_xlfn.XLOOKUP(C40,Tab_Def_Flows[Name(EN)],Tab_Def_Flows[Process_ID_O],,0,)</f>
        <v>11_Mil_BB</v>
      </c>
      <c r="G40" s="49" t="str">
        <f>_xlfn.XLOOKUP(C40,Tab_Def_Flows[Name(EN)],Tab_Def_Flows[Input_Process],,0,)</f>
        <v>MBC production</v>
      </c>
      <c r="H40" s="61" t="str">
        <f>_xlfn.XLOOKUP(C40,Tab_Def_Flows[Name(EN)],Tab_Def_Flows[Process_ID_I],,0,)</f>
        <v>02_MBC_BB</v>
      </c>
      <c r="I40" s="61">
        <f>_xlfn.XLOOKUP(C40,Tab_Def_Flows[Name(EN)],Tab_Def_Flows[Value_Source],,0,)</f>
        <v>0</v>
      </c>
      <c r="J40" s="61" t="str">
        <f>_xlfn.XLOOKUP(C40,Tab_Def_Flows[Name(EN)],Tab_Def_Flows[WC?],,0,)</f>
        <v>Yes</v>
      </c>
      <c r="K40" s="61" t="str">
        <f>_xlfn.XLOOKUP(C40,Tab_Def_Flows[Name(EN)],Tab_Def_Flows[DM?],,0,)</f>
        <v>Yes</v>
      </c>
      <c r="L40" s="61" t="str">
        <f>_xlfn.XLOOKUP(C40,Tab_Def_Flows[Name(EN)],Tab_Def_Flows[CC?],,0,)</f>
        <v>Yes</v>
      </c>
      <c r="M40" s="51">
        <v>2030</v>
      </c>
      <c r="N40" s="51" t="s">
        <v>353</v>
      </c>
      <c r="O40" s="126">
        <f t="shared" si="14"/>
        <v>1.1716593810022657</v>
      </c>
      <c r="P40" s="51" t="s">
        <v>398</v>
      </c>
      <c r="Q40" s="51"/>
      <c r="R40" s="51"/>
      <c r="S40" s="51"/>
      <c r="T40" s="51"/>
      <c r="U40" s="51"/>
      <c r="V40" s="51"/>
      <c r="W40" s="51"/>
      <c r="X40" s="51" t="s">
        <v>71</v>
      </c>
      <c r="Y40" s="109"/>
      <c r="Z40" s="51"/>
      <c r="AA40" s="89">
        <f t="shared" ref="AA40:AA46" si="15">IF(X40="no",O40,O40*Y40)</f>
        <v>1.1716593810022657</v>
      </c>
      <c r="AB40" s="51" t="s">
        <v>63</v>
      </c>
      <c r="AC40" s="114">
        <f>INDEX(Tab_Def_Flows[[Flow_ID]:[CC_DM_source]],MATCH(Tab_Data_Flows[[#This Row],[Name(EN)]],Tab_Def_Flows[Name(EN)],0),16)</f>
        <v>0.66</v>
      </c>
      <c r="AD40" s="115">
        <f>IF(J40="Yes",AA40*Tab_Data_Flows[[#This Row],[WC_'[%']]],"N.A.")</f>
        <v>0.77329519146149539</v>
      </c>
      <c r="AE40" s="61" t="str">
        <f>Tab_Data_Flows[[#This Row],[UoM_Flow_Py]]</f>
        <v>Mg</v>
      </c>
      <c r="AF40" s="114">
        <f>INDEX(Tab_Def_Flows[[Flow_ID]:[CC_DM_source]],MATCH(Tab_Data_Flows[[#This Row],[Name(EN)]],Tab_Def_Flows[Name(EN)],0),18)</f>
        <v>0.34</v>
      </c>
      <c r="AG40" s="115">
        <f>IF(K40="Yes",AF40*Tab_Data_Flows[[#This Row],[Flow_Py]],"N.A.")</f>
        <v>0.39836418954077041</v>
      </c>
      <c r="AH40" s="61" t="str">
        <f>Tab_Data_Flows[[#This Row],[UoM_Flow_Py]]</f>
        <v>Mg</v>
      </c>
      <c r="AI40" s="114">
        <f>INDEX(Tab_Def_Flows[[Flow_ID]:[CC_DM_source]],MATCH(Tab_Data_Flows[[#This Row],[Name(EN)]],Tab_Def_Flows[Name(EN)],0),20)</f>
        <v>0.47</v>
      </c>
      <c r="AJ40" s="115">
        <f>IF(L40="Yes",AI40*Tab_Data_Flows[[#This Row],[Flow_Py]],"N.A.")</f>
        <v>0.5506799090710649</v>
      </c>
      <c r="AK40" s="61" t="str">
        <f>Tab_Data_Flows[[#This Row],[UoM_Flow_Py]]</f>
        <v>Mg</v>
      </c>
    </row>
    <row r="41" spans="1:37" x14ac:dyDescent="0.35">
      <c r="A41" s="60">
        <f t="shared" si="12"/>
        <v>40</v>
      </c>
      <c r="B41" s="49" t="str">
        <f>_xlfn.XLOOKUP(C41,Tab_Def_Flows[Name(EN)],Tab_Def_Flows[Flow_ID],,0,)</f>
        <v>F_11_02</v>
      </c>
      <c r="C41" s="51" t="s">
        <v>341</v>
      </c>
      <c r="D41" s="49">
        <f>_xlfn.XLOOKUP(C41,Tab_Def_Flows[Name(EN)],Tab_Def_Flows[Type_Biomass],,0,)</f>
        <v>0</v>
      </c>
      <c r="E41" s="49" t="str">
        <f>_xlfn.XLOOKUP(C41,Tab_Def_Flows[Name(EN)],Tab_Def_Flows[Output_Process],,0,)</f>
        <v>Millet production</v>
      </c>
      <c r="F41" s="49" t="str">
        <f>_xlfn.XLOOKUP(C41,Tab_Def_Flows[Name(EN)],Tab_Def_Flows[Process_ID_O],,0,)</f>
        <v>11_Mil_BB</v>
      </c>
      <c r="G41" s="49" t="str">
        <f>_xlfn.XLOOKUP(C41,Tab_Def_Flows[Name(EN)],Tab_Def_Flows[Input_Process],,0,)</f>
        <v>MBC production</v>
      </c>
      <c r="H41" s="61" t="str">
        <f>_xlfn.XLOOKUP(C41,Tab_Def_Flows[Name(EN)],Tab_Def_Flows[Process_ID_I],,0,)</f>
        <v>02_MBC_BB</v>
      </c>
      <c r="I41" s="61">
        <f>_xlfn.XLOOKUP(C41,Tab_Def_Flows[Name(EN)],Tab_Def_Flows[Value_Source],,0,)</f>
        <v>0</v>
      </c>
      <c r="J41" s="61" t="str">
        <f>_xlfn.XLOOKUP(C41,Tab_Def_Flows[Name(EN)],Tab_Def_Flows[WC?],,0,)</f>
        <v>Yes</v>
      </c>
      <c r="K41" s="61" t="str">
        <f>_xlfn.XLOOKUP(C41,Tab_Def_Flows[Name(EN)],Tab_Def_Flows[DM?],,0,)</f>
        <v>Yes</v>
      </c>
      <c r="L41" s="61" t="str">
        <f>_xlfn.XLOOKUP(C41,Tab_Def_Flows[Name(EN)],Tab_Def_Flows[CC?],,0,)</f>
        <v>Yes</v>
      </c>
      <c r="M41" s="51">
        <v>2031</v>
      </c>
      <c r="N41" s="51" t="s">
        <v>353</v>
      </c>
      <c r="O41" s="126">
        <f t="shared" si="14"/>
        <v>1.1950925686223111</v>
      </c>
      <c r="P41" s="51" t="s">
        <v>398</v>
      </c>
      <c r="Q41" s="51"/>
      <c r="R41" s="51"/>
      <c r="S41" s="51"/>
      <c r="T41" s="51"/>
      <c r="U41" s="51"/>
      <c r="V41" s="51"/>
      <c r="W41" s="51"/>
      <c r="X41" s="51" t="s">
        <v>71</v>
      </c>
      <c r="Y41" s="109"/>
      <c r="Z41" s="51"/>
      <c r="AA41" s="89">
        <f t="shared" si="15"/>
        <v>1.1950925686223111</v>
      </c>
      <c r="AB41" s="51" t="s">
        <v>63</v>
      </c>
      <c r="AC41" s="114">
        <f>INDEX(Tab_Def_Flows[[Flow_ID]:[CC_DM_source]],MATCH(Tab_Data_Flows[[#This Row],[Name(EN)]],Tab_Def_Flows[Name(EN)],0),16)</f>
        <v>0.66</v>
      </c>
      <c r="AD41" s="115">
        <f>IF(J41="Yes",AA41*Tab_Data_Flows[[#This Row],[WC_'[%']]],"N.A.")</f>
        <v>0.78876109529072536</v>
      </c>
      <c r="AE41" s="61" t="str">
        <f>Tab_Data_Flows[[#This Row],[UoM_Flow_Py]]</f>
        <v>Mg</v>
      </c>
      <c r="AF41" s="114">
        <f>INDEX(Tab_Def_Flows[[Flow_ID]:[CC_DM_source]],MATCH(Tab_Data_Flows[[#This Row],[Name(EN)]],Tab_Def_Flows[Name(EN)],0),18)</f>
        <v>0.34</v>
      </c>
      <c r="AG41" s="115">
        <f>IF(K41="Yes",AF41*Tab_Data_Flows[[#This Row],[Flow_Py]],"N.A.")</f>
        <v>0.40633147333158581</v>
      </c>
      <c r="AH41" s="61" t="str">
        <f>Tab_Data_Flows[[#This Row],[UoM_Flow_Py]]</f>
        <v>Mg</v>
      </c>
      <c r="AI41" s="114">
        <f>INDEX(Tab_Def_Flows[[Flow_ID]:[CC_DM_source]],MATCH(Tab_Data_Flows[[#This Row],[Name(EN)]],Tab_Def_Flows[Name(EN)],0),20)</f>
        <v>0.47</v>
      </c>
      <c r="AJ41" s="115">
        <f>IF(L41="Yes",AI41*Tab_Data_Flows[[#This Row],[Flow_Py]],"N.A.")</f>
        <v>0.56169350725248612</v>
      </c>
      <c r="AK41" s="61" t="str">
        <f>Tab_Data_Flows[[#This Row],[UoM_Flow_Py]]</f>
        <v>Mg</v>
      </c>
    </row>
    <row r="42" spans="1:37" x14ac:dyDescent="0.35">
      <c r="A42" s="60">
        <f t="shared" si="12"/>
        <v>41</v>
      </c>
      <c r="B42" s="49" t="str">
        <f>_xlfn.XLOOKUP(C42,Tab_Def_Flows[Name(EN)],Tab_Def_Flows[Flow_ID],,0,)</f>
        <v>F_11_02</v>
      </c>
      <c r="C42" s="51" t="s">
        <v>341</v>
      </c>
      <c r="D42" s="49">
        <f>_xlfn.XLOOKUP(C42,Tab_Def_Flows[Name(EN)],Tab_Def_Flows[Type_Biomass],,0,)</f>
        <v>0</v>
      </c>
      <c r="E42" s="49" t="str">
        <f>_xlfn.XLOOKUP(C42,Tab_Def_Flows[Name(EN)],Tab_Def_Flows[Output_Process],,0,)</f>
        <v>Millet production</v>
      </c>
      <c r="F42" s="49" t="str">
        <f>_xlfn.XLOOKUP(C42,Tab_Def_Flows[Name(EN)],Tab_Def_Flows[Process_ID_O],,0,)</f>
        <v>11_Mil_BB</v>
      </c>
      <c r="G42" s="49" t="str">
        <f>_xlfn.XLOOKUP(C42,Tab_Def_Flows[Name(EN)],Tab_Def_Flows[Input_Process],,0,)</f>
        <v>MBC production</v>
      </c>
      <c r="H42" s="61" t="str">
        <f>_xlfn.XLOOKUP(C42,Tab_Def_Flows[Name(EN)],Tab_Def_Flows[Process_ID_I],,0,)</f>
        <v>02_MBC_BB</v>
      </c>
      <c r="I42" s="61">
        <f>_xlfn.XLOOKUP(C42,Tab_Def_Flows[Name(EN)],Tab_Def_Flows[Value_Source],,0,)</f>
        <v>0</v>
      </c>
      <c r="J42" s="61" t="str">
        <f>_xlfn.XLOOKUP(C42,Tab_Def_Flows[Name(EN)],Tab_Def_Flows[WC?],,0,)</f>
        <v>Yes</v>
      </c>
      <c r="K42" s="61" t="str">
        <f>_xlfn.XLOOKUP(C42,Tab_Def_Flows[Name(EN)],Tab_Def_Flows[DM?],,0,)</f>
        <v>Yes</v>
      </c>
      <c r="L42" s="61" t="str">
        <f>_xlfn.XLOOKUP(C42,Tab_Def_Flows[Name(EN)],Tab_Def_Flows[CC?],,0,)</f>
        <v>Yes</v>
      </c>
      <c r="M42" s="51">
        <v>2032</v>
      </c>
      <c r="N42" s="51" t="s">
        <v>353</v>
      </c>
      <c r="O42" s="126">
        <f t="shared" si="14"/>
        <v>1.2189944199947573</v>
      </c>
      <c r="P42" s="51" t="s">
        <v>398</v>
      </c>
      <c r="Q42" s="51"/>
      <c r="R42" s="51"/>
      <c r="S42" s="51"/>
      <c r="T42" s="51"/>
      <c r="U42" s="51"/>
      <c r="V42" s="51"/>
      <c r="W42" s="51"/>
      <c r="X42" s="51" t="s">
        <v>71</v>
      </c>
      <c r="Y42" s="109"/>
      <c r="Z42" s="51"/>
      <c r="AA42" s="89">
        <f t="shared" si="15"/>
        <v>1.2189944199947573</v>
      </c>
      <c r="AB42" s="51" t="s">
        <v>63</v>
      </c>
      <c r="AC42" s="114">
        <f>INDEX(Tab_Def_Flows[[Flow_ID]:[CC_DM_source]],MATCH(Tab_Data_Flows[[#This Row],[Name(EN)]],Tab_Def_Flows[Name(EN)],0),16)</f>
        <v>0.66</v>
      </c>
      <c r="AD42" s="115">
        <f>IF(J42="Yes",AA42*Tab_Data_Flows[[#This Row],[WC_'[%']]],"N.A.")</f>
        <v>0.80453631719653984</v>
      </c>
      <c r="AE42" s="61" t="str">
        <f>Tab_Data_Flows[[#This Row],[UoM_Flow_Py]]</f>
        <v>Mg</v>
      </c>
      <c r="AF42" s="114">
        <f>INDEX(Tab_Def_Flows[[Flow_ID]:[CC_DM_source]],MATCH(Tab_Data_Flows[[#This Row],[Name(EN)]],Tab_Def_Flows[Name(EN)],0),18)</f>
        <v>0.34</v>
      </c>
      <c r="AG42" s="115">
        <f>IF(K42="Yes",AF42*Tab_Data_Flows[[#This Row],[Flow_Py]],"N.A.")</f>
        <v>0.41445810279821754</v>
      </c>
      <c r="AH42" s="61" t="str">
        <f>Tab_Data_Flows[[#This Row],[UoM_Flow_Py]]</f>
        <v>Mg</v>
      </c>
      <c r="AI42" s="114">
        <f>INDEX(Tab_Def_Flows[[Flow_ID]:[CC_DM_source]],MATCH(Tab_Data_Flows[[#This Row],[Name(EN)]],Tab_Def_Flows[Name(EN)],0),20)</f>
        <v>0.47</v>
      </c>
      <c r="AJ42" s="115">
        <f>IF(L42="Yes",AI42*Tab_Data_Flows[[#This Row],[Flow_Py]],"N.A.")</f>
        <v>0.57292737739753596</v>
      </c>
      <c r="AK42" s="61" t="str">
        <f>Tab_Data_Flows[[#This Row],[UoM_Flow_Py]]</f>
        <v>Mg</v>
      </c>
    </row>
    <row r="43" spans="1:37" x14ac:dyDescent="0.35">
      <c r="A43" s="60">
        <f t="shared" si="12"/>
        <v>42</v>
      </c>
      <c r="B43" s="49" t="str">
        <f>_xlfn.XLOOKUP(C43,Tab_Def_Flows[Name(EN)],Tab_Def_Flows[Flow_ID],,0,)</f>
        <v>F_11_02</v>
      </c>
      <c r="C43" s="51" t="s">
        <v>341</v>
      </c>
      <c r="D43" s="49">
        <f>_xlfn.XLOOKUP(C43,Tab_Def_Flows[Name(EN)],Tab_Def_Flows[Type_Biomass],,0,)</f>
        <v>0</v>
      </c>
      <c r="E43" s="49" t="str">
        <f>_xlfn.XLOOKUP(C43,Tab_Def_Flows[Name(EN)],Tab_Def_Flows[Output_Process],,0,)</f>
        <v>Millet production</v>
      </c>
      <c r="F43" s="49" t="str">
        <f>_xlfn.XLOOKUP(C43,Tab_Def_Flows[Name(EN)],Tab_Def_Flows[Process_ID_O],,0,)</f>
        <v>11_Mil_BB</v>
      </c>
      <c r="G43" s="49" t="str">
        <f>_xlfn.XLOOKUP(C43,Tab_Def_Flows[Name(EN)],Tab_Def_Flows[Input_Process],,0,)</f>
        <v>MBC production</v>
      </c>
      <c r="H43" s="61" t="str">
        <f>_xlfn.XLOOKUP(C43,Tab_Def_Flows[Name(EN)],Tab_Def_Flows[Process_ID_I],,0,)</f>
        <v>02_MBC_BB</v>
      </c>
      <c r="I43" s="61">
        <f>_xlfn.XLOOKUP(C43,Tab_Def_Flows[Name(EN)],Tab_Def_Flows[Value_Source],,0,)</f>
        <v>0</v>
      </c>
      <c r="J43" s="61" t="str">
        <f>_xlfn.XLOOKUP(C43,Tab_Def_Flows[Name(EN)],Tab_Def_Flows[WC?],,0,)</f>
        <v>Yes</v>
      </c>
      <c r="K43" s="61" t="str">
        <f>_xlfn.XLOOKUP(C43,Tab_Def_Flows[Name(EN)],Tab_Def_Flows[DM?],,0,)</f>
        <v>Yes</v>
      </c>
      <c r="L43" s="61" t="str">
        <f>_xlfn.XLOOKUP(C43,Tab_Def_Flows[Name(EN)],Tab_Def_Flows[CC?],,0,)</f>
        <v>Yes</v>
      </c>
      <c r="M43" s="51">
        <v>2033</v>
      </c>
      <c r="N43" s="51" t="s">
        <v>353</v>
      </c>
      <c r="O43" s="126">
        <f t="shared" si="14"/>
        <v>1.2433743083946525</v>
      </c>
      <c r="P43" s="51" t="s">
        <v>398</v>
      </c>
      <c r="Q43" s="51"/>
      <c r="R43" s="51"/>
      <c r="S43" s="51"/>
      <c r="T43" s="51"/>
      <c r="U43" s="51"/>
      <c r="V43" s="51"/>
      <c r="W43" s="51"/>
      <c r="X43" s="51" t="s">
        <v>71</v>
      </c>
      <c r="Y43" s="109"/>
      <c r="Z43" s="51"/>
      <c r="AA43" s="89">
        <f t="shared" si="15"/>
        <v>1.2433743083946525</v>
      </c>
      <c r="AB43" s="51" t="s">
        <v>63</v>
      </c>
      <c r="AC43" s="114">
        <f>INDEX(Tab_Def_Flows[[Flow_ID]:[CC_DM_source]],MATCH(Tab_Data_Flows[[#This Row],[Name(EN)]],Tab_Def_Flows[Name(EN)],0),16)</f>
        <v>0.66</v>
      </c>
      <c r="AD43" s="115">
        <f>IF(J43="Yes",AA43*Tab_Data_Flows[[#This Row],[WC_'[%']]],"N.A.")</f>
        <v>0.82062704354047067</v>
      </c>
      <c r="AE43" s="61" t="str">
        <f>Tab_Data_Flows[[#This Row],[UoM_Flow_Py]]</f>
        <v>Mg</v>
      </c>
      <c r="AF43" s="114">
        <f>INDEX(Tab_Def_Flows[[Flow_ID]:[CC_DM_source]],MATCH(Tab_Data_Flows[[#This Row],[Name(EN)]],Tab_Def_Flows[Name(EN)],0),18)</f>
        <v>0.34</v>
      </c>
      <c r="AG43" s="115">
        <f>IF(K43="Yes",AF43*Tab_Data_Flows[[#This Row],[Flow_Py]],"N.A.")</f>
        <v>0.42274726485418185</v>
      </c>
      <c r="AH43" s="61" t="str">
        <f>Tab_Data_Flows[[#This Row],[UoM_Flow_Py]]</f>
        <v>Mg</v>
      </c>
      <c r="AI43" s="114">
        <f>INDEX(Tab_Def_Flows[[Flow_ID]:[CC_DM_source]],MATCH(Tab_Data_Flows[[#This Row],[Name(EN)]],Tab_Def_Flows[Name(EN)],0),20)</f>
        <v>0.47</v>
      </c>
      <c r="AJ43" s="115">
        <f>IF(L43="Yes",AI43*Tab_Data_Flows[[#This Row],[Flow_Py]],"N.A.")</f>
        <v>0.58438592494548658</v>
      </c>
      <c r="AK43" s="61" t="str">
        <f>Tab_Data_Flows[[#This Row],[UoM_Flow_Py]]</f>
        <v>Mg</v>
      </c>
    </row>
    <row r="44" spans="1:37" x14ac:dyDescent="0.35">
      <c r="A44" s="60">
        <f t="shared" si="12"/>
        <v>43</v>
      </c>
      <c r="B44" s="49" t="str">
        <f>_xlfn.XLOOKUP(C44,Tab_Def_Flows[Name(EN)],Tab_Def_Flows[Flow_ID],,0,)</f>
        <v>F_11_02</v>
      </c>
      <c r="C44" s="51" t="s">
        <v>341</v>
      </c>
      <c r="D44" s="49">
        <f>_xlfn.XLOOKUP(C44,Tab_Def_Flows[Name(EN)],Tab_Def_Flows[Type_Biomass],,0,)</f>
        <v>0</v>
      </c>
      <c r="E44" s="49" t="str">
        <f>_xlfn.XLOOKUP(C44,Tab_Def_Flows[Name(EN)],Tab_Def_Flows[Output_Process],,0,)</f>
        <v>Millet production</v>
      </c>
      <c r="F44" s="49" t="str">
        <f>_xlfn.XLOOKUP(C44,Tab_Def_Flows[Name(EN)],Tab_Def_Flows[Process_ID_O],,0,)</f>
        <v>11_Mil_BB</v>
      </c>
      <c r="G44" s="49" t="str">
        <f>_xlfn.XLOOKUP(C44,Tab_Def_Flows[Name(EN)],Tab_Def_Flows[Input_Process],,0,)</f>
        <v>MBC production</v>
      </c>
      <c r="H44" s="61" t="str">
        <f>_xlfn.XLOOKUP(C44,Tab_Def_Flows[Name(EN)],Tab_Def_Flows[Process_ID_I],,0,)</f>
        <v>02_MBC_BB</v>
      </c>
      <c r="I44" s="61">
        <f>_xlfn.XLOOKUP(C44,Tab_Def_Flows[Name(EN)],Tab_Def_Flows[Value_Source],,0,)</f>
        <v>0</v>
      </c>
      <c r="J44" s="61" t="str">
        <f>_xlfn.XLOOKUP(C44,Tab_Def_Flows[Name(EN)],Tab_Def_Flows[WC?],,0,)</f>
        <v>Yes</v>
      </c>
      <c r="K44" s="61" t="str">
        <f>_xlfn.XLOOKUP(C44,Tab_Def_Flows[Name(EN)],Tab_Def_Flows[DM?],,0,)</f>
        <v>Yes</v>
      </c>
      <c r="L44" s="61" t="str">
        <f>_xlfn.XLOOKUP(C44,Tab_Def_Flows[Name(EN)],Tab_Def_Flows[CC?],,0,)</f>
        <v>Yes</v>
      </c>
      <c r="M44" s="51">
        <v>2034</v>
      </c>
      <c r="N44" s="51" t="s">
        <v>353</v>
      </c>
      <c r="O44" s="126">
        <f t="shared" si="14"/>
        <v>1.2682417945625455</v>
      </c>
      <c r="P44" s="51" t="s">
        <v>398</v>
      </c>
      <c r="Q44" s="51"/>
      <c r="R44" s="51"/>
      <c r="S44" s="51"/>
      <c r="T44" s="51"/>
      <c r="U44" s="51"/>
      <c r="V44" s="51"/>
      <c r="W44" s="51"/>
      <c r="X44" s="51" t="s">
        <v>71</v>
      </c>
      <c r="Y44" s="109"/>
      <c r="Z44" s="51"/>
      <c r="AA44" s="89">
        <f t="shared" si="15"/>
        <v>1.2682417945625455</v>
      </c>
      <c r="AB44" s="51" t="s">
        <v>63</v>
      </c>
      <c r="AC44" s="114">
        <f>INDEX(Tab_Def_Flows[[Flow_ID]:[CC_DM_source]],MATCH(Tab_Data_Flows[[#This Row],[Name(EN)]],Tab_Def_Flows[Name(EN)],0),16)</f>
        <v>0.66</v>
      </c>
      <c r="AD44" s="115">
        <f>IF(J44="Yes",AA44*Tab_Data_Flows[[#This Row],[WC_'[%']]],"N.A.")</f>
        <v>0.83703958441128001</v>
      </c>
      <c r="AE44" s="61" t="str">
        <f>Tab_Data_Flows[[#This Row],[UoM_Flow_Py]]</f>
        <v>Mg</v>
      </c>
      <c r="AF44" s="114">
        <f>INDEX(Tab_Def_Flows[[Flow_ID]:[CC_DM_source]],MATCH(Tab_Data_Flows[[#This Row],[Name(EN)]],Tab_Def_Flows[Name(EN)],0),18)</f>
        <v>0.34</v>
      </c>
      <c r="AG44" s="115">
        <f>IF(K44="Yes",AF44*Tab_Data_Flows[[#This Row],[Flow_Py]],"N.A.")</f>
        <v>0.43120221015126547</v>
      </c>
      <c r="AH44" s="61" t="str">
        <f>Tab_Data_Flows[[#This Row],[UoM_Flow_Py]]</f>
        <v>Mg</v>
      </c>
      <c r="AI44" s="114">
        <f>INDEX(Tab_Def_Flows[[Flow_ID]:[CC_DM_source]],MATCH(Tab_Data_Flows[[#This Row],[Name(EN)]],Tab_Def_Flows[Name(EN)],0),20)</f>
        <v>0.47</v>
      </c>
      <c r="AJ44" s="115">
        <f>IF(L44="Yes",AI44*Tab_Data_Flows[[#This Row],[Flow_Py]],"N.A.")</f>
        <v>0.59607364344439639</v>
      </c>
      <c r="AK44" s="61" t="str">
        <f>Tab_Data_Flows[[#This Row],[UoM_Flow_Py]]</f>
        <v>Mg</v>
      </c>
    </row>
    <row r="45" spans="1:37" x14ac:dyDescent="0.35">
      <c r="A45" s="60">
        <f t="shared" si="12"/>
        <v>44</v>
      </c>
      <c r="B45" s="49" t="str">
        <f>_xlfn.XLOOKUP(C45,Tab_Def_Flows[Name(EN)],Tab_Def_Flows[Flow_ID],,0,)</f>
        <v>F_11_02</v>
      </c>
      <c r="C45" s="51" t="s">
        <v>341</v>
      </c>
      <c r="D45" s="49">
        <f>_xlfn.XLOOKUP(C45,Tab_Def_Flows[Name(EN)],Tab_Def_Flows[Type_Biomass],,0,)</f>
        <v>0</v>
      </c>
      <c r="E45" s="49" t="str">
        <f>_xlfn.XLOOKUP(C45,Tab_Def_Flows[Name(EN)],Tab_Def_Flows[Output_Process],,0,)</f>
        <v>Millet production</v>
      </c>
      <c r="F45" s="49" t="str">
        <f>_xlfn.XLOOKUP(C45,Tab_Def_Flows[Name(EN)],Tab_Def_Flows[Process_ID_O],,0,)</f>
        <v>11_Mil_BB</v>
      </c>
      <c r="G45" s="49" t="str">
        <f>_xlfn.XLOOKUP(C45,Tab_Def_Flows[Name(EN)],Tab_Def_Flows[Input_Process],,0,)</f>
        <v>MBC production</v>
      </c>
      <c r="H45" s="61" t="str">
        <f>_xlfn.XLOOKUP(C45,Tab_Def_Flows[Name(EN)],Tab_Def_Flows[Process_ID_I],,0,)</f>
        <v>02_MBC_BB</v>
      </c>
      <c r="I45" s="61">
        <f>_xlfn.XLOOKUP(C45,Tab_Def_Flows[Name(EN)],Tab_Def_Flows[Value_Source],,0,)</f>
        <v>0</v>
      </c>
      <c r="J45" s="61" t="str">
        <f>_xlfn.XLOOKUP(C45,Tab_Def_Flows[Name(EN)],Tab_Def_Flows[WC?],,0,)</f>
        <v>Yes</v>
      </c>
      <c r="K45" s="61" t="str">
        <f>_xlfn.XLOOKUP(C45,Tab_Def_Flows[Name(EN)],Tab_Def_Flows[DM?],,0,)</f>
        <v>Yes</v>
      </c>
      <c r="L45" s="61" t="str">
        <f>_xlfn.XLOOKUP(C45,Tab_Def_Flows[Name(EN)],Tab_Def_Flows[CC?],,0,)</f>
        <v>Yes</v>
      </c>
      <c r="M45" s="51">
        <v>2035</v>
      </c>
      <c r="N45" s="51" t="s">
        <v>353</v>
      </c>
      <c r="O45" s="126">
        <f t="shared" si="14"/>
        <v>1.2936066304537963</v>
      </c>
      <c r="P45" s="51" t="s">
        <v>398</v>
      </c>
      <c r="Q45" s="51"/>
      <c r="R45" s="51"/>
      <c r="S45" s="51"/>
      <c r="T45" s="51"/>
      <c r="U45" s="51"/>
      <c r="V45" s="51"/>
      <c r="W45" s="51"/>
      <c r="X45" s="51" t="s">
        <v>71</v>
      </c>
      <c r="Y45" s="109"/>
      <c r="Z45" s="51"/>
      <c r="AA45" s="89">
        <f t="shared" si="15"/>
        <v>1.2936066304537963</v>
      </c>
      <c r="AB45" s="51" t="s">
        <v>63</v>
      </c>
      <c r="AC45" s="114">
        <f>INDEX(Tab_Def_Flows[[Flow_ID]:[CC_DM_source]],MATCH(Tab_Data_Flows[[#This Row],[Name(EN)]],Tab_Def_Flows[Name(EN)],0),16)</f>
        <v>0.66</v>
      </c>
      <c r="AD45" s="115">
        <f>IF(J45="Yes",AA45*Tab_Data_Flows[[#This Row],[WC_'[%']]],"N.A.")</f>
        <v>0.85378037609950563</v>
      </c>
      <c r="AE45" s="61" t="str">
        <f>Tab_Data_Flows[[#This Row],[UoM_Flow_Py]]</f>
        <v>Mg</v>
      </c>
      <c r="AF45" s="114">
        <f>INDEX(Tab_Def_Flows[[Flow_ID]:[CC_DM_source]],MATCH(Tab_Data_Flows[[#This Row],[Name(EN)]],Tab_Def_Flows[Name(EN)],0),18)</f>
        <v>0.34</v>
      </c>
      <c r="AG45" s="115">
        <f>IF(K45="Yes",AF45*Tab_Data_Flows[[#This Row],[Flow_Py]],"N.A.")</f>
        <v>0.43982625435429079</v>
      </c>
      <c r="AH45" s="61" t="str">
        <f>Tab_Data_Flows[[#This Row],[UoM_Flow_Py]]</f>
        <v>Mg</v>
      </c>
      <c r="AI45" s="114">
        <f>INDEX(Tab_Def_Flows[[Flow_ID]:[CC_DM_source]],MATCH(Tab_Data_Flows[[#This Row],[Name(EN)]],Tab_Def_Flows[Name(EN)],0),20)</f>
        <v>0.47</v>
      </c>
      <c r="AJ45" s="115">
        <f>IF(L45="Yes",AI45*Tab_Data_Flows[[#This Row],[Flow_Py]],"N.A.")</f>
        <v>0.60799511631328418</v>
      </c>
      <c r="AK45" s="61" t="str">
        <f>Tab_Data_Flows[[#This Row],[UoM_Flow_Py]]</f>
        <v>Mg</v>
      </c>
    </row>
    <row r="46" spans="1:37" x14ac:dyDescent="0.35">
      <c r="A46" s="60">
        <f t="shared" si="12"/>
        <v>45</v>
      </c>
      <c r="B46" s="49" t="str">
        <f>_xlfn.XLOOKUP(C46,Tab_Def_Flows[Name(EN)],Tab_Def_Flows[Flow_ID],,0,)</f>
        <v>F_11_02</v>
      </c>
      <c r="C46" s="51" t="s">
        <v>341</v>
      </c>
      <c r="D46" s="49">
        <f>_xlfn.XLOOKUP(C46,Tab_Def_Flows[Name(EN)],Tab_Def_Flows[Type_Biomass],,0,)</f>
        <v>0</v>
      </c>
      <c r="E46" s="49" t="str">
        <f>_xlfn.XLOOKUP(C46,Tab_Def_Flows[Name(EN)],Tab_Def_Flows[Output_Process],,0,)</f>
        <v>Millet production</v>
      </c>
      <c r="F46" s="49" t="str">
        <f>_xlfn.XLOOKUP(C46,Tab_Def_Flows[Name(EN)],Tab_Def_Flows[Process_ID_O],,0,)</f>
        <v>11_Mil_BB</v>
      </c>
      <c r="G46" s="49" t="str">
        <f>_xlfn.XLOOKUP(C46,Tab_Def_Flows[Name(EN)],Tab_Def_Flows[Input_Process],,0,)</f>
        <v>MBC production</v>
      </c>
      <c r="H46" s="61" t="str">
        <f>_xlfn.XLOOKUP(C46,Tab_Def_Flows[Name(EN)],Tab_Def_Flows[Process_ID_I],,0,)</f>
        <v>02_MBC_BB</v>
      </c>
      <c r="I46" s="61">
        <f>_xlfn.XLOOKUP(C46,Tab_Def_Flows[Name(EN)],Tab_Def_Flows[Value_Source],,0,)</f>
        <v>0</v>
      </c>
      <c r="J46" s="61" t="str">
        <f>_xlfn.XLOOKUP(C46,Tab_Def_Flows[Name(EN)],Tab_Def_Flows[WC?],,0,)</f>
        <v>Yes</v>
      </c>
      <c r="K46" s="61" t="str">
        <f>_xlfn.XLOOKUP(C46,Tab_Def_Flows[Name(EN)],Tab_Def_Flows[DM?],,0,)</f>
        <v>Yes</v>
      </c>
      <c r="L46" s="61" t="str">
        <f>_xlfn.XLOOKUP(C46,Tab_Def_Flows[Name(EN)],Tab_Def_Flows[CC?],,0,)</f>
        <v>Yes</v>
      </c>
      <c r="M46" s="51">
        <v>2036</v>
      </c>
      <c r="N46" s="51" t="s">
        <v>353</v>
      </c>
      <c r="O46" s="126">
        <f t="shared" si="14"/>
        <v>1.3194787630628724</v>
      </c>
      <c r="P46" s="51" t="s">
        <v>398</v>
      </c>
      <c r="Q46" s="51"/>
      <c r="R46" s="51"/>
      <c r="S46" s="51"/>
      <c r="T46" s="51"/>
      <c r="U46" s="51"/>
      <c r="V46" s="51"/>
      <c r="W46" s="51"/>
      <c r="X46" s="51" t="s">
        <v>71</v>
      </c>
      <c r="Y46" s="109"/>
      <c r="Z46" s="51"/>
      <c r="AA46" s="89">
        <f t="shared" si="15"/>
        <v>1.3194787630628724</v>
      </c>
      <c r="AB46" s="51" t="s">
        <v>63</v>
      </c>
      <c r="AC46" s="114">
        <f>INDEX(Tab_Def_Flows[[Flow_ID]:[CC_DM_source]],MATCH(Tab_Data_Flows[[#This Row],[Name(EN)]],Tab_Def_Flows[Name(EN)],0),16)</f>
        <v>0.66</v>
      </c>
      <c r="AD46" s="115">
        <f>IF(J46="Yes",AA46*Tab_Data_Flows[[#This Row],[WC_'[%']]],"N.A.")</f>
        <v>0.87085598362149585</v>
      </c>
      <c r="AE46" s="61" t="str">
        <f>Tab_Data_Flows[[#This Row],[UoM_Flow_Py]]</f>
        <v>Mg</v>
      </c>
      <c r="AF46" s="114">
        <f>INDEX(Tab_Def_Flows[[Flow_ID]:[CC_DM_source]],MATCH(Tab_Data_Flows[[#This Row],[Name(EN)]],Tab_Def_Flows[Name(EN)],0),18)</f>
        <v>0.34</v>
      </c>
      <c r="AG46" s="115">
        <f>IF(K46="Yes",AF46*Tab_Data_Flows[[#This Row],[Flow_Py]],"N.A.")</f>
        <v>0.44862277944137663</v>
      </c>
      <c r="AH46" s="61" t="str">
        <f>Tab_Data_Flows[[#This Row],[UoM_Flow_Py]]</f>
        <v>Mg</v>
      </c>
      <c r="AI46" s="114">
        <f>INDEX(Tab_Def_Flows[[Flow_ID]:[CC_DM_source]],MATCH(Tab_Data_Flows[[#This Row],[Name(EN)]],Tab_Def_Flows[Name(EN)],0),20)</f>
        <v>0.47</v>
      </c>
      <c r="AJ46" s="115">
        <f>IF(L46="Yes",AI46*Tab_Data_Flows[[#This Row],[Flow_Py]],"N.A.")</f>
        <v>0.62015501863955003</v>
      </c>
      <c r="AK46" s="61" t="str">
        <f>Tab_Data_Flows[[#This Row],[UoM_Flow_Py]]</f>
        <v>Mg</v>
      </c>
    </row>
    <row r="47" spans="1:37" x14ac:dyDescent="0.35">
      <c r="A47" s="60">
        <f t="shared" si="12"/>
        <v>46</v>
      </c>
      <c r="B47" s="49" t="str">
        <f>_xlfn.XLOOKUP(C47,Tab_Def_Flows[Name(EN)],Tab_Def_Flows[Flow_ID],,0,)</f>
        <v>F_08_02</v>
      </c>
      <c r="C47" s="51" t="s">
        <v>343</v>
      </c>
      <c r="D47" s="49">
        <f>_xlfn.XLOOKUP(C47,Tab_Def_Flows[Name(EN)],Tab_Def_Flows[Type_Biomass],,0,)</f>
        <v>0</v>
      </c>
      <c r="E47" s="49" t="str">
        <f>_xlfn.XLOOKUP(C47,Tab_Def_Flows[Name(EN)],Tab_Def_Flows[Output_Process],,0,)</f>
        <v>Water System (Import)</v>
      </c>
      <c r="F47" s="49" t="str">
        <f>_xlfn.XLOOKUP(C47,Tab_Def_Flows[Name(EN)],Tab_Def_Flows[Process_ID_O],,0,)</f>
        <v>08_Wat_BB</v>
      </c>
      <c r="G47" s="49" t="str">
        <f>_xlfn.XLOOKUP(C47,Tab_Def_Flows[Name(EN)],Tab_Def_Flows[Input_Process],,0,)</f>
        <v>MBC production</v>
      </c>
      <c r="H47" s="61" t="str">
        <f>_xlfn.XLOOKUP(C47,Tab_Def_Flows[Name(EN)],Tab_Def_Flows[Process_ID_I],,0,)</f>
        <v>02_MBC_BB</v>
      </c>
      <c r="I47" s="61">
        <f>_xlfn.XLOOKUP(C47,Tab_Def_Flows[Name(EN)],Tab_Def_Flows[Value_Source],,0,)</f>
        <v>0</v>
      </c>
      <c r="J47" s="61" t="str">
        <f>_xlfn.XLOOKUP(C47,Tab_Def_Flows[Name(EN)],Tab_Def_Flows[WC?],,0,)</f>
        <v>Yes</v>
      </c>
      <c r="K47" s="61" t="str">
        <f>_xlfn.XLOOKUP(C47,Tab_Def_Flows[Name(EN)],Tab_Def_Flows[DM?],,0,)</f>
        <v>Yes</v>
      </c>
      <c r="L47" s="61" t="str">
        <f>_xlfn.XLOOKUP(C47,Tab_Def_Flows[Name(EN)],Tab_Def_Flows[CC?],,0,)</f>
        <v>Yes</v>
      </c>
      <c r="M47" s="51">
        <v>2022</v>
      </c>
      <c r="N47" s="51" t="s">
        <v>353</v>
      </c>
      <c r="O47" s="126">
        <v>74</v>
      </c>
      <c r="P47" s="51" t="s">
        <v>398</v>
      </c>
      <c r="Q47" s="51"/>
      <c r="R47" s="51"/>
      <c r="S47" s="51"/>
      <c r="T47" s="51"/>
      <c r="U47" s="51"/>
      <c r="V47" s="51"/>
      <c r="W47" s="51"/>
      <c r="X47" s="51" t="s">
        <v>71</v>
      </c>
      <c r="Y47" s="109"/>
      <c r="Z47" s="51"/>
      <c r="AA47" s="89">
        <f t="shared" si="7"/>
        <v>74</v>
      </c>
      <c r="AB47" s="51" t="s">
        <v>63</v>
      </c>
      <c r="AC47" s="114">
        <f>INDEX(Tab_Def_Flows[[Flow_ID]:[CC_DM_source]],MATCH(Tab_Data_Flows[[#This Row],[Name(EN)]],Tab_Def_Flows[Name(EN)],0),16)</f>
        <v>1</v>
      </c>
      <c r="AD47" s="115">
        <f>IF(J47="Yes",AA47*Tab_Data_Flows[[#This Row],[WC_'[%']]],"N.A.")</f>
        <v>74</v>
      </c>
      <c r="AE47" s="61" t="str">
        <f>Tab_Data_Flows[[#This Row],[UoM_Flow_Py]]</f>
        <v>Mg</v>
      </c>
      <c r="AF47" s="114">
        <f>INDEX(Tab_Def_Flows[[Flow_ID]:[CC_DM_source]],MATCH(Tab_Data_Flows[[#This Row],[Name(EN)]],Tab_Def_Flows[Name(EN)],0),18)</f>
        <v>0</v>
      </c>
      <c r="AG47" s="115">
        <f>IF(K47="Yes",AF47*Tab_Data_Flows[[#This Row],[Flow_Py]],"N.A.")</f>
        <v>0</v>
      </c>
      <c r="AH47" s="61" t="str">
        <f>Tab_Data_Flows[[#This Row],[UoM_Flow_Py]]</f>
        <v>Mg</v>
      </c>
      <c r="AI47" s="114">
        <f>INDEX(Tab_Def_Flows[[Flow_ID]:[CC_DM_source]],MATCH(Tab_Data_Flows[[#This Row],[Name(EN)]],Tab_Def_Flows[Name(EN)],0),20)</f>
        <v>0</v>
      </c>
      <c r="AJ47" s="115">
        <f>IF(L47="Yes",AI47*Tab_Data_Flows[[#This Row],[Flow_Py]],"N.A.")</f>
        <v>0</v>
      </c>
      <c r="AK47" s="61" t="str">
        <f>Tab_Data_Flows[[#This Row],[UoM_Flow_Py]]</f>
        <v>Mg</v>
      </c>
    </row>
    <row r="48" spans="1:37" x14ac:dyDescent="0.35">
      <c r="A48" s="60">
        <f t="shared" si="12"/>
        <v>47</v>
      </c>
      <c r="B48" s="49" t="str">
        <f>_xlfn.XLOOKUP(C48,Tab_Def_Flows[Name(EN)],Tab_Def_Flows[Flow_ID],,0,)</f>
        <v>F_08_02</v>
      </c>
      <c r="C48" s="51" t="s">
        <v>343</v>
      </c>
      <c r="D48" s="49">
        <f>_xlfn.XLOOKUP(C48,Tab_Def_Flows[Name(EN)],Tab_Def_Flows[Type_Biomass],,0,)</f>
        <v>0</v>
      </c>
      <c r="E48" s="49" t="str">
        <f>_xlfn.XLOOKUP(C48,Tab_Def_Flows[Name(EN)],Tab_Def_Flows[Output_Process],,0,)</f>
        <v>Water System (Import)</v>
      </c>
      <c r="F48" s="49" t="str">
        <f>_xlfn.XLOOKUP(C48,Tab_Def_Flows[Name(EN)],Tab_Def_Flows[Process_ID_O],,0,)</f>
        <v>08_Wat_BB</v>
      </c>
      <c r="G48" s="49" t="str">
        <f>_xlfn.XLOOKUP(C48,Tab_Def_Flows[Name(EN)],Tab_Def_Flows[Input_Process],,0,)</f>
        <v>MBC production</v>
      </c>
      <c r="H48" s="61" t="str">
        <f>_xlfn.XLOOKUP(C48,Tab_Def_Flows[Name(EN)],Tab_Def_Flows[Process_ID_I],,0,)</f>
        <v>02_MBC_BB</v>
      </c>
      <c r="I48" s="61">
        <f>_xlfn.XLOOKUP(C48,Tab_Def_Flows[Name(EN)],Tab_Def_Flows[Value_Source],,0,)</f>
        <v>0</v>
      </c>
      <c r="J48" s="61" t="str">
        <f>_xlfn.XLOOKUP(C48,Tab_Def_Flows[Name(EN)],Tab_Def_Flows[WC?],,0,)</f>
        <v>Yes</v>
      </c>
      <c r="K48" s="61" t="str">
        <f>_xlfn.XLOOKUP(C48,Tab_Def_Flows[Name(EN)],Tab_Def_Flows[DM?],,0,)</f>
        <v>Yes</v>
      </c>
      <c r="L48" s="61" t="str">
        <f>_xlfn.XLOOKUP(C48,Tab_Def_Flows[Name(EN)],Tab_Def_Flows[CC?],,0,)</f>
        <v>Yes</v>
      </c>
      <c r="M48" s="51">
        <v>2023</v>
      </c>
      <c r="N48" s="51" t="s">
        <v>353</v>
      </c>
      <c r="O48" s="126">
        <f>O47*1.02</f>
        <v>75.48</v>
      </c>
      <c r="P48" s="51" t="s">
        <v>398</v>
      </c>
      <c r="Q48" s="51"/>
      <c r="R48" s="51"/>
      <c r="S48" s="51"/>
      <c r="T48" s="51"/>
      <c r="U48" s="51"/>
      <c r="V48" s="51"/>
      <c r="W48" s="51"/>
      <c r="X48" s="51" t="s">
        <v>71</v>
      </c>
      <c r="Y48" s="109"/>
      <c r="Z48" s="51"/>
      <c r="AA48" s="89">
        <f t="shared" ref="AA48:AA54" si="16">IF(X48="no",O48,O48*Y48)</f>
        <v>75.48</v>
      </c>
      <c r="AB48" s="51" t="s">
        <v>63</v>
      </c>
      <c r="AC48" s="114">
        <f>INDEX(Tab_Def_Flows[[Flow_ID]:[CC_DM_source]],MATCH(Tab_Data_Flows[[#This Row],[Name(EN)]],Tab_Def_Flows[Name(EN)],0),16)</f>
        <v>1</v>
      </c>
      <c r="AD48" s="115">
        <f>IF(J48="Yes",AA48*Tab_Data_Flows[[#This Row],[WC_'[%']]],"N.A.")</f>
        <v>75.48</v>
      </c>
      <c r="AE48" s="61" t="str">
        <f>Tab_Data_Flows[[#This Row],[UoM_Flow_Py]]</f>
        <v>Mg</v>
      </c>
      <c r="AF48" s="114">
        <f>INDEX(Tab_Def_Flows[[Flow_ID]:[CC_DM_source]],MATCH(Tab_Data_Flows[[#This Row],[Name(EN)]],Tab_Def_Flows[Name(EN)],0),18)</f>
        <v>0</v>
      </c>
      <c r="AG48" s="115">
        <f>IF(K48="Yes",AF48*Tab_Data_Flows[[#This Row],[Flow_Py]],"N.A.")</f>
        <v>0</v>
      </c>
      <c r="AH48" s="61" t="str">
        <f>Tab_Data_Flows[[#This Row],[UoM_Flow_Py]]</f>
        <v>Mg</v>
      </c>
      <c r="AI48" s="114">
        <f>INDEX(Tab_Def_Flows[[Flow_ID]:[CC_DM_source]],MATCH(Tab_Data_Flows[[#This Row],[Name(EN)]],Tab_Def_Flows[Name(EN)],0),20)</f>
        <v>0</v>
      </c>
      <c r="AJ48" s="115">
        <f>IF(L48="Yes",AI48*Tab_Data_Flows[[#This Row],[Flow_Py]],"N.A.")</f>
        <v>0</v>
      </c>
      <c r="AK48" s="61" t="str">
        <f>Tab_Data_Flows[[#This Row],[UoM_Flow_Py]]</f>
        <v>Mg</v>
      </c>
    </row>
    <row r="49" spans="1:37" x14ac:dyDescent="0.35">
      <c r="A49" s="60">
        <f t="shared" si="12"/>
        <v>48</v>
      </c>
      <c r="B49" s="49" t="str">
        <f>_xlfn.XLOOKUP(C49,Tab_Def_Flows[Name(EN)],Tab_Def_Flows[Flow_ID],,0,)</f>
        <v>F_08_02</v>
      </c>
      <c r="C49" s="51" t="s">
        <v>343</v>
      </c>
      <c r="D49" s="49">
        <f>_xlfn.XLOOKUP(C49,Tab_Def_Flows[Name(EN)],Tab_Def_Flows[Type_Biomass],,0,)</f>
        <v>0</v>
      </c>
      <c r="E49" s="49" t="str">
        <f>_xlfn.XLOOKUP(C49,Tab_Def_Flows[Name(EN)],Tab_Def_Flows[Output_Process],,0,)</f>
        <v>Water System (Import)</v>
      </c>
      <c r="F49" s="49" t="str">
        <f>_xlfn.XLOOKUP(C49,Tab_Def_Flows[Name(EN)],Tab_Def_Flows[Process_ID_O],,0,)</f>
        <v>08_Wat_BB</v>
      </c>
      <c r="G49" s="49" t="str">
        <f>_xlfn.XLOOKUP(C49,Tab_Def_Flows[Name(EN)],Tab_Def_Flows[Input_Process],,0,)</f>
        <v>MBC production</v>
      </c>
      <c r="H49" s="61" t="str">
        <f>_xlfn.XLOOKUP(C49,Tab_Def_Flows[Name(EN)],Tab_Def_Flows[Process_ID_I],,0,)</f>
        <v>02_MBC_BB</v>
      </c>
      <c r="I49" s="61">
        <f>_xlfn.XLOOKUP(C49,Tab_Def_Flows[Name(EN)],Tab_Def_Flows[Value_Source],,0,)</f>
        <v>0</v>
      </c>
      <c r="J49" s="61" t="str">
        <f>_xlfn.XLOOKUP(C49,Tab_Def_Flows[Name(EN)],Tab_Def_Flows[WC?],,0,)</f>
        <v>Yes</v>
      </c>
      <c r="K49" s="61" t="str">
        <f>_xlfn.XLOOKUP(C49,Tab_Def_Flows[Name(EN)],Tab_Def_Flows[DM?],,0,)</f>
        <v>Yes</v>
      </c>
      <c r="L49" s="61" t="str">
        <f>_xlfn.XLOOKUP(C49,Tab_Def_Flows[Name(EN)],Tab_Def_Flows[CC?],,0,)</f>
        <v>Yes</v>
      </c>
      <c r="M49" s="51">
        <v>2024</v>
      </c>
      <c r="N49" s="51" t="s">
        <v>353</v>
      </c>
      <c r="O49" s="126">
        <f t="shared" ref="O49:O61" si="17">O48*1.02</f>
        <v>76.98960000000001</v>
      </c>
      <c r="P49" s="51" t="s">
        <v>398</v>
      </c>
      <c r="Q49" s="51"/>
      <c r="R49" s="51"/>
      <c r="S49" s="51"/>
      <c r="T49" s="51"/>
      <c r="U49" s="51"/>
      <c r="V49" s="51"/>
      <c r="W49" s="51"/>
      <c r="X49" s="51" t="s">
        <v>71</v>
      </c>
      <c r="Y49" s="109"/>
      <c r="Z49" s="51"/>
      <c r="AA49" s="89">
        <f t="shared" si="16"/>
        <v>76.98960000000001</v>
      </c>
      <c r="AB49" s="51" t="s">
        <v>63</v>
      </c>
      <c r="AC49" s="114">
        <f>INDEX(Tab_Def_Flows[[Flow_ID]:[CC_DM_source]],MATCH(Tab_Data_Flows[[#This Row],[Name(EN)]],Tab_Def_Flows[Name(EN)],0),16)</f>
        <v>1</v>
      </c>
      <c r="AD49" s="115">
        <f>IF(J49="Yes",AA49*Tab_Data_Flows[[#This Row],[WC_'[%']]],"N.A.")</f>
        <v>76.98960000000001</v>
      </c>
      <c r="AE49" s="61" t="str">
        <f>Tab_Data_Flows[[#This Row],[UoM_Flow_Py]]</f>
        <v>Mg</v>
      </c>
      <c r="AF49" s="114">
        <f>INDEX(Tab_Def_Flows[[Flow_ID]:[CC_DM_source]],MATCH(Tab_Data_Flows[[#This Row],[Name(EN)]],Tab_Def_Flows[Name(EN)],0),18)</f>
        <v>0</v>
      </c>
      <c r="AG49" s="115">
        <f>IF(K49="Yes",AF49*Tab_Data_Flows[[#This Row],[Flow_Py]],"N.A.")</f>
        <v>0</v>
      </c>
      <c r="AH49" s="61" t="str">
        <f>Tab_Data_Flows[[#This Row],[UoM_Flow_Py]]</f>
        <v>Mg</v>
      </c>
      <c r="AI49" s="114">
        <f>INDEX(Tab_Def_Flows[[Flow_ID]:[CC_DM_source]],MATCH(Tab_Data_Flows[[#This Row],[Name(EN)]],Tab_Def_Flows[Name(EN)],0),20)</f>
        <v>0</v>
      </c>
      <c r="AJ49" s="115">
        <f>IF(L49="Yes",AI49*Tab_Data_Flows[[#This Row],[Flow_Py]],"N.A.")</f>
        <v>0</v>
      </c>
      <c r="AK49" s="61" t="str">
        <f>Tab_Data_Flows[[#This Row],[UoM_Flow_Py]]</f>
        <v>Mg</v>
      </c>
    </row>
    <row r="50" spans="1:37" x14ac:dyDescent="0.35">
      <c r="A50" s="60">
        <f t="shared" si="12"/>
        <v>49</v>
      </c>
      <c r="B50" s="49" t="str">
        <f>_xlfn.XLOOKUP(C50,Tab_Def_Flows[Name(EN)],Tab_Def_Flows[Flow_ID],,0,)</f>
        <v>F_08_02</v>
      </c>
      <c r="C50" s="51" t="s">
        <v>343</v>
      </c>
      <c r="D50" s="49">
        <f>_xlfn.XLOOKUP(C50,Tab_Def_Flows[Name(EN)],Tab_Def_Flows[Type_Biomass],,0,)</f>
        <v>0</v>
      </c>
      <c r="E50" s="49" t="str">
        <f>_xlfn.XLOOKUP(C50,Tab_Def_Flows[Name(EN)],Tab_Def_Flows[Output_Process],,0,)</f>
        <v>Water System (Import)</v>
      </c>
      <c r="F50" s="49" t="str">
        <f>_xlfn.XLOOKUP(C50,Tab_Def_Flows[Name(EN)],Tab_Def_Flows[Process_ID_O],,0,)</f>
        <v>08_Wat_BB</v>
      </c>
      <c r="G50" s="49" t="str">
        <f>_xlfn.XLOOKUP(C50,Tab_Def_Flows[Name(EN)],Tab_Def_Flows[Input_Process],,0,)</f>
        <v>MBC production</v>
      </c>
      <c r="H50" s="61" t="str">
        <f>_xlfn.XLOOKUP(C50,Tab_Def_Flows[Name(EN)],Tab_Def_Flows[Process_ID_I],,0,)</f>
        <v>02_MBC_BB</v>
      </c>
      <c r="I50" s="61">
        <f>_xlfn.XLOOKUP(C50,Tab_Def_Flows[Name(EN)],Tab_Def_Flows[Value_Source],,0,)</f>
        <v>0</v>
      </c>
      <c r="J50" s="61" t="str">
        <f>_xlfn.XLOOKUP(C50,Tab_Def_Flows[Name(EN)],Tab_Def_Flows[WC?],,0,)</f>
        <v>Yes</v>
      </c>
      <c r="K50" s="61" t="str">
        <f>_xlfn.XLOOKUP(C50,Tab_Def_Flows[Name(EN)],Tab_Def_Flows[DM?],,0,)</f>
        <v>Yes</v>
      </c>
      <c r="L50" s="61" t="str">
        <f>_xlfn.XLOOKUP(C50,Tab_Def_Flows[Name(EN)],Tab_Def_Flows[CC?],,0,)</f>
        <v>Yes</v>
      </c>
      <c r="M50" s="51">
        <v>2025</v>
      </c>
      <c r="N50" s="51" t="s">
        <v>353</v>
      </c>
      <c r="O50" s="126">
        <f t="shared" si="17"/>
        <v>78.529392000000016</v>
      </c>
      <c r="P50" s="51" t="s">
        <v>398</v>
      </c>
      <c r="Q50" s="51"/>
      <c r="R50" s="51"/>
      <c r="S50" s="51"/>
      <c r="T50" s="51"/>
      <c r="U50" s="51"/>
      <c r="V50" s="51"/>
      <c r="W50" s="51"/>
      <c r="X50" s="51" t="s">
        <v>71</v>
      </c>
      <c r="Y50" s="109"/>
      <c r="Z50" s="51"/>
      <c r="AA50" s="89">
        <f t="shared" si="16"/>
        <v>78.529392000000016</v>
      </c>
      <c r="AB50" s="51" t="s">
        <v>63</v>
      </c>
      <c r="AC50" s="114">
        <f>INDEX(Tab_Def_Flows[[Flow_ID]:[CC_DM_source]],MATCH(Tab_Data_Flows[[#This Row],[Name(EN)]],Tab_Def_Flows[Name(EN)],0),16)</f>
        <v>1</v>
      </c>
      <c r="AD50" s="115">
        <f>IF(J50="Yes",AA50*Tab_Data_Flows[[#This Row],[WC_'[%']]],"N.A.")</f>
        <v>78.529392000000016</v>
      </c>
      <c r="AE50" s="61" t="str">
        <f>Tab_Data_Flows[[#This Row],[UoM_Flow_Py]]</f>
        <v>Mg</v>
      </c>
      <c r="AF50" s="114">
        <f>INDEX(Tab_Def_Flows[[Flow_ID]:[CC_DM_source]],MATCH(Tab_Data_Flows[[#This Row],[Name(EN)]],Tab_Def_Flows[Name(EN)],0),18)</f>
        <v>0</v>
      </c>
      <c r="AG50" s="115">
        <f>IF(K50="Yes",AF50*Tab_Data_Flows[[#This Row],[Flow_Py]],"N.A.")</f>
        <v>0</v>
      </c>
      <c r="AH50" s="61" t="str">
        <f>Tab_Data_Flows[[#This Row],[UoM_Flow_Py]]</f>
        <v>Mg</v>
      </c>
      <c r="AI50" s="114">
        <f>INDEX(Tab_Def_Flows[[Flow_ID]:[CC_DM_source]],MATCH(Tab_Data_Flows[[#This Row],[Name(EN)]],Tab_Def_Flows[Name(EN)],0),20)</f>
        <v>0</v>
      </c>
      <c r="AJ50" s="115">
        <f>IF(L50="Yes",AI50*Tab_Data_Flows[[#This Row],[Flow_Py]],"N.A.")</f>
        <v>0</v>
      </c>
      <c r="AK50" s="61" t="str">
        <f>Tab_Data_Flows[[#This Row],[UoM_Flow_Py]]</f>
        <v>Mg</v>
      </c>
    </row>
    <row r="51" spans="1:37" x14ac:dyDescent="0.35">
      <c r="A51" s="60">
        <f t="shared" si="12"/>
        <v>50</v>
      </c>
      <c r="B51" s="49" t="str">
        <f>_xlfn.XLOOKUP(C51,Tab_Def_Flows[Name(EN)],Tab_Def_Flows[Flow_ID],,0,)</f>
        <v>F_08_02</v>
      </c>
      <c r="C51" s="51" t="s">
        <v>343</v>
      </c>
      <c r="D51" s="49">
        <f>_xlfn.XLOOKUP(C51,Tab_Def_Flows[Name(EN)],Tab_Def_Flows[Type_Biomass],,0,)</f>
        <v>0</v>
      </c>
      <c r="E51" s="49" t="str">
        <f>_xlfn.XLOOKUP(C51,Tab_Def_Flows[Name(EN)],Tab_Def_Flows[Output_Process],,0,)</f>
        <v>Water System (Import)</v>
      </c>
      <c r="F51" s="49" t="str">
        <f>_xlfn.XLOOKUP(C51,Tab_Def_Flows[Name(EN)],Tab_Def_Flows[Process_ID_O],,0,)</f>
        <v>08_Wat_BB</v>
      </c>
      <c r="G51" s="49" t="str">
        <f>_xlfn.XLOOKUP(C51,Tab_Def_Flows[Name(EN)],Tab_Def_Flows[Input_Process],,0,)</f>
        <v>MBC production</v>
      </c>
      <c r="H51" s="61" t="str">
        <f>_xlfn.XLOOKUP(C51,Tab_Def_Flows[Name(EN)],Tab_Def_Flows[Process_ID_I],,0,)</f>
        <v>02_MBC_BB</v>
      </c>
      <c r="I51" s="61">
        <f>_xlfn.XLOOKUP(C51,Tab_Def_Flows[Name(EN)],Tab_Def_Flows[Value_Source],,0,)</f>
        <v>0</v>
      </c>
      <c r="J51" s="61" t="str">
        <f>_xlfn.XLOOKUP(C51,Tab_Def_Flows[Name(EN)],Tab_Def_Flows[WC?],,0,)</f>
        <v>Yes</v>
      </c>
      <c r="K51" s="61" t="str">
        <f>_xlfn.XLOOKUP(C51,Tab_Def_Flows[Name(EN)],Tab_Def_Flows[DM?],,0,)</f>
        <v>Yes</v>
      </c>
      <c r="L51" s="61" t="str">
        <f>_xlfn.XLOOKUP(C51,Tab_Def_Flows[Name(EN)],Tab_Def_Flows[CC?],,0,)</f>
        <v>Yes</v>
      </c>
      <c r="M51" s="51">
        <v>2026</v>
      </c>
      <c r="N51" s="51" t="s">
        <v>353</v>
      </c>
      <c r="O51" s="126">
        <f t="shared" si="17"/>
        <v>80.099979840000017</v>
      </c>
      <c r="P51" s="51" t="s">
        <v>398</v>
      </c>
      <c r="Q51" s="51"/>
      <c r="R51" s="51"/>
      <c r="S51" s="51"/>
      <c r="T51" s="51"/>
      <c r="U51" s="51"/>
      <c r="V51" s="51"/>
      <c r="W51" s="51"/>
      <c r="X51" s="51" t="s">
        <v>71</v>
      </c>
      <c r="Y51" s="109"/>
      <c r="Z51" s="51"/>
      <c r="AA51" s="89">
        <f t="shared" si="16"/>
        <v>80.099979840000017</v>
      </c>
      <c r="AB51" s="51" t="s">
        <v>63</v>
      </c>
      <c r="AC51" s="114">
        <f>INDEX(Tab_Def_Flows[[Flow_ID]:[CC_DM_source]],MATCH(Tab_Data_Flows[[#This Row],[Name(EN)]],Tab_Def_Flows[Name(EN)],0),16)</f>
        <v>1</v>
      </c>
      <c r="AD51" s="115">
        <f>IF(J51="Yes",AA51*Tab_Data_Flows[[#This Row],[WC_'[%']]],"N.A.")</f>
        <v>80.099979840000017</v>
      </c>
      <c r="AE51" s="61" t="str">
        <f>Tab_Data_Flows[[#This Row],[UoM_Flow_Py]]</f>
        <v>Mg</v>
      </c>
      <c r="AF51" s="114">
        <f>INDEX(Tab_Def_Flows[[Flow_ID]:[CC_DM_source]],MATCH(Tab_Data_Flows[[#This Row],[Name(EN)]],Tab_Def_Flows[Name(EN)],0),18)</f>
        <v>0</v>
      </c>
      <c r="AG51" s="115">
        <f>IF(K51="Yes",AF51*Tab_Data_Flows[[#This Row],[Flow_Py]],"N.A.")</f>
        <v>0</v>
      </c>
      <c r="AH51" s="61" t="str">
        <f>Tab_Data_Flows[[#This Row],[UoM_Flow_Py]]</f>
        <v>Mg</v>
      </c>
      <c r="AI51" s="114">
        <f>INDEX(Tab_Def_Flows[[Flow_ID]:[CC_DM_source]],MATCH(Tab_Data_Flows[[#This Row],[Name(EN)]],Tab_Def_Flows[Name(EN)],0),20)</f>
        <v>0</v>
      </c>
      <c r="AJ51" s="115">
        <f>IF(L51="Yes",AI51*Tab_Data_Flows[[#This Row],[Flow_Py]],"N.A.")</f>
        <v>0</v>
      </c>
      <c r="AK51" s="61" t="str">
        <f>Tab_Data_Flows[[#This Row],[UoM_Flow_Py]]</f>
        <v>Mg</v>
      </c>
    </row>
    <row r="52" spans="1:37" x14ac:dyDescent="0.35">
      <c r="A52" s="60">
        <f t="shared" si="12"/>
        <v>51</v>
      </c>
      <c r="B52" s="49" t="str">
        <f>_xlfn.XLOOKUP(C52,Tab_Def_Flows[Name(EN)],Tab_Def_Flows[Flow_ID],,0,)</f>
        <v>F_08_02</v>
      </c>
      <c r="C52" s="51" t="s">
        <v>343</v>
      </c>
      <c r="D52" s="49">
        <f>_xlfn.XLOOKUP(C52,Tab_Def_Flows[Name(EN)],Tab_Def_Flows[Type_Biomass],,0,)</f>
        <v>0</v>
      </c>
      <c r="E52" s="49" t="str">
        <f>_xlfn.XLOOKUP(C52,Tab_Def_Flows[Name(EN)],Tab_Def_Flows[Output_Process],,0,)</f>
        <v>Water System (Import)</v>
      </c>
      <c r="F52" s="49" t="str">
        <f>_xlfn.XLOOKUP(C52,Tab_Def_Flows[Name(EN)],Tab_Def_Flows[Process_ID_O],,0,)</f>
        <v>08_Wat_BB</v>
      </c>
      <c r="G52" s="49" t="str">
        <f>_xlfn.XLOOKUP(C52,Tab_Def_Flows[Name(EN)],Tab_Def_Flows[Input_Process],,0,)</f>
        <v>MBC production</v>
      </c>
      <c r="H52" s="61" t="str">
        <f>_xlfn.XLOOKUP(C52,Tab_Def_Flows[Name(EN)],Tab_Def_Flows[Process_ID_I],,0,)</f>
        <v>02_MBC_BB</v>
      </c>
      <c r="I52" s="61">
        <f>_xlfn.XLOOKUP(C52,Tab_Def_Flows[Name(EN)],Tab_Def_Flows[Value_Source],,0,)</f>
        <v>0</v>
      </c>
      <c r="J52" s="61" t="str">
        <f>_xlfn.XLOOKUP(C52,Tab_Def_Flows[Name(EN)],Tab_Def_Flows[WC?],,0,)</f>
        <v>Yes</v>
      </c>
      <c r="K52" s="61" t="str">
        <f>_xlfn.XLOOKUP(C52,Tab_Def_Flows[Name(EN)],Tab_Def_Flows[DM?],,0,)</f>
        <v>Yes</v>
      </c>
      <c r="L52" s="61" t="str">
        <f>_xlfn.XLOOKUP(C52,Tab_Def_Flows[Name(EN)],Tab_Def_Flows[CC?],,0,)</f>
        <v>Yes</v>
      </c>
      <c r="M52" s="51">
        <v>2027</v>
      </c>
      <c r="N52" s="51" t="s">
        <v>353</v>
      </c>
      <c r="O52" s="126">
        <f t="shared" si="17"/>
        <v>81.701979436800016</v>
      </c>
      <c r="P52" s="51" t="s">
        <v>398</v>
      </c>
      <c r="Q52" s="51"/>
      <c r="R52" s="51"/>
      <c r="S52" s="51"/>
      <c r="T52" s="51"/>
      <c r="U52" s="51"/>
      <c r="V52" s="51"/>
      <c r="W52" s="51"/>
      <c r="X52" s="51" t="s">
        <v>71</v>
      </c>
      <c r="Y52" s="109"/>
      <c r="Z52" s="51"/>
      <c r="AA52" s="89">
        <f t="shared" si="16"/>
        <v>81.701979436800016</v>
      </c>
      <c r="AB52" s="51" t="s">
        <v>63</v>
      </c>
      <c r="AC52" s="114">
        <f>INDEX(Tab_Def_Flows[[Flow_ID]:[CC_DM_source]],MATCH(Tab_Data_Flows[[#This Row],[Name(EN)]],Tab_Def_Flows[Name(EN)],0),16)</f>
        <v>1</v>
      </c>
      <c r="AD52" s="115">
        <f>IF(J52="Yes",AA52*Tab_Data_Flows[[#This Row],[WC_'[%']]],"N.A.")</f>
        <v>81.701979436800016</v>
      </c>
      <c r="AE52" s="61" t="str">
        <f>Tab_Data_Flows[[#This Row],[UoM_Flow_Py]]</f>
        <v>Mg</v>
      </c>
      <c r="AF52" s="114">
        <f>INDEX(Tab_Def_Flows[[Flow_ID]:[CC_DM_source]],MATCH(Tab_Data_Flows[[#This Row],[Name(EN)]],Tab_Def_Flows[Name(EN)],0),18)</f>
        <v>0</v>
      </c>
      <c r="AG52" s="115">
        <f>IF(K52="Yes",AF52*Tab_Data_Flows[[#This Row],[Flow_Py]],"N.A.")</f>
        <v>0</v>
      </c>
      <c r="AH52" s="61" t="str">
        <f>Tab_Data_Flows[[#This Row],[UoM_Flow_Py]]</f>
        <v>Mg</v>
      </c>
      <c r="AI52" s="114">
        <f>INDEX(Tab_Def_Flows[[Flow_ID]:[CC_DM_source]],MATCH(Tab_Data_Flows[[#This Row],[Name(EN)]],Tab_Def_Flows[Name(EN)],0),20)</f>
        <v>0</v>
      </c>
      <c r="AJ52" s="115">
        <f>IF(L52="Yes",AI52*Tab_Data_Flows[[#This Row],[Flow_Py]],"N.A.")</f>
        <v>0</v>
      </c>
      <c r="AK52" s="61" t="str">
        <f>Tab_Data_Flows[[#This Row],[UoM_Flow_Py]]</f>
        <v>Mg</v>
      </c>
    </row>
    <row r="53" spans="1:37" x14ac:dyDescent="0.35">
      <c r="A53" s="60">
        <f t="shared" si="12"/>
        <v>52</v>
      </c>
      <c r="B53" s="49" t="str">
        <f>_xlfn.XLOOKUP(C53,Tab_Def_Flows[Name(EN)],Tab_Def_Flows[Flow_ID],,0,)</f>
        <v>F_08_02</v>
      </c>
      <c r="C53" s="51" t="s">
        <v>343</v>
      </c>
      <c r="D53" s="49">
        <f>_xlfn.XLOOKUP(C53,Tab_Def_Flows[Name(EN)],Tab_Def_Flows[Type_Biomass],,0,)</f>
        <v>0</v>
      </c>
      <c r="E53" s="49" t="str">
        <f>_xlfn.XLOOKUP(C53,Tab_Def_Flows[Name(EN)],Tab_Def_Flows[Output_Process],,0,)</f>
        <v>Water System (Import)</v>
      </c>
      <c r="F53" s="49" t="str">
        <f>_xlfn.XLOOKUP(C53,Tab_Def_Flows[Name(EN)],Tab_Def_Flows[Process_ID_O],,0,)</f>
        <v>08_Wat_BB</v>
      </c>
      <c r="G53" s="49" t="str">
        <f>_xlfn.XLOOKUP(C53,Tab_Def_Flows[Name(EN)],Tab_Def_Flows[Input_Process],,0,)</f>
        <v>MBC production</v>
      </c>
      <c r="H53" s="61" t="str">
        <f>_xlfn.XLOOKUP(C53,Tab_Def_Flows[Name(EN)],Tab_Def_Flows[Process_ID_I],,0,)</f>
        <v>02_MBC_BB</v>
      </c>
      <c r="I53" s="61">
        <f>_xlfn.XLOOKUP(C53,Tab_Def_Flows[Name(EN)],Tab_Def_Flows[Value_Source],,0,)</f>
        <v>0</v>
      </c>
      <c r="J53" s="61" t="str">
        <f>_xlfn.XLOOKUP(C53,Tab_Def_Flows[Name(EN)],Tab_Def_Flows[WC?],,0,)</f>
        <v>Yes</v>
      </c>
      <c r="K53" s="61" t="str">
        <f>_xlfn.XLOOKUP(C53,Tab_Def_Flows[Name(EN)],Tab_Def_Flows[DM?],,0,)</f>
        <v>Yes</v>
      </c>
      <c r="L53" s="61" t="str">
        <f>_xlfn.XLOOKUP(C53,Tab_Def_Flows[Name(EN)],Tab_Def_Flows[CC?],,0,)</f>
        <v>Yes</v>
      </c>
      <c r="M53" s="51">
        <v>2028</v>
      </c>
      <c r="N53" s="51" t="s">
        <v>353</v>
      </c>
      <c r="O53" s="126">
        <f t="shared" si="17"/>
        <v>83.336019025536018</v>
      </c>
      <c r="P53" s="51" t="s">
        <v>398</v>
      </c>
      <c r="Q53" s="51"/>
      <c r="R53" s="51"/>
      <c r="S53" s="51"/>
      <c r="T53" s="51"/>
      <c r="U53" s="51"/>
      <c r="V53" s="51"/>
      <c r="W53" s="51"/>
      <c r="X53" s="51" t="s">
        <v>71</v>
      </c>
      <c r="Y53" s="109"/>
      <c r="Z53" s="51"/>
      <c r="AA53" s="89">
        <f t="shared" si="16"/>
        <v>83.336019025536018</v>
      </c>
      <c r="AB53" s="51" t="s">
        <v>63</v>
      </c>
      <c r="AC53" s="114">
        <f>INDEX(Tab_Def_Flows[[Flow_ID]:[CC_DM_source]],MATCH(Tab_Data_Flows[[#This Row],[Name(EN)]],Tab_Def_Flows[Name(EN)],0),16)</f>
        <v>1</v>
      </c>
      <c r="AD53" s="115">
        <f>IF(J53="Yes",AA53*Tab_Data_Flows[[#This Row],[WC_'[%']]],"N.A.")</f>
        <v>83.336019025536018</v>
      </c>
      <c r="AE53" s="61" t="str">
        <f>Tab_Data_Flows[[#This Row],[UoM_Flow_Py]]</f>
        <v>Mg</v>
      </c>
      <c r="AF53" s="114">
        <f>INDEX(Tab_Def_Flows[[Flow_ID]:[CC_DM_source]],MATCH(Tab_Data_Flows[[#This Row],[Name(EN)]],Tab_Def_Flows[Name(EN)],0),18)</f>
        <v>0</v>
      </c>
      <c r="AG53" s="115">
        <f>IF(K53="Yes",AF53*Tab_Data_Flows[[#This Row],[Flow_Py]],"N.A.")</f>
        <v>0</v>
      </c>
      <c r="AH53" s="61" t="str">
        <f>Tab_Data_Flows[[#This Row],[UoM_Flow_Py]]</f>
        <v>Mg</v>
      </c>
      <c r="AI53" s="114">
        <f>INDEX(Tab_Def_Flows[[Flow_ID]:[CC_DM_source]],MATCH(Tab_Data_Flows[[#This Row],[Name(EN)]],Tab_Def_Flows[Name(EN)],0),20)</f>
        <v>0</v>
      </c>
      <c r="AJ53" s="115">
        <f>IF(L53="Yes",AI53*Tab_Data_Flows[[#This Row],[Flow_Py]],"N.A.")</f>
        <v>0</v>
      </c>
      <c r="AK53" s="61" t="str">
        <f>Tab_Data_Flows[[#This Row],[UoM_Flow_Py]]</f>
        <v>Mg</v>
      </c>
    </row>
    <row r="54" spans="1:37" x14ac:dyDescent="0.35">
      <c r="A54" s="60">
        <f t="shared" si="12"/>
        <v>53</v>
      </c>
      <c r="B54" s="49" t="str">
        <f>_xlfn.XLOOKUP(C54,Tab_Def_Flows[Name(EN)],Tab_Def_Flows[Flow_ID],,0,)</f>
        <v>F_08_02</v>
      </c>
      <c r="C54" s="51" t="s">
        <v>343</v>
      </c>
      <c r="D54" s="49">
        <f>_xlfn.XLOOKUP(C54,Tab_Def_Flows[Name(EN)],Tab_Def_Flows[Type_Biomass],,0,)</f>
        <v>0</v>
      </c>
      <c r="E54" s="49" t="str">
        <f>_xlfn.XLOOKUP(C54,Tab_Def_Flows[Name(EN)],Tab_Def_Flows[Output_Process],,0,)</f>
        <v>Water System (Import)</v>
      </c>
      <c r="F54" s="49" t="str">
        <f>_xlfn.XLOOKUP(C54,Tab_Def_Flows[Name(EN)],Tab_Def_Flows[Process_ID_O],,0,)</f>
        <v>08_Wat_BB</v>
      </c>
      <c r="G54" s="49" t="str">
        <f>_xlfn.XLOOKUP(C54,Tab_Def_Flows[Name(EN)],Tab_Def_Flows[Input_Process],,0,)</f>
        <v>MBC production</v>
      </c>
      <c r="H54" s="61" t="str">
        <f>_xlfn.XLOOKUP(C54,Tab_Def_Flows[Name(EN)],Tab_Def_Flows[Process_ID_I],,0,)</f>
        <v>02_MBC_BB</v>
      </c>
      <c r="I54" s="61">
        <f>_xlfn.XLOOKUP(C54,Tab_Def_Flows[Name(EN)],Tab_Def_Flows[Value_Source],,0,)</f>
        <v>0</v>
      </c>
      <c r="J54" s="61" t="str">
        <f>_xlfn.XLOOKUP(C54,Tab_Def_Flows[Name(EN)],Tab_Def_Flows[WC?],,0,)</f>
        <v>Yes</v>
      </c>
      <c r="K54" s="61" t="str">
        <f>_xlfn.XLOOKUP(C54,Tab_Def_Flows[Name(EN)],Tab_Def_Flows[DM?],,0,)</f>
        <v>Yes</v>
      </c>
      <c r="L54" s="61" t="str">
        <f>_xlfn.XLOOKUP(C54,Tab_Def_Flows[Name(EN)],Tab_Def_Flows[CC?],,0,)</f>
        <v>Yes</v>
      </c>
      <c r="M54" s="51">
        <v>2029</v>
      </c>
      <c r="N54" s="51" t="s">
        <v>353</v>
      </c>
      <c r="O54" s="126">
        <f t="shared" si="17"/>
        <v>85.002739406046743</v>
      </c>
      <c r="P54" s="51" t="s">
        <v>398</v>
      </c>
      <c r="Q54" s="51"/>
      <c r="R54" s="51"/>
      <c r="S54" s="51"/>
      <c r="T54" s="51"/>
      <c r="U54" s="51"/>
      <c r="V54" s="51"/>
      <c r="W54" s="51"/>
      <c r="X54" s="51" t="s">
        <v>71</v>
      </c>
      <c r="Y54" s="109"/>
      <c r="Z54" s="51"/>
      <c r="AA54" s="89">
        <f t="shared" si="16"/>
        <v>85.002739406046743</v>
      </c>
      <c r="AB54" s="51" t="s">
        <v>63</v>
      </c>
      <c r="AC54" s="114">
        <f>INDEX(Tab_Def_Flows[[Flow_ID]:[CC_DM_source]],MATCH(Tab_Data_Flows[[#This Row],[Name(EN)]],Tab_Def_Flows[Name(EN)],0),16)</f>
        <v>1</v>
      </c>
      <c r="AD54" s="115">
        <f>IF(J54="Yes",AA54*Tab_Data_Flows[[#This Row],[WC_'[%']]],"N.A.")</f>
        <v>85.002739406046743</v>
      </c>
      <c r="AE54" s="61" t="str">
        <f>Tab_Data_Flows[[#This Row],[UoM_Flow_Py]]</f>
        <v>Mg</v>
      </c>
      <c r="AF54" s="114">
        <f>INDEX(Tab_Def_Flows[[Flow_ID]:[CC_DM_source]],MATCH(Tab_Data_Flows[[#This Row],[Name(EN)]],Tab_Def_Flows[Name(EN)],0),18)</f>
        <v>0</v>
      </c>
      <c r="AG54" s="115">
        <f>IF(K54="Yes",AF54*Tab_Data_Flows[[#This Row],[Flow_Py]],"N.A.")</f>
        <v>0</v>
      </c>
      <c r="AH54" s="61" t="str">
        <f>Tab_Data_Flows[[#This Row],[UoM_Flow_Py]]</f>
        <v>Mg</v>
      </c>
      <c r="AI54" s="114">
        <f>INDEX(Tab_Def_Flows[[Flow_ID]:[CC_DM_source]],MATCH(Tab_Data_Flows[[#This Row],[Name(EN)]],Tab_Def_Flows[Name(EN)],0),20)</f>
        <v>0</v>
      </c>
      <c r="AJ54" s="115">
        <f>IF(L54="Yes",AI54*Tab_Data_Flows[[#This Row],[Flow_Py]],"N.A.")</f>
        <v>0</v>
      </c>
      <c r="AK54" s="61" t="str">
        <f>Tab_Data_Flows[[#This Row],[UoM_Flow_Py]]</f>
        <v>Mg</v>
      </c>
    </row>
    <row r="55" spans="1:37" x14ac:dyDescent="0.35">
      <c r="A55" s="60">
        <f t="shared" si="12"/>
        <v>54</v>
      </c>
      <c r="B55" s="49" t="str">
        <f>_xlfn.XLOOKUP(C55,Tab_Def_Flows[Name(EN)],Tab_Def_Flows[Flow_ID],,0,)</f>
        <v>F_08_02</v>
      </c>
      <c r="C55" s="51" t="s">
        <v>343</v>
      </c>
      <c r="D55" s="49">
        <f>_xlfn.XLOOKUP(C55,Tab_Def_Flows[Name(EN)],Tab_Def_Flows[Type_Biomass],,0,)</f>
        <v>0</v>
      </c>
      <c r="E55" s="49" t="str">
        <f>_xlfn.XLOOKUP(C55,Tab_Def_Flows[Name(EN)],Tab_Def_Flows[Output_Process],,0,)</f>
        <v>Water System (Import)</v>
      </c>
      <c r="F55" s="49" t="str">
        <f>_xlfn.XLOOKUP(C55,Tab_Def_Flows[Name(EN)],Tab_Def_Flows[Process_ID_O],,0,)</f>
        <v>08_Wat_BB</v>
      </c>
      <c r="G55" s="49" t="str">
        <f>_xlfn.XLOOKUP(C55,Tab_Def_Flows[Name(EN)],Tab_Def_Flows[Input_Process],,0,)</f>
        <v>MBC production</v>
      </c>
      <c r="H55" s="61" t="str">
        <f>_xlfn.XLOOKUP(C55,Tab_Def_Flows[Name(EN)],Tab_Def_Flows[Process_ID_I],,0,)</f>
        <v>02_MBC_BB</v>
      </c>
      <c r="I55" s="61">
        <f>_xlfn.XLOOKUP(C55,Tab_Def_Flows[Name(EN)],Tab_Def_Flows[Value_Source],,0,)</f>
        <v>0</v>
      </c>
      <c r="J55" s="61" t="str">
        <f>_xlfn.XLOOKUP(C55,Tab_Def_Flows[Name(EN)],Tab_Def_Flows[WC?],,0,)</f>
        <v>Yes</v>
      </c>
      <c r="K55" s="61" t="str">
        <f>_xlfn.XLOOKUP(C55,Tab_Def_Flows[Name(EN)],Tab_Def_Flows[DM?],,0,)</f>
        <v>Yes</v>
      </c>
      <c r="L55" s="61" t="str">
        <f>_xlfn.XLOOKUP(C55,Tab_Def_Flows[Name(EN)],Tab_Def_Flows[CC?],,0,)</f>
        <v>Yes</v>
      </c>
      <c r="M55" s="51">
        <v>2030</v>
      </c>
      <c r="N55" s="51" t="s">
        <v>353</v>
      </c>
      <c r="O55" s="126">
        <f t="shared" si="17"/>
        <v>86.70279419416768</v>
      </c>
      <c r="P55" s="51" t="s">
        <v>398</v>
      </c>
      <c r="Q55" s="51"/>
      <c r="R55" s="51"/>
      <c r="S55" s="51"/>
      <c r="T55" s="51"/>
      <c r="U55" s="51"/>
      <c r="V55" s="51"/>
      <c r="W55" s="51"/>
      <c r="X55" s="51" t="s">
        <v>71</v>
      </c>
      <c r="Y55" s="109"/>
      <c r="Z55" s="51"/>
      <c r="AA55" s="89">
        <f t="shared" ref="AA55:AA60" si="18">IF(X55="no",O55,O55*Y55)</f>
        <v>86.70279419416768</v>
      </c>
      <c r="AB55" s="51" t="s">
        <v>63</v>
      </c>
      <c r="AC55" s="114">
        <f>INDEX(Tab_Def_Flows[[Flow_ID]:[CC_DM_source]],MATCH(Tab_Data_Flows[[#This Row],[Name(EN)]],Tab_Def_Flows[Name(EN)],0),16)</f>
        <v>1</v>
      </c>
      <c r="AD55" s="115">
        <f>IF(J55="Yes",AA55*Tab_Data_Flows[[#This Row],[WC_'[%']]],"N.A.")</f>
        <v>86.70279419416768</v>
      </c>
      <c r="AE55" s="61" t="str">
        <f>Tab_Data_Flows[[#This Row],[UoM_Flow_Py]]</f>
        <v>Mg</v>
      </c>
      <c r="AF55" s="114">
        <f>INDEX(Tab_Def_Flows[[Flow_ID]:[CC_DM_source]],MATCH(Tab_Data_Flows[[#This Row],[Name(EN)]],Tab_Def_Flows[Name(EN)],0),18)</f>
        <v>0</v>
      </c>
      <c r="AG55" s="115">
        <f>IF(K55="Yes",AF55*Tab_Data_Flows[[#This Row],[Flow_Py]],"N.A.")</f>
        <v>0</v>
      </c>
      <c r="AH55" s="61" t="str">
        <f>Tab_Data_Flows[[#This Row],[UoM_Flow_Py]]</f>
        <v>Mg</v>
      </c>
      <c r="AI55" s="114">
        <f>INDEX(Tab_Def_Flows[[Flow_ID]:[CC_DM_source]],MATCH(Tab_Data_Flows[[#This Row],[Name(EN)]],Tab_Def_Flows[Name(EN)],0),20)</f>
        <v>0</v>
      </c>
      <c r="AJ55" s="115">
        <f>IF(L55="Yes",AI55*Tab_Data_Flows[[#This Row],[Flow_Py]],"N.A.")</f>
        <v>0</v>
      </c>
      <c r="AK55" s="61" t="str">
        <f>Tab_Data_Flows[[#This Row],[UoM_Flow_Py]]</f>
        <v>Mg</v>
      </c>
    </row>
    <row r="56" spans="1:37" x14ac:dyDescent="0.35">
      <c r="A56" s="60">
        <f t="shared" si="12"/>
        <v>55</v>
      </c>
      <c r="B56" s="49" t="str">
        <f>_xlfn.XLOOKUP(C56,Tab_Def_Flows[Name(EN)],Tab_Def_Flows[Flow_ID],,0,)</f>
        <v>F_08_02</v>
      </c>
      <c r="C56" s="51" t="s">
        <v>343</v>
      </c>
      <c r="D56" s="49">
        <f>_xlfn.XLOOKUP(C56,Tab_Def_Flows[Name(EN)],Tab_Def_Flows[Type_Biomass],,0,)</f>
        <v>0</v>
      </c>
      <c r="E56" s="49" t="str">
        <f>_xlfn.XLOOKUP(C56,Tab_Def_Flows[Name(EN)],Tab_Def_Flows[Output_Process],,0,)</f>
        <v>Water System (Import)</v>
      </c>
      <c r="F56" s="49" t="str">
        <f>_xlfn.XLOOKUP(C56,Tab_Def_Flows[Name(EN)],Tab_Def_Flows[Process_ID_O],,0,)</f>
        <v>08_Wat_BB</v>
      </c>
      <c r="G56" s="49" t="str">
        <f>_xlfn.XLOOKUP(C56,Tab_Def_Flows[Name(EN)],Tab_Def_Flows[Input_Process],,0,)</f>
        <v>MBC production</v>
      </c>
      <c r="H56" s="61" t="str">
        <f>_xlfn.XLOOKUP(C56,Tab_Def_Flows[Name(EN)],Tab_Def_Flows[Process_ID_I],,0,)</f>
        <v>02_MBC_BB</v>
      </c>
      <c r="I56" s="61">
        <f>_xlfn.XLOOKUP(C56,Tab_Def_Flows[Name(EN)],Tab_Def_Flows[Value_Source],,0,)</f>
        <v>0</v>
      </c>
      <c r="J56" s="61" t="str">
        <f>_xlfn.XLOOKUP(C56,Tab_Def_Flows[Name(EN)],Tab_Def_Flows[WC?],,0,)</f>
        <v>Yes</v>
      </c>
      <c r="K56" s="61" t="str">
        <f>_xlfn.XLOOKUP(C56,Tab_Def_Flows[Name(EN)],Tab_Def_Flows[DM?],,0,)</f>
        <v>Yes</v>
      </c>
      <c r="L56" s="61" t="str">
        <f>_xlfn.XLOOKUP(C56,Tab_Def_Flows[Name(EN)],Tab_Def_Flows[CC?],,0,)</f>
        <v>Yes</v>
      </c>
      <c r="M56" s="51">
        <v>2031</v>
      </c>
      <c r="N56" s="51" t="s">
        <v>353</v>
      </c>
      <c r="O56" s="126">
        <f t="shared" si="17"/>
        <v>88.436850078051037</v>
      </c>
      <c r="P56" s="51" t="s">
        <v>398</v>
      </c>
      <c r="Q56" s="51"/>
      <c r="R56" s="51"/>
      <c r="S56" s="51"/>
      <c r="T56" s="51"/>
      <c r="U56" s="51"/>
      <c r="V56" s="51"/>
      <c r="W56" s="51"/>
      <c r="X56" s="51" t="s">
        <v>71</v>
      </c>
      <c r="Y56" s="109"/>
      <c r="Z56" s="51"/>
      <c r="AA56" s="89">
        <f t="shared" si="18"/>
        <v>88.436850078051037</v>
      </c>
      <c r="AB56" s="51" t="s">
        <v>63</v>
      </c>
      <c r="AC56" s="114">
        <f>INDEX(Tab_Def_Flows[[Flow_ID]:[CC_DM_source]],MATCH(Tab_Data_Flows[[#This Row],[Name(EN)]],Tab_Def_Flows[Name(EN)],0),16)</f>
        <v>1</v>
      </c>
      <c r="AD56" s="115">
        <f>IF(J56="Yes",AA56*Tab_Data_Flows[[#This Row],[WC_'[%']]],"N.A.")</f>
        <v>88.436850078051037</v>
      </c>
      <c r="AE56" s="61" t="str">
        <f>Tab_Data_Flows[[#This Row],[UoM_Flow_Py]]</f>
        <v>Mg</v>
      </c>
      <c r="AF56" s="114">
        <f>INDEX(Tab_Def_Flows[[Flow_ID]:[CC_DM_source]],MATCH(Tab_Data_Flows[[#This Row],[Name(EN)]],Tab_Def_Flows[Name(EN)],0),18)</f>
        <v>0</v>
      </c>
      <c r="AG56" s="115">
        <f>IF(K56="Yes",AF56*Tab_Data_Flows[[#This Row],[Flow_Py]],"N.A.")</f>
        <v>0</v>
      </c>
      <c r="AH56" s="61" t="str">
        <f>Tab_Data_Flows[[#This Row],[UoM_Flow_Py]]</f>
        <v>Mg</v>
      </c>
      <c r="AI56" s="114">
        <f>INDEX(Tab_Def_Flows[[Flow_ID]:[CC_DM_source]],MATCH(Tab_Data_Flows[[#This Row],[Name(EN)]],Tab_Def_Flows[Name(EN)],0),20)</f>
        <v>0</v>
      </c>
      <c r="AJ56" s="115">
        <f>IF(L56="Yes",AI56*Tab_Data_Flows[[#This Row],[Flow_Py]],"N.A.")</f>
        <v>0</v>
      </c>
      <c r="AK56" s="61" t="str">
        <f>Tab_Data_Flows[[#This Row],[UoM_Flow_Py]]</f>
        <v>Mg</v>
      </c>
    </row>
    <row r="57" spans="1:37" x14ac:dyDescent="0.35">
      <c r="A57" s="60">
        <f t="shared" si="12"/>
        <v>56</v>
      </c>
      <c r="B57" s="49" t="str">
        <f>_xlfn.XLOOKUP(C57,Tab_Def_Flows[Name(EN)],Tab_Def_Flows[Flow_ID],,0,)</f>
        <v>F_08_02</v>
      </c>
      <c r="C57" s="51" t="s">
        <v>343</v>
      </c>
      <c r="D57" s="49">
        <f>_xlfn.XLOOKUP(C57,Tab_Def_Flows[Name(EN)],Tab_Def_Flows[Type_Biomass],,0,)</f>
        <v>0</v>
      </c>
      <c r="E57" s="49" t="str">
        <f>_xlfn.XLOOKUP(C57,Tab_Def_Flows[Name(EN)],Tab_Def_Flows[Output_Process],,0,)</f>
        <v>Water System (Import)</v>
      </c>
      <c r="F57" s="49" t="str">
        <f>_xlfn.XLOOKUP(C57,Tab_Def_Flows[Name(EN)],Tab_Def_Flows[Process_ID_O],,0,)</f>
        <v>08_Wat_BB</v>
      </c>
      <c r="G57" s="49" t="str">
        <f>_xlfn.XLOOKUP(C57,Tab_Def_Flows[Name(EN)],Tab_Def_Flows[Input_Process],,0,)</f>
        <v>MBC production</v>
      </c>
      <c r="H57" s="61" t="str">
        <f>_xlfn.XLOOKUP(C57,Tab_Def_Flows[Name(EN)],Tab_Def_Flows[Process_ID_I],,0,)</f>
        <v>02_MBC_BB</v>
      </c>
      <c r="I57" s="61">
        <f>_xlfn.XLOOKUP(C57,Tab_Def_Flows[Name(EN)],Tab_Def_Flows[Value_Source],,0,)</f>
        <v>0</v>
      </c>
      <c r="J57" s="61" t="str">
        <f>_xlfn.XLOOKUP(C57,Tab_Def_Flows[Name(EN)],Tab_Def_Flows[WC?],,0,)</f>
        <v>Yes</v>
      </c>
      <c r="K57" s="61" t="str">
        <f>_xlfn.XLOOKUP(C57,Tab_Def_Flows[Name(EN)],Tab_Def_Flows[DM?],,0,)</f>
        <v>Yes</v>
      </c>
      <c r="L57" s="61" t="str">
        <f>_xlfn.XLOOKUP(C57,Tab_Def_Flows[Name(EN)],Tab_Def_Flows[CC?],,0,)</f>
        <v>Yes</v>
      </c>
      <c r="M57" s="51">
        <v>2032</v>
      </c>
      <c r="N57" s="51" t="s">
        <v>353</v>
      </c>
      <c r="O57" s="126">
        <f t="shared" si="17"/>
        <v>90.205587079612059</v>
      </c>
      <c r="P57" s="51" t="s">
        <v>398</v>
      </c>
      <c r="Q57" s="51"/>
      <c r="R57" s="51"/>
      <c r="S57" s="51"/>
      <c r="T57" s="51"/>
      <c r="U57" s="51"/>
      <c r="V57" s="51"/>
      <c r="W57" s="51"/>
      <c r="X57" s="51" t="s">
        <v>71</v>
      </c>
      <c r="Y57" s="109"/>
      <c r="Z57" s="51"/>
      <c r="AA57" s="89">
        <f t="shared" si="18"/>
        <v>90.205587079612059</v>
      </c>
      <c r="AB57" s="51" t="s">
        <v>63</v>
      </c>
      <c r="AC57" s="114">
        <f>INDEX(Tab_Def_Flows[[Flow_ID]:[CC_DM_source]],MATCH(Tab_Data_Flows[[#This Row],[Name(EN)]],Tab_Def_Flows[Name(EN)],0),16)</f>
        <v>1</v>
      </c>
      <c r="AD57" s="115">
        <f>IF(J57="Yes",AA57*Tab_Data_Flows[[#This Row],[WC_'[%']]],"N.A.")</f>
        <v>90.205587079612059</v>
      </c>
      <c r="AE57" s="61" t="str">
        <f>Tab_Data_Flows[[#This Row],[UoM_Flow_Py]]</f>
        <v>Mg</v>
      </c>
      <c r="AF57" s="114">
        <f>INDEX(Tab_Def_Flows[[Flow_ID]:[CC_DM_source]],MATCH(Tab_Data_Flows[[#This Row],[Name(EN)]],Tab_Def_Flows[Name(EN)],0),18)</f>
        <v>0</v>
      </c>
      <c r="AG57" s="115">
        <f>IF(K57="Yes",AF57*Tab_Data_Flows[[#This Row],[Flow_Py]],"N.A.")</f>
        <v>0</v>
      </c>
      <c r="AH57" s="61" t="str">
        <f>Tab_Data_Flows[[#This Row],[UoM_Flow_Py]]</f>
        <v>Mg</v>
      </c>
      <c r="AI57" s="114">
        <f>INDEX(Tab_Def_Flows[[Flow_ID]:[CC_DM_source]],MATCH(Tab_Data_Flows[[#This Row],[Name(EN)]],Tab_Def_Flows[Name(EN)],0),20)</f>
        <v>0</v>
      </c>
      <c r="AJ57" s="115">
        <f>IF(L57="Yes",AI57*Tab_Data_Flows[[#This Row],[Flow_Py]],"N.A.")</f>
        <v>0</v>
      </c>
      <c r="AK57" s="61" t="str">
        <f>Tab_Data_Flows[[#This Row],[UoM_Flow_Py]]</f>
        <v>Mg</v>
      </c>
    </row>
    <row r="58" spans="1:37" x14ac:dyDescent="0.35">
      <c r="A58" s="60">
        <f t="shared" si="12"/>
        <v>57</v>
      </c>
      <c r="B58" s="49" t="str">
        <f>_xlfn.XLOOKUP(C58,Tab_Def_Flows[Name(EN)],Tab_Def_Flows[Flow_ID],,0,)</f>
        <v>F_08_02</v>
      </c>
      <c r="C58" s="51" t="s">
        <v>343</v>
      </c>
      <c r="D58" s="49">
        <f>_xlfn.XLOOKUP(C58,Tab_Def_Flows[Name(EN)],Tab_Def_Flows[Type_Biomass],,0,)</f>
        <v>0</v>
      </c>
      <c r="E58" s="49" t="str">
        <f>_xlfn.XLOOKUP(C58,Tab_Def_Flows[Name(EN)],Tab_Def_Flows[Output_Process],,0,)</f>
        <v>Water System (Import)</v>
      </c>
      <c r="F58" s="49" t="str">
        <f>_xlfn.XLOOKUP(C58,Tab_Def_Flows[Name(EN)],Tab_Def_Flows[Process_ID_O],,0,)</f>
        <v>08_Wat_BB</v>
      </c>
      <c r="G58" s="49" t="str">
        <f>_xlfn.XLOOKUP(C58,Tab_Def_Flows[Name(EN)],Tab_Def_Flows[Input_Process],,0,)</f>
        <v>MBC production</v>
      </c>
      <c r="H58" s="61" t="str">
        <f>_xlfn.XLOOKUP(C58,Tab_Def_Flows[Name(EN)],Tab_Def_Flows[Process_ID_I],,0,)</f>
        <v>02_MBC_BB</v>
      </c>
      <c r="I58" s="61">
        <f>_xlfn.XLOOKUP(C58,Tab_Def_Flows[Name(EN)],Tab_Def_Flows[Value_Source],,0,)</f>
        <v>0</v>
      </c>
      <c r="J58" s="61" t="str">
        <f>_xlfn.XLOOKUP(C58,Tab_Def_Flows[Name(EN)],Tab_Def_Flows[WC?],,0,)</f>
        <v>Yes</v>
      </c>
      <c r="K58" s="61" t="str">
        <f>_xlfn.XLOOKUP(C58,Tab_Def_Flows[Name(EN)],Tab_Def_Flows[DM?],,0,)</f>
        <v>Yes</v>
      </c>
      <c r="L58" s="61" t="str">
        <f>_xlfn.XLOOKUP(C58,Tab_Def_Flows[Name(EN)],Tab_Def_Flows[CC?],,0,)</f>
        <v>Yes</v>
      </c>
      <c r="M58" s="51">
        <v>2033</v>
      </c>
      <c r="N58" s="51" t="s">
        <v>353</v>
      </c>
      <c r="O58" s="126">
        <f t="shared" si="17"/>
        <v>92.009698821204296</v>
      </c>
      <c r="P58" s="51" t="s">
        <v>398</v>
      </c>
      <c r="Q58" s="51"/>
      <c r="R58" s="51"/>
      <c r="S58" s="51"/>
      <c r="T58" s="51"/>
      <c r="U58" s="51"/>
      <c r="V58" s="51"/>
      <c r="W58" s="51"/>
      <c r="X58" s="51" t="s">
        <v>71</v>
      </c>
      <c r="Y58" s="109"/>
      <c r="Z58" s="51"/>
      <c r="AA58" s="89">
        <f t="shared" si="18"/>
        <v>92.009698821204296</v>
      </c>
      <c r="AB58" s="51" t="s">
        <v>63</v>
      </c>
      <c r="AC58" s="114">
        <f>INDEX(Tab_Def_Flows[[Flow_ID]:[CC_DM_source]],MATCH(Tab_Data_Flows[[#This Row],[Name(EN)]],Tab_Def_Flows[Name(EN)],0),16)</f>
        <v>1</v>
      </c>
      <c r="AD58" s="115">
        <f>IF(J58="Yes",AA58*Tab_Data_Flows[[#This Row],[WC_'[%']]],"N.A.")</f>
        <v>92.009698821204296</v>
      </c>
      <c r="AE58" s="61" t="str">
        <f>Tab_Data_Flows[[#This Row],[UoM_Flow_Py]]</f>
        <v>Mg</v>
      </c>
      <c r="AF58" s="114">
        <f>INDEX(Tab_Def_Flows[[Flow_ID]:[CC_DM_source]],MATCH(Tab_Data_Flows[[#This Row],[Name(EN)]],Tab_Def_Flows[Name(EN)],0),18)</f>
        <v>0</v>
      </c>
      <c r="AG58" s="115">
        <f>IF(K58="Yes",AF58*Tab_Data_Flows[[#This Row],[Flow_Py]],"N.A.")</f>
        <v>0</v>
      </c>
      <c r="AH58" s="61" t="str">
        <f>Tab_Data_Flows[[#This Row],[UoM_Flow_Py]]</f>
        <v>Mg</v>
      </c>
      <c r="AI58" s="114">
        <f>INDEX(Tab_Def_Flows[[Flow_ID]:[CC_DM_source]],MATCH(Tab_Data_Flows[[#This Row],[Name(EN)]],Tab_Def_Flows[Name(EN)],0),20)</f>
        <v>0</v>
      </c>
      <c r="AJ58" s="115">
        <f>IF(L58="Yes",AI58*Tab_Data_Flows[[#This Row],[Flow_Py]],"N.A.")</f>
        <v>0</v>
      </c>
      <c r="AK58" s="61" t="str">
        <f>Tab_Data_Flows[[#This Row],[UoM_Flow_Py]]</f>
        <v>Mg</v>
      </c>
    </row>
    <row r="59" spans="1:37" x14ac:dyDescent="0.35">
      <c r="A59" s="60">
        <f t="shared" si="12"/>
        <v>58</v>
      </c>
      <c r="B59" s="49" t="str">
        <f>_xlfn.XLOOKUP(C59,Tab_Def_Flows[Name(EN)],Tab_Def_Flows[Flow_ID],,0,)</f>
        <v>F_08_02</v>
      </c>
      <c r="C59" s="51" t="s">
        <v>343</v>
      </c>
      <c r="D59" s="49">
        <f>_xlfn.XLOOKUP(C59,Tab_Def_Flows[Name(EN)],Tab_Def_Flows[Type_Biomass],,0,)</f>
        <v>0</v>
      </c>
      <c r="E59" s="49" t="str">
        <f>_xlfn.XLOOKUP(C59,Tab_Def_Flows[Name(EN)],Tab_Def_Flows[Output_Process],,0,)</f>
        <v>Water System (Import)</v>
      </c>
      <c r="F59" s="49" t="str">
        <f>_xlfn.XLOOKUP(C59,Tab_Def_Flows[Name(EN)],Tab_Def_Flows[Process_ID_O],,0,)</f>
        <v>08_Wat_BB</v>
      </c>
      <c r="G59" s="49" t="str">
        <f>_xlfn.XLOOKUP(C59,Tab_Def_Flows[Name(EN)],Tab_Def_Flows[Input_Process],,0,)</f>
        <v>MBC production</v>
      </c>
      <c r="H59" s="61" t="str">
        <f>_xlfn.XLOOKUP(C59,Tab_Def_Flows[Name(EN)],Tab_Def_Flows[Process_ID_I],,0,)</f>
        <v>02_MBC_BB</v>
      </c>
      <c r="I59" s="61">
        <f>_xlfn.XLOOKUP(C59,Tab_Def_Flows[Name(EN)],Tab_Def_Flows[Value_Source],,0,)</f>
        <v>0</v>
      </c>
      <c r="J59" s="61" t="str">
        <f>_xlfn.XLOOKUP(C59,Tab_Def_Flows[Name(EN)],Tab_Def_Flows[WC?],,0,)</f>
        <v>Yes</v>
      </c>
      <c r="K59" s="61" t="str">
        <f>_xlfn.XLOOKUP(C59,Tab_Def_Flows[Name(EN)],Tab_Def_Flows[DM?],,0,)</f>
        <v>Yes</v>
      </c>
      <c r="L59" s="61" t="str">
        <f>_xlfn.XLOOKUP(C59,Tab_Def_Flows[Name(EN)],Tab_Def_Flows[CC?],,0,)</f>
        <v>Yes</v>
      </c>
      <c r="M59" s="51">
        <v>2034</v>
      </c>
      <c r="N59" s="51" t="s">
        <v>353</v>
      </c>
      <c r="O59" s="126">
        <f t="shared" si="17"/>
        <v>93.849892797628385</v>
      </c>
      <c r="P59" s="51" t="s">
        <v>398</v>
      </c>
      <c r="Q59" s="51"/>
      <c r="R59" s="51"/>
      <c r="S59" s="51"/>
      <c r="T59" s="51"/>
      <c r="U59" s="51"/>
      <c r="V59" s="51"/>
      <c r="W59" s="51"/>
      <c r="X59" s="51" t="s">
        <v>71</v>
      </c>
      <c r="Y59" s="109"/>
      <c r="Z59" s="51"/>
      <c r="AA59" s="89">
        <f t="shared" si="18"/>
        <v>93.849892797628385</v>
      </c>
      <c r="AB59" s="51" t="s">
        <v>63</v>
      </c>
      <c r="AC59" s="114">
        <f>INDEX(Tab_Def_Flows[[Flow_ID]:[CC_DM_source]],MATCH(Tab_Data_Flows[[#This Row],[Name(EN)]],Tab_Def_Flows[Name(EN)],0),16)</f>
        <v>1</v>
      </c>
      <c r="AD59" s="115">
        <f>IF(J59="Yes",AA59*Tab_Data_Flows[[#This Row],[WC_'[%']]],"N.A.")</f>
        <v>93.849892797628385</v>
      </c>
      <c r="AE59" s="61" t="str">
        <f>Tab_Data_Flows[[#This Row],[UoM_Flow_Py]]</f>
        <v>Mg</v>
      </c>
      <c r="AF59" s="114">
        <f>INDEX(Tab_Def_Flows[[Flow_ID]:[CC_DM_source]],MATCH(Tab_Data_Flows[[#This Row],[Name(EN)]],Tab_Def_Flows[Name(EN)],0),18)</f>
        <v>0</v>
      </c>
      <c r="AG59" s="115">
        <f>IF(K59="Yes",AF59*Tab_Data_Flows[[#This Row],[Flow_Py]],"N.A.")</f>
        <v>0</v>
      </c>
      <c r="AH59" s="61" t="str">
        <f>Tab_Data_Flows[[#This Row],[UoM_Flow_Py]]</f>
        <v>Mg</v>
      </c>
      <c r="AI59" s="114">
        <f>INDEX(Tab_Def_Flows[[Flow_ID]:[CC_DM_source]],MATCH(Tab_Data_Flows[[#This Row],[Name(EN)]],Tab_Def_Flows[Name(EN)],0),20)</f>
        <v>0</v>
      </c>
      <c r="AJ59" s="115">
        <f>IF(L59="Yes",AI59*Tab_Data_Flows[[#This Row],[Flow_Py]],"N.A.")</f>
        <v>0</v>
      </c>
      <c r="AK59" s="61" t="str">
        <f>Tab_Data_Flows[[#This Row],[UoM_Flow_Py]]</f>
        <v>Mg</v>
      </c>
    </row>
    <row r="60" spans="1:37" x14ac:dyDescent="0.35">
      <c r="A60" s="60">
        <f t="shared" si="12"/>
        <v>59</v>
      </c>
      <c r="B60" s="49" t="str">
        <f>_xlfn.XLOOKUP(C60,Tab_Def_Flows[Name(EN)],Tab_Def_Flows[Flow_ID],,0,)</f>
        <v>F_08_02</v>
      </c>
      <c r="C60" s="51" t="s">
        <v>343</v>
      </c>
      <c r="D60" s="49">
        <f>_xlfn.XLOOKUP(C60,Tab_Def_Flows[Name(EN)],Tab_Def_Flows[Type_Biomass],,0,)</f>
        <v>0</v>
      </c>
      <c r="E60" s="49" t="str">
        <f>_xlfn.XLOOKUP(C60,Tab_Def_Flows[Name(EN)],Tab_Def_Flows[Output_Process],,0,)</f>
        <v>Water System (Import)</v>
      </c>
      <c r="F60" s="49" t="str">
        <f>_xlfn.XLOOKUP(C60,Tab_Def_Flows[Name(EN)],Tab_Def_Flows[Process_ID_O],,0,)</f>
        <v>08_Wat_BB</v>
      </c>
      <c r="G60" s="49" t="str">
        <f>_xlfn.XLOOKUP(C60,Tab_Def_Flows[Name(EN)],Tab_Def_Flows[Input_Process],,0,)</f>
        <v>MBC production</v>
      </c>
      <c r="H60" s="61" t="str">
        <f>_xlfn.XLOOKUP(C60,Tab_Def_Flows[Name(EN)],Tab_Def_Flows[Process_ID_I],,0,)</f>
        <v>02_MBC_BB</v>
      </c>
      <c r="I60" s="61">
        <f>_xlfn.XLOOKUP(C60,Tab_Def_Flows[Name(EN)],Tab_Def_Flows[Value_Source],,0,)</f>
        <v>0</v>
      </c>
      <c r="J60" s="61" t="str">
        <f>_xlfn.XLOOKUP(C60,Tab_Def_Flows[Name(EN)],Tab_Def_Flows[WC?],,0,)</f>
        <v>Yes</v>
      </c>
      <c r="K60" s="61" t="str">
        <f>_xlfn.XLOOKUP(C60,Tab_Def_Flows[Name(EN)],Tab_Def_Flows[DM?],,0,)</f>
        <v>Yes</v>
      </c>
      <c r="L60" s="61" t="str">
        <f>_xlfn.XLOOKUP(C60,Tab_Def_Flows[Name(EN)],Tab_Def_Flows[CC?],,0,)</f>
        <v>Yes</v>
      </c>
      <c r="M60" s="51">
        <v>2035</v>
      </c>
      <c r="N60" s="51" t="s">
        <v>353</v>
      </c>
      <c r="O60" s="126">
        <f t="shared" si="17"/>
        <v>95.726890653580952</v>
      </c>
      <c r="P60" s="51" t="s">
        <v>398</v>
      </c>
      <c r="Q60" s="51"/>
      <c r="R60" s="51"/>
      <c r="S60" s="51"/>
      <c r="T60" s="51"/>
      <c r="U60" s="51"/>
      <c r="V60" s="51"/>
      <c r="W60" s="51"/>
      <c r="X60" s="51" t="s">
        <v>71</v>
      </c>
      <c r="Y60" s="109"/>
      <c r="Z60" s="51"/>
      <c r="AA60" s="89">
        <f t="shared" si="18"/>
        <v>95.726890653580952</v>
      </c>
      <c r="AB60" s="51" t="s">
        <v>63</v>
      </c>
      <c r="AC60" s="114">
        <f>INDEX(Tab_Def_Flows[[Flow_ID]:[CC_DM_source]],MATCH(Tab_Data_Flows[[#This Row],[Name(EN)]],Tab_Def_Flows[Name(EN)],0),16)</f>
        <v>1</v>
      </c>
      <c r="AD60" s="115">
        <f>IF(J60="Yes",AA60*Tab_Data_Flows[[#This Row],[WC_'[%']]],"N.A.")</f>
        <v>95.726890653580952</v>
      </c>
      <c r="AE60" s="61" t="str">
        <f>Tab_Data_Flows[[#This Row],[UoM_Flow_Py]]</f>
        <v>Mg</v>
      </c>
      <c r="AF60" s="114">
        <f>INDEX(Tab_Def_Flows[[Flow_ID]:[CC_DM_source]],MATCH(Tab_Data_Flows[[#This Row],[Name(EN)]],Tab_Def_Flows[Name(EN)],0),18)</f>
        <v>0</v>
      </c>
      <c r="AG60" s="115">
        <f>IF(K60="Yes",AF60*Tab_Data_Flows[[#This Row],[Flow_Py]],"N.A.")</f>
        <v>0</v>
      </c>
      <c r="AH60" s="61" t="str">
        <f>Tab_Data_Flows[[#This Row],[UoM_Flow_Py]]</f>
        <v>Mg</v>
      </c>
      <c r="AI60" s="114">
        <f>INDEX(Tab_Def_Flows[[Flow_ID]:[CC_DM_source]],MATCH(Tab_Data_Flows[[#This Row],[Name(EN)]],Tab_Def_Flows[Name(EN)],0),20)</f>
        <v>0</v>
      </c>
      <c r="AJ60" s="115">
        <f>IF(L60="Yes",AI60*Tab_Data_Flows[[#This Row],[Flow_Py]],"N.A.")</f>
        <v>0</v>
      </c>
      <c r="AK60" s="61" t="str">
        <f>Tab_Data_Flows[[#This Row],[UoM_Flow_Py]]</f>
        <v>Mg</v>
      </c>
    </row>
    <row r="61" spans="1:37" x14ac:dyDescent="0.35">
      <c r="A61" s="60">
        <f t="shared" si="12"/>
        <v>60</v>
      </c>
      <c r="B61" s="49" t="str">
        <f>_xlfn.XLOOKUP(C61,Tab_Def_Flows[Name(EN)],Tab_Def_Flows[Flow_ID],,0,)</f>
        <v>F_08_02</v>
      </c>
      <c r="C61" s="51" t="s">
        <v>343</v>
      </c>
      <c r="D61" s="49">
        <f>_xlfn.XLOOKUP(C61,Tab_Def_Flows[Name(EN)],Tab_Def_Flows[Type_Biomass],,0,)</f>
        <v>0</v>
      </c>
      <c r="E61" s="49" t="str">
        <f>_xlfn.XLOOKUP(C61,Tab_Def_Flows[Name(EN)],Tab_Def_Flows[Output_Process],,0,)</f>
        <v>Water System (Import)</v>
      </c>
      <c r="F61" s="49" t="str">
        <f>_xlfn.XLOOKUP(C61,Tab_Def_Flows[Name(EN)],Tab_Def_Flows[Process_ID_O],,0,)</f>
        <v>08_Wat_BB</v>
      </c>
      <c r="G61" s="49" t="str">
        <f>_xlfn.XLOOKUP(C61,Tab_Def_Flows[Name(EN)],Tab_Def_Flows[Input_Process],,0,)</f>
        <v>MBC production</v>
      </c>
      <c r="H61" s="61" t="str">
        <f>_xlfn.XLOOKUP(C61,Tab_Def_Flows[Name(EN)],Tab_Def_Flows[Process_ID_I],,0,)</f>
        <v>02_MBC_BB</v>
      </c>
      <c r="I61" s="61">
        <f>_xlfn.XLOOKUP(C61,Tab_Def_Flows[Name(EN)],Tab_Def_Flows[Value_Source],,0,)</f>
        <v>0</v>
      </c>
      <c r="J61" s="61" t="str">
        <f>_xlfn.XLOOKUP(C61,Tab_Def_Flows[Name(EN)],Tab_Def_Flows[WC?],,0,)</f>
        <v>Yes</v>
      </c>
      <c r="K61" s="61" t="str">
        <f>_xlfn.XLOOKUP(C61,Tab_Def_Flows[Name(EN)],Tab_Def_Flows[DM?],,0,)</f>
        <v>Yes</v>
      </c>
      <c r="L61" s="61" t="str">
        <f>_xlfn.XLOOKUP(C61,Tab_Def_Flows[Name(EN)],Tab_Def_Flows[CC?],,0,)</f>
        <v>Yes</v>
      </c>
      <c r="M61" s="51">
        <v>2036</v>
      </c>
      <c r="N61" s="51" t="s">
        <v>353</v>
      </c>
      <c r="O61" s="126">
        <f t="shared" si="17"/>
        <v>97.64142846665257</v>
      </c>
      <c r="P61" s="51" t="s">
        <v>398</v>
      </c>
      <c r="Q61" s="51"/>
      <c r="R61" s="51"/>
      <c r="S61" s="51"/>
      <c r="T61" s="51"/>
      <c r="U61" s="51"/>
      <c r="V61" s="51"/>
      <c r="W61" s="51"/>
      <c r="X61" s="51" t="s">
        <v>71</v>
      </c>
      <c r="Y61" s="109"/>
      <c r="Z61" s="51"/>
      <c r="AA61" s="89">
        <f t="shared" ref="AA61" si="19">IF(X61="no",O61,O61*Y61)</f>
        <v>97.64142846665257</v>
      </c>
      <c r="AB61" s="51" t="s">
        <v>63</v>
      </c>
      <c r="AC61" s="114">
        <f>INDEX(Tab_Def_Flows[[Flow_ID]:[CC_DM_source]],MATCH(Tab_Data_Flows[[#This Row],[Name(EN)]],Tab_Def_Flows[Name(EN)],0),16)</f>
        <v>1</v>
      </c>
      <c r="AD61" s="115">
        <f>IF(J61="Yes",AA61*Tab_Data_Flows[[#This Row],[WC_'[%']]],"N.A.")</f>
        <v>97.64142846665257</v>
      </c>
      <c r="AE61" s="61" t="str">
        <f>Tab_Data_Flows[[#This Row],[UoM_Flow_Py]]</f>
        <v>Mg</v>
      </c>
      <c r="AF61" s="114">
        <f>INDEX(Tab_Def_Flows[[Flow_ID]:[CC_DM_source]],MATCH(Tab_Data_Flows[[#This Row],[Name(EN)]],Tab_Def_Flows[Name(EN)],0),18)</f>
        <v>0</v>
      </c>
      <c r="AG61" s="115">
        <f>IF(K61="Yes",AF61*Tab_Data_Flows[[#This Row],[Flow_Py]],"N.A.")</f>
        <v>0</v>
      </c>
      <c r="AH61" s="61" t="str">
        <f>Tab_Data_Flows[[#This Row],[UoM_Flow_Py]]</f>
        <v>Mg</v>
      </c>
      <c r="AI61" s="114">
        <f>INDEX(Tab_Def_Flows[[Flow_ID]:[CC_DM_source]],MATCH(Tab_Data_Flows[[#This Row],[Name(EN)]],Tab_Def_Flows[Name(EN)],0),20)</f>
        <v>0</v>
      </c>
      <c r="AJ61" s="115">
        <f>IF(L61="Yes",AI61*Tab_Data_Flows[[#This Row],[Flow_Py]],"N.A.")</f>
        <v>0</v>
      </c>
      <c r="AK61" s="61" t="str">
        <f>Tab_Data_Flows[[#This Row],[UoM_Flow_Py]]</f>
        <v>Mg</v>
      </c>
    </row>
    <row r="62" spans="1:37" x14ac:dyDescent="0.35">
      <c r="A62" s="60">
        <f t="shared" si="12"/>
        <v>61</v>
      </c>
      <c r="B62" s="49" t="str">
        <f>_xlfn.XLOOKUP(C62,Tab_Def_Flows[Name(EN)],Tab_Def_Flows[Flow_ID],,0,)</f>
        <v>F_00_13</v>
      </c>
      <c r="C62" s="51" t="s">
        <v>427</v>
      </c>
      <c r="D62" s="49">
        <f>_xlfn.XLOOKUP(C62,Tab_Def_Flows[Name(EN)],Tab_Def_Flows[Type_Biomass],,0,)</f>
        <v>0</v>
      </c>
      <c r="E62" s="49" t="str">
        <f>_xlfn.XLOOKUP(C62,Tab_Def_Flows[Name(EN)],Tab_Def_Flows[Output_Process],,0,)</f>
        <v>Environment</v>
      </c>
      <c r="F62" s="49" t="str">
        <f>_xlfn.XLOOKUP(C62,Tab_Def_Flows[Name(EN)],Tab_Def_Flows[Process_ID_O],,0,)</f>
        <v>00_Env_BB</v>
      </c>
      <c r="G62" s="49" t="str">
        <f>_xlfn.XLOOKUP(C62,Tab_Def_Flows[Name(EN)],Tab_Def_Flows[Input_Process],,0,)</f>
        <v>Rye cultivation</v>
      </c>
      <c r="H62" s="61" t="str">
        <f>_xlfn.XLOOKUP(C62,Tab_Def_Flows[Name(EN)],Tab_Def_Flows[Process_ID_I],,0,)</f>
        <v>13_Rye_BB</v>
      </c>
      <c r="I62" s="61">
        <f>_xlfn.XLOOKUP(C62,Tab_Def_Flows[Name(EN)],Tab_Def_Flows[Value_Source],,0,)</f>
        <v>0</v>
      </c>
      <c r="J62" s="61" t="s">
        <v>68</v>
      </c>
      <c r="K62" s="61" t="s">
        <v>68</v>
      </c>
      <c r="L62" s="61" t="s">
        <v>68</v>
      </c>
      <c r="M62" s="51">
        <v>2022</v>
      </c>
      <c r="N62" s="51" t="s">
        <v>353</v>
      </c>
      <c r="O62" s="126">
        <v>129</v>
      </c>
      <c r="P62" s="51" t="s">
        <v>398</v>
      </c>
      <c r="Q62" s="51" t="s">
        <v>368</v>
      </c>
      <c r="R62" s="51"/>
      <c r="S62" s="51"/>
      <c r="T62" s="51"/>
      <c r="U62" s="51"/>
      <c r="V62" s="51"/>
      <c r="W62" s="51"/>
      <c r="X62" s="51" t="s">
        <v>71</v>
      </c>
      <c r="Y62" s="109"/>
      <c r="Z62" s="51"/>
      <c r="AA62" s="89">
        <f>IF(X62="no",O62,O62*Y62)</f>
        <v>129</v>
      </c>
      <c r="AB62" s="51" t="s">
        <v>63</v>
      </c>
      <c r="AC62" s="114">
        <f>INDEX(Tab_Def_Flows[[Flow_ID]:[CC_DM_source]],MATCH(Tab_Data_Flows[[#This Row],[Name(EN)]],Tab_Def_Flows[Name(EN)],0),16)</f>
        <v>0.06</v>
      </c>
      <c r="AD62" s="115">
        <f>IF(J62="Yes",AA62*Tab_Data_Flows[[#This Row],[WC_'[%']]],"N.A.")</f>
        <v>7.7399999999999993</v>
      </c>
      <c r="AE62" s="61" t="str">
        <f>Tab_Data_Flows[[#This Row],[UoM_Flow_Py]]</f>
        <v>Mg</v>
      </c>
      <c r="AF62" s="114">
        <f>INDEX(Tab_Def_Flows[[Flow_ID]:[CC_DM_source]],MATCH(Tab_Data_Flows[[#This Row],[Name(EN)]],Tab_Def_Flows[Name(EN)],0),18)</f>
        <v>0.94</v>
      </c>
      <c r="AG62" s="115">
        <f>IF(K62="Yes",AF62*Tab_Data_Flows[[#This Row],[Flow_Py]],"N.A.")</f>
        <v>121.25999999999999</v>
      </c>
      <c r="AH62" s="61" t="str">
        <f>Tab_Data_Flows[[#This Row],[UoM_Flow_Py]]</f>
        <v>Mg</v>
      </c>
      <c r="AI62" s="114">
        <f>INDEX(Tab_Def_Flows[[Flow_ID]:[CC_DM_source]],MATCH(Tab_Data_Flows[[#This Row],[Name(EN)]],Tab_Def_Flows[Name(EN)],0),20)</f>
        <v>0.49</v>
      </c>
      <c r="AJ62" s="115">
        <f>IF(L62="Yes",AI62*Tab_Data_Flows[[#This Row],[Flow_Py]],"N.A.")</f>
        <v>63.21</v>
      </c>
      <c r="AK62" s="61" t="str">
        <f>Tab_Data_Flows[[#This Row],[UoM_Flow_Py]]</f>
        <v>Mg</v>
      </c>
    </row>
    <row r="63" spans="1:37" x14ac:dyDescent="0.35">
      <c r="A63" s="60">
        <f t="shared" si="12"/>
        <v>62</v>
      </c>
      <c r="B63" s="49" t="str">
        <f>_xlfn.XLOOKUP(C63,Tab_Def_Flows[Name(EN)],Tab_Def_Flows[Flow_ID],,0,)</f>
        <v>F_00_13</v>
      </c>
      <c r="C63" s="51" t="s">
        <v>427</v>
      </c>
      <c r="D63" s="49">
        <f>_xlfn.XLOOKUP(C63,Tab_Def_Flows[Name(EN)],Tab_Def_Flows[Type_Biomass],,0,)</f>
        <v>0</v>
      </c>
      <c r="E63" s="49" t="str">
        <f>_xlfn.XLOOKUP(C63,Tab_Def_Flows[Name(EN)],Tab_Def_Flows[Output_Process],,0,)</f>
        <v>Environment</v>
      </c>
      <c r="F63" s="49" t="str">
        <f>_xlfn.XLOOKUP(C63,Tab_Def_Flows[Name(EN)],Tab_Def_Flows[Process_ID_O],,0,)</f>
        <v>00_Env_BB</v>
      </c>
      <c r="G63" s="49" t="str">
        <f>_xlfn.XLOOKUP(C63,Tab_Def_Flows[Name(EN)],Tab_Def_Flows[Input_Process],,0,)</f>
        <v>Rye cultivation</v>
      </c>
      <c r="H63" s="61" t="str">
        <f>_xlfn.XLOOKUP(C63,Tab_Def_Flows[Name(EN)],Tab_Def_Flows[Process_ID_I],,0,)</f>
        <v>13_Rye_BB</v>
      </c>
      <c r="I63" s="61">
        <f>_xlfn.XLOOKUP(C63,Tab_Def_Flows[Name(EN)],Tab_Def_Flows[Value_Source],,0,)</f>
        <v>0</v>
      </c>
      <c r="J63" s="61" t="s">
        <v>68</v>
      </c>
      <c r="K63" s="61" t="s">
        <v>68</v>
      </c>
      <c r="L63" s="61" t="s">
        <v>68</v>
      </c>
      <c r="M63" s="51">
        <v>2023</v>
      </c>
      <c r="N63" s="51" t="s">
        <v>353</v>
      </c>
      <c r="O63" s="126">
        <f>O62*1.02</f>
        <v>131.58000000000001</v>
      </c>
      <c r="P63" s="51" t="s">
        <v>398</v>
      </c>
      <c r="Q63" s="51" t="s">
        <v>368</v>
      </c>
      <c r="R63" s="51"/>
      <c r="S63" s="51"/>
      <c r="T63" s="51"/>
      <c r="U63" s="51"/>
      <c r="V63" s="51"/>
      <c r="W63" s="51"/>
      <c r="X63" s="51" t="s">
        <v>71</v>
      </c>
      <c r="Y63" s="109"/>
      <c r="Z63" s="51"/>
      <c r="AA63" s="89">
        <f t="shared" ref="AA63:AA69" si="20">IF(X63="no",O63,O63*Y63)</f>
        <v>131.58000000000001</v>
      </c>
      <c r="AB63" s="51" t="s">
        <v>63</v>
      </c>
      <c r="AC63" s="114">
        <f>INDEX(Tab_Def_Flows[[Flow_ID]:[CC_DM_source]],MATCH(Tab_Data_Flows[[#This Row],[Name(EN)]],Tab_Def_Flows[Name(EN)],0),16)</f>
        <v>0.06</v>
      </c>
      <c r="AD63" s="115">
        <f>IF(J63="Yes",AA63*Tab_Data_Flows[[#This Row],[WC_'[%']]],"N.A.")</f>
        <v>7.8948</v>
      </c>
      <c r="AE63" s="61" t="str">
        <f>Tab_Data_Flows[[#This Row],[UoM_Flow_Py]]</f>
        <v>Mg</v>
      </c>
      <c r="AF63" s="114">
        <f>INDEX(Tab_Def_Flows[[Flow_ID]:[CC_DM_source]],MATCH(Tab_Data_Flows[[#This Row],[Name(EN)]],Tab_Def_Flows[Name(EN)],0),18)</f>
        <v>0.94</v>
      </c>
      <c r="AG63" s="115">
        <f>IF(K63="Yes",AF63*Tab_Data_Flows[[#This Row],[Flow_Py]],"N.A.")</f>
        <v>123.68520000000001</v>
      </c>
      <c r="AH63" s="61" t="str">
        <f>Tab_Data_Flows[[#This Row],[UoM_Flow_Py]]</f>
        <v>Mg</v>
      </c>
      <c r="AI63" s="114">
        <f>INDEX(Tab_Def_Flows[[Flow_ID]:[CC_DM_source]],MATCH(Tab_Data_Flows[[#This Row],[Name(EN)]],Tab_Def_Flows[Name(EN)],0),20)</f>
        <v>0.49</v>
      </c>
      <c r="AJ63" s="115">
        <f>IF(L63="Yes",AI63*Tab_Data_Flows[[#This Row],[Flow_Py]],"N.A.")</f>
        <v>64.47420000000001</v>
      </c>
      <c r="AK63" s="61" t="str">
        <f>Tab_Data_Flows[[#This Row],[UoM_Flow_Py]]</f>
        <v>Mg</v>
      </c>
    </row>
    <row r="64" spans="1:37" x14ac:dyDescent="0.35">
      <c r="A64" s="60">
        <f t="shared" si="12"/>
        <v>63</v>
      </c>
      <c r="B64" s="49" t="str">
        <f>_xlfn.XLOOKUP(C64,Tab_Def_Flows[Name(EN)],Tab_Def_Flows[Flow_ID],,0,)</f>
        <v>F_00_13</v>
      </c>
      <c r="C64" s="51" t="s">
        <v>427</v>
      </c>
      <c r="D64" s="49">
        <f>_xlfn.XLOOKUP(C64,Tab_Def_Flows[Name(EN)],Tab_Def_Flows[Type_Biomass],,0,)</f>
        <v>0</v>
      </c>
      <c r="E64" s="49" t="str">
        <f>_xlfn.XLOOKUP(C64,Tab_Def_Flows[Name(EN)],Tab_Def_Flows[Output_Process],,0,)</f>
        <v>Environment</v>
      </c>
      <c r="F64" s="49" t="str">
        <f>_xlfn.XLOOKUP(C64,Tab_Def_Flows[Name(EN)],Tab_Def_Flows[Process_ID_O],,0,)</f>
        <v>00_Env_BB</v>
      </c>
      <c r="G64" s="49" t="str">
        <f>_xlfn.XLOOKUP(C64,Tab_Def_Flows[Name(EN)],Tab_Def_Flows[Input_Process],,0,)</f>
        <v>Rye cultivation</v>
      </c>
      <c r="H64" s="61" t="str">
        <f>_xlfn.XLOOKUP(C64,Tab_Def_Flows[Name(EN)],Tab_Def_Flows[Process_ID_I],,0,)</f>
        <v>13_Rye_BB</v>
      </c>
      <c r="I64" s="61">
        <f>_xlfn.XLOOKUP(C64,Tab_Def_Flows[Name(EN)],Tab_Def_Flows[Value_Source],,0,)</f>
        <v>0</v>
      </c>
      <c r="J64" s="61" t="s">
        <v>68</v>
      </c>
      <c r="K64" s="61" t="s">
        <v>68</v>
      </c>
      <c r="L64" s="61" t="s">
        <v>68</v>
      </c>
      <c r="M64" s="51">
        <v>2024</v>
      </c>
      <c r="N64" s="51" t="s">
        <v>353</v>
      </c>
      <c r="O64" s="126">
        <f t="shared" ref="O64:O76" si="21">O63*1.02</f>
        <v>134.2116</v>
      </c>
      <c r="P64" s="51" t="s">
        <v>398</v>
      </c>
      <c r="Q64" s="51" t="s">
        <v>368</v>
      </c>
      <c r="R64" s="51"/>
      <c r="S64" s="51"/>
      <c r="T64" s="51"/>
      <c r="U64" s="51"/>
      <c r="V64" s="51"/>
      <c r="W64" s="51"/>
      <c r="X64" s="51" t="s">
        <v>71</v>
      </c>
      <c r="Y64" s="109"/>
      <c r="Z64" s="51"/>
      <c r="AA64" s="89">
        <f t="shared" si="20"/>
        <v>134.2116</v>
      </c>
      <c r="AB64" s="51" t="s">
        <v>63</v>
      </c>
      <c r="AC64" s="114">
        <f>INDEX(Tab_Def_Flows[[Flow_ID]:[CC_DM_source]],MATCH(Tab_Data_Flows[[#This Row],[Name(EN)]],Tab_Def_Flows[Name(EN)],0),16)</f>
        <v>0.06</v>
      </c>
      <c r="AD64" s="115">
        <f>IF(J64="Yes",AA64*Tab_Data_Flows[[#This Row],[WC_'[%']]],"N.A.")</f>
        <v>8.0526959999999992</v>
      </c>
      <c r="AE64" s="61" t="str">
        <f>Tab_Data_Flows[[#This Row],[UoM_Flow_Py]]</f>
        <v>Mg</v>
      </c>
      <c r="AF64" s="114">
        <f>INDEX(Tab_Def_Flows[[Flow_ID]:[CC_DM_source]],MATCH(Tab_Data_Flows[[#This Row],[Name(EN)]],Tab_Def_Flows[Name(EN)],0),18)</f>
        <v>0.94</v>
      </c>
      <c r="AG64" s="115">
        <f>IF(K64="Yes",AF64*Tab_Data_Flows[[#This Row],[Flow_Py]],"N.A.")</f>
        <v>126.15890399999999</v>
      </c>
      <c r="AH64" s="61" t="str">
        <f>Tab_Data_Flows[[#This Row],[UoM_Flow_Py]]</f>
        <v>Mg</v>
      </c>
      <c r="AI64" s="114">
        <f>INDEX(Tab_Def_Flows[[Flow_ID]:[CC_DM_source]],MATCH(Tab_Data_Flows[[#This Row],[Name(EN)]],Tab_Def_Flows[Name(EN)],0),20)</f>
        <v>0.49</v>
      </c>
      <c r="AJ64" s="115">
        <f>IF(L64="Yes",AI64*Tab_Data_Flows[[#This Row],[Flow_Py]],"N.A.")</f>
        <v>65.763683999999998</v>
      </c>
      <c r="AK64" s="61" t="str">
        <f>Tab_Data_Flows[[#This Row],[UoM_Flow_Py]]</f>
        <v>Mg</v>
      </c>
    </row>
    <row r="65" spans="1:37" x14ac:dyDescent="0.35">
      <c r="A65" s="60">
        <f t="shared" si="12"/>
        <v>64</v>
      </c>
      <c r="B65" s="49" t="str">
        <f>_xlfn.XLOOKUP(C65,Tab_Def_Flows[Name(EN)],Tab_Def_Flows[Flow_ID],,0,)</f>
        <v>F_00_13</v>
      </c>
      <c r="C65" s="51" t="s">
        <v>427</v>
      </c>
      <c r="D65" s="49">
        <f>_xlfn.XLOOKUP(C65,Tab_Def_Flows[Name(EN)],Tab_Def_Flows[Type_Biomass],,0,)</f>
        <v>0</v>
      </c>
      <c r="E65" s="49" t="str">
        <f>_xlfn.XLOOKUP(C65,Tab_Def_Flows[Name(EN)],Tab_Def_Flows[Output_Process],,0,)</f>
        <v>Environment</v>
      </c>
      <c r="F65" s="49" t="str">
        <f>_xlfn.XLOOKUP(C65,Tab_Def_Flows[Name(EN)],Tab_Def_Flows[Process_ID_O],,0,)</f>
        <v>00_Env_BB</v>
      </c>
      <c r="G65" s="49" t="str">
        <f>_xlfn.XLOOKUP(C65,Tab_Def_Flows[Name(EN)],Tab_Def_Flows[Input_Process],,0,)</f>
        <v>Rye cultivation</v>
      </c>
      <c r="H65" s="61" t="str">
        <f>_xlfn.XLOOKUP(C65,Tab_Def_Flows[Name(EN)],Tab_Def_Flows[Process_ID_I],,0,)</f>
        <v>13_Rye_BB</v>
      </c>
      <c r="I65" s="61">
        <f>_xlfn.XLOOKUP(C65,Tab_Def_Flows[Name(EN)],Tab_Def_Flows[Value_Source],,0,)</f>
        <v>0</v>
      </c>
      <c r="J65" s="61" t="s">
        <v>68</v>
      </c>
      <c r="K65" s="61" t="s">
        <v>68</v>
      </c>
      <c r="L65" s="61" t="s">
        <v>68</v>
      </c>
      <c r="M65" s="51">
        <v>2025</v>
      </c>
      <c r="N65" s="51" t="s">
        <v>353</v>
      </c>
      <c r="O65" s="126">
        <f t="shared" si="21"/>
        <v>136.89583200000001</v>
      </c>
      <c r="P65" s="51" t="s">
        <v>398</v>
      </c>
      <c r="Q65" s="51" t="s">
        <v>368</v>
      </c>
      <c r="R65" s="51"/>
      <c r="S65" s="51"/>
      <c r="T65" s="51"/>
      <c r="U65" s="51"/>
      <c r="V65" s="51"/>
      <c r="W65" s="51"/>
      <c r="X65" s="51" t="s">
        <v>71</v>
      </c>
      <c r="Y65" s="109"/>
      <c r="Z65" s="51"/>
      <c r="AA65" s="89">
        <f t="shared" si="20"/>
        <v>136.89583200000001</v>
      </c>
      <c r="AB65" s="51" t="s">
        <v>63</v>
      </c>
      <c r="AC65" s="114">
        <f>INDEX(Tab_Def_Flows[[Flow_ID]:[CC_DM_source]],MATCH(Tab_Data_Flows[[#This Row],[Name(EN)]],Tab_Def_Flows[Name(EN)],0),16)</f>
        <v>0.06</v>
      </c>
      <c r="AD65" s="115">
        <f>IF(J65="Yes",AA65*Tab_Data_Flows[[#This Row],[WC_'[%']]],"N.A.")</f>
        <v>8.2137499199999997</v>
      </c>
      <c r="AE65" s="61" t="str">
        <f>Tab_Data_Flows[[#This Row],[UoM_Flow_Py]]</f>
        <v>Mg</v>
      </c>
      <c r="AF65" s="114">
        <f>INDEX(Tab_Def_Flows[[Flow_ID]:[CC_DM_source]],MATCH(Tab_Data_Flows[[#This Row],[Name(EN)]],Tab_Def_Flows[Name(EN)],0),18)</f>
        <v>0.94</v>
      </c>
      <c r="AG65" s="115">
        <f>IF(K65="Yes",AF65*Tab_Data_Flows[[#This Row],[Flow_Py]],"N.A.")</f>
        <v>128.68208208000001</v>
      </c>
      <c r="AH65" s="61" t="str">
        <f>Tab_Data_Flows[[#This Row],[UoM_Flow_Py]]</f>
        <v>Mg</v>
      </c>
      <c r="AI65" s="114">
        <f>INDEX(Tab_Def_Flows[[Flow_ID]:[CC_DM_source]],MATCH(Tab_Data_Flows[[#This Row],[Name(EN)]],Tab_Def_Flows[Name(EN)],0),20)</f>
        <v>0.49</v>
      </c>
      <c r="AJ65" s="115">
        <f>IF(L65="Yes",AI65*Tab_Data_Flows[[#This Row],[Flow_Py]],"N.A.")</f>
        <v>67.078957680000002</v>
      </c>
      <c r="AK65" s="61" t="str">
        <f>Tab_Data_Flows[[#This Row],[UoM_Flow_Py]]</f>
        <v>Mg</v>
      </c>
    </row>
    <row r="66" spans="1:37" x14ac:dyDescent="0.35">
      <c r="A66" s="60">
        <f t="shared" si="12"/>
        <v>65</v>
      </c>
      <c r="B66" s="49" t="str">
        <f>_xlfn.XLOOKUP(C66,Tab_Def_Flows[Name(EN)],Tab_Def_Flows[Flow_ID],,0,)</f>
        <v>F_00_13</v>
      </c>
      <c r="C66" s="51" t="s">
        <v>427</v>
      </c>
      <c r="D66" s="49">
        <f>_xlfn.XLOOKUP(C66,Tab_Def_Flows[Name(EN)],Tab_Def_Flows[Type_Biomass],,0,)</f>
        <v>0</v>
      </c>
      <c r="E66" s="49" t="str">
        <f>_xlfn.XLOOKUP(C66,Tab_Def_Flows[Name(EN)],Tab_Def_Flows[Output_Process],,0,)</f>
        <v>Environment</v>
      </c>
      <c r="F66" s="49" t="str">
        <f>_xlfn.XLOOKUP(C66,Tab_Def_Flows[Name(EN)],Tab_Def_Flows[Process_ID_O],,0,)</f>
        <v>00_Env_BB</v>
      </c>
      <c r="G66" s="49" t="str">
        <f>_xlfn.XLOOKUP(C66,Tab_Def_Flows[Name(EN)],Tab_Def_Flows[Input_Process],,0,)</f>
        <v>Rye cultivation</v>
      </c>
      <c r="H66" s="61" t="str">
        <f>_xlfn.XLOOKUP(C66,Tab_Def_Flows[Name(EN)],Tab_Def_Flows[Process_ID_I],,0,)</f>
        <v>13_Rye_BB</v>
      </c>
      <c r="I66" s="61">
        <f>_xlfn.XLOOKUP(C66,Tab_Def_Flows[Name(EN)],Tab_Def_Flows[Value_Source],,0,)</f>
        <v>0</v>
      </c>
      <c r="J66" s="61" t="s">
        <v>68</v>
      </c>
      <c r="K66" s="61" t="s">
        <v>68</v>
      </c>
      <c r="L66" s="61" t="s">
        <v>68</v>
      </c>
      <c r="M66" s="51">
        <v>2026</v>
      </c>
      <c r="N66" s="51" t="s">
        <v>353</v>
      </c>
      <c r="O66" s="126">
        <f t="shared" si="21"/>
        <v>139.63374864000002</v>
      </c>
      <c r="P66" s="51" t="s">
        <v>398</v>
      </c>
      <c r="Q66" s="51" t="s">
        <v>368</v>
      </c>
      <c r="R66" s="51"/>
      <c r="S66" s="51"/>
      <c r="T66" s="51"/>
      <c r="U66" s="51"/>
      <c r="V66" s="51"/>
      <c r="W66" s="51"/>
      <c r="X66" s="51" t="s">
        <v>71</v>
      </c>
      <c r="Y66" s="109"/>
      <c r="Z66" s="51"/>
      <c r="AA66" s="89">
        <f t="shared" si="20"/>
        <v>139.63374864000002</v>
      </c>
      <c r="AB66" s="51" t="s">
        <v>63</v>
      </c>
      <c r="AC66" s="114">
        <f>INDEX(Tab_Def_Flows[[Flow_ID]:[CC_DM_source]],MATCH(Tab_Data_Flows[[#This Row],[Name(EN)]],Tab_Def_Flows[Name(EN)],0),16)</f>
        <v>0.06</v>
      </c>
      <c r="AD66" s="115">
        <f>IF(J66="Yes",AA66*Tab_Data_Flows[[#This Row],[WC_'[%']]],"N.A.")</f>
        <v>8.3780249184000013</v>
      </c>
      <c r="AE66" s="61" t="str">
        <f>Tab_Data_Flows[[#This Row],[UoM_Flow_Py]]</f>
        <v>Mg</v>
      </c>
      <c r="AF66" s="114">
        <f>INDEX(Tab_Def_Flows[[Flow_ID]:[CC_DM_source]],MATCH(Tab_Data_Flows[[#This Row],[Name(EN)]],Tab_Def_Flows[Name(EN)],0),18)</f>
        <v>0.94</v>
      </c>
      <c r="AG66" s="115">
        <f>IF(K66="Yes",AF66*Tab_Data_Flows[[#This Row],[Flow_Py]],"N.A.")</f>
        <v>131.25572372160002</v>
      </c>
      <c r="AH66" s="61" t="str">
        <f>Tab_Data_Flows[[#This Row],[UoM_Flow_Py]]</f>
        <v>Mg</v>
      </c>
      <c r="AI66" s="114">
        <f>INDEX(Tab_Def_Flows[[Flow_ID]:[CC_DM_source]],MATCH(Tab_Data_Flows[[#This Row],[Name(EN)]],Tab_Def_Flows[Name(EN)],0),20)</f>
        <v>0.49</v>
      </c>
      <c r="AJ66" s="115">
        <f>IF(L66="Yes",AI66*Tab_Data_Flows[[#This Row],[Flow_Py]],"N.A.")</f>
        <v>68.420536833600011</v>
      </c>
      <c r="AK66" s="61" t="str">
        <f>Tab_Data_Flows[[#This Row],[UoM_Flow_Py]]</f>
        <v>Mg</v>
      </c>
    </row>
    <row r="67" spans="1:37" x14ac:dyDescent="0.35">
      <c r="A67" s="60">
        <f t="shared" si="12"/>
        <v>66</v>
      </c>
      <c r="B67" s="49" t="str">
        <f>_xlfn.XLOOKUP(C67,Tab_Def_Flows[Name(EN)],Tab_Def_Flows[Flow_ID],,0,)</f>
        <v>F_00_13</v>
      </c>
      <c r="C67" s="51" t="s">
        <v>427</v>
      </c>
      <c r="D67" s="49">
        <f>_xlfn.XLOOKUP(C67,Tab_Def_Flows[Name(EN)],Tab_Def_Flows[Type_Biomass],,0,)</f>
        <v>0</v>
      </c>
      <c r="E67" s="49" t="str">
        <f>_xlfn.XLOOKUP(C67,Tab_Def_Flows[Name(EN)],Tab_Def_Flows[Output_Process],,0,)</f>
        <v>Environment</v>
      </c>
      <c r="F67" s="49" t="str">
        <f>_xlfn.XLOOKUP(C67,Tab_Def_Flows[Name(EN)],Tab_Def_Flows[Process_ID_O],,0,)</f>
        <v>00_Env_BB</v>
      </c>
      <c r="G67" s="49" t="str">
        <f>_xlfn.XLOOKUP(C67,Tab_Def_Flows[Name(EN)],Tab_Def_Flows[Input_Process],,0,)</f>
        <v>Rye cultivation</v>
      </c>
      <c r="H67" s="61" t="str">
        <f>_xlfn.XLOOKUP(C67,Tab_Def_Flows[Name(EN)],Tab_Def_Flows[Process_ID_I],,0,)</f>
        <v>13_Rye_BB</v>
      </c>
      <c r="I67" s="61">
        <f>_xlfn.XLOOKUP(C67,Tab_Def_Flows[Name(EN)],Tab_Def_Flows[Value_Source],,0,)</f>
        <v>0</v>
      </c>
      <c r="J67" s="61" t="s">
        <v>68</v>
      </c>
      <c r="K67" s="61" t="s">
        <v>68</v>
      </c>
      <c r="L67" s="61" t="s">
        <v>68</v>
      </c>
      <c r="M67" s="51">
        <v>2027</v>
      </c>
      <c r="N67" s="51" t="s">
        <v>353</v>
      </c>
      <c r="O67" s="126">
        <f t="shared" si="21"/>
        <v>142.42642361280002</v>
      </c>
      <c r="P67" s="51" t="s">
        <v>398</v>
      </c>
      <c r="Q67" s="51" t="s">
        <v>368</v>
      </c>
      <c r="R67" s="51"/>
      <c r="S67" s="51"/>
      <c r="T67" s="51"/>
      <c r="U67" s="51"/>
      <c r="V67" s="51"/>
      <c r="W67" s="51"/>
      <c r="X67" s="51" t="s">
        <v>71</v>
      </c>
      <c r="Y67" s="109"/>
      <c r="Z67" s="51"/>
      <c r="AA67" s="89">
        <f t="shared" si="20"/>
        <v>142.42642361280002</v>
      </c>
      <c r="AB67" s="51" t="s">
        <v>63</v>
      </c>
      <c r="AC67" s="114">
        <f>INDEX(Tab_Def_Flows[[Flow_ID]:[CC_DM_source]],MATCH(Tab_Data_Flows[[#This Row],[Name(EN)]],Tab_Def_Flows[Name(EN)],0),16)</f>
        <v>0.06</v>
      </c>
      <c r="AD67" s="115">
        <f>IF(J67="Yes",AA67*Tab_Data_Flows[[#This Row],[WC_'[%']]],"N.A.")</f>
        <v>8.5455854167680005</v>
      </c>
      <c r="AE67" s="61" t="str">
        <f>Tab_Data_Flows[[#This Row],[UoM_Flow_Py]]</f>
        <v>Mg</v>
      </c>
      <c r="AF67" s="114">
        <f>INDEX(Tab_Def_Flows[[Flow_ID]:[CC_DM_source]],MATCH(Tab_Data_Flows[[#This Row],[Name(EN)]],Tab_Def_Flows[Name(EN)],0),18)</f>
        <v>0.94</v>
      </c>
      <c r="AG67" s="115">
        <f>IF(K67="Yes",AF67*Tab_Data_Flows[[#This Row],[Flow_Py]],"N.A.")</f>
        <v>133.88083819603202</v>
      </c>
      <c r="AH67" s="61" t="str">
        <f>Tab_Data_Flows[[#This Row],[UoM_Flow_Py]]</f>
        <v>Mg</v>
      </c>
      <c r="AI67" s="114">
        <f>INDEX(Tab_Def_Flows[[Flow_ID]:[CC_DM_source]],MATCH(Tab_Data_Flows[[#This Row],[Name(EN)]],Tab_Def_Flows[Name(EN)],0),20)</f>
        <v>0.49</v>
      </c>
      <c r="AJ67" s="115">
        <f>IF(L67="Yes",AI67*Tab_Data_Flows[[#This Row],[Flow_Py]],"N.A.")</f>
        <v>69.788947570272015</v>
      </c>
      <c r="AK67" s="61" t="str">
        <f>Tab_Data_Flows[[#This Row],[UoM_Flow_Py]]</f>
        <v>Mg</v>
      </c>
    </row>
    <row r="68" spans="1:37" x14ac:dyDescent="0.35">
      <c r="A68" s="60">
        <f t="shared" si="12"/>
        <v>67</v>
      </c>
      <c r="B68" s="49" t="str">
        <f>_xlfn.XLOOKUP(C68,Tab_Def_Flows[Name(EN)],Tab_Def_Flows[Flow_ID],,0,)</f>
        <v>F_00_13</v>
      </c>
      <c r="C68" s="51" t="s">
        <v>427</v>
      </c>
      <c r="D68" s="49">
        <f>_xlfn.XLOOKUP(C68,Tab_Def_Flows[Name(EN)],Tab_Def_Flows[Type_Biomass],,0,)</f>
        <v>0</v>
      </c>
      <c r="E68" s="49" t="str">
        <f>_xlfn.XLOOKUP(C68,Tab_Def_Flows[Name(EN)],Tab_Def_Flows[Output_Process],,0,)</f>
        <v>Environment</v>
      </c>
      <c r="F68" s="49" t="str">
        <f>_xlfn.XLOOKUP(C68,Tab_Def_Flows[Name(EN)],Tab_Def_Flows[Process_ID_O],,0,)</f>
        <v>00_Env_BB</v>
      </c>
      <c r="G68" s="49" t="str">
        <f>_xlfn.XLOOKUP(C68,Tab_Def_Flows[Name(EN)],Tab_Def_Flows[Input_Process],,0,)</f>
        <v>Rye cultivation</v>
      </c>
      <c r="H68" s="61" t="str">
        <f>_xlfn.XLOOKUP(C68,Tab_Def_Flows[Name(EN)],Tab_Def_Flows[Process_ID_I],,0,)</f>
        <v>13_Rye_BB</v>
      </c>
      <c r="I68" s="61">
        <f>_xlfn.XLOOKUP(C68,Tab_Def_Flows[Name(EN)],Tab_Def_Flows[Value_Source],,0,)</f>
        <v>0</v>
      </c>
      <c r="J68" s="61" t="s">
        <v>68</v>
      </c>
      <c r="K68" s="61" t="s">
        <v>68</v>
      </c>
      <c r="L68" s="61" t="s">
        <v>68</v>
      </c>
      <c r="M68" s="51">
        <v>2028</v>
      </c>
      <c r="N68" s="51" t="s">
        <v>353</v>
      </c>
      <c r="O68" s="126">
        <f t="shared" si="21"/>
        <v>145.27495208505601</v>
      </c>
      <c r="P68" s="51" t="s">
        <v>398</v>
      </c>
      <c r="Q68" s="51" t="s">
        <v>368</v>
      </c>
      <c r="R68" s="51"/>
      <c r="S68" s="51"/>
      <c r="T68" s="51"/>
      <c r="U68" s="51"/>
      <c r="V68" s="51"/>
      <c r="W68" s="51"/>
      <c r="X68" s="51" t="s">
        <v>71</v>
      </c>
      <c r="Y68" s="109"/>
      <c r="Z68" s="51"/>
      <c r="AA68" s="89">
        <f t="shared" si="20"/>
        <v>145.27495208505601</v>
      </c>
      <c r="AB68" s="51" t="s">
        <v>63</v>
      </c>
      <c r="AC68" s="114">
        <f>INDEX(Tab_Def_Flows[[Flow_ID]:[CC_DM_source]],MATCH(Tab_Data_Flows[[#This Row],[Name(EN)]],Tab_Def_Flows[Name(EN)],0),16)</f>
        <v>0.06</v>
      </c>
      <c r="AD68" s="115">
        <f>IF(J68="Yes",AA68*Tab_Data_Flows[[#This Row],[WC_'[%']]],"N.A.")</f>
        <v>8.7164971251033609</v>
      </c>
      <c r="AE68" s="61" t="str">
        <f>Tab_Data_Flows[[#This Row],[UoM_Flow_Py]]</f>
        <v>Mg</v>
      </c>
      <c r="AF68" s="114">
        <f>INDEX(Tab_Def_Flows[[Flow_ID]:[CC_DM_source]],MATCH(Tab_Data_Flows[[#This Row],[Name(EN)]],Tab_Def_Flows[Name(EN)],0),18)</f>
        <v>0.94</v>
      </c>
      <c r="AG68" s="115">
        <f>IF(K68="Yes",AF68*Tab_Data_Flows[[#This Row],[Flow_Py]],"N.A.")</f>
        <v>136.55845495995266</v>
      </c>
      <c r="AH68" s="61" t="str">
        <f>Tab_Data_Flows[[#This Row],[UoM_Flow_Py]]</f>
        <v>Mg</v>
      </c>
      <c r="AI68" s="114">
        <f>INDEX(Tab_Def_Flows[[Flow_ID]:[CC_DM_source]],MATCH(Tab_Data_Flows[[#This Row],[Name(EN)]],Tab_Def_Flows[Name(EN)],0),20)</f>
        <v>0.49</v>
      </c>
      <c r="AJ68" s="115">
        <f>IF(L68="Yes",AI68*Tab_Data_Flows[[#This Row],[Flow_Py]],"N.A.")</f>
        <v>71.184726521677447</v>
      </c>
      <c r="AK68" s="61" t="str">
        <f>Tab_Data_Flows[[#This Row],[UoM_Flow_Py]]</f>
        <v>Mg</v>
      </c>
    </row>
    <row r="69" spans="1:37" x14ac:dyDescent="0.35">
      <c r="A69" s="60">
        <f t="shared" si="12"/>
        <v>68</v>
      </c>
      <c r="B69" s="49" t="str">
        <f>_xlfn.XLOOKUP(C69,Tab_Def_Flows[Name(EN)],Tab_Def_Flows[Flow_ID],,0,)</f>
        <v>F_00_13</v>
      </c>
      <c r="C69" s="51" t="s">
        <v>427</v>
      </c>
      <c r="D69" s="49">
        <f>_xlfn.XLOOKUP(C69,Tab_Def_Flows[Name(EN)],Tab_Def_Flows[Type_Biomass],,0,)</f>
        <v>0</v>
      </c>
      <c r="E69" s="49" t="str">
        <f>_xlfn.XLOOKUP(C69,Tab_Def_Flows[Name(EN)],Tab_Def_Flows[Output_Process],,0,)</f>
        <v>Environment</v>
      </c>
      <c r="F69" s="49" t="str">
        <f>_xlfn.XLOOKUP(C69,Tab_Def_Flows[Name(EN)],Tab_Def_Flows[Process_ID_O],,0,)</f>
        <v>00_Env_BB</v>
      </c>
      <c r="G69" s="49" t="str">
        <f>_xlfn.XLOOKUP(C69,Tab_Def_Flows[Name(EN)],Tab_Def_Flows[Input_Process],,0,)</f>
        <v>Rye cultivation</v>
      </c>
      <c r="H69" s="61" t="str">
        <f>_xlfn.XLOOKUP(C69,Tab_Def_Flows[Name(EN)],Tab_Def_Flows[Process_ID_I],,0,)</f>
        <v>13_Rye_BB</v>
      </c>
      <c r="I69" s="61">
        <f>_xlfn.XLOOKUP(C69,Tab_Def_Flows[Name(EN)],Tab_Def_Flows[Value_Source],,0,)</f>
        <v>0</v>
      </c>
      <c r="J69" s="61" t="s">
        <v>68</v>
      </c>
      <c r="K69" s="61" t="s">
        <v>68</v>
      </c>
      <c r="L69" s="61" t="s">
        <v>68</v>
      </c>
      <c r="M69" s="51">
        <v>2029</v>
      </c>
      <c r="N69" s="51" t="s">
        <v>353</v>
      </c>
      <c r="O69" s="126">
        <f t="shared" si="21"/>
        <v>148.18045112675713</v>
      </c>
      <c r="P69" s="51" t="s">
        <v>398</v>
      </c>
      <c r="Q69" s="51" t="s">
        <v>368</v>
      </c>
      <c r="R69" s="51"/>
      <c r="S69" s="51"/>
      <c r="T69" s="51"/>
      <c r="U69" s="51"/>
      <c r="V69" s="51"/>
      <c r="W69" s="51"/>
      <c r="X69" s="51" t="s">
        <v>71</v>
      </c>
      <c r="Y69" s="109"/>
      <c r="Z69" s="51"/>
      <c r="AA69" s="89">
        <f t="shared" si="20"/>
        <v>148.18045112675713</v>
      </c>
      <c r="AB69" s="51" t="s">
        <v>63</v>
      </c>
      <c r="AC69" s="114">
        <f>INDEX(Tab_Def_Flows[[Flow_ID]:[CC_DM_source]],MATCH(Tab_Data_Flows[[#This Row],[Name(EN)]],Tab_Def_Flows[Name(EN)],0),16)</f>
        <v>0.06</v>
      </c>
      <c r="AD69" s="115">
        <f>IF(J69="Yes",AA69*Tab_Data_Flows[[#This Row],[WC_'[%']]],"N.A.")</f>
        <v>8.8908270676054268</v>
      </c>
      <c r="AE69" s="61" t="str">
        <f>Tab_Data_Flows[[#This Row],[UoM_Flow_Py]]</f>
        <v>Mg</v>
      </c>
      <c r="AF69" s="114">
        <f>INDEX(Tab_Def_Flows[[Flow_ID]:[CC_DM_source]],MATCH(Tab_Data_Flows[[#This Row],[Name(EN)]],Tab_Def_Flows[Name(EN)],0),18)</f>
        <v>0.94</v>
      </c>
      <c r="AG69" s="115">
        <f>IF(K69="Yes",AF69*Tab_Data_Flows[[#This Row],[Flow_Py]],"N.A.")</f>
        <v>139.28962405915169</v>
      </c>
      <c r="AH69" s="61" t="str">
        <f>Tab_Data_Flows[[#This Row],[UoM_Flow_Py]]</f>
        <v>Mg</v>
      </c>
      <c r="AI69" s="114">
        <f>INDEX(Tab_Def_Flows[[Flow_ID]:[CC_DM_source]],MATCH(Tab_Data_Flows[[#This Row],[Name(EN)]],Tab_Def_Flows[Name(EN)],0),20)</f>
        <v>0.49</v>
      </c>
      <c r="AJ69" s="115">
        <f>IF(L69="Yes",AI69*Tab_Data_Flows[[#This Row],[Flow_Py]],"N.A.")</f>
        <v>72.608421052110998</v>
      </c>
      <c r="AK69" s="61" t="str">
        <f>Tab_Data_Flows[[#This Row],[UoM_Flow_Py]]</f>
        <v>Mg</v>
      </c>
    </row>
    <row r="70" spans="1:37" x14ac:dyDescent="0.35">
      <c r="A70" s="60">
        <f t="shared" si="12"/>
        <v>69</v>
      </c>
      <c r="B70" s="49" t="str">
        <f>_xlfn.XLOOKUP(C70,Tab_Def_Flows[Name(EN)],Tab_Def_Flows[Flow_ID],,0,)</f>
        <v>F_00_13</v>
      </c>
      <c r="C70" s="51" t="s">
        <v>427</v>
      </c>
      <c r="D70" s="49">
        <f>_xlfn.XLOOKUP(C70,Tab_Def_Flows[Name(EN)],Tab_Def_Flows[Type_Biomass],,0,)</f>
        <v>0</v>
      </c>
      <c r="E70" s="49" t="str">
        <f>_xlfn.XLOOKUP(C70,Tab_Def_Flows[Name(EN)],Tab_Def_Flows[Output_Process],,0,)</f>
        <v>Environment</v>
      </c>
      <c r="F70" s="49" t="str">
        <f>_xlfn.XLOOKUP(C70,Tab_Def_Flows[Name(EN)],Tab_Def_Flows[Process_ID_O],,0,)</f>
        <v>00_Env_BB</v>
      </c>
      <c r="G70" s="49" t="str">
        <f>_xlfn.XLOOKUP(C70,Tab_Def_Flows[Name(EN)],Tab_Def_Flows[Input_Process],,0,)</f>
        <v>Rye cultivation</v>
      </c>
      <c r="H70" s="61" t="str">
        <f>_xlfn.XLOOKUP(C70,Tab_Def_Flows[Name(EN)],Tab_Def_Flows[Process_ID_I],,0,)</f>
        <v>13_Rye_BB</v>
      </c>
      <c r="I70" s="61">
        <f>_xlfn.XLOOKUP(C70,Tab_Def_Flows[Name(EN)],Tab_Def_Flows[Value_Source],,0,)</f>
        <v>0</v>
      </c>
      <c r="J70" s="61" t="s">
        <v>68</v>
      </c>
      <c r="K70" s="61" t="s">
        <v>68</v>
      </c>
      <c r="L70" s="61" t="s">
        <v>68</v>
      </c>
      <c r="M70" s="51">
        <v>2030</v>
      </c>
      <c r="N70" s="51" t="s">
        <v>353</v>
      </c>
      <c r="O70" s="126">
        <f t="shared" si="21"/>
        <v>151.14406014929227</v>
      </c>
      <c r="P70" s="51" t="s">
        <v>398</v>
      </c>
      <c r="Q70" s="51" t="s">
        <v>368</v>
      </c>
      <c r="R70" s="51"/>
      <c r="S70" s="51"/>
      <c r="T70" s="51"/>
      <c r="U70" s="51"/>
      <c r="V70" s="51"/>
      <c r="W70" s="51"/>
      <c r="X70" s="51" t="s">
        <v>71</v>
      </c>
      <c r="Y70" s="109"/>
      <c r="Z70" s="51"/>
      <c r="AA70" s="89">
        <f t="shared" ref="AA70:AA76" si="22">IF(X70="no",O70,O70*Y70)</f>
        <v>151.14406014929227</v>
      </c>
      <c r="AB70" s="51" t="s">
        <v>63</v>
      </c>
      <c r="AC70" s="114">
        <f>INDEX(Tab_Def_Flows[[Flow_ID]:[CC_DM_source]],MATCH(Tab_Data_Flows[[#This Row],[Name(EN)]],Tab_Def_Flows[Name(EN)],0),16)</f>
        <v>0.06</v>
      </c>
      <c r="AD70" s="115">
        <f>IF(J70="Yes",AA70*Tab_Data_Flows[[#This Row],[WC_'[%']]],"N.A.")</f>
        <v>9.0686436089575366</v>
      </c>
      <c r="AE70" s="61" t="str">
        <f>Tab_Data_Flows[[#This Row],[UoM_Flow_Py]]</f>
        <v>Mg</v>
      </c>
      <c r="AF70" s="114">
        <f>INDEX(Tab_Def_Flows[[Flow_ID]:[CC_DM_source]],MATCH(Tab_Data_Flows[[#This Row],[Name(EN)]],Tab_Def_Flows[Name(EN)],0),18)</f>
        <v>0.94</v>
      </c>
      <c r="AG70" s="115">
        <f>IF(K70="Yes",AF70*Tab_Data_Flows[[#This Row],[Flow_Py]],"N.A.")</f>
        <v>142.07541654033471</v>
      </c>
      <c r="AH70" s="61" t="str">
        <f>Tab_Data_Flows[[#This Row],[UoM_Flow_Py]]</f>
        <v>Mg</v>
      </c>
      <c r="AI70" s="114">
        <f>INDEX(Tab_Def_Flows[[Flow_ID]:[CC_DM_source]],MATCH(Tab_Data_Flows[[#This Row],[Name(EN)]],Tab_Def_Flows[Name(EN)],0),20)</f>
        <v>0.49</v>
      </c>
      <c r="AJ70" s="115">
        <f>IF(L70="Yes",AI70*Tab_Data_Flows[[#This Row],[Flow_Py]],"N.A.")</f>
        <v>74.060589473153215</v>
      </c>
      <c r="AK70" s="61" t="str">
        <f>Tab_Data_Flows[[#This Row],[UoM_Flow_Py]]</f>
        <v>Mg</v>
      </c>
    </row>
    <row r="71" spans="1:37" x14ac:dyDescent="0.35">
      <c r="A71" s="60">
        <f t="shared" si="12"/>
        <v>70</v>
      </c>
      <c r="B71" s="49" t="str">
        <f>_xlfn.XLOOKUP(C71,Tab_Def_Flows[Name(EN)],Tab_Def_Flows[Flow_ID],,0,)</f>
        <v>F_00_13</v>
      </c>
      <c r="C71" s="51" t="s">
        <v>427</v>
      </c>
      <c r="D71" s="49">
        <f>_xlfn.XLOOKUP(C71,Tab_Def_Flows[Name(EN)],Tab_Def_Flows[Type_Biomass],,0,)</f>
        <v>0</v>
      </c>
      <c r="E71" s="49" t="str">
        <f>_xlfn.XLOOKUP(C71,Tab_Def_Flows[Name(EN)],Tab_Def_Flows[Output_Process],,0,)</f>
        <v>Environment</v>
      </c>
      <c r="F71" s="49" t="str">
        <f>_xlfn.XLOOKUP(C71,Tab_Def_Flows[Name(EN)],Tab_Def_Flows[Process_ID_O],,0,)</f>
        <v>00_Env_BB</v>
      </c>
      <c r="G71" s="49" t="str">
        <f>_xlfn.XLOOKUP(C71,Tab_Def_Flows[Name(EN)],Tab_Def_Flows[Input_Process],,0,)</f>
        <v>Rye cultivation</v>
      </c>
      <c r="H71" s="61" t="str">
        <f>_xlfn.XLOOKUP(C71,Tab_Def_Flows[Name(EN)],Tab_Def_Flows[Process_ID_I],,0,)</f>
        <v>13_Rye_BB</v>
      </c>
      <c r="I71" s="61">
        <f>_xlfn.XLOOKUP(C71,Tab_Def_Flows[Name(EN)],Tab_Def_Flows[Value_Source],,0,)</f>
        <v>0</v>
      </c>
      <c r="J71" s="61" t="s">
        <v>68</v>
      </c>
      <c r="K71" s="61" t="s">
        <v>68</v>
      </c>
      <c r="L71" s="61" t="s">
        <v>68</v>
      </c>
      <c r="M71" s="51">
        <v>2031</v>
      </c>
      <c r="N71" s="51" t="s">
        <v>353</v>
      </c>
      <c r="O71" s="126">
        <f t="shared" si="21"/>
        <v>154.16694135227812</v>
      </c>
      <c r="P71" s="51" t="s">
        <v>398</v>
      </c>
      <c r="Q71" s="51" t="s">
        <v>368</v>
      </c>
      <c r="R71" s="51"/>
      <c r="S71" s="51"/>
      <c r="T71" s="51"/>
      <c r="U71" s="51"/>
      <c r="V71" s="51"/>
      <c r="W71" s="51"/>
      <c r="X71" s="51" t="s">
        <v>71</v>
      </c>
      <c r="Y71" s="109"/>
      <c r="Z71" s="51"/>
      <c r="AA71" s="89">
        <f t="shared" si="22"/>
        <v>154.16694135227812</v>
      </c>
      <c r="AB71" s="51" t="s">
        <v>63</v>
      </c>
      <c r="AC71" s="114">
        <f>INDEX(Tab_Def_Flows[[Flow_ID]:[CC_DM_source]],MATCH(Tab_Data_Flows[[#This Row],[Name(EN)]],Tab_Def_Flows[Name(EN)],0),16)</f>
        <v>0.06</v>
      </c>
      <c r="AD71" s="115">
        <f>IF(J71="Yes",AA71*Tab_Data_Flows[[#This Row],[WC_'[%']]],"N.A.")</f>
        <v>9.2500164811366865</v>
      </c>
      <c r="AE71" s="61" t="str">
        <f>Tab_Data_Flows[[#This Row],[UoM_Flow_Py]]</f>
        <v>Mg</v>
      </c>
      <c r="AF71" s="114">
        <f>INDEX(Tab_Def_Flows[[Flow_ID]:[CC_DM_source]],MATCH(Tab_Data_Flows[[#This Row],[Name(EN)]],Tab_Def_Flows[Name(EN)],0),18)</f>
        <v>0.94</v>
      </c>
      <c r="AG71" s="115">
        <f>IF(K71="Yes",AF71*Tab_Data_Flows[[#This Row],[Flow_Py]],"N.A.")</f>
        <v>144.91692487114142</v>
      </c>
      <c r="AH71" s="61" t="str">
        <f>Tab_Data_Flows[[#This Row],[UoM_Flow_Py]]</f>
        <v>Mg</v>
      </c>
      <c r="AI71" s="114">
        <f>INDEX(Tab_Def_Flows[[Flow_ID]:[CC_DM_source]],MATCH(Tab_Data_Flows[[#This Row],[Name(EN)]],Tab_Def_Flows[Name(EN)],0),20)</f>
        <v>0.49</v>
      </c>
      <c r="AJ71" s="115">
        <f>IF(L71="Yes",AI71*Tab_Data_Flows[[#This Row],[Flow_Py]],"N.A.")</f>
        <v>75.541801262616275</v>
      </c>
      <c r="AK71" s="61" t="str">
        <f>Tab_Data_Flows[[#This Row],[UoM_Flow_Py]]</f>
        <v>Mg</v>
      </c>
    </row>
    <row r="72" spans="1:37" x14ac:dyDescent="0.35">
      <c r="A72" s="60">
        <f t="shared" si="12"/>
        <v>71</v>
      </c>
      <c r="B72" s="49" t="str">
        <f>_xlfn.XLOOKUP(C72,Tab_Def_Flows[Name(EN)],Tab_Def_Flows[Flow_ID],,0,)</f>
        <v>F_00_13</v>
      </c>
      <c r="C72" s="51" t="s">
        <v>427</v>
      </c>
      <c r="D72" s="49">
        <f>_xlfn.XLOOKUP(C72,Tab_Def_Flows[Name(EN)],Tab_Def_Flows[Type_Biomass],,0,)</f>
        <v>0</v>
      </c>
      <c r="E72" s="49" t="str">
        <f>_xlfn.XLOOKUP(C72,Tab_Def_Flows[Name(EN)],Tab_Def_Flows[Output_Process],,0,)</f>
        <v>Environment</v>
      </c>
      <c r="F72" s="49" t="str">
        <f>_xlfn.XLOOKUP(C72,Tab_Def_Flows[Name(EN)],Tab_Def_Flows[Process_ID_O],,0,)</f>
        <v>00_Env_BB</v>
      </c>
      <c r="G72" s="49" t="str">
        <f>_xlfn.XLOOKUP(C72,Tab_Def_Flows[Name(EN)],Tab_Def_Flows[Input_Process],,0,)</f>
        <v>Rye cultivation</v>
      </c>
      <c r="H72" s="61" t="str">
        <f>_xlfn.XLOOKUP(C72,Tab_Def_Flows[Name(EN)],Tab_Def_Flows[Process_ID_I],,0,)</f>
        <v>13_Rye_BB</v>
      </c>
      <c r="I72" s="61">
        <f>_xlfn.XLOOKUP(C72,Tab_Def_Flows[Name(EN)],Tab_Def_Flows[Value_Source],,0,)</f>
        <v>0</v>
      </c>
      <c r="J72" s="61" t="s">
        <v>68</v>
      </c>
      <c r="K72" s="61" t="s">
        <v>68</v>
      </c>
      <c r="L72" s="61" t="s">
        <v>68</v>
      </c>
      <c r="M72" s="51">
        <v>2032</v>
      </c>
      <c r="N72" s="51" t="s">
        <v>353</v>
      </c>
      <c r="O72" s="126">
        <f t="shared" si="21"/>
        <v>157.25028017932368</v>
      </c>
      <c r="P72" s="51" t="s">
        <v>398</v>
      </c>
      <c r="Q72" s="51" t="s">
        <v>368</v>
      </c>
      <c r="R72" s="51"/>
      <c r="S72" s="51"/>
      <c r="T72" s="51"/>
      <c r="U72" s="51"/>
      <c r="V72" s="51"/>
      <c r="W72" s="51"/>
      <c r="X72" s="51" t="s">
        <v>71</v>
      </c>
      <c r="Y72" s="109"/>
      <c r="Z72" s="51"/>
      <c r="AA72" s="89">
        <f t="shared" si="22"/>
        <v>157.25028017932368</v>
      </c>
      <c r="AB72" s="51" t="s">
        <v>63</v>
      </c>
      <c r="AC72" s="114">
        <f>INDEX(Tab_Def_Flows[[Flow_ID]:[CC_DM_source]],MATCH(Tab_Data_Flows[[#This Row],[Name(EN)]],Tab_Def_Flows[Name(EN)],0),16)</f>
        <v>0.06</v>
      </c>
      <c r="AD72" s="115">
        <f>IF(J72="Yes",AA72*Tab_Data_Flows[[#This Row],[WC_'[%']]],"N.A.")</f>
        <v>9.4350168107594197</v>
      </c>
      <c r="AE72" s="61" t="str">
        <f>Tab_Data_Flows[[#This Row],[UoM_Flow_Py]]</f>
        <v>Mg</v>
      </c>
      <c r="AF72" s="114">
        <f>INDEX(Tab_Def_Flows[[Flow_ID]:[CC_DM_source]],MATCH(Tab_Data_Flows[[#This Row],[Name(EN)]],Tab_Def_Flows[Name(EN)],0),18)</f>
        <v>0.94</v>
      </c>
      <c r="AG72" s="115">
        <f>IF(K72="Yes",AF72*Tab_Data_Flows[[#This Row],[Flow_Py]],"N.A.")</f>
        <v>147.81526336856425</v>
      </c>
      <c r="AH72" s="61" t="str">
        <f>Tab_Data_Flows[[#This Row],[UoM_Flow_Py]]</f>
        <v>Mg</v>
      </c>
      <c r="AI72" s="114">
        <f>INDEX(Tab_Def_Flows[[Flow_ID]:[CC_DM_source]],MATCH(Tab_Data_Flows[[#This Row],[Name(EN)]],Tab_Def_Flows[Name(EN)],0),20)</f>
        <v>0.49</v>
      </c>
      <c r="AJ72" s="115">
        <f>IF(L72="Yes",AI72*Tab_Data_Flows[[#This Row],[Flow_Py]],"N.A.")</f>
        <v>77.052637287868606</v>
      </c>
      <c r="AK72" s="61" t="str">
        <f>Tab_Data_Flows[[#This Row],[UoM_Flow_Py]]</f>
        <v>Mg</v>
      </c>
    </row>
    <row r="73" spans="1:37" x14ac:dyDescent="0.35">
      <c r="A73" s="60">
        <f t="shared" si="12"/>
        <v>72</v>
      </c>
      <c r="B73" s="49" t="str">
        <f>_xlfn.XLOOKUP(C73,Tab_Def_Flows[Name(EN)],Tab_Def_Flows[Flow_ID],,0,)</f>
        <v>F_00_13</v>
      </c>
      <c r="C73" s="51" t="s">
        <v>427</v>
      </c>
      <c r="D73" s="49">
        <f>_xlfn.XLOOKUP(C73,Tab_Def_Flows[Name(EN)],Tab_Def_Flows[Type_Biomass],,0,)</f>
        <v>0</v>
      </c>
      <c r="E73" s="49" t="str">
        <f>_xlfn.XLOOKUP(C73,Tab_Def_Flows[Name(EN)],Tab_Def_Flows[Output_Process],,0,)</f>
        <v>Environment</v>
      </c>
      <c r="F73" s="49" t="str">
        <f>_xlfn.XLOOKUP(C73,Tab_Def_Flows[Name(EN)],Tab_Def_Flows[Process_ID_O],,0,)</f>
        <v>00_Env_BB</v>
      </c>
      <c r="G73" s="49" t="str">
        <f>_xlfn.XLOOKUP(C73,Tab_Def_Flows[Name(EN)],Tab_Def_Flows[Input_Process],,0,)</f>
        <v>Rye cultivation</v>
      </c>
      <c r="H73" s="61" t="str">
        <f>_xlfn.XLOOKUP(C73,Tab_Def_Flows[Name(EN)],Tab_Def_Flows[Process_ID_I],,0,)</f>
        <v>13_Rye_BB</v>
      </c>
      <c r="I73" s="61">
        <f>_xlfn.XLOOKUP(C73,Tab_Def_Flows[Name(EN)],Tab_Def_Flows[Value_Source],,0,)</f>
        <v>0</v>
      </c>
      <c r="J73" s="61" t="s">
        <v>68</v>
      </c>
      <c r="K73" s="61" t="s">
        <v>68</v>
      </c>
      <c r="L73" s="61" t="s">
        <v>68</v>
      </c>
      <c r="M73" s="51">
        <v>2033</v>
      </c>
      <c r="N73" s="51" t="s">
        <v>353</v>
      </c>
      <c r="O73" s="126">
        <f t="shared" si="21"/>
        <v>160.39528578291015</v>
      </c>
      <c r="P73" s="51" t="s">
        <v>398</v>
      </c>
      <c r="Q73" s="51" t="s">
        <v>368</v>
      </c>
      <c r="R73" s="51"/>
      <c r="S73" s="51"/>
      <c r="T73" s="51"/>
      <c r="U73" s="51"/>
      <c r="V73" s="51"/>
      <c r="W73" s="51"/>
      <c r="X73" s="51" t="s">
        <v>71</v>
      </c>
      <c r="Y73" s="109"/>
      <c r="Z73" s="51"/>
      <c r="AA73" s="89">
        <f t="shared" si="22"/>
        <v>160.39528578291015</v>
      </c>
      <c r="AB73" s="51" t="s">
        <v>63</v>
      </c>
      <c r="AC73" s="114">
        <f>INDEX(Tab_Def_Flows[[Flow_ID]:[CC_DM_source]],MATCH(Tab_Data_Flows[[#This Row],[Name(EN)]],Tab_Def_Flows[Name(EN)],0),16)</f>
        <v>0.06</v>
      </c>
      <c r="AD73" s="115">
        <f>IF(J73="Yes",AA73*Tab_Data_Flows[[#This Row],[WC_'[%']]],"N.A.")</f>
        <v>9.6237171469746094</v>
      </c>
      <c r="AE73" s="61" t="str">
        <f>Tab_Data_Flows[[#This Row],[UoM_Flow_Py]]</f>
        <v>Mg</v>
      </c>
      <c r="AF73" s="114">
        <f>INDEX(Tab_Def_Flows[[Flow_ID]:[CC_DM_source]],MATCH(Tab_Data_Flows[[#This Row],[Name(EN)]],Tab_Def_Flows[Name(EN)],0),18)</f>
        <v>0.94</v>
      </c>
      <c r="AG73" s="115">
        <f>IF(K73="Yes",AF73*Tab_Data_Flows[[#This Row],[Flow_Py]],"N.A.")</f>
        <v>150.77156863593552</v>
      </c>
      <c r="AH73" s="61" t="str">
        <f>Tab_Data_Flows[[#This Row],[UoM_Flow_Py]]</f>
        <v>Mg</v>
      </c>
      <c r="AI73" s="114">
        <f>INDEX(Tab_Def_Flows[[Flow_ID]:[CC_DM_source]],MATCH(Tab_Data_Flows[[#This Row],[Name(EN)]],Tab_Def_Flows[Name(EN)],0),20)</f>
        <v>0.49</v>
      </c>
      <c r="AJ73" s="115">
        <f>IF(L73="Yes",AI73*Tab_Data_Flows[[#This Row],[Flow_Py]],"N.A.")</f>
        <v>78.593690033625975</v>
      </c>
      <c r="AK73" s="61" t="str">
        <f>Tab_Data_Flows[[#This Row],[UoM_Flow_Py]]</f>
        <v>Mg</v>
      </c>
    </row>
    <row r="74" spans="1:37" x14ac:dyDescent="0.35">
      <c r="A74" s="60">
        <f t="shared" si="12"/>
        <v>73</v>
      </c>
      <c r="B74" s="49" t="str">
        <f>_xlfn.XLOOKUP(C74,Tab_Def_Flows[Name(EN)],Tab_Def_Flows[Flow_ID],,0,)</f>
        <v>F_00_13</v>
      </c>
      <c r="C74" s="51" t="s">
        <v>427</v>
      </c>
      <c r="D74" s="49">
        <f>_xlfn.XLOOKUP(C74,Tab_Def_Flows[Name(EN)],Tab_Def_Flows[Type_Biomass],,0,)</f>
        <v>0</v>
      </c>
      <c r="E74" s="49" t="str">
        <f>_xlfn.XLOOKUP(C74,Tab_Def_Flows[Name(EN)],Tab_Def_Flows[Output_Process],,0,)</f>
        <v>Environment</v>
      </c>
      <c r="F74" s="49" t="str">
        <f>_xlfn.XLOOKUP(C74,Tab_Def_Flows[Name(EN)],Tab_Def_Flows[Process_ID_O],,0,)</f>
        <v>00_Env_BB</v>
      </c>
      <c r="G74" s="49" t="str">
        <f>_xlfn.XLOOKUP(C74,Tab_Def_Flows[Name(EN)],Tab_Def_Flows[Input_Process],,0,)</f>
        <v>Rye cultivation</v>
      </c>
      <c r="H74" s="61" t="str">
        <f>_xlfn.XLOOKUP(C74,Tab_Def_Flows[Name(EN)],Tab_Def_Flows[Process_ID_I],,0,)</f>
        <v>13_Rye_BB</v>
      </c>
      <c r="I74" s="61">
        <f>_xlfn.XLOOKUP(C74,Tab_Def_Flows[Name(EN)],Tab_Def_Flows[Value_Source],,0,)</f>
        <v>0</v>
      </c>
      <c r="J74" s="61" t="s">
        <v>68</v>
      </c>
      <c r="K74" s="61" t="s">
        <v>68</v>
      </c>
      <c r="L74" s="61" t="s">
        <v>68</v>
      </c>
      <c r="M74" s="51">
        <v>2034</v>
      </c>
      <c r="N74" s="51" t="s">
        <v>353</v>
      </c>
      <c r="O74" s="126">
        <f t="shared" si="21"/>
        <v>163.60319149856835</v>
      </c>
      <c r="P74" s="51" t="s">
        <v>398</v>
      </c>
      <c r="Q74" s="51" t="s">
        <v>368</v>
      </c>
      <c r="R74" s="51"/>
      <c r="S74" s="51"/>
      <c r="T74" s="51"/>
      <c r="U74" s="51"/>
      <c r="V74" s="51"/>
      <c r="W74" s="51"/>
      <c r="X74" s="51" t="s">
        <v>71</v>
      </c>
      <c r="Y74" s="109"/>
      <c r="Z74" s="51"/>
      <c r="AA74" s="89">
        <f t="shared" si="22"/>
        <v>163.60319149856835</v>
      </c>
      <c r="AB74" s="51" t="s">
        <v>63</v>
      </c>
      <c r="AC74" s="114">
        <f>INDEX(Tab_Def_Flows[[Flow_ID]:[CC_DM_source]],MATCH(Tab_Data_Flows[[#This Row],[Name(EN)]],Tab_Def_Flows[Name(EN)],0),16)</f>
        <v>0.06</v>
      </c>
      <c r="AD74" s="115">
        <f>IF(J74="Yes",AA74*Tab_Data_Flows[[#This Row],[WC_'[%']]],"N.A.")</f>
        <v>9.8161914899141003</v>
      </c>
      <c r="AE74" s="61" t="str">
        <f>Tab_Data_Flows[[#This Row],[UoM_Flow_Py]]</f>
        <v>Mg</v>
      </c>
      <c r="AF74" s="114">
        <f>INDEX(Tab_Def_Flows[[Flow_ID]:[CC_DM_source]],MATCH(Tab_Data_Flows[[#This Row],[Name(EN)]],Tab_Def_Flows[Name(EN)],0),18)</f>
        <v>0.94</v>
      </c>
      <c r="AG74" s="115">
        <f>IF(K74="Yes",AF74*Tab_Data_Flows[[#This Row],[Flow_Py]],"N.A.")</f>
        <v>153.78700000865425</v>
      </c>
      <c r="AH74" s="61" t="str">
        <f>Tab_Data_Flows[[#This Row],[UoM_Flow_Py]]</f>
        <v>Mg</v>
      </c>
      <c r="AI74" s="114">
        <f>INDEX(Tab_Def_Flows[[Flow_ID]:[CC_DM_source]],MATCH(Tab_Data_Flows[[#This Row],[Name(EN)]],Tab_Def_Flows[Name(EN)],0),20)</f>
        <v>0.49</v>
      </c>
      <c r="AJ74" s="115">
        <f>IF(L74="Yes",AI74*Tab_Data_Flows[[#This Row],[Flow_Py]],"N.A.")</f>
        <v>80.165563834298496</v>
      </c>
      <c r="AK74" s="61" t="str">
        <f>Tab_Data_Flows[[#This Row],[UoM_Flow_Py]]</f>
        <v>Mg</v>
      </c>
    </row>
    <row r="75" spans="1:37" x14ac:dyDescent="0.35">
      <c r="A75" s="60">
        <f t="shared" si="12"/>
        <v>74</v>
      </c>
      <c r="B75" s="49" t="str">
        <f>_xlfn.XLOOKUP(C75,Tab_Def_Flows[Name(EN)],Tab_Def_Flows[Flow_ID],,0,)</f>
        <v>F_00_13</v>
      </c>
      <c r="C75" s="51" t="s">
        <v>427</v>
      </c>
      <c r="D75" s="49">
        <f>_xlfn.XLOOKUP(C75,Tab_Def_Flows[Name(EN)],Tab_Def_Flows[Type_Biomass],,0,)</f>
        <v>0</v>
      </c>
      <c r="E75" s="49" t="str">
        <f>_xlfn.XLOOKUP(C75,Tab_Def_Flows[Name(EN)],Tab_Def_Flows[Output_Process],,0,)</f>
        <v>Environment</v>
      </c>
      <c r="F75" s="49" t="str">
        <f>_xlfn.XLOOKUP(C75,Tab_Def_Flows[Name(EN)],Tab_Def_Flows[Process_ID_O],,0,)</f>
        <v>00_Env_BB</v>
      </c>
      <c r="G75" s="49" t="str">
        <f>_xlfn.XLOOKUP(C75,Tab_Def_Flows[Name(EN)],Tab_Def_Flows[Input_Process],,0,)</f>
        <v>Rye cultivation</v>
      </c>
      <c r="H75" s="61" t="str">
        <f>_xlfn.XLOOKUP(C75,Tab_Def_Flows[Name(EN)],Tab_Def_Flows[Process_ID_I],,0,)</f>
        <v>13_Rye_BB</v>
      </c>
      <c r="I75" s="61">
        <f>_xlfn.XLOOKUP(C75,Tab_Def_Flows[Name(EN)],Tab_Def_Flows[Value_Source],,0,)</f>
        <v>0</v>
      </c>
      <c r="J75" s="61" t="s">
        <v>68</v>
      </c>
      <c r="K75" s="61" t="s">
        <v>68</v>
      </c>
      <c r="L75" s="61" t="s">
        <v>68</v>
      </c>
      <c r="M75" s="51">
        <v>2035</v>
      </c>
      <c r="N75" s="51" t="s">
        <v>353</v>
      </c>
      <c r="O75" s="126">
        <f t="shared" si="21"/>
        <v>166.87525532853971</v>
      </c>
      <c r="P75" s="51" t="s">
        <v>398</v>
      </c>
      <c r="Q75" s="51" t="s">
        <v>368</v>
      </c>
      <c r="R75" s="51"/>
      <c r="S75" s="51"/>
      <c r="T75" s="51"/>
      <c r="U75" s="51"/>
      <c r="V75" s="51"/>
      <c r="W75" s="51"/>
      <c r="X75" s="51" t="s">
        <v>71</v>
      </c>
      <c r="Y75" s="109"/>
      <c r="Z75" s="51"/>
      <c r="AA75" s="89">
        <f t="shared" si="22"/>
        <v>166.87525532853971</v>
      </c>
      <c r="AB75" s="51" t="s">
        <v>63</v>
      </c>
      <c r="AC75" s="114">
        <f>INDEX(Tab_Def_Flows[[Flow_ID]:[CC_DM_source]],MATCH(Tab_Data_Flows[[#This Row],[Name(EN)]],Tab_Def_Flows[Name(EN)],0),16)</f>
        <v>0.06</v>
      </c>
      <c r="AD75" s="115">
        <f>IF(J75="Yes",AA75*Tab_Data_Flows[[#This Row],[WC_'[%']]],"N.A.")</f>
        <v>10.012515319712382</v>
      </c>
      <c r="AE75" s="61" t="str">
        <f>Tab_Data_Flows[[#This Row],[UoM_Flow_Py]]</f>
        <v>Mg</v>
      </c>
      <c r="AF75" s="114">
        <f>INDEX(Tab_Def_Flows[[Flow_ID]:[CC_DM_source]],MATCH(Tab_Data_Flows[[#This Row],[Name(EN)]],Tab_Def_Flows[Name(EN)],0),18)</f>
        <v>0.94</v>
      </c>
      <c r="AG75" s="115">
        <f>IF(K75="Yes",AF75*Tab_Data_Flows[[#This Row],[Flow_Py]],"N.A.")</f>
        <v>156.86274000882733</v>
      </c>
      <c r="AH75" s="61" t="str">
        <f>Tab_Data_Flows[[#This Row],[UoM_Flow_Py]]</f>
        <v>Mg</v>
      </c>
      <c r="AI75" s="114">
        <f>INDEX(Tab_Def_Flows[[Flow_ID]:[CC_DM_source]],MATCH(Tab_Data_Flows[[#This Row],[Name(EN)]],Tab_Def_Flows[Name(EN)],0),20)</f>
        <v>0.49</v>
      </c>
      <c r="AJ75" s="115">
        <f>IF(L75="Yes",AI75*Tab_Data_Flows[[#This Row],[Flow_Py]],"N.A.")</f>
        <v>81.768875110984453</v>
      </c>
      <c r="AK75" s="61" t="str">
        <f>Tab_Data_Flows[[#This Row],[UoM_Flow_Py]]</f>
        <v>Mg</v>
      </c>
    </row>
    <row r="76" spans="1:37" x14ac:dyDescent="0.35">
      <c r="A76" s="60">
        <f t="shared" si="12"/>
        <v>75</v>
      </c>
      <c r="B76" s="49" t="str">
        <f>_xlfn.XLOOKUP(C76,Tab_Def_Flows[Name(EN)],Tab_Def_Flows[Flow_ID],,0,)</f>
        <v>F_00_13</v>
      </c>
      <c r="C76" s="51" t="s">
        <v>427</v>
      </c>
      <c r="D76" s="49">
        <f>_xlfn.XLOOKUP(C76,Tab_Def_Flows[Name(EN)],Tab_Def_Flows[Type_Biomass],,0,)</f>
        <v>0</v>
      </c>
      <c r="E76" s="49" t="str">
        <f>_xlfn.XLOOKUP(C76,Tab_Def_Flows[Name(EN)],Tab_Def_Flows[Output_Process],,0,)</f>
        <v>Environment</v>
      </c>
      <c r="F76" s="49" t="str">
        <f>_xlfn.XLOOKUP(C76,Tab_Def_Flows[Name(EN)],Tab_Def_Flows[Process_ID_O],,0,)</f>
        <v>00_Env_BB</v>
      </c>
      <c r="G76" s="49" t="str">
        <f>_xlfn.XLOOKUP(C76,Tab_Def_Flows[Name(EN)],Tab_Def_Flows[Input_Process],,0,)</f>
        <v>Rye cultivation</v>
      </c>
      <c r="H76" s="61" t="str">
        <f>_xlfn.XLOOKUP(C76,Tab_Def_Flows[Name(EN)],Tab_Def_Flows[Process_ID_I],,0,)</f>
        <v>13_Rye_BB</v>
      </c>
      <c r="I76" s="61">
        <f>_xlfn.XLOOKUP(C76,Tab_Def_Flows[Name(EN)],Tab_Def_Flows[Value_Source],,0,)</f>
        <v>0</v>
      </c>
      <c r="J76" s="61" t="s">
        <v>68</v>
      </c>
      <c r="K76" s="61" t="s">
        <v>68</v>
      </c>
      <c r="L76" s="61" t="s">
        <v>68</v>
      </c>
      <c r="M76" s="51">
        <v>2036</v>
      </c>
      <c r="N76" s="51" t="s">
        <v>353</v>
      </c>
      <c r="O76" s="126">
        <f t="shared" si="21"/>
        <v>170.21276043511051</v>
      </c>
      <c r="P76" s="51" t="s">
        <v>398</v>
      </c>
      <c r="Q76" s="51" t="s">
        <v>368</v>
      </c>
      <c r="R76" s="51"/>
      <c r="S76" s="51"/>
      <c r="T76" s="51"/>
      <c r="U76" s="51"/>
      <c r="V76" s="51"/>
      <c r="W76" s="51"/>
      <c r="X76" s="51" t="s">
        <v>71</v>
      </c>
      <c r="Y76" s="109"/>
      <c r="Z76" s="51"/>
      <c r="AA76" s="89">
        <f t="shared" si="22"/>
        <v>170.21276043511051</v>
      </c>
      <c r="AB76" s="51" t="s">
        <v>63</v>
      </c>
      <c r="AC76" s="114">
        <f>INDEX(Tab_Def_Flows[[Flow_ID]:[CC_DM_source]],MATCH(Tab_Data_Flows[[#This Row],[Name(EN)]],Tab_Def_Flows[Name(EN)],0),16)</f>
        <v>0.06</v>
      </c>
      <c r="AD76" s="115">
        <f>IF(J76="Yes",AA76*Tab_Data_Flows[[#This Row],[WC_'[%']]],"N.A.")</f>
        <v>10.212765626106631</v>
      </c>
      <c r="AE76" s="61" t="str">
        <f>Tab_Data_Flows[[#This Row],[UoM_Flow_Py]]</f>
        <v>Mg</v>
      </c>
      <c r="AF76" s="114">
        <f>INDEX(Tab_Def_Flows[[Flow_ID]:[CC_DM_source]],MATCH(Tab_Data_Flows[[#This Row],[Name(EN)]],Tab_Def_Flows[Name(EN)],0),18)</f>
        <v>0.94</v>
      </c>
      <c r="AG76" s="115">
        <f>IF(K76="Yes",AF76*Tab_Data_Flows[[#This Row],[Flow_Py]],"N.A.")</f>
        <v>159.99999480900388</v>
      </c>
      <c r="AH76" s="61" t="str">
        <f>Tab_Data_Flows[[#This Row],[UoM_Flow_Py]]</f>
        <v>Mg</v>
      </c>
      <c r="AI76" s="114">
        <f>INDEX(Tab_Def_Flows[[Flow_ID]:[CC_DM_source]],MATCH(Tab_Data_Flows[[#This Row],[Name(EN)]],Tab_Def_Flows[Name(EN)],0),20)</f>
        <v>0.49</v>
      </c>
      <c r="AJ76" s="115">
        <f>IF(L76="Yes",AI76*Tab_Data_Flows[[#This Row],[Flow_Py]],"N.A.")</f>
        <v>83.40425261320415</v>
      </c>
      <c r="AK76" s="61" t="str">
        <f>Tab_Data_Flows[[#This Row],[UoM_Flow_Py]]</f>
        <v>Mg</v>
      </c>
    </row>
    <row r="77" spans="1:37" x14ac:dyDescent="0.35">
      <c r="A77" s="60">
        <f t="shared" si="12"/>
        <v>76</v>
      </c>
      <c r="B77" s="49" t="str">
        <f>_xlfn.XLOOKUP(C77,Tab_Def_Flows[Name(EN)],Tab_Def_Flows[Flow_ID],,0,)</f>
        <v>F_00_04</v>
      </c>
      <c r="C77" s="51" t="s">
        <v>428</v>
      </c>
      <c r="D77" s="49">
        <f>_xlfn.XLOOKUP(C77,Tab_Def_Flows[Name(EN)],Tab_Def_Flows[Type_Biomass],,0,)</f>
        <v>0</v>
      </c>
      <c r="E77" s="49" t="str">
        <f>_xlfn.XLOOKUP(C77,Tab_Def_Flows[Name(EN)],Tab_Def_Flows[Output_Process],,0,)</f>
        <v>Environment</v>
      </c>
      <c r="F77" s="49" t="str">
        <f>_xlfn.XLOOKUP(C77,Tab_Def_Flows[Name(EN)],Tab_Def_Flows[Process_ID_O],,0,)</f>
        <v>00_Env_BB</v>
      </c>
      <c r="G77" s="49" t="str">
        <f>_xlfn.XLOOKUP(C77,Tab_Def_Flows[Name(EN)],Tab_Def_Flows[Input_Process],,0,)</f>
        <v>Life stock farming</v>
      </c>
      <c r="H77" s="61" t="str">
        <f>_xlfn.XLOOKUP(C77,Tab_Def_Flows[Name(EN)],Tab_Def_Flows[Process_ID_I],,0,)</f>
        <v>04_Lif_BB</v>
      </c>
      <c r="I77" s="61">
        <f>_xlfn.XLOOKUP(C77,Tab_Def_Flows[Name(EN)],Tab_Def_Flows[Value_Source],,0,)</f>
        <v>0</v>
      </c>
      <c r="J77" s="61" t="s">
        <v>68</v>
      </c>
      <c r="K77" s="61" t="s">
        <v>68</v>
      </c>
      <c r="L77" s="61" t="s">
        <v>68</v>
      </c>
      <c r="M77" s="51">
        <v>2022</v>
      </c>
      <c r="N77" s="51" t="s">
        <v>353</v>
      </c>
      <c r="O77" s="126">
        <v>39</v>
      </c>
      <c r="P77" s="51" t="s">
        <v>398</v>
      </c>
      <c r="Q77" s="51"/>
      <c r="R77" s="51"/>
      <c r="S77" s="51"/>
      <c r="T77" s="51"/>
      <c r="U77" s="51"/>
      <c r="V77" s="51"/>
      <c r="W77" s="51"/>
      <c r="X77" s="51" t="s">
        <v>71</v>
      </c>
      <c r="Y77" s="109"/>
      <c r="Z77" s="51"/>
      <c r="AA77" s="89">
        <f t="shared" si="7"/>
        <v>39</v>
      </c>
      <c r="AB77" s="51" t="s">
        <v>63</v>
      </c>
      <c r="AC77" s="114">
        <f>INDEX(Tab_Def_Flows[[Flow_ID]:[CC_DM_source]],MATCH(Tab_Data_Flows[[#This Row],[Name(EN)]],Tab_Def_Flows[Name(EN)],0),16)</f>
        <v>0.94</v>
      </c>
      <c r="AD77" s="115">
        <f>IF(J77="Yes",AA77*Tab_Data_Flows[[#This Row],[WC_'[%']]],"N.A.")</f>
        <v>36.659999999999997</v>
      </c>
      <c r="AE77" s="61" t="str">
        <f>Tab_Data_Flows[[#This Row],[UoM_Flow_Py]]</f>
        <v>Mg</v>
      </c>
      <c r="AF77" s="114">
        <f>INDEX(Tab_Def_Flows[[Flow_ID]:[CC_DM_source]],MATCH(Tab_Data_Flows[[#This Row],[Name(EN)]],Tab_Def_Flows[Name(EN)],0),18)</f>
        <v>0.06</v>
      </c>
      <c r="AG77" s="115">
        <f>IF(K77="Yes",AF77*Tab_Data_Flows[[#This Row],[Flow_Py]],"N.A.")</f>
        <v>2.34</v>
      </c>
      <c r="AH77" s="61" t="str">
        <f>Tab_Data_Flows[[#This Row],[UoM_Flow_Py]]</f>
        <v>Mg</v>
      </c>
      <c r="AI77" s="114">
        <f>INDEX(Tab_Def_Flows[[Flow_ID]:[CC_DM_source]],MATCH(Tab_Data_Flows[[#This Row],[Name(EN)]],Tab_Def_Flows[Name(EN)],0),20)</f>
        <v>0.49</v>
      </c>
      <c r="AJ77" s="115">
        <f>IF(L77="Yes",AI77*Tab_Data_Flows[[#This Row],[Flow_Py]],"N.A.")</f>
        <v>19.11</v>
      </c>
      <c r="AK77" s="61" t="str">
        <f>Tab_Data_Flows[[#This Row],[UoM_Flow_Py]]</f>
        <v>Mg</v>
      </c>
    </row>
    <row r="78" spans="1:37" x14ac:dyDescent="0.35">
      <c r="A78" s="60">
        <f t="shared" si="12"/>
        <v>77</v>
      </c>
      <c r="B78" s="49" t="str">
        <f>_xlfn.XLOOKUP(C78,Tab_Def_Flows[Name(EN)],Tab_Def_Flows[Flow_ID],,0,)</f>
        <v>F_00_04</v>
      </c>
      <c r="C78" s="51" t="s">
        <v>428</v>
      </c>
      <c r="D78" s="49">
        <f>_xlfn.XLOOKUP(C78,Tab_Def_Flows[Name(EN)],Tab_Def_Flows[Type_Biomass],,0,)</f>
        <v>0</v>
      </c>
      <c r="E78" s="49" t="str">
        <f>_xlfn.XLOOKUP(C78,Tab_Def_Flows[Name(EN)],Tab_Def_Flows[Output_Process],,0,)</f>
        <v>Environment</v>
      </c>
      <c r="F78" s="49" t="str">
        <f>_xlfn.XLOOKUP(C78,Tab_Def_Flows[Name(EN)],Tab_Def_Flows[Process_ID_O],,0,)</f>
        <v>00_Env_BB</v>
      </c>
      <c r="G78" s="49" t="str">
        <f>_xlfn.XLOOKUP(C78,Tab_Def_Flows[Name(EN)],Tab_Def_Flows[Input_Process],,0,)</f>
        <v>Life stock farming</v>
      </c>
      <c r="H78" s="61" t="str">
        <f>_xlfn.XLOOKUP(C78,Tab_Def_Flows[Name(EN)],Tab_Def_Flows[Process_ID_I],,0,)</f>
        <v>04_Lif_BB</v>
      </c>
      <c r="I78" s="61">
        <f>_xlfn.XLOOKUP(C78,Tab_Def_Flows[Name(EN)],Tab_Def_Flows[Value_Source],,0,)</f>
        <v>0</v>
      </c>
      <c r="J78" s="61" t="s">
        <v>68</v>
      </c>
      <c r="K78" s="61" t="s">
        <v>68</v>
      </c>
      <c r="L78" s="61" t="s">
        <v>68</v>
      </c>
      <c r="M78" s="51">
        <v>2023</v>
      </c>
      <c r="N78" s="51" t="s">
        <v>353</v>
      </c>
      <c r="O78" s="126">
        <f t="shared" ref="O64:O98" si="23">O77*1.02</f>
        <v>39.78</v>
      </c>
      <c r="P78" s="51" t="s">
        <v>398</v>
      </c>
      <c r="Q78" s="51"/>
      <c r="R78" s="51"/>
      <c r="S78" s="51"/>
      <c r="T78" s="51"/>
      <c r="U78" s="51"/>
      <c r="V78" s="51"/>
      <c r="W78" s="51"/>
      <c r="X78" s="51" t="s">
        <v>71</v>
      </c>
      <c r="Y78" s="109"/>
      <c r="Z78" s="51"/>
      <c r="AA78" s="89">
        <f t="shared" ref="AA78:AA84" si="24">IF(X78="no",O78,O78*Y78)</f>
        <v>39.78</v>
      </c>
      <c r="AB78" s="51" t="s">
        <v>63</v>
      </c>
      <c r="AC78" s="114">
        <f>INDEX(Tab_Def_Flows[[Flow_ID]:[CC_DM_source]],MATCH(Tab_Data_Flows[[#This Row],[Name(EN)]],Tab_Def_Flows[Name(EN)],0),16)</f>
        <v>0.94</v>
      </c>
      <c r="AD78" s="115">
        <f>IF(J78="Yes",AA78*Tab_Data_Flows[[#This Row],[WC_'[%']]],"N.A.")</f>
        <v>37.3932</v>
      </c>
      <c r="AE78" s="61" t="str">
        <f>Tab_Data_Flows[[#This Row],[UoM_Flow_Py]]</f>
        <v>Mg</v>
      </c>
      <c r="AF78" s="114">
        <f>INDEX(Tab_Def_Flows[[Flow_ID]:[CC_DM_source]],MATCH(Tab_Data_Flows[[#This Row],[Name(EN)]],Tab_Def_Flows[Name(EN)],0),18)</f>
        <v>0.06</v>
      </c>
      <c r="AG78" s="115">
        <f>IF(K78="Yes",AF78*Tab_Data_Flows[[#This Row],[Flow_Py]],"N.A.")</f>
        <v>2.3868</v>
      </c>
      <c r="AH78" s="61" t="str">
        <f>Tab_Data_Flows[[#This Row],[UoM_Flow_Py]]</f>
        <v>Mg</v>
      </c>
      <c r="AI78" s="114">
        <f>INDEX(Tab_Def_Flows[[Flow_ID]:[CC_DM_source]],MATCH(Tab_Data_Flows[[#This Row],[Name(EN)]],Tab_Def_Flows[Name(EN)],0),20)</f>
        <v>0.49</v>
      </c>
      <c r="AJ78" s="115">
        <f>IF(L78="Yes",AI78*Tab_Data_Flows[[#This Row],[Flow_Py]],"N.A.")</f>
        <v>19.4922</v>
      </c>
      <c r="AK78" s="61" t="str">
        <f>Tab_Data_Flows[[#This Row],[UoM_Flow_Py]]</f>
        <v>Mg</v>
      </c>
    </row>
    <row r="79" spans="1:37" x14ac:dyDescent="0.35">
      <c r="A79" s="60">
        <f t="shared" si="12"/>
        <v>78</v>
      </c>
      <c r="B79" s="49" t="str">
        <f>_xlfn.XLOOKUP(C79,Tab_Def_Flows[Name(EN)],Tab_Def_Flows[Flow_ID],,0,)</f>
        <v>F_00_04</v>
      </c>
      <c r="C79" s="51" t="s">
        <v>428</v>
      </c>
      <c r="D79" s="49">
        <f>_xlfn.XLOOKUP(C79,Tab_Def_Flows[Name(EN)],Tab_Def_Flows[Type_Biomass],,0,)</f>
        <v>0</v>
      </c>
      <c r="E79" s="49" t="str">
        <f>_xlfn.XLOOKUP(C79,Tab_Def_Flows[Name(EN)],Tab_Def_Flows[Output_Process],,0,)</f>
        <v>Environment</v>
      </c>
      <c r="F79" s="49" t="str">
        <f>_xlfn.XLOOKUP(C79,Tab_Def_Flows[Name(EN)],Tab_Def_Flows[Process_ID_O],,0,)</f>
        <v>00_Env_BB</v>
      </c>
      <c r="G79" s="49" t="str">
        <f>_xlfn.XLOOKUP(C79,Tab_Def_Flows[Name(EN)],Tab_Def_Flows[Input_Process],,0,)</f>
        <v>Life stock farming</v>
      </c>
      <c r="H79" s="61" t="str">
        <f>_xlfn.XLOOKUP(C79,Tab_Def_Flows[Name(EN)],Tab_Def_Flows[Process_ID_I],,0,)</f>
        <v>04_Lif_BB</v>
      </c>
      <c r="I79" s="61">
        <f>_xlfn.XLOOKUP(C79,Tab_Def_Flows[Name(EN)],Tab_Def_Flows[Value_Source],,0,)</f>
        <v>0</v>
      </c>
      <c r="J79" s="61" t="s">
        <v>68</v>
      </c>
      <c r="K79" s="61" t="s">
        <v>68</v>
      </c>
      <c r="L79" s="61" t="s">
        <v>68</v>
      </c>
      <c r="M79" s="51">
        <v>2024</v>
      </c>
      <c r="N79" s="51" t="s">
        <v>353</v>
      </c>
      <c r="O79" s="126">
        <f t="shared" si="23"/>
        <v>40.575600000000001</v>
      </c>
      <c r="P79" s="51" t="s">
        <v>398</v>
      </c>
      <c r="Q79" s="51"/>
      <c r="R79" s="51"/>
      <c r="S79" s="51"/>
      <c r="T79" s="51"/>
      <c r="U79" s="51"/>
      <c r="V79" s="51"/>
      <c r="W79" s="51"/>
      <c r="X79" s="51" t="s">
        <v>71</v>
      </c>
      <c r="Y79" s="109"/>
      <c r="Z79" s="51"/>
      <c r="AA79" s="89">
        <f t="shared" si="24"/>
        <v>40.575600000000001</v>
      </c>
      <c r="AB79" s="51" t="s">
        <v>63</v>
      </c>
      <c r="AC79" s="114">
        <f>INDEX(Tab_Def_Flows[[Flow_ID]:[CC_DM_source]],MATCH(Tab_Data_Flows[[#This Row],[Name(EN)]],Tab_Def_Flows[Name(EN)],0),16)</f>
        <v>0.94</v>
      </c>
      <c r="AD79" s="115">
        <f>IF(J79="Yes",AA79*Tab_Data_Flows[[#This Row],[WC_'[%']]],"N.A.")</f>
        <v>38.141064</v>
      </c>
      <c r="AE79" s="61" t="str">
        <f>Tab_Data_Flows[[#This Row],[UoM_Flow_Py]]</f>
        <v>Mg</v>
      </c>
      <c r="AF79" s="114">
        <f>INDEX(Tab_Def_Flows[[Flow_ID]:[CC_DM_source]],MATCH(Tab_Data_Flows[[#This Row],[Name(EN)]],Tab_Def_Flows[Name(EN)],0),18)</f>
        <v>0.06</v>
      </c>
      <c r="AG79" s="115">
        <f>IF(K79="Yes",AF79*Tab_Data_Flows[[#This Row],[Flow_Py]],"N.A.")</f>
        <v>2.434536</v>
      </c>
      <c r="AH79" s="61" t="str">
        <f>Tab_Data_Flows[[#This Row],[UoM_Flow_Py]]</f>
        <v>Mg</v>
      </c>
      <c r="AI79" s="114">
        <f>INDEX(Tab_Def_Flows[[Flow_ID]:[CC_DM_source]],MATCH(Tab_Data_Flows[[#This Row],[Name(EN)]],Tab_Def_Flows[Name(EN)],0),20)</f>
        <v>0.49</v>
      </c>
      <c r="AJ79" s="115">
        <f>IF(L79="Yes",AI79*Tab_Data_Flows[[#This Row],[Flow_Py]],"N.A.")</f>
        <v>19.882044</v>
      </c>
      <c r="AK79" s="61" t="str">
        <f>Tab_Data_Flows[[#This Row],[UoM_Flow_Py]]</f>
        <v>Mg</v>
      </c>
    </row>
    <row r="80" spans="1:37" x14ac:dyDescent="0.35">
      <c r="A80" s="60">
        <f t="shared" si="12"/>
        <v>79</v>
      </c>
      <c r="B80" s="49" t="str">
        <f>_xlfn.XLOOKUP(C80,Tab_Def_Flows[Name(EN)],Tab_Def_Flows[Flow_ID],,0,)</f>
        <v>F_00_04</v>
      </c>
      <c r="C80" s="51" t="s">
        <v>428</v>
      </c>
      <c r="D80" s="49">
        <f>_xlfn.XLOOKUP(C80,Tab_Def_Flows[Name(EN)],Tab_Def_Flows[Type_Biomass],,0,)</f>
        <v>0</v>
      </c>
      <c r="E80" s="49" t="str">
        <f>_xlfn.XLOOKUP(C80,Tab_Def_Flows[Name(EN)],Tab_Def_Flows[Output_Process],,0,)</f>
        <v>Environment</v>
      </c>
      <c r="F80" s="49" t="str">
        <f>_xlfn.XLOOKUP(C80,Tab_Def_Flows[Name(EN)],Tab_Def_Flows[Process_ID_O],,0,)</f>
        <v>00_Env_BB</v>
      </c>
      <c r="G80" s="49" t="str">
        <f>_xlfn.XLOOKUP(C80,Tab_Def_Flows[Name(EN)],Tab_Def_Flows[Input_Process],,0,)</f>
        <v>Life stock farming</v>
      </c>
      <c r="H80" s="61" t="str">
        <f>_xlfn.XLOOKUP(C80,Tab_Def_Flows[Name(EN)],Tab_Def_Flows[Process_ID_I],,0,)</f>
        <v>04_Lif_BB</v>
      </c>
      <c r="I80" s="61">
        <f>_xlfn.XLOOKUP(C80,Tab_Def_Flows[Name(EN)],Tab_Def_Flows[Value_Source],,0,)</f>
        <v>0</v>
      </c>
      <c r="J80" s="61" t="s">
        <v>68</v>
      </c>
      <c r="K80" s="61" t="s">
        <v>68</v>
      </c>
      <c r="L80" s="61" t="s">
        <v>68</v>
      </c>
      <c r="M80" s="51">
        <v>2025</v>
      </c>
      <c r="N80" s="51" t="s">
        <v>353</v>
      </c>
      <c r="O80" s="126">
        <f t="shared" si="23"/>
        <v>41.387112000000002</v>
      </c>
      <c r="P80" s="51" t="s">
        <v>398</v>
      </c>
      <c r="Q80" s="51"/>
      <c r="R80" s="51"/>
      <c r="S80" s="51"/>
      <c r="T80" s="51"/>
      <c r="U80" s="51"/>
      <c r="V80" s="51"/>
      <c r="W80" s="51"/>
      <c r="X80" s="51" t="s">
        <v>71</v>
      </c>
      <c r="Y80" s="109"/>
      <c r="Z80" s="51"/>
      <c r="AA80" s="89">
        <f t="shared" si="24"/>
        <v>41.387112000000002</v>
      </c>
      <c r="AB80" s="51" t="s">
        <v>63</v>
      </c>
      <c r="AC80" s="114">
        <f>INDEX(Tab_Def_Flows[[Flow_ID]:[CC_DM_source]],MATCH(Tab_Data_Flows[[#This Row],[Name(EN)]],Tab_Def_Flows[Name(EN)],0),16)</f>
        <v>0.94</v>
      </c>
      <c r="AD80" s="115">
        <f>IF(J80="Yes",AA80*Tab_Data_Flows[[#This Row],[WC_'[%']]],"N.A.")</f>
        <v>38.903885279999997</v>
      </c>
      <c r="AE80" s="61" t="str">
        <f>Tab_Data_Flows[[#This Row],[UoM_Flow_Py]]</f>
        <v>Mg</v>
      </c>
      <c r="AF80" s="114">
        <f>INDEX(Tab_Def_Flows[[Flow_ID]:[CC_DM_source]],MATCH(Tab_Data_Flows[[#This Row],[Name(EN)]],Tab_Def_Flows[Name(EN)],0),18)</f>
        <v>0.06</v>
      </c>
      <c r="AG80" s="115">
        <f>IF(K80="Yes",AF80*Tab_Data_Flows[[#This Row],[Flow_Py]],"N.A.")</f>
        <v>2.4832267200000002</v>
      </c>
      <c r="AH80" s="61" t="str">
        <f>Tab_Data_Flows[[#This Row],[UoM_Flow_Py]]</f>
        <v>Mg</v>
      </c>
      <c r="AI80" s="114">
        <f>INDEX(Tab_Def_Flows[[Flow_ID]:[CC_DM_source]],MATCH(Tab_Data_Flows[[#This Row],[Name(EN)]],Tab_Def_Flows[Name(EN)],0),20)</f>
        <v>0.49</v>
      </c>
      <c r="AJ80" s="115">
        <f>IF(L80="Yes",AI80*Tab_Data_Flows[[#This Row],[Flow_Py]],"N.A.")</f>
        <v>20.279684880000001</v>
      </c>
      <c r="AK80" s="61" t="str">
        <f>Tab_Data_Flows[[#This Row],[UoM_Flow_Py]]</f>
        <v>Mg</v>
      </c>
    </row>
    <row r="81" spans="1:37" x14ac:dyDescent="0.35">
      <c r="A81" s="60">
        <f t="shared" si="12"/>
        <v>80</v>
      </c>
      <c r="B81" s="49" t="str">
        <f>_xlfn.XLOOKUP(C81,Tab_Def_Flows[Name(EN)],Tab_Def_Flows[Flow_ID],,0,)</f>
        <v>F_00_04</v>
      </c>
      <c r="C81" s="51" t="s">
        <v>428</v>
      </c>
      <c r="D81" s="49">
        <f>_xlfn.XLOOKUP(C81,Tab_Def_Flows[Name(EN)],Tab_Def_Flows[Type_Biomass],,0,)</f>
        <v>0</v>
      </c>
      <c r="E81" s="49" t="str">
        <f>_xlfn.XLOOKUP(C81,Tab_Def_Flows[Name(EN)],Tab_Def_Flows[Output_Process],,0,)</f>
        <v>Environment</v>
      </c>
      <c r="F81" s="49" t="str">
        <f>_xlfn.XLOOKUP(C81,Tab_Def_Flows[Name(EN)],Tab_Def_Flows[Process_ID_O],,0,)</f>
        <v>00_Env_BB</v>
      </c>
      <c r="G81" s="49" t="str">
        <f>_xlfn.XLOOKUP(C81,Tab_Def_Flows[Name(EN)],Tab_Def_Flows[Input_Process],,0,)</f>
        <v>Life stock farming</v>
      </c>
      <c r="H81" s="61" t="str">
        <f>_xlfn.XLOOKUP(C81,Tab_Def_Flows[Name(EN)],Tab_Def_Flows[Process_ID_I],,0,)</f>
        <v>04_Lif_BB</v>
      </c>
      <c r="I81" s="61">
        <f>_xlfn.XLOOKUP(C81,Tab_Def_Flows[Name(EN)],Tab_Def_Flows[Value_Source],,0,)</f>
        <v>0</v>
      </c>
      <c r="J81" s="61" t="s">
        <v>68</v>
      </c>
      <c r="K81" s="61" t="s">
        <v>68</v>
      </c>
      <c r="L81" s="61" t="s">
        <v>68</v>
      </c>
      <c r="M81" s="51">
        <v>2026</v>
      </c>
      <c r="N81" s="51" t="s">
        <v>353</v>
      </c>
      <c r="O81" s="126">
        <f t="shared" si="23"/>
        <v>42.214854240000001</v>
      </c>
      <c r="P81" s="51" t="s">
        <v>398</v>
      </c>
      <c r="Q81" s="51"/>
      <c r="R81" s="51"/>
      <c r="S81" s="51"/>
      <c r="T81" s="51"/>
      <c r="U81" s="51"/>
      <c r="V81" s="51"/>
      <c r="W81" s="51"/>
      <c r="X81" s="51" t="s">
        <v>71</v>
      </c>
      <c r="Y81" s="109"/>
      <c r="Z81" s="51"/>
      <c r="AA81" s="89">
        <f t="shared" si="24"/>
        <v>42.214854240000001</v>
      </c>
      <c r="AB81" s="51" t="s">
        <v>63</v>
      </c>
      <c r="AC81" s="114">
        <f>INDEX(Tab_Def_Flows[[Flow_ID]:[CC_DM_source]],MATCH(Tab_Data_Flows[[#This Row],[Name(EN)]],Tab_Def_Flows[Name(EN)],0),16)</f>
        <v>0.94</v>
      </c>
      <c r="AD81" s="115">
        <f>IF(J81="Yes",AA81*Tab_Data_Flows[[#This Row],[WC_'[%']]],"N.A.")</f>
        <v>39.681962985600002</v>
      </c>
      <c r="AE81" s="61" t="str">
        <f>Tab_Data_Flows[[#This Row],[UoM_Flow_Py]]</f>
        <v>Mg</v>
      </c>
      <c r="AF81" s="114">
        <f>INDEX(Tab_Def_Flows[[Flow_ID]:[CC_DM_source]],MATCH(Tab_Data_Flows[[#This Row],[Name(EN)]],Tab_Def_Flows[Name(EN)],0),18)</f>
        <v>0.06</v>
      </c>
      <c r="AG81" s="115">
        <f>IF(K81="Yes",AF81*Tab_Data_Flows[[#This Row],[Flow_Py]],"N.A.")</f>
        <v>2.5328912544</v>
      </c>
      <c r="AH81" s="61" t="str">
        <f>Tab_Data_Flows[[#This Row],[UoM_Flow_Py]]</f>
        <v>Mg</v>
      </c>
      <c r="AI81" s="114">
        <f>INDEX(Tab_Def_Flows[[Flow_ID]:[CC_DM_source]],MATCH(Tab_Data_Flows[[#This Row],[Name(EN)]],Tab_Def_Flows[Name(EN)],0),20)</f>
        <v>0.49</v>
      </c>
      <c r="AJ81" s="115">
        <f>IF(L81="Yes",AI81*Tab_Data_Flows[[#This Row],[Flow_Py]],"N.A.")</f>
        <v>20.685278577600002</v>
      </c>
      <c r="AK81" s="61" t="str">
        <f>Tab_Data_Flows[[#This Row],[UoM_Flow_Py]]</f>
        <v>Mg</v>
      </c>
    </row>
    <row r="82" spans="1:37" x14ac:dyDescent="0.35">
      <c r="A82" s="60">
        <f t="shared" si="12"/>
        <v>81</v>
      </c>
      <c r="B82" s="49" t="str">
        <f>_xlfn.XLOOKUP(C82,Tab_Def_Flows[Name(EN)],Tab_Def_Flows[Flow_ID],,0,)</f>
        <v>F_00_04</v>
      </c>
      <c r="C82" s="51" t="s">
        <v>428</v>
      </c>
      <c r="D82" s="49">
        <f>_xlfn.XLOOKUP(C82,Tab_Def_Flows[Name(EN)],Tab_Def_Flows[Type_Biomass],,0,)</f>
        <v>0</v>
      </c>
      <c r="E82" s="49" t="str">
        <f>_xlfn.XLOOKUP(C82,Tab_Def_Flows[Name(EN)],Tab_Def_Flows[Output_Process],,0,)</f>
        <v>Environment</v>
      </c>
      <c r="F82" s="49" t="str">
        <f>_xlfn.XLOOKUP(C82,Tab_Def_Flows[Name(EN)],Tab_Def_Flows[Process_ID_O],,0,)</f>
        <v>00_Env_BB</v>
      </c>
      <c r="G82" s="49" t="str">
        <f>_xlfn.XLOOKUP(C82,Tab_Def_Flows[Name(EN)],Tab_Def_Flows[Input_Process],,0,)</f>
        <v>Life stock farming</v>
      </c>
      <c r="H82" s="61" t="str">
        <f>_xlfn.XLOOKUP(C82,Tab_Def_Flows[Name(EN)],Tab_Def_Flows[Process_ID_I],,0,)</f>
        <v>04_Lif_BB</v>
      </c>
      <c r="I82" s="61">
        <f>_xlfn.XLOOKUP(C82,Tab_Def_Flows[Name(EN)],Tab_Def_Flows[Value_Source],,0,)</f>
        <v>0</v>
      </c>
      <c r="J82" s="61" t="s">
        <v>68</v>
      </c>
      <c r="K82" s="61" t="s">
        <v>68</v>
      </c>
      <c r="L82" s="61" t="s">
        <v>68</v>
      </c>
      <c r="M82" s="51">
        <v>2027</v>
      </c>
      <c r="N82" s="51" t="s">
        <v>353</v>
      </c>
      <c r="O82" s="126">
        <f t="shared" si="23"/>
        <v>43.059151324799998</v>
      </c>
      <c r="P82" s="51" t="s">
        <v>398</v>
      </c>
      <c r="Q82" s="51"/>
      <c r="R82" s="51"/>
      <c r="S82" s="51"/>
      <c r="T82" s="51"/>
      <c r="U82" s="51"/>
      <c r="V82" s="51"/>
      <c r="W82" s="51"/>
      <c r="X82" s="51" t="s">
        <v>71</v>
      </c>
      <c r="Y82" s="109"/>
      <c r="Z82" s="51"/>
      <c r="AA82" s="89">
        <f t="shared" si="24"/>
        <v>43.059151324799998</v>
      </c>
      <c r="AB82" s="51" t="s">
        <v>63</v>
      </c>
      <c r="AC82" s="114">
        <f>INDEX(Tab_Def_Flows[[Flow_ID]:[CC_DM_source]],MATCH(Tab_Data_Flows[[#This Row],[Name(EN)]],Tab_Def_Flows[Name(EN)],0),16)</f>
        <v>0.94</v>
      </c>
      <c r="AD82" s="115">
        <f>IF(J82="Yes",AA82*Tab_Data_Flows[[#This Row],[WC_'[%']]],"N.A.")</f>
        <v>40.475602245311997</v>
      </c>
      <c r="AE82" s="61" t="str">
        <f>Tab_Data_Flows[[#This Row],[UoM_Flow_Py]]</f>
        <v>Mg</v>
      </c>
      <c r="AF82" s="114">
        <f>INDEX(Tab_Def_Flows[[Flow_ID]:[CC_DM_source]],MATCH(Tab_Data_Flows[[#This Row],[Name(EN)]],Tab_Def_Flows[Name(EN)],0),18)</f>
        <v>0.06</v>
      </c>
      <c r="AG82" s="115">
        <f>IF(K82="Yes",AF82*Tab_Data_Flows[[#This Row],[Flow_Py]],"N.A.")</f>
        <v>2.5835490794879998</v>
      </c>
      <c r="AH82" s="61" t="str">
        <f>Tab_Data_Flows[[#This Row],[UoM_Flow_Py]]</f>
        <v>Mg</v>
      </c>
      <c r="AI82" s="114">
        <f>INDEX(Tab_Def_Flows[[Flow_ID]:[CC_DM_source]],MATCH(Tab_Data_Flows[[#This Row],[Name(EN)]],Tab_Def_Flows[Name(EN)],0),20)</f>
        <v>0.49</v>
      </c>
      <c r="AJ82" s="115">
        <f>IF(L82="Yes",AI82*Tab_Data_Flows[[#This Row],[Flow_Py]],"N.A.")</f>
        <v>21.098984149151999</v>
      </c>
      <c r="AK82" s="61" t="str">
        <f>Tab_Data_Flows[[#This Row],[UoM_Flow_Py]]</f>
        <v>Mg</v>
      </c>
    </row>
    <row r="83" spans="1:37" x14ac:dyDescent="0.35">
      <c r="A83" s="60">
        <f t="shared" si="12"/>
        <v>82</v>
      </c>
      <c r="B83" s="49" t="str">
        <f>_xlfn.XLOOKUP(C83,Tab_Def_Flows[Name(EN)],Tab_Def_Flows[Flow_ID],,0,)</f>
        <v>F_00_04</v>
      </c>
      <c r="C83" s="51" t="s">
        <v>428</v>
      </c>
      <c r="D83" s="49">
        <f>_xlfn.XLOOKUP(C83,Tab_Def_Flows[Name(EN)],Tab_Def_Flows[Type_Biomass],,0,)</f>
        <v>0</v>
      </c>
      <c r="E83" s="49" t="str">
        <f>_xlfn.XLOOKUP(C83,Tab_Def_Flows[Name(EN)],Tab_Def_Flows[Output_Process],,0,)</f>
        <v>Environment</v>
      </c>
      <c r="F83" s="49" t="str">
        <f>_xlfn.XLOOKUP(C83,Tab_Def_Flows[Name(EN)],Tab_Def_Flows[Process_ID_O],,0,)</f>
        <v>00_Env_BB</v>
      </c>
      <c r="G83" s="49" t="str">
        <f>_xlfn.XLOOKUP(C83,Tab_Def_Flows[Name(EN)],Tab_Def_Flows[Input_Process],,0,)</f>
        <v>Life stock farming</v>
      </c>
      <c r="H83" s="61" t="str">
        <f>_xlfn.XLOOKUP(C83,Tab_Def_Flows[Name(EN)],Tab_Def_Flows[Process_ID_I],,0,)</f>
        <v>04_Lif_BB</v>
      </c>
      <c r="I83" s="61">
        <f>_xlfn.XLOOKUP(C83,Tab_Def_Flows[Name(EN)],Tab_Def_Flows[Value_Source],,0,)</f>
        <v>0</v>
      </c>
      <c r="J83" s="61" t="s">
        <v>68</v>
      </c>
      <c r="K83" s="61" t="s">
        <v>68</v>
      </c>
      <c r="L83" s="61" t="s">
        <v>68</v>
      </c>
      <c r="M83" s="51">
        <v>2028</v>
      </c>
      <c r="N83" s="51" t="s">
        <v>353</v>
      </c>
      <c r="O83" s="126">
        <f t="shared" si="23"/>
        <v>43.920334351295999</v>
      </c>
      <c r="P83" s="51" t="s">
        <v>398</v>
      </c>
      <c r="Q83" s="51"/>
      <c r="R83" s="51"/>
      <c r="S83" s="51"/>
      <c r="T83" s="51"/>
      <c r="U83" s="51"/>
      <c r="V83" s="51"/>
      <c r="W83" s="51"/>
      <c r="X83" s="51" t="s">
        <v>71</v>
      </c>
      <c r="Y83" s="109"/>
      <c r="Z83" s="51"/>
      <c r="AA83" s="89">
        <f t="shared" si="24"/>
        <v>43.920334351295999</v>
      </c>
      <c r="AB83" s="51" t="s">
        <v>63</v>
      </c>
      <c r="AC83" s="114">
        <f>INDEX(Tab_Def_Flows[[Flow_ID]:[CC_DM_source]],MATCH(Tab_Data_Flows[[#This Row],[Name(EN)]],Tab_Def_Flows[Name(EN)],0),16)</f>
        <v>0.94</v>
      </c>
      <c r="AD83" s="115">
        <f>IF(J83="Yes",AA83*Tab_Data_Flows[[#This Row],[WC_'[%']]],"N.A.")</f>
        <v>41.285114290218239</v>
      </c>
      <c r="AE83" s="61" t="str">
        <f>Tab_Data_Flows[[#This Row],[UoM_Flow_Py]]</f>
        <v>Mg</v>
      </c>
      <c r="AF83" s="114">
        <f>INDEX(Tab_Def_Flows[[Flow_ID]:[CC_DM_source]],MATCH(Tab_Data_Flows[[#This Row],[Name(EN)]],Tab_Def_Flows[Name(EN)],0),18)</f>
        <v>0.06</v>
      </c>
      <c r="AG83" s="115">
        <f>IF(K83="Yes",AF83*Tab_Data_Flows[[#This Row],[Flow_Py]],"N.A.")</f>
        <v>2.6352200610777596</v>
      </c>
      <c r="AH83" s="61" t="str">
        <f>Tab_Data_Flows[[#This Row],[UoM_Flow_Py]]</f>
        <v>Mg</v>
      </c>
      <c r="AI83" s="114">
        <f>INDEX(Tab_Def_Flows[[Flow_ID]:[CC_DM_source]],MATCH(Tab_Data_Flows[[#This Row],[Name(EN)]],Tab_Def_Flows[Name(EN)],0),20)</f>
        <v>0.49</v>
      </c>
      <c r="AJ83" s="115">
        <f>IF(L83="Yes",AI83*Tab_Data_Flows[[#This Row],[Flow_Py]],"N.A.")</f>
        <v>21.520963832135038</v>
      </c>
      <c r="AK83" s="61" t="str">
        <f>Tab_Data_Flows[[#This Row],[UoM_Flow_Py]]</f>
        <v>Mg</v>
      </c>
    </row>
    <row r="84" spans="1:37" x14ac:dyDescent="0.35">
      <c r="A84" s="60">
        <f t="shared" si="12"/>
        <v>83</v>
      </c>
      <c r="B84" s="49" t="str">
        <f>_xlfn.XLOOKUP(C84,Tab_Def_Flows[Name(EN)],Tab_Def_Flows[Flow_ID],,0,)</f>
        <v>F_00_04</v>
      </c>
      <c r="C84" s="51" t="s">
        <v>428</v>
      </c>
      <c r="D84" s="49">
        <f>_xlfn.XLOOKUP(C84,Tab_Def_Flows[Name(EN)],Tab_Def_Flows[Type_Biomass],,0,)</f>
        <v>0</v>
      </c>
      <c r="E84" s="49" t="str">
        <f>_xlfn.XLOOKUP(C84,Tab_Def_Flows[Name(EN)],Tab_Def_Flows[Output_Process],,0,)</f>
        <v>Environment</v>
      </c>
      <c r="F84" s="49" t="str">
        <f>_xlfn.XLOOKUP(C84,Tab_Def_Flows[Name(EN)],Tab_Def_Flows[Process_ID_O],,0,)</f>
        <v>00_Env_BB</v>
      </c>
      <c r="G84" s="49" t="str">
        <f>_xlfn.XLOOKUP(C84,Tab_Def_Flows[Name(EN)],Tab_Def_Flows[Input_Process],,0,)</f>
        <v>Life stock farming</v>
      </c>
      <c r="H84" s="61" t="str">
        <f>_xlfn.XLOOKUP(C84,Tab_Def_Flows[Name(EN)],Tab_Def_Flows[Process_ID_I],,0,)</f>
        <v>04_Lif_BB</v>
      </c>
      <c r="I84" s="61">
        <f>_xlfn.XLOOKUP(C84,Tab_Def_Flows[Name(EN)],Tab_Def_Flows[Value_Source],,0,)</f>
        <v>0</v>
      </c>
      <c r="J84" s="61" t="s">
        <v>68</v>
      </c>
      <c r="K84" s="61" t="s">
        <v>68</v>
      </c>
      <c r="L84" s="61" t="s">
        <v>68</v>
      </c>
      <c r="M84" s="51">
        <v>2029</v>
      </c>
      <c r="N84" s="51" t="s">
        <v>353</v>
      </c>
      <c r="O84" s="126">
        <f t="shared" si="23"/>
        <v>44.798741038321921</v>
      </c>
      <c r="P84" s="51" t="s">
        <v>398</v>
      </c>
      <c r="Q84" s="51"/>
      <c r="R84" s="51"/>
      <c r="S84" s="51"/>
      <c r="T84" s="51"/>
      <c r="U84" s="51"/>
      <c r="V84" s="51"/>
      <c r="W84" s="51"/>
      <c r="X84" s="51" t="s">
        <v>71</v>
      </c>
      <c r="Y84" s="109"/>
      <c r="Z84" s="51"/>
      <c r="AA84" s="89">
        <f t="shared" si="24"/>
        <v>44.798741038321921</v>
      </c>
      <c r="AB84" s="51" t="s">
        <v>63</v>
      </c>
      <c r="AC84" s="114">
        <f>INDEX(Tab_Def_Flows[[Flow_ID]:[CC_DM_source]],MATCH(Tab_Data_Flows[[#This Row],[Name(EN)]],Tab_Def_Flows[Name(EN)],0),16)</f>
        <v>0.94</v>
      </c>
      <c r="AD84" s="115">
        <f>IF(J84="Yes",AA84*Tab_Data_Flows[[#This Row],[WC_'[%']]],"N.A.")</f>
        <v>42.110816576022607</v>
      </c>
      <c r="AE84" s="61" t="str">
        <f>Tab_Data_Flows[[#This Row],[UoM_Flow_Py]]</f>
        <v>Mg</v>
      </c>
      <c r="AF84" s="114">
        <f>INDEX(Tab_Def_Flows[[Flow_ID]:[CC_DM_source]],MATCH(Tab_Data_Flows[[#This Row],[Name(EN)]],Tab_Def_Flows[Name(EN)],0),18)</f>
        <v>0.06</v>
      </c>
      <c r="AG84" s="115">
        <f>IF(K84="Yes",AF84*Tab_Data_Flows[[#This Row],[Flow_Py]],"N.A.")</f>
        <v>2.687924462299315</v>
      </c>
      <c r="AH84" s="61" t="str">
        <f>Tab_Data_Flows[[#This Row],[UoM_Flow_Py]]</f>
        <v>Mg</v>
      </c>
      <c r="AI84" s="114">
        <f>INDEX(Tab_Def_Flows[[Flow_ID]:[CC_DM_source]],MATCH(Tab_Data_Flows[[#This Row],[Name(EN)]],Tab_Def_Flows[Name(EN)],0),20)</f>
        <v>0.49</v>
      </c>
      <c r="AJ84" s="115">
        <f>IF(L84="Yes",AI84*Tab_Data_Flows[[#This Row],[Flow_Py]],"N.A.")</f>
        <v>21.95138310877774</v>
      </c>
      <c r="AK84" s="61" t="str">
        <f>Tab_Data_Flows[[#This Row],[UoM_Flow_Py]]</f>
        <v>Mg</v>
      </c>
    </row>
    <row r="85" spans="1:37" x14ac:dyDescent="0.35">
      <c r="A85" s="60">
        <f t="shared" si="12"/>
        <v>84</v>
      </c>
      <c r="B85" s="49" t="str">
        <f>_xlfn.XLOOKUP(C85,Tab_Def_Flows[Name(EN)],Tab_Def_Flows[Flow_ID],,0,)</f>
        <v>F_00_04</v>
      </c>
      <c r="C85" s="51" t="s">
        <v>428</v>
      </c>
      <c r="D85" s="49">
        <f>_xlfn.XLOOKUP(C85,Tab_Def_Flows[Name(EN)],Tab_Def_Flows[Type_Biomass],,0,)</f>
        <v>0</v>
      </c>
      <c r="E85" s="49" t="str">
        <f>_xlfn.XLOOKUP(C85,Tab_Def_Flows[Name(EN)],Tab_Def_Flows[Output_Process],,0,)</f>
        <v>Environment</v>
      </c>
      <c r="F85" s="49" t="str">
        <f>_xlfn.XLOOKUP(C85,Tab_Def_Flows[Name(EN)],Tab_Def_Flows[Process_ID_O],,0,)</f>
        <v>00_Env_BB</v>
      </c>
      <c r="G85" s="49" t="str">
        <f>_xlfn.XLOOKUP(C85,Tab_Def_Flows[Name(EN)],Tab_Def_Flows[Input_Process],,0,)</f>
        <v>Life stock farming</v>
      </c>
      <c r="H85" s="61" t="str">
        <f>_xlfn.XLOOKUP(C85,Tab_Def_Flows[Name(EN)],Tab_Def_Flows[Process_ID_I],,0,)</f>
        <v>04_Lif_BB</v>
      </c>
      <c r="I85" s="61">
        <f>_xlfn.XLOOKUP(C85,Tab_Def_Flows[Name(EN)],Tab_Def_Flows[Value_Source],,0,)</f>
        <v>0</v>
      </c>
      <c r="J85" s="61" t="s">
        <v>68</v>
      </c>
      <c r="K85" s="61" t="s">
        <v>68</v>
      </c>
      <c r="L85" s="61" t="s">
        <v>68</v>
      </c>
      <c r="M85" s="51">
        <v>2030</v>
      </c>
      <c r="N85" s="51" t="s">
        <v>353</v>
      </c>
      <c r="O85" s="126">
        <f t="shared" si="23"/>
        <v>45.694715859088362</v>
      </c>
      <c r="P85" s="51" t="s">
        <v>398</v>
      </c>
      <c r="Q85" s="51"/>
      <c r="R85" s="51"/>
      <c r="S85" s="51"/>
      <c r="T85" s="51"/>
      <c r="U85" s="51"/>
      <c r="V85" s="51"/>
      <c r="W85" s="51"/>
      <c r="X85" s="51" t="s">
        <v>71</v>
      </c>
      <c r="Y85" s="109"/>
      <c r="Z85" s="51"/>
      <c r="AA85" s="89">
        <f t="shared" ref="AA85:AA91" si="25">IF(X85="no",O85,O85*Y85)</f>
        <v>45.694715859088362</v>
      </c>
      <c r="AB85" s="51" t="s">
        <v>63</v>
      </c>
      <c r="AC85" s="114">
        <f>INDEX(Tab_Def_Flows[[Flow_ID]:[CC_DM_source]],MATCH(Tab_Data_Flows[[#This Row],[Name(EN)]],Tab_Def_Flows[Name(EN)],0),16)</f>
        <v>0.94</v>
      </c>
      <c r="AD85" s="115">
        <f>IF(J85="Yes",AA85*Tab_Data_Flows[[#This Row],[WC_'[%']]],"N.A.")</f>
        <v>42.953032907543054</v>
      </c>
      <c r="AE85" s="61" t="str">
        <f>Tab_Data_Flows[[#This Row],[UoM_Flow_Py]]</f>
        <v>Mg</v>
      </c>
      <c r="AF85" s="114">
        <f>INDEX(Tab_Def_Flows[[Flow_ID]:[CC_DM_source]],MATCH(Tab_Data_Flows[[#This Row],[Name(EN)]],Tab_Def_Flows[Name(EN)],0),18)</f>
        <v>0.06</v>
      </c>
      <c r="AG85" s="115">
        <f>IF(K85="Yes",AF85*Tab_Data_Flows[[#This Row],[Flow_Py]],"N.A.")</f>
        <v>2.7416829515453016</v>
      </c>
      <c r="AH85" s="61" t="str">
        <f>Tab_Data_Flows[[#This Row],[UoM_Flow_Py]]</f>
        <v>Mg</v>
      </c>
      <c r="AI85" s="114">
        <f>INDEX(Tab_Def_Flows[[Flow_ID]:[CC_DM_source]],MATCH(Tab_Data_Flows[[#This Row],[Name(EN)]],Tab_Def_Flows[Name(EN)],0),20)</f>
        <v>0.49</v>
      </c>
      <c r="AJ85" s="115">
        <f>IF(L85="Yes",AI85*Tab_Data_Flows[[#This Row],[Flow_Py]],"N.A.")</f>
        <v>22.390410770953295</v>
      </c>
      <c r="AK85" s="61" t="str">
        <f>Tab_Data_Flows[[#This Row],[UoM_Flow_Py]]</f>
        <v>Mg</v>
      </c>
    </row>
    <row r="86" spans="1:37" x14ac:dyDescent="0.35">
      <c r="A86" s="60">
        <f t="shared" si="12"/>
        <v>85</v>
      </c>
      <c r="B86" s="49" t="str">
        <f>_xlfn.XLOOKUP(C86,Tab_Def_Flows[Name(EN)],Tab_Def_Flows[Flow_ID],,0,)</f>
        <v>F_00_04</v>
      </c>
      <c r="C86" s="51" t="s">
        <v>428</v>
      </c>
      <c r="D86" s="49">
        <f>_xlfn.XLOOKUP(C86,Tab_Def_Flows[Name(EN)],Tab_Def_Flows[Type_Biomass],,0,)</f>
        <v>0</v>
      </c>
      <c r="E86" s="49" t="str">
        <f>_xlfn.XLOOKUP(C86,Tab_Def_Flows[Name(EN)],Tab_Def_Flows[Output_Process],,0,)</f>
        <v>Environment</v>
      </c>
      <c r="F86" s="49" t="str">
        <f>_xlfn.XLOOKUP(C86,Tab_Def_Flows[Name(EN)],Tab_Def_Flows[Process_ID_O],,0,)</f>
        <v>00_Env_BB</v>
      </c>
      <c r="G86" s="49" t="str">
        <f>_xlfn.XLOOKUP(C86,Tab_Def_Flows[Name(EN)],Tab_Def_Flows[Input_Process],,0,)</f>
        <v>Life stock farming</v>
      </c>
      <c r="H86" s="61" t="str">
        <f>_xlfn.XLOOKUP(C86,Tab_Def_Flows[Name(EN)],Tab_Def_Flows[Process_ID_I],,0,)</f>
        <v>04_Lif_BB</v>
      </c>
      <c r="I86" s="61">
        <f>_xlfn.XLOOKUP(C86,Tab_Def_Flows[Name(EN)],Tab_Def_Flows[Value_Source],,0,)</f>
        <v>0</v>
      </c>
      <c r="J86" s="61" t="s">
        <v>68</v>
      </c>
      <c r="K86" s="61" t="s">
        <v>68</v>
      </c>
      <c r="L86" s="61" t="s">
        <v>68</v>
      </c>
      <c r="M86" s="51">
        <v>2031</v>
      </c>
      <c r="N86" s="51" t="s">
        <v>353</v>
      </c>
      <c r="O86" s="126">
        <f t="shared" si="23"/>
        <v>46.608610176270133</v>
      </c>
      <c r="P86" s="51" t="s">
        <v>398</v>
      </c>
      <c r="Q86" s="51"/>
      <c r="R86" s="51"/>
      <c r="S86" s="51"/>
      <c r="T86" s="51"/>
      <c r="U86" s="51"/>
      <c r="V86" s="51"/>
      <c r="W86" s="51"/>
      <c r="X86" s="51" t="s">
        <v>71</v>
      </c>
      <c r="Y86" s="109"/>
      <c r="Z86" s="51"/>
      <c r="AA86" s="89">
        <f t="shared" si="25"/>
        <v>46.608610176270133</v>
      </c>
      <c r="AB86" s="51" t="s">
        <v>63</v>
      </c>
      <c r="AC86" s="114">
        <f>INDEX(Tab_Def_Flows[[Flow_ID]:[CC_DM_source]],MATCH(Tab_Data_Flows[[#This Row],[Name(EN)]],Tab_Def_Flows[Name(EN)],0),16)</f>
        <v>0.94</v>
      </c>
      <c r="AD86" s="115">
        <f>IF(J86="Yes",AA86*Tab_Data_Flows[[#This Row],[WC_'[%']]],"N.A.")</f>
        <v>43.812093565693921</v>
      </c>
      <c r="AE86" s="61" t="str">
        <f>Tab_Data_Flows[[#This Row],[UoM_Flow_Py]]</f>
        <v>Mg</v>
      </c>
      <c r="AF86" s="114">
        <f>INDEX(Tab_Def_Flows[[Flow_ID]:[CC_DM_source]],MATCH(Tab_Data_Flows[[#This Row],[Name(EN)]],Tab_Def_Flows[Name(EN)],0),18)</f>
        <v>0.06</v>
      </c>
      <c r="AG86" s="115">
        <f>IF(K86="Yes",AF86*Tab_Data_Flows[[#This Row],[Flow_Py]],"N.A.")</f>
        <v>2.7965166105762078</v>
      </c>
      <c r="AH86" s="61" t="str">
        <f>Tab_Data_Flows[[#This Row],[UoM_Flow_Py]]</f>
        <v>Mg</v>
      </c>
      <c r="AI86" s="114">
        <f>INDEX(Tab_Def_Flows[[Flow_ID]:[CC_DM_source]],MATCH(Tab_Data_Flows[[#This Row],[Name(EN)]],Tab_Def_Flows[Name(EN)],0),20)</f>
        <v>0.49</v>
      </c>
      <c r="AJ86" s="115">
        <f>IF(L86="Yes",AI86*Tab_Data_Flows[[#This Row],[Flow_Py]],"N.A.")</f>
        <v>22.838218986372365</v>
      </c>
      <c r="AK86" s="61" t="str">
        <f>Tab_Data_Flows[[#This Row],[UoM_Flow_Py]]</f>
        <v>Mg</v>
      </c>
    </row>
    <row r="87" spans="1:37" x14ac:dyDescent="0.35">
      <c r="A87" s="60">
        <f t="shared" si="12"/>
        <v>86</v>
      </c>
      <c r="B87" s="49" t="str">
        <f>_xlfn.XLOOKUP(C87,Tab_Def_Flows[Name(EN)],Tab_Def_Flows[Flow_ID],,0,)</f>
        <v>F_00_04</v>
      </c>
      <c r="C87" s="51" t="s">
        <v>428</v>
      </c>
      <c r="D87" s="49">
        <f>_xlfn.XLOOKUP(C87,Tab_Def_Flows[Name(EN)],Tab_Def_Flows[Type_Biomass],,0,)</f>
        <v>0</v>
      </c>
      <c r="E87" s="49" t="str">
        <f>_xlfn.XLOOKUP(C87,Tab_Def_Flows[Name(EN)],Tab_Def_Flows[Output_Process],,0,)</f>
        <v>Environment</v>
      </c>
      <c r="F87" s="49" t="str">
        <f>_xlfn.XLOOKUP(C87,Tab_Def_Flows[Name(EN)],Tab_Def_Flows[Process_ID_O],,0,)</f>
        <v>00_Env_BB</v>
      </c>
      <c r="G87" s="49" t="str">
        <f>_xlfn.XLOOKUP(C87,Tab_Def_Flows[Name(EN)],Tab_Def_Flows[Input_Process],,0,)</f>
        <v>Life stock farming</v>
      </c>
      <c r="H87" s="61" t="str">
        <f>_xlfn.XLOOKUP(C87,Tab_Def_Flows[Name(EN)],Tab_Def_Flows[Process_ID_I],,0,)</f>
        <v>04_Lif_BB</v>
      </c>
      <c r="I87" s="61">
        <f>_xlfn.XLOOKUP(C87,Tab_Def_Flows[Name(EN)],Tab_Def_Flows[Value_Source],,0,)</f>
        <v>0</v>
      </c>
      <c r="J87" s="61" t="s">
        <v>68</v>
      </c>
      <c r="K87" s="61" t="s">
        <v>68</v>
      </c>
      <c r="L87" s="61" t="s">
        <v>68</v>
      </c>
      <c r="M87" s="51">
        <v>2032</v>
      </c>
      <c r="N87" s="51" t="s">
        <v>353</v>
      </c>
      <c r="O87" s="126">
        <f t="shared" si="23"/>
        <v>47.540782379795537</v>
      </c>
      <c r="P87" s="51" t="s">
        <v>398</v>
      </c>
      <c r="Q87" s="51"/>
      <c r="R87" s="51"/>
      <c r="S87" s="51"/>
      <c r="T87" s="51"/>
      <c r="U87" s="51"/>
      <c r="V87" s="51"/>
      <c r="W87" s="51"/>
      <c r="X87" s="51" t="s">
        <v>71</v>
      </c>
      <c r="Y87" s="109"/>
      <c r="Z87" s="51"/>
      <c r="AA87" s="89">
        <f t="shared" si="25"/>
        <v>47.540782379795537</v>
      </c>
      <c r="AB87" s="51" t="s">
        <v>63</v>
      </c>
      <c r="AC87" s="114">
        <f>INDEX(Tab_Def_Flows[[Flow_ID]:[CC_DM_source]],MATCH(Tab_Data_Flows[[#This Row],[Name(EN)]],Tab_Def_Flows[Name(EN)],0),16)</f>
        <v>0.94</v>
      </c>
      <c r="AD87" s="115">
        <f>IF(J87="Yes",AA87*Tab_Data_Flows[[#This Row],[WC_'[%']]],"N.A.")</f>
        <v>44.688335437007801</v>
      </c>
      <c r="AE87" s="61" t="str">
        <f>Tab_Data_Flows[[#This Row],[UoM_Flow_Py]]</f>
        <v>Mg</v>
      </c>
      <c r="AF87" s="114">
        <f>INDEX(Tab_Def_Flows[[Flow_ID]:[CC_DM_source]],MATCH(Tab_Data_Flows[[#This Row],[Name(EN)]],Tab_Def_Flows[Name(EN)],0),18)</f>
        <v>0.06</v>
      </c>
      <c r="AG87" s="115">
        <f>IF(K87="Yes",AF87*Tab_Data_Flows[[#This Row],[Flow_Py]],"N.A.")</f>
        <v>2.8524469427877319</v>
      </c>
      <c r="AH87" s="61" t="str">
        <f>Tab_Data_Flows[[#This Row],[UoM_Flow_Py]]</f>
        <v>Mg</v>
      </c>
      <c r="AI87" s="114">
        <f>INDEX(Tab_Def_Flows[[Flow_ID]:[CC_DM_source]],MATCH(Tab_Data_Flows[[#This Row],[Name(EN)]],Tab_Def_Flows[Name(EN)],0),20)</f>
        <v>0.49</v>
      </c>
      <c r="AJ87" s="115">
        <f>IF(L87="Yes",AI87*Tab_Data_Flows[[#This Row],[Flow_Py]],"N.A.")</f>
        <v>23.294983366099814</v>
      </c>
      <c r="AK87" s="61" t="str">
        <f>Tab_Data_Flows[[#This Row],[UoM_Flow_Py]]</f>
        <v>Mg</v>
      </c>
    </row>
    <row r="88" spans="1:37" x14ac:dyDescent="0.35">
      <c r="A88" s="60">
        <f t="shared" si="12"/>
        <v>87</v>
      </c>
      <c r="B88" s="49" t="str">
        <f>_xlfn.XLOOKUP(C88,Tab_Def_Flows[Name(EN)],Tab_Def_Flows[Flow_ID],,0,)</f>
        <v>F_00_04</v>
      </c>
      <c r="C88" s="51" t="s">
        <v>428</v>
      </c>
      <c r="D88" s="49">
        <f>_xlfn.XLOOKUP(C88,Tab_Def_Flows[Name(EN)],Tab_Def_Flows[Type_Biomass],,0,)</f>
        <v>0</v>
      </c>
      <c r="E88" s="49" t="str">
        <f>_xlfn.XLOOKUP(C88,Tab_Def_Flows[Name(EN)],Tab_Def_Flows[Output_Process],,0,)</f>
        <v>Environment</v>
      </c>
      <c r="F88" s="49" t="str">
        <f>_xlfn.XLOOKUP(C88,Tab_Def_Flows[Name(EN)],Tab_Def_Flows[Process_ID_O],,0,)</f>
        <v>00_Env_BB</v>
      </c>
      <c r="G88" s="49" t="str">
        <f>_xlfn.XLOOKUP(C88,Tab_Def_Flows[Name(EN)],Tab_Def_Flows[Input_Process],,0,)</f>
        <v>Life stock farming</v>
      </c>
      <c r="H88" s="61" t="str">
        <f>_xlfn.XLOOKUP(C88,Tab_Def_Flows[Name(EN)],Tab_Def_Flows[Process_ID_I],,0,)</f>
        <v>04_Lif_BB</v>
      </c>
      <c r="I88" s="61">
        <f>_xlfn.XLOOKUP(C88,Tab_Def_Flows[Name(EN)],Tab_Def_Flows[Value_Source],,0,)</f>
        <v>0</v>
      </c>
      <c r="J88" s="61" t="s">
        <v>68</v>
      </c>
      <c r="K88" s="61" t="s">
        <v>68</v>
      </c>
      <c r="L88" s="61" t="s">
        <v>68</v>
      </c>
      <c r="M88" s="51">
        <v>2033</v>
      </c>
      <c r="N88" s="51" t="s">
        <v>353</v>
      </c>
      <c r="O88" s="126">
        <f t="shared" si="23"/>
        <v>48.491598027391447</v>
      </c>
      <c r="P88" s="51" t="s">
        <v>398</v>
      </c>
      <c r="Q88" s="51"/>
      <c r="R88" s="51"/>
      <c r="S88" s="51"/>
      <c r="T88" s="51"/>
      <c r="U88" s="51"/>
      <c r="V88" s="51"/>
      <c r="W88" s="51"/>
      <c r="X88" s="51" t="s">
        <v>71</v>
      </c>
      <c r="Y88" s="109"/>
      <c r="Z88" s="51"/>
      <c r="AA88" s="89">
        <f t="shared" si="25"/>
        <v>48.491598027391447</v>
      </c>
      <c r="AB88" s="51" t="s">
        <v>63</v>
      </c>
      <c r="AC88" s="114">
        <f>INDEX(Tab_Def_Flows[[Flow_ID]:[CC_DM_source]],MATCH(Tab_Data_Flows[[#This Row],[Name(EN)]],Tab_Def_Flows[Name(EN)],0),16)</f>
        <v>0.94</v>
      </c>
      <c r="AD88" s="115">
        <f>IF(J88="Yes",AA88*Tab_Data_Flows[[#This Row],[WC_'[%']]],"N.A.")</f>
        <v>45.58210214574796</v>
      </c>
      <c r="AE88" s="61" t="str">
        <f>Tab_Data_Flows[[#This Row],[UoM_Flow_Py]]</f>
        <v>Mg</v>
      </c>
      <c r="AF88" s="114">
        <f>INDEX(Tab_Def_Flows[[Flow_ID]:[CC_DM_source]],MATCH(Tab_Data_Flows[[#This Row],[Name(EN)]],Tab_Def_Flows[Name(EN)],0),18)</f>
        <v>0.06</v>
      </c>
      <c r="AG88" s="115">
        <f>IF(K88="Yes",AF88*Tab_Data_Flows[[#This Row],[Flow_Py]],"N.A.")</f>
        <v>2.9094958816434868</v>
      </c>
      <c r="AH88" s="61" t="str">
        <f>Tab_Data_Flows[[#This Row],[UoM_Flow_Py]]</f>
        <v>Mg</v>
      </c>
      <c r="AI88" s="114">
        <f>INDEX(Tab_Def_Flows[[Flow_ID]:[CC_DM_source]],MATCH(Tab_Data_Flows[[#This Row],[Name(EN)]],Tab_Def_Flows[Name(EN)],0),20)</f>
        <v>0.49</v>
      </c>
      <c r="AJ88" s="115">
        <f>IF(L88="Yes",AI88*Tab_Data_Flows[[#This Row],[Flow_Py]],"N.A.")</f>
        <v>23.760883033421809</v>
      </c>
      <c r="AK88" s="61" t="str">
        <f>Tab_Data_Flows[[#This Row],[UoM_Flow_Py]]</f>
        <v>Mg</v>
      </c>
    </row>
    <row r="89" spans="1:37" x14ac:dyDescent="0.35">
      <c r="A89" s="60">
        <f t="shared" si="12"/>
        <v>88</v>
      </c>
      <c r="B89" s="49" t="str">
        <f>_xlfn.XLOOKUP(C89,Tab_Def_Flows[Name(EN)],Tab_Def_Flows[Flow_ID],,0,)</f>
        <v>F_00_04</v>
      </c>
      <c r="C89" s="51" t="s">
        <v>428</v>
      </c>
      <c r="D89" s="49">
        <f>_xlfn.XLOOKUP(C89,Tab_Def_Flows[Name(EN)],Tab_Def_Flows[Type_Biomass],,0,)</f>
        <v>0</v>
      </c>
      <c r="E89" s="49" t="str">
        <f>_xlfn.XLOOKUP(C89,Tab_Def_Flows[Name(EN)],Tab_Def_Flows[Output_Process],,0,)</f>
        <v>Environment</v>
      </c>
      <c r="F89" s="49" t="str">
        <f>_xlfn.XLOOKUP(C89,Tab_Def_Flows[Name(EN)],Tab_Def_Flows[Process_ID_O],,0,)</f>
        <v>00_Env_BB</v>
      </c>
      <c r="G89" s="49" t="str">
        <f>_xlfn.XLOOKUP(C89,Tab_Def_Flows[Name(EN)],Tab_Def_Flows[Input_Process],,0,)</f>
        <v>Life stock farming</v>
      </c>
      <c r="H89" s="61" t="str">
        <f>_xlfn.XLOOKUP(C89,Tab_Def_Flows[Name(EN)],Tab_Def_Flows[Process_ID_I],,0,)</f>
        <v>04_Lif_BB</v>
      </c>
      <c r="I89" s="61">
        <f>_xlfn.XLOOKUP(C89,Tab_Def_Flows[Name(EN)],Tab_Def_Flows[Value_Source],,0,)</f>
        <v>0</v>
      </c>
      <c r="J89" s="61" t="s">
        <v>68</v>
      </c>
      <c r="K89" s="61" t="s">
        <v>68</v>
      </c>
      <c r="L89" s="61" t="s">
        <v>68</v>
      </c>
      <c r="M89" s="51">
        <v>2034</v>
      </c>
      <c r="N89" s="51" t="s">
        <v>353</v>
      </c>
      <c r="O89" s="126">
        <f t="shared" si="23"/>
        <v>49.461429987939276</v>
      </c>
      <c r="P89" s="51" t="s">
        <v>398</v>
      </c>
      <c r="Q89" s="51"/>
      <c r="R89" s="51"/>
      <c r="S89" s="51"/>
      <c r="T89" s="51"/>
      <c r="U89" s="51"/>
      <c r="V89" s="51"/>
      <c r="W89" s="51"/>
      <c r="X89" s="51" t="s">
        <v>71</v>
      </c>
      <c r="Y89" s="109"/>
      <c r="Z89" s="51"/>
      <c r="AA89" s="89">
        <f t="shared" si="25"/>
        <v>49.461429987939276</v>
      </c>
      <c r="AB89" s="51" t="s">
        <v>63</v>
      </c>
      <c r="AC89" s="114">
        <f>INDEX(Tab_Def_Flows[[Flow_ID]:[CC_DM_source]],MATCH(Tab_Data_Flows[[#This Row],[Name(EN)]],Tab_Def_Flows[Name(EN)],0),16)</f>
        <v>0.94</v>
      </c>
      <c r="AD89" s="115">
        <f>IF(J89="Yes",AA89*Tab_Data_Flows[[#This Row],[WC_'[%']]],"N.A.")</f>
        <v>46.493744188662916</v>
      </c>
      <c r="AE89" s="61" t="str">
        <f>Tab_Data_Flows[[#This Row],[UoM_Flow_Py]]</f>
        <v>Mg</v>
      </c>
      <c r="AF89" s="114">
        <f>INDEX(Tab_Def_Flows[[Flow_ID]:[CC_DM_source]],MATCH(Tab_Data_Flows[[#This Row],[Name(EN)]],Tab_Def_Flows[Name(EN)],0),18)</f>
        <v>0.06</v>
      </c>
      <c r="AG89" s="115">
        <f>IF(K89="Yes",AF89*Tab_Data_Flows[[#This Row],[Flow_Py]],"N.A.")</f>
        <v>2.9676857992763566</v>
      </c>
      <c r="AH89" s="61" t="str">
        <f>Tab_Data_Flows[[#This Row],[UoM_Flow_Py]]</f>
        <v>Mg</v>
      </c>
      <c r="AI89" s="114">
        <f>INDEX(Tab_Def_Flows[[Flow_ID]:[CC_DM_source]],MATCH(Tab_Data_Flows[[#This Row],[Name(EN)]],Tab_Def_Flows[Name(EN)],0),20)</f>
        <v>0.49</v>
      </c>
      <c r="AJ89" s="115">
        <f>IF(L89="Yes",AI89*Tab_Data_Flows[[#This Row],[Flow_Py]],"N.A.")</f>
        <v>24.236100694090243</v>
      </c>
      <c r="AK89" s="61" t="str">
        <f>Tab_Data_Flows[[#This Row],[UoM_Flow_Py]]</f>
        <v>Mg</v>
      </c>
    </row>
    <row r="90" spans="1:37" x14ac:dyDescent="0.35">
      <c r="A90" s="60">
        <f t="shared" si="12"/>
        <v>89</v>
      </c>
      <c r="B90" s="49" t="str">
        <f>_xlfn.XLOOKUP(C90,Tab_Def_Flows[Name(EN)],Tab_Def_Flows[Flow_ID],,0,)</f>
        <v>F_00_04</v>
      </c>
      <c r="C90" s="51" t="s">
        <v>428</v>
      </c>
      <c r="D90" s="49">
        <f>_xlfn.XLOOKUP(C90,Tab_Def_Flows[Name(EN)],Tab_Def_Flows[Type_Biomass],,0,)</f>
        <v>0</v>
      </c>
      <c r="E90" s="49" t="str">
        <f>_xlfn.XLOOKUP(C90,Tab_Def_Flows[Name(EN)],Tab_Def_Flows[Output_Process],,0,)</f>
        <v>Environment</v>
      </c>
      <c r="F90" s="49" t="str">
        <f>_xlfn.XLOOKUP(C90,Tab_Def_Flows[Name(EN)],Tab_Def_Flows[Process_ID_O],,0,)</f>
        <v>00_Env_BB</v>
      </c>
      <c r="G90" s="49" t="str">
        <f>_xlfn.XLOOKUP(C90,Tab_Def_Flows[Name(EN)],Tab_Def_Flows[Input_Process],,0,)</f>
        <v>Life stock farming</v>
      </c>
      <c r="H90" s="61" t="str">
        <f>_xlfn.XLOOKUP(C90,Tab_Def_Flows[Name(EN)],Tab_Def_Flows[Process_ID_I],,0,)</f>
        <v>04_Lif_BB</v>
      </c>
      <c r="I90" s="61">
        <f>_xlfn.XLOOKUP(C90,Tab_Def_Flows[Name(EN)],Tab_Def_Flows[Value_Source],,0,)</f>
        <v>0</v>
      </c>
      <c r="J90" s="61" t="s">
        <v>68</v>
      </c>
      <c r="K90" s="61" t="s">
        <v>68</v>
      </c>
      <c r="L90" s="61" t="s">
        <v>68</v>
      </c>
      <c r="M90" s="51">
        <v>2035</v>
      </c>
      <c r="N90" s="51" t="s">
        <v>353</v>
      </c>
      <c r="O90" s="126">
        <f t="shared" si="23"/>
        <v>50.450658587698065</v>
      </c>
      <c r="P90" s="51" t="s">
        <v>398</v>
      </c>
      <c r="Q90" s="51"/>
      <c r="R90" s="51"/>
      <c r="S90" s="51"/>
      <c r="T90" s="51"/>
      <c r="U90" s="51"/>
      <c r="V90" s="51"/>
      <c r="W90" s="51"/>
      <c r="X90" s="51" t="s">
        <v>71</v>
      </c>
      <c r="Y90" s="109"/>
      <c r="Z90" s="51"/>
      <c r="AA90" s="89">
        <f t="shared" si="25"/>
        <v>50.450658587698065</v>
      </c>
      <c r="AB90" s="51" t="s">
        <v>63</v>
      </c>
      <c r="AC90" s="114">
        <f>INDEX(Tab_Def_Flows[[Flow_ID]:[CC_DM_source]],MATCH(Tab_Data_Flows[[#This Row],[Name(EN)]],Tab_Def_Flows[Name(EN)],0),16)</f>
        <v>0.94</v>
      </c>
      <c r="AD90" s="115">
        <f>IF(J90="Yes",AA90*Tab_Data_Flows[[#This Row],[WC_'[%']]],"N.A.")</f>
        <v>47.423619072436182</v>
      </c>
      <c r="AE90" s="61" t="str">
        <f>Tab_Data_Flows[[#This Row],[UoM_Flow_Py]]</f>
        <v>Mg</v>
      </c>
      <c r="AF90" s="114">
        <f>INDEX(Tab_Def_Flows[[Flow_ID]:[CC_DM_source]],MATCH(Tab_Data_Flows[[#This Row],[Name(EN)]],Tab_Def_Flows[Name(EN)],0),18)</f>
        <v>0.06</v>
      </c>
      <c r="AG90" s="115">
        <f>IF(K90="Yes",AF90*Tab_Data_Flows[[#This Row],[Flow_Py]],"N.A.")</f>
        <v>3.0270395152618836</v>
      </c>
      <c r="AH90" s="61" t="str">
        <f>Tab_Data_Flows[[#This Row],[UoM_Flow_Py]]</f>
        <v>Mg</v>
      </c>
      <c r="AI90" s="114">
        <f>INDEX(Tab_Def_Flows[[Flow_ID]:[CC_DM_source]],MATCH(Tab_Data_Flows[[#This Row],[Name(EN)]],Tab_Def_Flows[Name(EN)],0),20)</f>
        <v>0.49</v>
      </c>
      <c r="AJ90" s="115">
        <f>IF(L90="Yes",AI90*Tab_Data_Flows[[#This Row],[Flow_Py]],"N.A.")</f>
        <v>24.720822707972051</v>
      </c>
      <c r="AK90" s="61" t="str">
        <f>Tab_Data_Flows[[#This Row],[UoM_Flow_Py]]</f>
        <v>Mg</v>
      </c>
    </row>
    <row r="91" spans="1:37" x14ac:dyDescent="0.35">
      <c r="A91" s="60">
        <f t="shared" si="12"/>
        <v>90</v>
      </c>
      <c r="B91" s="49" t="str">
        <f>_xlfn.XLOOKUP(C91,Tab_Def_Flows[Name(EN)],Tab_Def_Flows[Flow_ID],,0,)</f>
        <v>F_00_04</v>
      </c>
      <c r="C91" s="51" t="s">
        <v>428</v>
      </c>
      <c r="D91" s="49">
        <f>_xlfn.XLOOKUP(C91,Tab_Def_Flows[Name(EN)],Tab_Def_Flows[Type_Biomass],,0,)</f>
        <v>0</v>
      </c>
      <c r="E91" s="49" t="str">
        <f>_xlfn.XLOOKUP(C91,Tab_Def_Flows[Name(EN)],Tab_Def_Flows[Output_Process],,0,)</f>
        <v>Environment</v>
      </c>
      <c r="F91" s="49" t="str">
        <f>_xlfn.XLOOKUP(C91,Tab_Def_Flows[Name(EN)],Tab_Def_Flows[Process_ID_O],,0,)</f>
        <v>00_Env_BB</v>
      </c>
      <c r="G91" s="49" t="str">
        <f>_xlfn.XLOOKUP(C91,Tab_Def_Flows[Name(EN)],Tab_Def_Flows[Input_Process],,0,)</f>
        <v>Life stock farming</v>
      </c>
      <c r="H91" s="61" t="str">
        <f>_xlfn.XLOOKUP(C91,Tab_Def_Flows[Name(EN)],Tab_Def_Flows[Process_ID_I],,0,)</f>
        <v>04_Lif_BB</v>
      </c>
      <c r="I91" s="61">
        <f>_xlfn.XLOOKUP(C91,Tab_Def_Flows[Name(EN)],Tab_Def_Flows[Value_Source],,0,)</f>
        <v>0</v>
      </c>
      <c r="J91" s="61" t="s">
        <v>68</v>
      </c>
      <c r="K91" s="61" t="s">
        <v>68</v>
      </c>
      <c r="L91" s="61" t="s">
        <v>68</v>
      </c>
      <c r="M91" s="51">
        <v>2036</v>
      </c>
      <c r="N91" s="51" t="s">
        <v>353</v>
      </c>
      <c r="O91" s="126">
        <f t="shared" si="23"/>
        <v>51.459671759452029</v>
      </c>
      <c r="P91" s="51" t="s">
        <v>398</v>
      </c>
      <c r="Q91" s="51"/>
      <c r="R91" s="51"/>
      <c r="S91" s="51"/>
      <c r="T91" s="51"/>
      <c r="U91" s="51"/>
      <c r="V91" s="51"/>
      <c r="W91" s="51"/>
      <c r="X91" s="51" t="s">
        <v>71</v>
      </c>
      <c r="Y91" s="109"/>
      <c r="Z91" s="51"/>
      <c r="AA91" s="89">
        <f t="shared" si="25"/>
        <v>51.459671759452029</v>
      </c>
      <c r="AB91" s="51" t="s">
        <v>63</v>
      </c>
      <c r="AC91" s="114">
        <f>INDEX(Tab_Def_Flows[[Flow_ID]:[CC_DM_source]],MATCH(Tab_Data_Flows[[#This Row],[Name(EN)]],Tab_Def_Flows[Name(EN)],0),16)</f>
        <v>0.94</v>
      </c>
      <c r="AD91" s="115">
        <f>IF(J91="Yes",AA91*Tab_Data_Flows[[#This Row],[WC_'[%']]],"N.A.")</f>
        <v>48.372091453884906</v>
      </c>
      <c r="AE91" s="61" t="str">
        <f>Tab_Data_Flows[[#This Row],[UoM_Flow_Py]]</f>
        <v>Mg</v>
      </c>
      <c r="AF91" s="114">
        <f>INDEX(Tab_Def_Flows[[Flow_ID]:[CC_DM_source]],MATCH(Tab_Data_Flows[[#This Row],[Name(EN)]],Tab_Def_Flows[Name(EN)],0),18)</f>
        <v>0.06</v>
      </c>
      <c r="AG91" s="115">
        <f>IF(K91="Yes",AF91*Tab_Data_Flows[[#This Row],[Flow_Py]],"N.A.")</f>
        <v>3.0875803055671218</v>
      </c>
      <c r="AH91" s="61" t="str">
        <f>Tab_Data_Flows[[#This Row],[UoM_Flow_Py]]</f>
        <v>Mg</v>
      </c>
      <c r="AI91" s="114">
        <f>INDEX(Tab_Def_Flows[[Flow_ID]:[CC_DM_source]],MATCH(Tab_Data_Flows[[#This Row],[Name(EN)]],Tab_Def_Flows[Name(EN)],0),20)</f>
        <v>0.49</v>
      </c>
      <c r="AJ91" s="115">
        <f>IF(L91="Yes",AI91*Tab_Data_Flows[[#This Row],[Flow_Py]],"N.A.")</f>
        <v>25.215239162131493</v>
      </c>
      <c r="AK91" s="61" t="str">
        <f>Tab_Data_Flows[[#This Row],[UoM_Flow_Py]]</f>
        <v>Mg</v>
      </c>
    </row>
    <row r="92" spans="1:37" x14ac:dyDescent="0.35">
      <c r="A92" s="60">
        <f t="shared" si="12"/>
        <v>91</v>
      </c>
      <c r="B92" s="49" t="str">
        <f>_xlfn.XLOOKUP(C92,Tab_Def_Flows[Name(EN)],Tab_Def_Flows[Flow_ID],,0,)</f>
        <v>F_00_11</v>
      </c>
      <c r="C92" s="51" t="s">
        <v>429</v>
      </c>
      <c r="D92" s="49">
        <f>_xlfn.XLOOKUP(C92,Tab_Def_Flows[Name(EN)],Tab_Def_Flows[Type_Biomass],,0,)</f>
        <v>0</v>
      </c>
      <c r="E92" s="49" t="str">
        <f>_xlfn.XLOOKUP(C92,Tab_Def_Flows[Name(EN)],Tab_Def_Flows[Output_Process],,0,)</f>
        <v>Environment</v>
      </c>
      <c r="F92" s="49" t="str">
        <f>_xlfn.XLOOKUP(C92,Tab_Def_Flows[Name(EN)],Tab_Def_Flows[Process_ID_O],,0,)</f>
        <v>00_Env_BB</v>
      </c>
      <c r="G92" s="49" t="str">
        <f>_xlfn.XLOOKUP(C92,Tab_Def_Flows[Name(EN)],Tab_Def_Flows[Input_Process],,0,)</f>
        <v>Millet production</v>
      </c>
      <c r="H92" s="61" t="str">
        <f>_xlfn.XLOOKUP(C92,Tab_Def_Flows[Name(EN)],Tab_Def_Flows[Process_ID_I],,0,)</f>
        <v>11_Mil_BB</v>
      </c>
      <c r="I92" s="61">
        <f>_xlfn.XLOOKUP(C92,Tab_Def_Flows[Name(EN)],Tab_Def_Flows[Value_Source],,0,)</f>
        <v>0</v>
      </c>
      <c r="J92" s="61" t="s">
        <v>68</v>
      </c>
      <c r="K92" s="61" t="s">
        <v>68</v>
      </c>
      <c r="L92" s="61" t="s">
        <v>68</v>
      </c>
      <c r="M92" s="51">
        <v>2022</v>
      </c>
      <c r="N92" s="51" t="s">
        <v>353</v>
      </c>
      <c r="O92" s="126">
        <v>1</v>
      </c>
      <c r="P92" s="51" t="s">
        <v>398</v>
      </c>
      <c r="Q92" s="51"/>
      <c r="R92" s="51"/>
      <c r="S92" s="51"/>
      <c r="T92" s="51"/>
      <c r="U92" s="51"/>
      <c r="V92" s="51"/>
      <c r="W92" s="51"/>
      <c r="X92" s="51" t="s">
        <v>71</v>
      </c>
      <c r="Y92" s="109"/>
      <c r="Z92" s="51"/>
      <c r="AA92" s="89">
        <f t="shared" si="7"/>
        <v>1</v>
      </c>
      <c r="AB92" s="51" t="s">
        <v>63</v>
      </c>
      <c r="AC92" s="114">
        <f>INDEX(Tab_Def_Flows[[Flow_ID]:[CC_DM_source]],MATCH(Tab_Data_Flows[[#This Row],[Name(EN)]],Tab_Def_Flows[Name(EN)],0),16)</f>
        <v>0.66</v>
      </c>
      <c r="AD92" s="115">
        <f>IF(J92="Yes",AA92*Tab_Data_Flows[[#This Row],[WC_'[%']]],"N.A.")</f>
        <v>0.66</v>
      </c>
      <c r="AE92" s="61" t="str">
        <f>Tab_Data_Flows[[#This Row],[UoM_Flow_Py]]</f>
        <v>Mg</v>
      </c>
      <c r="AF92" s="114">
        <f>INDEX(Tab_Def_Flows[[Flow_ID]:[CC_DM_source]],MATCH(Tab_Data_Flows[[#This Row],[Name(EN)]],Tab_Def_Flows[Name(EN)],0),18)</f>
        <v>0.34</v>
      </c>
      <c r="AG92" s="115">
        <f>IF(K92="Yes",AF92*Tab_Data_Flows[[#This Row],[Flow_Py]],"N.A.")</f>
        <v>0.34</v>
      </c>
      <c r="AH92" s="61" t="str">
        <f>Tab_Data_Flows[[#This Row],[UoM_Flow_Py]]</f>
        <v>Mg</v>
      </c>
      <c r="AI92" s="114">
        <f>INDEX(Tab_Def_Flows[[Flow_ID]:[CC_DM_source]],MATCH(Tab_Data_Flows[[#This Row],[Name(EN)]],Tab_Def_Flows[Name(EN)],0),20)</f>
        <v>0.47</v>
      </c>
      <c r="AJ92" s="115">
        <f>IF(L92="Yes",AI92*Tab_Data_Flows[[#This Row],[Flow_Py]],"N.A.")</f>
        <v>0.47</v>
      </c>
      <c r="AK92" s="61" t="str">
        <f>Tab_Data_Flows[[#This Row],[UoM_Flow_Py]]</f>
        <v>Mg</v>
      </c>
    </row>
    <row r="93" spans="1:37" x14ac:dyDescent="0.35">
      <c r="A93" s="60">
        <f t="shared" si="12"/>
        <v>92</v>
      </c>
      <c r="B93" s="49" t="str">
        <f>_xlfn.XLOOKUP(C93,Tab_Def_Flows[Name(EN)],Tab_Def_Flows[Flow_ID],,0,)</f>
        <v>F_00_11</v>
      </c>
      <c r="C93" s="51" t="s">
        <v>429</v>
      </c>
      <c r="D93" s="49">
        <f>_xlfn.XLOOKUP(C93,Tab_Def_Flows[Name(EN)],Tab_Def_Flows[Type_Biomass],,0,)</f>
        <v>0</v>
      </c>
      <c r="E93" s="49" t="str">
        <f>_xlfn.XLOOKUP(C93,Tab_Def_Flows[Name(EN)],Tab_Def_Flows[Output_Process],,0,)</f>
        <v>Environment</v>
      </c>
      <c r="F93" s="49" t="str">
        <f>_xlfn.XLOOKUP(C93,Tab_Def_Flows[Name(EN)],Tab_Def_Flows[Process_ID_O],,0,)</f>
        <v>00_Env_BB</v>
      </c>
      <c r="G93" s="49" t="str">
        <f>_xlfn.XLOOKUP(C93,Tab_Def_Flows[Name(EN)],Tab_Def_Flows[Input_Process],,0,)</f>
        <v>Millet production</v>
      </c>
      <c r="H93" s="61" t="str">
        <f>_xlfn.XLOOKUP(C93,Tab_Def_Flows[Name(EN)],Tab_Def_Flows[Process_ID_I],,0,)</f>
        <v>11_Mil_BB</v>
      </c>
      <c r="I93" s="61">
        <f>_xlfn.XLOOKUP(C93,Tab_Def_Flows[Name(EN)],Tab_Def_Flows[Value_Source],,0,)</f>
        <v>0</v>
      </c>
      <c r="J93" s="61" t="s">
        <v>68</v>
      </c>
      <c r="K93" s="61" t="s">
        <v>68</v>
      </c>
      <c r="L93" s="61" t="s">
        <v>68</v>
      </c>
      <c r="M93" s="51">
        <v>2023</v>
      </c>
      <c r="N93" s="51" t="s">
        <v>353</v>
      </c>
      <c r="O93" s="126">
        <f>O92*1.02</f>
        <v>1.02</v>
      </c>
      <c r="P93" s="51" t="s">
        <v>398</v>
      </c>
      <c r="Q93" s="51"/>
      <c r="R93" s="51"/>
      <c r="S93" s="51"/>
      <c r="T93" s="51"/>
      <c r="U93" s="51"/>
      <c r="V93" s="51"/>
      <c r="W93" s="51"/>
      <c r="X93" s="51" t="s">
        <v>71</v>
      </c>
      <c r="Y93" s="109"/>
      <c r="Z93" s="51"/>
      <c r="AA93" s="89">
        <f t="shared" ref="AA93:AA99" si="26">IF(X93="no",O93,O93*Y93)</f>
        <v>1.02</v>
      </c>
      <c r="AB93" s="51" t="s">
        <v>63</v>
      </c>
      <c r="AC93" s="114">
        <f>INDEX(Tab_Def_Flows[[Flow_ID]:[CC_DM_source]],MATCH(Tab_Data_Flows[[#This Row],[Name(EN)]],Tab_Def_Flows[Name(EN)],0),16)</f>
        <v>0.66</v>
      </c>
      <c r="AD93" s="115">
        <f>IF(J93="Yes",AA93*Tab_Data_Flows[[#This Row],[WC_'[%']]],"N.A.")</f>
        <v>0.67320000000000002</v>
      </c>
      <c r="AE93" s="61" t="str">
        <f>Tab_Data_Flows[[#This Row],[UoM_Flow_Py]]</f>
        <v>Mg</v>
      </c>
      <c r="AF93" s="114">
        <f>INDEX(Tab_Def_Flows[[Flow_ID]:[CC_DM_source]],MATCH(Tab_Data_Flows[[#This Row],[Name(EN)]],Tab_Def_Flows[Name(EN)],0),18)</f>
        <v>0.34</v>
      </c>
      <c r="AG93" s="115">
        <f>IF(K93="Yes",AF93*Tab_Data_Flows[[#This Row],[Flow_Py]],"N.A.")</f>
        <v>0.34680000000000005</v>
      </c>
      <c r="AH93" s="61" t="str">
        <f>Tab_Data_Flows[[#This Row],[UoM_Flow_Py]]</f>
        <v>Mg</v>
      </c>
      <c r="AI93" s="114">
        <f>INDEX(Tab_Def_Flows[[Flow_ID]:[CC_DM_source]],MATCH(Tab_Data_Flows[[#This Row],[Name(EN)]],Tab_Def_Flows[Name(EN)],0),20)</f>
        <v>0.47</v>
      </c>
      <c r="AJ93" s="115">
        <f>IF(L93="Yes",AI93*Tab_Data_Flows[[#This Row],[Flow_Py]],"N.A.")</f>
        <v>0.47939999999999999</v>
      </c>
      <c r="AK93" s="61" t="str">
        <f>Tab_Data_Flows[[#This Row],[UoM_Flow_Py]]</f>
        <v>Mg</v>
      </c>
    </row>
    <row r="94" spans="1:37" x14ac:dyDescent="0.35">
      <c r="A94" s="60">
        <f t="shared" si="12"/>
        <v>93</v>
      </c>
      <c r="B94" s="49" t="str">
        <f>_xlfn.XLOOKUP(C94,Tab_Def_Flows[Name(EN)],Tab_Def_Flows[Flow_ID],,0,)</f>
        <v>F_00_11</v>
      </c>
      <c r="C94" s="51" t="s">
        <v>429</v>
      </c>
      <c r="D94" s="49">
        <f>_xlfn.XLOOKUP(C94,Tab_Def_Flows[Name(EN)],Tab_Def_Flows[Type_Biomass],,0,)</f>
        <v>0</v>
      </c>
      <c r="E94" s="49" t="str">
        <f>_xlfn.XLOOKUP(C94,Tab_Def_Flows[Name(EN)],Tab_Def_Flows[Output_Process],,0,)</f>
        <v>Environment</v>
      </c>
      <c r="F94" s="49" t="str">
        <f>_xlfn.XLOOKUP(C94,Tab_Def_Flows[Name(EN)],Tab_Def_Flows[Process_ID_O],,0,)</f>
        <v>00_Env_BB</v>
      </c>
      <c r="G94" s="49" t="str">
        <f>_xlfn.XLOOKUP(C94,Tab_Def_Flows[Name(EN)],Tab_Def_Flows[Input_Process],,0,)</f>
        <v>Millet production</v>
      </c>
      <c r="H94" s="61" t="str">
        <f>_xlfn.XLOOKUP(C94,Tab_Def_Flows[Name(EN)],Tab_Def_Flows[Process_ID_I],,0,)</f>
        <v>11_Mil_BB</v>
      </c>
      <c r="I94" s="61">
        <f>_xlfn.XLOOKUP(C94,Tab_Def_Flows[Name(EN)],Tab_Def_Flows[Value_Source],,0,)</f>
        <v>0</v>
      </c>
      <c r="J94" s="61" t="s">
        <v>68</v>
      </c>
      <c r="K94" s="61" t="s">
        <v>68</v>
      </c>
      <c r="L94" s="61" t="s">
        <v>68</v>
      </c>
      <c r="M94" s="51">
        <v>2024</v>
      </c>
      <c r="N94" s="51" t="s">
        <v>353</v>
      </c>
      <c r="O94" s="126">
        <f t="shared" ref="O94:O106" si="27">O93*1.02</f>
        <v>1.0404</v>
      </c>
      <c r="P94" s="51" t="s">
        <v>398</v>
      </c>
      <c r="Q94" s="51"/>
      <c r="R94" s="51"/>
      <c r="S94" s="51"/>
      <c r="T94" s="51"/>
      <c r="U94" s="51"/>
      <c r="V94" s="51"/>
      <c r="W94" s="51"/>
      <c r="X94" s="51" t="s">
        <v>71</v>
      </c>
      <c r="Y94" s="109"/>
      <c r="Z94" s="51"/>
      <c r="AA94" s="89">
        <f t="shared" si="26"/>
        <v>1.0404</v>
      </c>
      <c r="AB94" s="51" t="s">
        <v>63</v>
      </c>
      <c r="AC94" s="114">
        <f>INDEX(Tab_Def_Flows[[Flow_ID]:[CC_DM_source]],MATCH(Tab_Data_Flows[[#This Row],[Name(EN)]],Tab_Def_Flows[Name(EN)],0),16)</f>
        <v>0.66</v>
      </c>
      <c r="AD94" s="115">
        <f>IF(J94="Yes",AA94*Tab_Data_Flows[[#This Row],[WC_'[%']]],"N.A.")</f>
        <v>0.68666400000000005</v>
      </c>
      <c r="AE94" s="61" t="str">
        <f>Tab_Data_Flows[[#This Row],[UoM_Flow_Py]]</f>
        <v>Mg</v>
      </c>
      <c r="AF94" s="114">
        <f>INDEX(Tab_Def_Flows[[Flow_ID]:[CC_DM_source]],MATCH(Tab_Data_Flows[[#This Row],[Name(EN)]],Tab_Def_Flows[Name(EN)],0),18)</f>
        <v>0.34</v>
      </c>
      <c r="AG94" s="115">
        <f>IF(K94="Yes",AF94*Tab_Data_Flows[[#This Row],[Flow_Py]],"N.A.")</f>
        <v>0.35373599999999999</v>
      </c>
      <c r="AH94" s="61" t="str">
        <f>Tab_Data_Flows[[#This Row],[UoM_Flow_Py]]</f>
        <v>Mg</v>
      </c>
      <c r="AI94" s="114">
        <f>INDEX(Tab_Def_Flows[[Flow_ID]:[CC_DM_source]],MATCH(Tab_Data_Flows[[#This Row],[Name(EN)]],Tab_Def_Flows[Name(EN)],0),20)</f>
        <v>0.47</v>
      </c>
      <c r="AJ94" s="115">
        <f>IF(L94="Yes",AI94*Tab_Data_Flows[[#This Row],[Flow_Py]],"N.A.")</f>
        <v>0.48898799999999998</v>
      </c>
      <c r="AK94" s="61" t="str">
        <f>Tab_Data_Flows[[#This Row],[UoM_Flow_Py]]</f>
        <v>Mg</v>
      </c>
    </row>
    <row r="95" spans="1:37" x14ac:dyDescent="0.35">
      <c r="A95" s="60">
        <f t="shared" si="12"/>
        <v>94</v>
      </c>
      <c r="B95" s="49" t="str">
        <f>_xlfn.XLOOKUP(C95,Tab_Def_Flows[Name(EN)],Tab_Def_Flows[Flow_ID],,0,)</f>
        <v>F_00_11</v>
      </c>
      <c r="C95" s="51" t="s">
        <v>429</v>
      </c>
      <c r="D95" s="49">
        <f>_xlfn.XLOOKUP(C95,Tab_Def_Flows[Name(EN)],Tab_Def_Flows[Type_Biomass],,0,)</f>
        <v>0</v>
      </c>
      <c r="E95" s="49" t="str">
        <f>_xlfn.XLOOKUP(C95,Tab_Def_Flows[Name(EN)],Tab_Def_Flows[Output_Process],,0,)</f>
        <v>Environment</v>
      </c>
      <c r="F95" s="49" t="str">
        <f>_xlfn.XLOOKUP(C95,Tab_Def_Flows[Name(EN)],Tab_Def_Flows[Process_ID_O],,0,)</f>
        <v>00_Env_BB</v>
      </c>
      <c r="G95" s="49" t="str">
        <f>_xlfn.XLOOKUP(C95,Tab_Def_Flows[Name(EN)],Tab_Def_Flows[Input_Process],,0,)</f>
        <v>Millet production</v>
      </c>
      <c r="H95" s="61" t="str">
        <f>_xlfn.XLOOKUP(C95,Tab_Def_Flows[Name(EN)],Tab_Def_Flows[Process_ID_I],,0,)</f>
        <v>11_Mil_BB</v>
      </c>
      <c r="I95" s="61">
        <f>_xlfn.XLOOKUP(C95,Tab_Def_Flows[Name(EN)],Tab_Def_Flows[Value_Source],,0,)</f>
        <v>0</v>
      </c>
      <c r="J95" s="61" t="s">
        <v>68</v>
      </c>
      <c r="K95" s="61" t="s">
        <v>68</v>
      </c>
      <c r="L95" s="61" t="s">
        <v>68</v>
      </c>
      <c r="M95" s="51">
        <v>2025</v>
      </c>
      <c r="N95" s="51" t="s">
        <v>353</v>
      </c>
      <c r="O95" s="126">
        <f t="shared" si="27"/>
        <v>1.0612079999999999</v>
      </c>
      <c r="P95" s="51" t="s">
        <v>398</v>
      </c>
      <c r="Q95" s="51"/>
      <c r="R95" s="51"/>
      <c r="S95" s="51"/>
      <c r="T95" s="51"/>
      <c r="U95" s="51"/>
      <c r="V95" s="51"/>
      <c r="W95" s="51"/>
      <c r="X95" s="51" t="s">
        <v>71</v>
      </c>
      <c r="Y95" s="109"/>
      <c r="Z95" s="51"/>
      <c r="AA95" s="89">
        <f t="shared" si="26"/>
        <v>1.0612079999999999</v>
      </c>
      <c r="AB95" s="51" t="s">
        <v>63</v>
      </c>
      <c r="AC95" s="114">
        <f>INDEX(Tab_Def_Flows[[Flow_ID]:[CC_DM_source]],MATCH(Tab_Data_Flows[[#This Row],[Name(EN)]],Tab_Def_Flows[Name(EN)],0),16)</f>
        <v>0.66</v>
      </c>
      <c r="AD95" s="115">
        <f>IF(J95="Yes",AA95*Tab_Data_Flows[[#This Row],[WC_'[%']]],"N.A.")</f>
        <v>0.70039728000000001</v>
      </c>
      <c r="AE95" s="61" t="str">
        <f>Tab_Data_Flows[[#This Row],[UoM_Flow_Py]]</f>
        <v>Mg</v>
      </c>
      <c r="AF95" s="114">
        <f>INDEX(Tab_Def_Flows[[Flow_ID]:[CC_DM_source]],MATCH(Tab_Data_Flows[[#This Row],[Name(EN)]],Tab_Def_Flows[Name(EN)],0),18)</f>
        <v>0.34</v>
      </c>
      <c r="AG95" s="115">
        <f>IF(K95="Yes",AF95*Tab_Data_Flows[[#This Row],[Flow_Py]],"N.A.")</f>
        <v>0.36081072000000003</v>
      </c>
      <c r="AH95" s="61" t="str">
        <f>Tab_Data_Flows[[#This Row],[UoM_Flow_Py]]</f>
        <v>Mg</v>
      </c>
      <c r="AI95" s="114">
        <f>INDEX(Tab_Def_Flows[[Flow_ID]:[CC_DM_source]],MATCH(Tab_Data_Flows[[#This Row],[Name(EN)]],Tab_Def_Flows[Name(EN)],0),20)</f>
        <v>0.47</v>
      </c>
      <c r="AJ95" s="115">
        <f>IF(L95="Yes",AI95*Tab_Data_Flows[[#This Row],[Flow_Py]],"N.A.")</f>
        <v>0.49876775999999995</v>
      </c>
      <c r="AK95" s="61" t="str">
        <f>Tab_Data_Flows[[#This Row],[UoM_Flow_Py]]</f>
        <v>Mg</v>
      </c>
    </row>
    <row r="96" spans="1:37" x14ac:dyDescent="0.35">
      <c r="A96" s="60">
        <f t="shared" si="12"/>
        <v>95</v>
      </c>
      <c r="B96" s="49" t="str">
        <f>_xlfn.XLOOKUP(C96,Tab_Def_Flows[Name(EN)],Tab_Def_Flows[Flow_ID],,0,)</f>
        <v>F_00_11</v>
      </c>
      <c r="C96" s="51" t="s">
        <v>429</v>
      </c>
      <c r="D96" s="49">
        <f>_xlfn.XLOOKUP(C96,Tab_Def_Flows[Name(EN)],Tab_Def_Flows[Type_Biomass],,0,)</f>
        <v>0</v>
      </c>
      <c r="E96" s="49" t="str">
        <f>_xlfn.XLOOKUP(C96,Tab_Def_Flows[Name(EN)],Tab_Def_Flows[Output_Process],,0,)</f>
        <v>Environment</v>
      </c>
      <c r="F96" s="49" t="str">
        <f>_xlfn.XLOOKUP(C96,Tab_Def_Flows[Name(EN)],Tab_Def_Flows[Process_ID_O],,0,)</f>
        <v>00_Env_BB</v>
      </c>
      <c r="G96" s="49" t="str">
        <f>_xlfn.XLOOKUP(C96,Tab_Def_Flows[Name(EN)],Tab_Def_Flows[Input_Process],,0,)</f>
        <v>Millet production</v>
      </c>
      <c r="H96" s="61" t="str">
        <f>_xlfn.XLOOKUP(C96,Tab_Def_Flows[Name(EN)],Tab_Def_Flows[Process_ID_I],,0,)</f>
        <v>11_Mil_BB</v>
      </c>
      <c r="I96" s="61">
        <f>_xlfn.XLOOKUP(C96,Tab_Def_Flows[Name(EN)],Tab_Def_Flows[Value_Source],,0,)</f>
        <v>0</v>
      </c>
      <c r="J96" s="61" t="s">
        <v>68</v>
      </c>
      <c r="K96" s="61" t="s">
        <v>68</v>
      </c>
      <c r="L96" s="61" t="s">
        <v>68</v>
      </c>
      <c r="M96" s="51">
        <v>2026</v>
      </c>
      <c r="N96" s="51" t="s">
        <v>353</v>
      </c>
      <c r="O96" s="126">
        <f t="shared" si="27"/>
        <v>1.08243216</v>
      </c>
      <c r="P96" s="51" t="s">
        <v>398</v>
      </c>
      <c r="Q96" s="51"/>
      <c r="R96" s="51"/>
      <c r="S96" s="51"/>
      <c r="T96" s="51"/>
      <c r="U96" s="51"/>
      <c r="V96" s="51"/>
      <c r="W96" s="51"/>
      <c r="X96" s="51" t="s">
        <v>71</v>
      </c>
      <c r="Y96" s="109"/>
      <c r="Z96" s="51"/>
      <c r="AA96" s="89">
        <f t="shared" si="26"/>
        <v>1.08243216</v>
      </c>
      <c r="AB96" s="51" t="s">
        <v>63</v>
      </c>
      <c r="AC96" s="114">
        <f>INDEX(Tab_Def_Flows[[Flow_ID]:[CC_DM_source]],MATCH(Tab_Data_Flows[[#This Row],[Name(EN)]],Tab_Def_Flows[Name(EN)],0),16)</f>
        <v>0.66</v>
      </c>
      <c r="AD96" s="115">
        <f>IF(J96="Yes",AA96*Tab_Data_Flows[[#This Row],[WC_'[%']]],"N.A.")</f>
        <v>0.71440522559999997</v>
      </c>
      <c r="AE96" s="61" t="str">
        <f>Tab_Data_Flows[[#This Row],[UoM_Flow_Py]]</f>
        <v>Mg</v>
      </c>
      <c r="AF96" s="114">
        <f>INDEX(Tab_Def_Flows[[Flow_ID]:[CC_DM_source]],MATCH(Tab_Data_Flows[[#This Row],[Name(EN)]],Tab_Def_Flows[Name(EN)],0),18)</f>
        <v>0.34</v>
      </c>
      <c r="AG96" s="115">
        <f>IF(K96="Yes",AF96*Tab_Data_Flows[[#This Row],[Flow_Py]],"N.A.")</f>
        <v>0.36802693440000001</v>
      </c>
      <c r="AH96" s="61" t="str">
        <f>Tab_Data_Flows[[#This Row],[UoM_Flow_Py]]</f>
        <v>Mg</v>
      </c>
      <c r="AI96" s="114">
        <f>INDEX(Tab_Def_Flows[[Flow_ID]:[CC_DM_source]],MATCH(Tab_Data_Flows[[#This Row],[Name(EN)]],Tab_Def_Flows[Name(EN)],0),20)</f>
        <v>0.47</v>
      </c>
      <c r="AJ96" s="115">
        <f>IF(L96="Yes",AI96*Tab_Data_Flows[[#This Row],[Flow_Py]],"N.A.")</f>
        <v>0.50874311519999993</v>
      </c>
      <c r="AK96" s="61" t="str">
        <f>Tab_Data_Flows[[#This Row],[UoM_Flow_Py]]</f>
        <v>Mg</v>
      </c>
    </row>
    <row r="97" spans="1:37" x14ac:dyDescent="0.35">
      <c r="A97" s="60">
        <f t="shared" si="12"/>
        <v>96</v>
      </c>
      <c r="B97" s="49" t="str">
        <f>_xlfn.XLOOKUP(C97,Tab_Def_Flows[Name(EN)],Tab_Def_Flows[Flow_ID],,0,)</f>
        <v>F_00_11</v>
      </c>
      <c r="C97" s="51" t="s">
        <v>429</v>
      </c>
      <c r="D97" s="49">
        <f>_xlfn.XLOOKUP(C97,Tab_Def_Flows[Name(EN)],Tab_Def_Flows[Type_Biomass],,0,)</f>
        <v>0</v>
      </c>
      <c r="E97" s="49" t="str">
        <f>_xlfn.XLOOKUP(C97,Tab_Def_Flows[Name(EN)],Tab_Def_Flows[Output_Process],,0,)</f>
        <v>Environment</v>
      </c>
      <c r="F97" s="49" t="str">
        <f>_xlfn.XLOOKUP(C97,Tab_Def_Flows[Name(EN)],Tab_Def_Flows[Process_ID_O],,0,)</f>
        <v>00_Env_BB</v>
      </c>
      <c r="G97" s="49" t="str">
        <f>_xlfn.XLOOKUP(C97,Tab_Def_Flows[Name(EN)],Tab_Def_Flows[Input_Process],,0,)</f>
        <v>Millet production</v>
      </c>
      <c r="H97" s="61" t="str">
        <f>_xlfn.XLOOKUP(C97,Tab_Def_Flows[Name(EN)],Tab_Def_Flows[Process_ID_I],,0,)</f>
        <v>11_Mil_BB</v>
      </c>
      <c r="I97" s="61">
        <f>_xlfn.XLOOKUP(C97,Tab_Def_Flows[Name(EN)],Tab_Def_Flows[Value_Source],,0,)</f>
        <v>0</v>
      </c>
      <c r="J97" s="61" t="s">
        <v>68</v>
      </c>
      <c r="K97" s="61" t="s">
        <v>68</v>
      </c>
      <c r="L97" s="61" t="s">
        <v>68</v>
      </c>
      <c r="M97" s="51">
        <v>2027</v>
      </c>
      <c r="N97" s="51" t="s">
        <v>353</v>
      </c>
      <c r="O97" s="126">
        <f t="shared" si="27"/>
        <v>1.1040808032</v>
      </c>
      <c r="P97" s="51" t="s">
        <v>398</v>
      </c>
      <c r="Q97" s="51"/>
      <c r="R97" s="51"/>
      <c r="S97" s="51"/>
      <c r="T97" s="51"/>
      <c r="U97" s="51"/>
      <c r="V97" s="51"/>
      <c r="W97" s="51"/>
      <c r="X97" s="51" t="s">
        <v>71</v>
      </c>
      <c r="Y97" s="109"/>
      <c r="Z97" s="51"/>
      <c r="AA97" s="89">
        <f t="shared" si="26"/>
        <v>1.1040808032</v>
      </c>
      <c r="AB97" s="51" t="s">
        <v>63</v>
      </c>
      <c r="AC97" s="114">
        <f>INDEX(Tab_Def_Flows[[Flow_ID]:[CC_DM_source]],MATCH(Tab_Data_Flows[[#This Row],[Name(EN)]],Tab_Def_Flows[Name(EN)],0),16)</f>
        <v>0.66</v>
      </c>
      <c r="AD97" s="115">
        <f>IF(J97="Yes",AA97*Tab_Data_Flows[[#This Row],[WC_'[%']]],"N.A.")</f>
        <v>0.72869333011199999</v>
      </c>
      <c r="AE97" s="61" t="str">
        <f>Tab_Data_Flows[[#This Row],[UoM_Flow_Py]]</f>
        <v>Mg</v>
      </c>
      <c r="AF97" s="114">
        <f>INDEX(Tab_Def_Flows[[Flow_ID]:[CC_DM_source]],MATCH(Tab_Data_Flows[[#This Row],[Name(EN)]],Tab_Def_Flows[Name(EN)],0),18)</f>
        <v>0.34</v>
      </c>
      <c r="AG97" s="115">
        <f>IF(K97="Yes",AF97*Tab_Data_Flows[[#This Row],[Flow_Py]],"N.A.")</f>
        <v>0.37538747308800002</v>
      </c>
      <c r="AH97" s="61" t="str">
        <f>Tab_Data_Flows[[#This Row],[UoM_Flow_Py]]</f>
        <v>Mg</v>
      </c>
      <c r="AI97" s="114">
        <f>INDEX(Tab_Def_Flows[[Flow_ID]:[CC_DM_source]],MATCH(Tab_Data_Flows[[#This Row],[Name(EN)]],Tab_Def_Flows[Name(EN)],0),20)</f>
        <v>0.47</v>
      </c>
      <c r="AJ97" s="115">
        <f>IF(L97="Yes",AI97*Tab_Data_Flows[[#This Row],[Flow_Py]],"N.A.")</f>
        <v>0.51891797750399993</v>
      </c>
      <c r="AK97" s="61" t="str">
        <f>Tab_Data_Flows[[#This Row],[UoM_Flow_Py]]</f>
        <v>Mg</v>
      </c>
    </row>
    <row r="98" spans="1:37" x14ac:dyDescent="0.35">
      <c r="A98" s="60">
        <f t="shared" si="12"/>
        <v>97</v>
      </c>
      <c r="B98" s="49" t="str">
        <f>_xlfn.XLOOKUP(C98,Tab_Def_Flows[Name(EN)],Tab_Def_Flows[Flow_ID],,0,)</f>
        <v>F_00_11</v>
      </c>
      <c r="C98" s="51" t="s">
        <v>429</v>
      </c>
      <c r="D98" s="49">
        <f>_xlfn.XLOOKUP(C98,Tab_Def_Flows[Name(EN)],Tab_Def_Flows[Type_Biomass],,0,)</f>
        <v>0</v>
      </c>
      <c r="E98" s="49" t="str">
        <f>_xlfn.XLOOKUP(C98,Tab_Def_Flows[Name(EN)],Tab_Def_Flows[Output_Process],,0,)</f>
        <v>Environment</v>
      </c>
      <c r="F98" s="49" t="str">
        <f>_xlfn.XLOOKUP(C98,Tab_Def_Flows[Name(EN)],Tab_Def_Flows[Process_ID_O],,0,)</f>
        <v>00_Env_BB</v>
      </c>
      <c r="G98" s="49" t="str">
        <f>_xlfn.XLOOKUP(C98,Tab_Def_Flows[Name(EN)],Tab_Def_Flows[Input_Process],,0,)</f>
        <v>Millet production</v>
      </c>
      <c r="H98" s="61" t="str">
        <f>_xlfn.XLOOKUP(C98,Tab_Def_Flows[Name(EN)],Tab_Def_Flows[Process_ID_I],,0,)</f>
        <v>11_Mil_BB</v>
      </c>
      <c r="I98" s="61">
        <f>_xlfn.XLOOKUP(C98,Tab_Def_Flows[Name(EN)],Tab_Def_Flows[Value_Source],,0,)</f>
        <v>0</v>
      </c>
      <c r="J98" s="61" t="s">
        <v>68</v>
      </c>
      <c r="K98" s="61" t="s">
        <v>68</v>
      </c>
      <c r="L98" s="61" t="s">
        <v>68</v>
      </c>
      <c r="M98" s="51">
        <v>2028</v>
      </c>
      <c r="N98" s="51" t="s">
        <v>353</v>
      </c>
      <c r="O98" s="126">
        <f t="shared" si="27"/>
        <v>1.1261624192640001</v>
      </c>
      <c r="P98" s="51" t="s">
        <v>398</v>
      </c>
      <c r="Q98" s="51"/>
      <c r="R98" s="51"/>
      <c r="S98" s="51"/>
      <c r="T98" s="51"/>
      <c r="U98" s="51"/>
      <c r="V98" s="51"/>
      <c r="W98" s="51"/>
      <c r="X98" s="51" t="s">
        <v>71</v>
      </c>
      <c r="Y98" s="109"/>
      <c r="Z98" s="51"/>
      <c r="AA98" s="89">
        <f t="shared" si="26"/>
        <v>1.1261624192640001</v>
      </c>
      <c r="AB98" s="51" t="s">
        <v>63</v>
      </c>
      <c r="AC98" s="114">
        <f>INDEX(Tab_Def_Flows[[Flow_ID]:[CC_DM_source]],MATCH(Tab_Data_Flows[[#This Row],[Name(EN)]],Tab_Def_Flows[Name(EN)],0),16)</f>
        <v>0.66</v>
      </c>
      <c r="AD98" s="115">
        <f>IF(J98="Yes",AA98*Tab_Data_Flows[[#This Row],[WC_'[%']]],"N.A.")</f>
        <v>0.74326719671424013</v>
      </c>
      <c r="AE98" s="61" t="str">
        <f>Tab_Data_Flows[[#This Row],[UoM_Flow_Py]]</f>
        <v>Mg</v>
      </c>
      <c r="AF98" s="114">
        <f>INDEX(Tab_Def_Flows[[Flow_ID]:[CC_DM_source]],MATCH(Tab_Data_Flows[[#This Row],[Name(EN)]],Tab_Def_Flows[Name(EN)],0),18)</f>
        <v>0.34</v>
      </c>
      <c r="AG98" s="115">
        <f>IF(K98="Yes",AF98*Tab_Data_Flows[[#This Row],[Flow_Py]],"N.A.")</f>
        <v>0.38289522254976005</v>
      </c>
      <c r="AH98" s="61" t="str">
        <f>Tab_Data_Flows[[#This Row],[UoM_Flow_Py]]</f>
        <v>Mg</v>
      </c>
      <c r="AI98" s="114">
        <f>INDEX(Tab_Def_Flows[[Flow_ID]:[CC_DM_source]],MATCH(Tab_Data_Flows[[#This Row],[Name(EN)]],Tab_Def_Flows[Name(EN)],0),20)</f>
        <v>0.47</v>
      </c>
      <c r="AJ98" s="115">
        <f>IF(L98="Yes",AI98*Tab_Data_Flows[[#This Row],[Flow_Py]],"N.A.")</f>
        <v>0.52929633705407997</v>
      </c>
      <c r="AK98" s="61" t="str">
        <f>Tab_Data_Flows[[#This Row],[UoM_Flow_Py]]</f>
        <v>Mg</v>
      </c>
    </row>
    <row r="99" spans="1:37" x14ac:dyDescent="0.35">
      <c r="A99" s="60">
        <f t="shared" si="12"/>
        <v>98</v>
      </c>
      <c r="B99" s="49" t="str">
        <f>_xlfn.XLOOKUP(C99,Tab_Def_Flows[Name(EN)],Tab_Def_Flows[Flow_ID],,0,)</f>
        <v>F_00_11</v>
      </c>
      <c r="C99" s="51" t="s">
        <v>429</v>
      </c>
      <c r="D99" s="49">
        <f>_xlfn.XLOOKUP(C99,Tab_Def_Flows[Name(EN)],Tab_Def_Flows[Type_Biomass],,0,)</f>
        <v>0</v>
      </c>
      <c r="E99" s="49" t="str">
        <f>_xlfn.XLOOKUP(C99,Tab_Def_Flows[Name(EN)],Tab_Def_Flows[Output_Process],,0,)</f>
        <v>Environment</v>
      </c>
      <c r="F99" s="49" t="str">
        <f>_xlfn.XLOOKUP(C99,Tab_Def_Flows[Name(EN)],Tab_Def_Flows[Process_ID_O],,0,)</f>
        <v>00_Env_BB</v>
      </c>
      <c r="G99" s="49" t="str">
        <f>_xlfn.XLOOKUP(C99,Tab_Def_Flows[Name(EN)],Tab_Def_Flows[Input_Process],,0,)</f>
        <v>Millet production</v>
      </c>
      <c r="H99" s="61" t="str">
        <f>_xlfn.XLOOKUP(C99,Tab_Def_Flows[Name(EN)],Tab_Def_Flows[Process_ID_I],,0,)</f>
        <v>11_Mil_BB</v>
      </c>
      <c r="I99" s="61">
        <f>_xlfn.XLOOKUP(C99,Tab_Def_Flows[Name(EN)],Tab_Def_Flows[Value_Source],,0,)</f>
        <v>0</v>
      </c>
      <c r="J99" s="61" t="s">
        <v>68</v>
      </c>
      <c r="K99" s="61" t="s">
        <v>68</v>
      </c>
      <c r="L99" s="61" t="s">
        <v>68</v>
      </c>
      <c r="M99" s="51">
        <v>2029</v>
      </c>
      <c r="N99" s="51" t="s">
        <v>353</v>
      </c>
      <c r="O99" s="126">
        <f t="shared" si="27"/>
        <v>1.14868566764928</v>
      </c>
      <c r="P99" s="51" t="s">
        <v>398</v>
      </c>
      <c r="Q99" s="51"/>
      <c r="R99" s="51"/>
      <c r="S99" s="51"/>
      <c r="T99" s="51"/>
      <c r="U99" s="51"/>
      <c r="V99" s="51"/>
      <c r="W99" s="51"/>
      <c r="X99" s="51" t="s">
        <v>71</v>
      </c>
      <c r="Y99" s="109"/>
      <c r="Z99" s="51"/>
      <c r="AA99" s="89">
        <f t="shared" si="26"/>
        <v>1.14868566764928</v>
      </c>
      <c r="AB99" s="51" t="s">
        <v>63</v>
      </c>
      <c r="AC99" s="114">
        <f>INDEX(Tab_Def_Flows[[Flow_ID]:[CC_DM_source]],MATCH(Tab_Data_Flows[[#This Row],[Name(EN)]],Tab_Def_Flows[Name(EN)],0),16)</f>
        <v>0.66</v>
      </c>
      <c r="AD99" s="115">
        <f>IF(J99="Yes",AA99*Tab_Data_Flows[[#This Row],[WC_'[%']]],"N.A.")</f>
        <v>0.75813254064852487</v>
      </c>
      <c r="AE99" s="61" t="str">
        <f>Tab_Data_Flows[[#This Row],[UoM_Flow_Py]]</f>
        <v>Mg</v>
      </c>
      <c r="AF99" s="114">
        <f>INDEX(Tab_Def_Flows[[Flow_ID]:[CC_DM_source]],MATCH(Tab_Data_Flows[[#This Row],[Name(EN)]],Tab_Def_Flows[Name(EN)],0),18)</f>
        <v>0.34</v>
      </c>
      <c r="AG99" s="115">
        <f>IF(K99="Yes",AF99*Tab_Data_Flows[[#This Row],[Flow_Py]],"N.A.")</f>
        <v>0.39055312700075523</v>
      </c>
      <c r="AH99" s="61" t="str">
        <f>Tab_Data_Flows[[#This Row],[UoM_Flow_Py]]</f>
        <v>Mg</v>
      </c>
      <c r="AI99" s="114">
        <f>INDEX(Tab_Def_Flows[[Flow_ID]:[CC_DM_source]],MATCH(Tab_Data_Flows[[#This Row],[Name(EN)]],Tab_Def_Flows[Name(EN)],0),20)</f>
        <v>0.47</v>
      </c>
      <c r="AJ99" s="115">
        <f>IF(L99="Yes",AI99*Tab_Data_Flows[[#This Row],[Flow_Py]],"N.A.")</f>
        <v>0.53988226379516158</v>
      </c>
      <c r="AK99" s="61" t="str">
        <f>Tab_Data_Flows[[#This Row],[UoM_Flow_Py]]</f>
        <v>Mg</v>
      </c>
    </row>
    <row r="100" spans="1:37" x14ac:dyDescent="0.35">
      <c r="A100" s="60">
        <f t="shared" si="12"/>
        <v>99</v>
      </c>
      <c r="B100" s="49" t="str">
        <f>_xlfn.XLOOKUP(C100,Tab_Def_Flows[Name(EN)],Tab_Def_Flows[Flow_ID],,0,)</f>
        <v>F_00_11</v>
      </c>
      <c r="C100" s="51" t="s">
        <v>429</v>
      </c>
      <c r="D100" s="49">
        <f>_xlfn.XLOOKUP(C100,Tab_Def_Flows[Name(EN)],Tab_Def_Flows[Type_Biomass],,0,)</f>
        <v>0</v>
      </c>
      <c r="E100" s="49" t="str">
        <f>_xlfn.XLOOKUP(C100,Tab_Def_Flows[Name(EN)],Tab_Def_Flows[Output_Process],,0,)</f>
        <v>Environment</v>
      </c>
      <c r="F100" s="49" t="str">
        <f>_xlfn.XLOOKUP(C100,Tab_Def_Flows[Name(EN)],Tab_Def_Flows[Process_ID_O],,0,)</f>
        <v>00_Env_BB</v>
      </c>
      <c r="G100" s="49" t="str">
        <f>_xlfn.XLOOKUP(C100,Tab_Def_Flows[Name(EN)],Tab_Def_Flows[Input_Process],,0,)</f>
        <v>Millet production</v>
      </c>
      <c r="H100" s="61" t="str">
        <f>_xlfn.XLOOKUP(C100,Tab_Def_Flows[Name(EN)],Tab_Def_Flows[Process_ID_I],,0,)</f>
        <v>11_Mil_BB</v>
      </c>
      <c r="I100" s="61">
        <f>_xlfn.XLOOKUP(C100,Tab_Def_Flows[Name(EN)],Tab_Def_Flows[Value_Source],,0,)</f>
        <v>0</v>
      </c>
      <c r="J100" s="61" t="s">
        <v>68</v>
      </c>
      <c r="K100" s="61" t="s">
        <v>68</v>
      </c>
      <c r="L100" s="61" t="s">
        <v>68</v>
      </c>
      <c r="M100" s="51">
        <v>2030</v>
      </c>
      <c r="N100" s="51" t="s">
        <v>353</v>
      </c>
      <c r="O100" s="126">
        <f t="shared" si="27"/>
        <v>1.1716593810022657</v>
      </c>
      <c r="P100" s="51" t="s">
        <v>398</v>
      </c>
      <c r="Q100" s="51"/>
      <c r="R100" s="51"/>
      <c r="S100" s="51"/>
      <c r="T100" s="51"/>
      <c r="U100" s="51"/>
      <c r="V100" s="51"/>
      <c r="W100" s="51"/>
      <c r="X100" s="51" t="s">
        <v>71</v>
      </c>
      <c r="Y100" s="109"/>
      <c r="Z100" s="51"/>
      <c r="AA100" s="89">
        <f t="shared" ref="AA100:AA105" si="28">IF(X100="no",O100,O100*Y100)</f>
        <v>1.1716593810022657</v>
      </c>
      <c r="AB100" s="51" t="s">
        <v>63</v>
      </c>
      <c r="AC100" s="114">
        <f>INDEX(Tab_Def_Flows[[Flow_ID]:[CC_DM_source]],MATCH(Tab_Data_Flows[[#This Row],[Name(EN)]],Tab_Def_Flows[Name(EN)],0),16)</f>
        <v>0.66</v>
      </c>
      <c r="AD100" s="115">
        <f>IF(J100="Yes",AA100*Tab_Data_Flows[[#This Row],[WC_'[%']]],"N.A.")</f>
        <v>0.77329519146149539</v>
      </c>
      <c r="AE100" s="61" t="str">
        <f>Tab_Data_Flows[[#This Row],[UoM_Flow_Py]]</f>
        <v>Mg</v>
      </c>
      <c r="AF100" s="114">
        <f>INDEX(Tab_Def_Flows[[Flow_ID]:[CC_DM_source]],MATCH(Tab_Data_Flows[[#This Row],[Name(EN)]],Tab_Def_Flows[Name(EN)],0),18)</f>
        <v>0.34</v>
      </c>
      <c r="AG100" s="115">
        <f>IF(K100="Yes",AF100*Tab_Data_Flows[[#This Row],[Flow_Py]],"N.A.")</f>
        <v>0.39836418954077041</v>
      </c>
      <c r="AH100" s="61" t="str">
        <f>Tab_Data_Flows[[#This Row],[UoM_Flow_Py]]</f>
        <v>Mg</v>
      </c>
      <c r="AI100" s="114">
        <f>INDEX(Tab_Def_Flows[[Flow_ID]:[CC_DM_source]],MATCH(Tab_Data_Flows[[#This Row],[Name(EN)]],Tab_Def_Flows[Name(EN)],0),20)</f>
        <v>0.47</v>
      </c>
      <c r="AJ100" s="115">
        <f>IF(L100="Yes",AI100*Tab_Data_Flows[[#This Row],[Flow_Py]],"N.A.")</f>
        <v>0.5506799090710649</v>
      </c>
      <c r="AK100" s="61" t="str">
        <f>Tab_Data_Flows[[#This Row],[UoM_Flow_Py]]</f>
        <v>Mg</v>
      </c>
    </row>
    <row r="101" spans="1:37" x14ac:dyDescent="0.35">
      <c r="A101" s="60">
        <f t="shared" si="12"/>
        <v>100</v>
      </c>
      <c r="B101" s="49" t="str">
        <f>_xlfn.XLOOKUP(C101,Tab_Def_Flows[Name(EN)],Tab_Def_Flows[Flow_ID],,0,)</f>
        <v>F_00_11</v>
      </c>
      <c r="C101" s="51" t="s">
        <v>429</v>
      </c>
      <c r="D101" s="49">
        <f>_xlfn.XLOOKUP(C101,Tab_Def_Flows[Name(EN)],Tab_Def_Flows[Type_Biomass],,0,)</f>
        <v>0</v>
      </c>
      <c r="E101" s="49" t="str">
        <f>_xlfn.XLOOKUP(C101,Tab_Def_Flows[Name(EN)],Tab_Def_Flows[Output_Process],,0,)</f>
        <v>Environment</v>
      </c>
      <c r="F101" s="49" t="str">
        <f>_xlfn.XLOOKUP(C101,Tab_Def_Flows[Name(EN)],Tab_Def_Flows[Process_ID_O],,0,)</f>
        <v>00_Env_BB</v>
      </c>
      <c r="G101" s="49" t="str">
        <f>_xlfn.XLOOKUP(C101,Tab_Def_Flows[Name(EN)],Tab_Def_Flows[Input_Process],,0,)</f>
        <v>Millet production</v>
      </c>
      <c r="H101" s="61" t="str">
        <f>_xlfn.XLOOKUP(C101,Tab_Def_Flows[Name(EN)],Tab_Def_Flows[Process_ID_I],,0,)</f>
        <v>11_Mil_BB</v>
      </c>
      <c r="I101" s="61">
        <f>_xlfn.XLOOKUP(C101,Tab_Def_Flows[Name(EN)],Tab_Def_Flows[Value_Source],,0,)</f>
        <v>0</v>
      </c>
      <c r="J101" s="61" t="s">
        <v>68</v>
      </c>
      <c r="K101" s="61" t="s">
        <v>68</v>
      </c>
      <c r="L101" s="61" t="s">
        <v>68</v>
      </c>
      <c r="M101" s="51">
        <v>2031</v>
      </c>
      <c r="N101" s="51" t="s">
        <v>353</v>
      </c>
      <c r="O101" s="126">
        <f t="shared" si="27"/>
        <v>1.1950925686223111</v>
      </c>
      <c r="P101" s="51" t="s">
        <v>398</v>
      </c>
      <c r="Q101" s="51"/>
      <c r="R101" s="51"/>
      <c r="S101" s="51"/>
      <c r="T101" s="51"/>
      <c r="U101" s="51"/>
      <c r="V101" s="51"/>
      <c r="W101" s="51"/>
      <c r="X101" s="51" t="s">
        <v>71</v>
      </c>
      <c r="Y101" s="109"/>
      <c r="Z101" s="51"/>
      <c r="AA101" s="89">
        <f t="shared" si="28"/>
        <v>1.1950925686223111</v>
      </c>
      <c r="AB101" s="51" t="s">
        <v>63</v>
      </c>
      <c r="AC101" s="114">
        <f>INDEX(Tab_Def_Flows[[Flow_ID]:[CC_DM_source]],MATCH(Tab_Data_Flows[[#This Row],[Name(EN)]],Tab_Def_Flows[Name(EN)],0),16)</f>
        <v>0.66</v>
      </c>
      <c r="AD101" s="115">
        <f>IF(J101="Yes",AA101*Tab_Data_Flows[[#This Row],[WC_'[%']]],"N.A.")</f>
        <v>0.78876109529072536</v>
      </c>
      <c r="AE101" s="61" t="str">
        <f>Tab_Data_Flows[[#This Row],[UoM_Flow_Py]]</f>
        <v>Mg</v>
      </c>
      <c r="AF101" s="114">
        <f>INDEX(Tab_Def_Flows[[Flow_ID]:[CC_DM_source]],MATCH(Tab_Data_Flows[[#This Row],[Name(EN)]],Tab_Def_Flows[Name(EN)],0),18)</f>
        <v>0.34</v>
      </c>
      <c r="AG101" s="115">
        <f>IF(K101="Yes",AF101*Tab_Data_Flows[[#This Row],[Flow_Py]],"N.A.")</f>
        <v>0.40633147333158581</v>
      </c>
      <c r="AH101" s="61" t="str">
        <f>Tab_Data_Flows[[#This Row],[UoM_Flow_Py]]</f>
        <v>Mg</v>
      </c>
      <c r="AI101" s="114">
        <f>INDEX(Tab_Def_Flows[[Flow_ID]:[CC_DM_source]],MATCH(Tab_Data_Flows[[#This Row],[Name(EN)]],Tab_Def_Flows[Name(EN)],0),20)</f>
        <v>0.47</v>
      </c>
      <c r="AJ101" s="115">
        <f>IF(L101="Yes",AI101*Tab_Data_Flows[[#This Row],[Flow_Py]],"N.A.")</f>
        <v>0.56169350725248612</v>
      </c>
      <c r="AK101" s="61" t="str">
        <f>Tab_Data_Flows[[#This Row],[UoM_Flow_Py]]</f>
        <v>Mg</v>
      </c>
    </row>
    <row r="102" spans="1:37" x14ac:dyDescent="0.35">
      <c r="A102" s="60">
        <f t="shared" si="12"/>
        <v>101</v>
      </c>
      <c r="B102" s="49" t="str">
        <f>_xlfn.XLOOKUP(C102,Tab_Def_Flows[Name(EN)],Tab_Def_Flows[Flow_ID],,0,)</f>
        <v>F_00_11</v>
      </c>
      <c r="C102" s="51" t="s">
        <v>429</v>
      </c>
      <c r="D102" s="49">
        <f>_xlfn.XLOOKUP(C102,Tab_Def_Flows[Name(EN)],Tab_Def_Flows[Type_Biomass],,0,)</f>
        <v>0</v>
      </c>
      <c r="E102" s="49" t="str">
        <f>_xlfn.XLOOKUP(C102,Tab_Def_Flows[Name(EN)],Tab_Def_Flows[Output_Process],,0,)</f>
        <v>Environment</v>
      </c>
      <c r="F102" s="49" t="str">
        <f>_xlfn.XLOOKUP(C102,Tab_Def_Flows[Name(EN)],Tab_Def_Flows[Process_ID_O],,0,)</f>
        <v>00_Env_BB</v>
      </c>
      <c r="G102" s="49" t="str">
        <f>_xlfn.XLOOKUP(C102,Tab_Def_Flows[Name(EN)],Tab_Def_Flows[Input_Process],,0,)</f>
        <v>Millet production</v>
      </c>
      <c r="H102" s="61" t="str">
        <f>_xlfn.XLOOKUP(C102,Tab_Def_Flows[Name(EN)],Tab_Def_Flows[Process_ID_I],,0,)</f>
        <v>11_Mil_BB</v>
      </c>
      <c r="I102" s="61">
        <f>_xlfn.XLOOKUP(C102,Tab_Def_Flows[Name(EN)],Tab_Def_Flows[Value_Source],,0,)</f>
        <v>0</v>
      </c>
      <c r="J102" s="61" t="s">
        <v>68</v>
      </c>
      <c r="K102" s="61" t="s">
        <v>68</v>
      </c>
      <c r="L102" s="61" t="s">
        <v>68</v>
      </c>
      <c r="M102" s="51">
        <v>2032</v>
      </c>
      <c r="N102" s="51" t="s">
        <v>353</v>
      </c>
      <c r="O102" s="126">
        <f t="shared" si="27"/>
        <v>1.2189944199947573</v>
      </c>
      <c r="P102" s="51" t="s">
        <v>398</v>
      </c>
      <c r="Q102" s="51"/>
      <c r="R102" s="51"/>
      <c r="S102" s="51"/>
      <c r="T102" s="51"/>
      <c r="U102" s="51"/>
      <c r="V102" s="51"/>
      <c r="W102" s="51"/>
      <c r="X102" s="51" t="s">
        <v>71</v>
      </c>
      <c r="Y102" s="109"/>
      <c r="Z102" s="51"/>
      <c r="AA102" s="89">
        <f t="shared" si="28"/>
        <v>1.2189944199947573</v>
      </c>
      <c r="AB102" s="51" t="s">
        <v>63</v>
      </c>
      <c r="AC102" s="114">
        <f>INDEX(Tab_Def_Flows[[Flow_ID]:[CC_DM_source]],MATCH(Tab_Data_Flows[[#This Row],[Name(EN)]],Tab_Def_Flows[Name(EN)],0),16)</f>
        <v>0.66</v>
      </c>
      <c r="AD102" s="115">
        <f>IF(J102="Yes",AA102*Tab_Data_Flows[[#This Row],[WC_'[%']]],"N.A.")</f>
        <v>0.80453631719653984</v>
      </c>
      <c r="AE102" s="61" t="str">
        <f>Tab_Data_Flows[[#This Row],[UoM_Flow_Py]]</f>
        <v>Mg</v>
      </c>
      <c r="AF102" s="114">
        <f>INDEX(Tab_Def_Flows[[Flow_ID]:[CC_DM_source]],MATCH(Tab_Data_Flows[[#This Row],[Name(EN)]],Tab_Def_Flows[Name(EN)],0),18)</f>
        <v>0.34</v>
      </c>
      <c r="AG102" s="115">
        <f>IF(K102="Yes",AF102*Tab_Data_Flows[[#This Row],[Flow_Py]],"N.A.")</f>
        <v>0.41445810279821754</v>
      </c>
      <c r="AH102" s="61" t="str">
        <f>Tab_Data_Flows[[#This Row],[UoM_Flow_Py]]</f>
        <v>Mg</v>
      </c>
      <c r="AI102" s="114">
        <f>INDEX(Tab_Def_Flows[[Flow_ID]:[CC_DM_source]],MATCH(Tab_Data_Flows[[#This Row],[Name(EN)]],Tab_Def_Flows[Name(EN)],0),20)</f>
        <v>0.47</v>
      </c>
      <c r="AJ102" s="115">
        <f>IF(L102="Yes",AI102*Tab_Data_Flows[[#This Row],[Flow_Py]],"N.A.")</f>
        <v>0.57292737739753596</v>
      </c>
      <c r="AK102" s="61" t="str">
        <f>Tab_Data_Flows[[#This Row],[UoM_Flow_Py]]</f>
        <v>Mg</v>
      </c>
    </row>
    <row r="103" spans="1:37" x14ac:dyDescent="0.35">
      <c r="A103" s="60">
        <f t="shared" si="12"/>
        <v>102</v>
      </c>
      <c r="B103" s="49" t="str">
        <f>_xlfn.XLOOKUP(C103,Tab_Def_Flows[Name(EN)],Tab_Def_Flows[Flow_ID],,0,)</f>
        <v>F_00_11</v>
      </c>
      <c r="C103" s="51" t="s">
        <v>429</v>
      </c>
      <c r="D103" s="49">
        <f>_xlfn.XLOOKUP(C103,Tab_Def_Flows[Name(EN)],Tab_Def_Flows[Type_Biomass],,0,)</f>
        <v>0</v>
      </c>
      <c r="E103" s="49" t="str">
        <f>_xlfn.XLOOKUP(C103,Tab_Def_Flows[Name(EN)],Tab_Def_Flows[Output_Process],,0,)</f>
        <v>Environment</v>
      </c>
      <c r="F103" s="49" t="str">
        <f>_xlfn.XLOOKUP(C103,Tab_Def_Flows[Name(EN)],Tab_Def_Flows[Process_ID_O],,0,)</f>
        <v>00_Env_BB</v>
      </c>
      <c r="G103" s="49" t="str">
        <f>_xlfn.XLOOKUP(C103,Tab_Def_Flows[Name(EN)],Tab_Def_Flows[Input_Process],,0,)</f>
        <v>Millet production</v>
      </c>
      <c r="H103" s="61" t="str">
        <f>_xlfn.XLOOKUP(C103,Tab_Def_Flows[Name(EN)],Tab_Def_Flows[Process_ID_I],,0,)</f>
        <v>11_Mil_BB</v>
      </c>
      <c r="I103" s="61">
        <f>_xlfn.XLOOKUP(C103,Tab_Def_Flows[Name(EN)],Tab_Def_Flows[Value_Source],,0,)</f>
        <v>0</v>
      </c>
      <c r="J103" s="61" t="s">
        <v>68</v>
      </c>
      <c r="K103" s="61" t="s">
        <v>68</v>
      </c>
      <c r="L103" s="61" t="s">
        <v>68</v>
      </c>
      <c r="M103" s="51">
        <v>2033</v>
      </c>
      <c r="N103" s="51" t="s">
        <v>353</v>
      </c>
      <c r="O103" s="126">
        <f t="shared" si="27"/>
        <v>1.2433743083946525</v>
      </c>
      <c r="P103" s="51" t="s">
        <v>398</v>
      </c>
      <c r="Q103" s="51"/>
      <c r="R103" s="51"/>
      <c r="S103" s="51"/>
      <c r="T103" s="51"/>
      <c r="U103" s="51"/>
      <c r="V103" s="51"/>
      <c r="W103" s="51"/>
      <c r="X103" s="51" t="s">
        <v>71</v>
      </c>
      <c r="Y103" s="109"/>
      <c r="Z103" s="51"/>
      <c r="AA103" s="89">
        <f t="shared" si="28"/>
        <v>1.2433743083946525</v>
      </c>
      <c r="AB103" s="51" t="s">
        <v>63</v>
      </c>
      <c r="AC103" s="114">
        <f>INDEX(Tab_Def_Flows[[Flow_ID]:[CC_DM_source]],MATCH(Tab_Data_Flows[[#This Row],[Name(EN)]],Tab_Def_Flows[Name(EN)],0),16)</f>
        <v>0.66</v>
      </c>
      <c r="AD103" s="115">
        <f>IF(J103="Yes",AA103*Tab_Data_Flows[[#This Row],[WC_'[%']]],"N.A.")</f>
        <v>0.82062704354047067</v>
      </c>
      <c r="AE103" s="61" t="str">
        <f>Tab_Data_Flows[[#This Row],[UoM_Flow_Py]]</f>
        <v>Mg</v>
      </c>
      <c r="AF103" s="114">
        <f>INDEX(Tab_Def_Flows[[Flow_ID]:[CC_DM_source]],MATCH(Tab_Data_Flows[[#This Row],[Name(EN)]],Tab_Def_Flows[Name(EN)],0),18)</f>
        <v>0.34</v>
      </c>
      <c r="AG103" s="115">
        <f>IF(K103="Yes",AF103*Tab_Data_Flows[[#This Row],[Flow_Py]],"N.A.")</f>
        <v>0.42274726485418185</v>
      </c>
      <c r="AH103" s="61" t="str">
        <f>Tab_Data_Flows[[#This Row],[UoM_Flow_Py]]</f>
        <v>Mg</v>
      </c>
      <c r="AI103" s="114">
        <f>INDEX(Tab_Def_Flows[[Flow_ID]:[CC_DM_source]],MATCH(Tab_Data_Flows[[#This Row],[Name(EN)]],Tab_Def_Flows[Name(EN)],0),20)</f>
        <v>0.47</v>
      </c>
      <c r="AJ103" s="115">
        <f>IF(L103="Yes",AI103*Tab_Data_Flows[[#This Row],[Flow_Py]],"N.A.")</f>
        <v>0.58438592494548658</v>
      </c>
      <c r="AK103" s="61" t="str">
        <f>Tab_Data_Flows[[#This Row],[UoM_Flow_Py]]</f>
        <v>Mg</v>
      </c>
    </row>
    <row r="104" spans="1:37" x14ac:dyDescent="0.35">
      <c r="A104" s="60">
        <f t="shared" si="12"/>
        <v>103</v>
      </c>
      <c r="B104" s="49" t="str">
        <f>_xlfn.XLOOKUP(C104,Tab_Def_Flows[Name(EN)],Tab_Def_Flows[Flow_ID],,0,)</f>
        <v>F_00_11</v>
      </c>
      <c r="C104" s="51" t="s">
        <v>429</v>
      </c>
      <c r="D104" s="49">
        <f>_xlfn.XLOOKUP(C104,Tab_Def_Flows[Name(EN)],Tab_Def_Flows[Type_Biomass],,0,)</f>
        <v>0</v>
      </c>
      <c r="E104" s="49" t="str">
        <f>_xlfn.XLOOKUP(C104,Tab_Def_Flows[Name(EN)],Tab_Def_Flows[Output_Process],,0,)</f>
        <v>Environment</v>
      </c>
      <c r="F104" s="49" t="str">
        <f>_xlfn.XLOOKUP(C104,Tab_Def_Flows[Name(EN)],Tab_Def_Flows[Process_ID_O],,0,)</f>
        <v>00_Env_BB</v>
      </c>
      <c r="G104" s="49" t="str">
        <f>_xlfn.XLOOKUP(C104,Tab_Def_Flows[Name(EN)],Tab_Def_Flows[Input_Process],,0,)</f>
        <v>Millet production</v>
      </c>
      <c r="H104" s="61" t="str">
        <f>_xlfn.XLOOKUP(C104,Tab_Def_Flows[Name(EN)],Tab_Def_Flows[Process_ID_I],,0,)</f>
        <v>11_Mil_BB</v>
      </c>
      <c r="I104" s="61">
        <f>_xlfn.XLOOKUP(C104,Tab_Def_Flows[Name(EN)],Tab_Def_Flows[Value_Source],,0,)</f>
        <v>0</v>
      </c>
      <c r="J104" s="61" t="s">
        <v>68</v>
      </c>
      <c r="K104" s="61" t="s">
        <v>68</v>
      </c>
      <c r="L104" s="61" t="s">
        <v>68</v>
      </c>
      <c r="M104" s="51">
        <v>2034</v>
      </c>
      <c r="N104" s="51" t="s">
        <v>353</v>
      </c>
      <c r="O104" s="126">
        <f t="shared" si="27"/>
        <v>1.2682417945625455</v>
      </c>
      <c r="P104" s="51" t="s">
        <v>398</v>
      </c>
      <c r="Q104" s="51"/>
      <c r="R104" s="51"/>
      <c r="S104" s="51"/>
      <c r="T104" s="51"/>
      <c r="U104" s="51"/>
      <c r="V104" s="51"/>
      <c r="W104" s="51"/>
      <c r="X104" s="51" t="s">
        <v>71</v>
      </c>
      <c r="Y104" s="109"/>
      <c r="Z104" s="51"/>
      <c r="AA104" s="89">
        <f t="shared" si="28"/>
        <v>1.2682417945625455</v>
      </c>
      <c r="AB104" s="51" t="s">
        <v>63</v>
      </c>
      <c r="AC104" s="114">
        <f>INDEX(Tab_Def_Flows[[Flow_ID]:[CC_DM_source]],MATCH(Tab_Data_Flows[[#This Row],[Name(EN)]],Tab_Def_Flows[Name(EN)],0),16)</f>
        <v>0.66</v>
      </c>
      <c r="AD104" s="115">
        <f>IF(J104="Yes",AA104*Tab_Data_Flows[[#This Row],[WC_'[%']]],"N.A.")</f>
        <v>0.83703958441128001</v>
      </c>
      <c r="AE104" s="61" t="str">
        <f>Tab_Data_Flows[[#This Row],[UoM_Flow_Py]]</f>
        <v>Mg</v>
      </c>
      <c r="AF104" s="114">
        <f>INDEX(Tab_Def_Flows[[Flow_ID]:[CC_DM_source]],MATCH(Tab_Data_Flows[[#This Row],[Name(EN)]],Tab_Def_Flows[Name(EN)],0),18)</f>
        <v>0.34</v>
      </c>
      <c r="AG104" s="115">
        <f>IF(K104="Yes",AF104*Tab_Data_Flows[[#This Row],[Flow_Py]],"N.A.")</f>
        <v>0.43120221015126547</v>
      </c>
      <c r="AH104" s="61" t="str">
        <f>Tab_Data_Flows[[#This Row],[UoM_Flow_Py]]</f>
        <v>Mg</v>
      </c>
      <c r="AI104" s="114">
        <f>INDEX(Tab_Def_Flows[[Flow_ID]:[CC_DM_source]],MATCH(Tab_Data_Flows[[#This Row],[Name(EN)]],Tab_Def_Flows[Name(EN)],0),20)</f>
        <v>0.47</v>
      </c>
      <c r="AJ104" s="115">
        <f>IF(L104="Yes",AI104*Tab_Data_Flows[[#This Row],[Flow_Py]],"N.A.")</f>
        <v>0.59607364344439639</v>
      </c>
      <c r="AK104" s="61" t="str">
        <f>Tab_Data_Flows[[#This Row],[UoM_Flow_Py]]</f>
        <v>Mg</v>
      </c>
    </row>
    <row r="105" spans="1:37" x14ac:dyDescent="0.35">
      <c r="A105" s="60">
        <f t="shared" si="12"/>
        <v>104</v>
      </c>
      <c r="B105" s="49" t="str">
        <f>_xlfn.XLOOKUP(C105,Tab_Def_Flows[Name(EN)],Tab_Def_Flows[Flow_ID],,0,)</f>
        <v>F_00_11</v>
      </c>
      <c r="C105" s="51" t="s">
        <v>429</v>
      </c>
      <c r="D105" s="49">
        <f>_xlfn.XLOOKUP(C105,Tab_Def_Flows[Name(EN)],Tab_Def_Flows[Type_Biomass],,0,)</f>
        <v>0</v>
      </c>
      <c r="E105" s="49" t="str">
        <f>_xlfn.XLOOKUP(C105,Tab_Def_Flows[Name(EN)],Tab_Def_Flows[Output_Process],,0,)</f>
        <v>Environment</v>
      </c>
      <c r="F105" s="49" t="str">
        <f>_xlfn.XLOOKUP(C105,Tab_Def_Flows[Name(EN)],Tab_Def_Flows[Process_ID_O],,0,)</f>
        <v>00_Env_BB</v>
      </c>
      <c r="G105" s="49" t="str">
        <f>_xlfn.XLOOKUP(C105,Tab_Def_Flows[Name(EN)],Tab_Def_Flows[Input_Process],,0,)</f>
        <v>Millet production</v>
      </c>
      <c r="H105" s="61" t="str">
        <f>_xlfn.XLOOKUP(C105,Tab_Def_Flows[Name(EN)],Tab_Def_Flows[Process_ID_I],,0,)</f>
        <v>11_Mil_BB</v>
      </c>
      <c r="I105" s="61">
        <f>_xlfn.XLOOKUP(C105,Tab_Def_Flows[Name(EN)],Tab_Def_Flows[Value_Source],,0,)</f>
        <v>0</v>
      </c>
      <c r="J105" s="61" t="s">
        <v>68</v>
      </c>
      <c r="K105" s="61" t="s">
        <v>68</v>
      </c>
      <c r="L105" s="61" t="s">
        <v>68</v>
      </c>
      <c r="M105" s="51">
        <v>2035</v>
      </c>
      <c r="N105" s="51" t="s">
        <v>353</v>
      </c>
      <c r="O105" s="126">
        <f t="shared" si="27"/>
        <v>1.2936066304537963</v>
      </c>
      <c r="P105" s="51" t="s">
        <v>398</v>
      </c>
      <c r="Q105" s="51"/>
      <c r="R105" s="51"/>
      <c r="S105" s="51"/>
      <c r="T105" s="51"/>
      <c r="U105" s="51"/>
      <c r="V105" s="51"/>
      <c r="W105" s="51"/>
      <c r="X105" s="51" t="s">
        <v>71</v>
      </c>
      <c r="Y105" s="109"/>
      <c r="Z105" s="51"/>
      <c r="AA105" s="89">
        <f t="shared" si="28"/>
        <v>1.2936066304537963</v>
      </c>
      <c r="AB105" s="51" t="s">
        <v>63</v>
      </c>
      <c r="AC105" s="114">
        <f>INDEX(Tab_Def_Flows[[Flow_ID]:[CC_DM_source]],MATCH(Tab_Data_Flows[[#This Row],[Name(EN)]],Tab_Def_Flows[Name(EN)],0),16)</f>
        <v>0.66</v>
      </c>
      <c r="AD105" s="115">
        <f>IF(J105="Yes",AA105*Tab_Data_Flows[[#This Row],[WC_'[%']]],"N.A.")</f>
        <v>0.85378037609950563</v>
      </c>
      <c r="AE105" s="61" t="str">
        <f>Tab_Data_Flows[[#This Row],[UoM_Flow_Py]]</f>
        <v>Mg</v>
      </c>
      <c r="AF105" s="114">
        <f>INDEX(Tab_Def_Flows[[Flow_ID]:[CC_DM_source]],MATCH(Tab_Data_Flows[[#This Row],[Name(EN)]],Tab_Def_Flows[Name(EN)],0),18)</f>
        <v>0.34</v>
      </c>
      <c r="AG105" s="115">
        <f>IF(K105="Yes",AF105*Tab_Data_Flows[[#This Row],[Flow_Py]],"N.A.")</f>
        <v>0.43982625435429079</v>
      </c>
      <c r="AH105" s="61" t="str">
        <f>Tab_Data_Flows[[#This Row],[UoM_Flow_Py]]</f>
        <v>Mg</v>
      </c>
      <c r="AI105" s="114">
        <f>INDEX(Tab_Def_Flows[[Flow_ID]:[CC_DM_source]],MATCH(Tab_Data_Flows[[#This Row],[Name(EN)]],Tab_Def_Flows[Name(EN)],0),20)</f>
        <v>0.47</v>
      </c>
      <c r="AJ105" s="115">
        <f>IF(L105="Yes",AI105*Tab_Data_Flows[[#This Row],[Flow_Py]],"N.A.")</f>
        <v>0.60799511631328418</v>
      </c>
      <c r="AK105" s="61" t="str">
        <f>Tab_Data_Flows[[#This Row],[UoM_Flow_Py]]</f>
        <v>Mg</v>
      </c>
    </row>
    <row r="106" spans="1:37" x14ac:dyDescent="0.35">
      <c r="A106" s="60">
        <f t="shared" si="12"/>
        <v>105</v>
      </c>
      <c r="B106" s="49" t="str">
        <f>_xlfn.XLOOKUP(C106,Tab_Def_Flows[Name(EN)],Tab_Def_Flows[Flow_ID],,0,)</f>
        <v>F_00_11</v>
      </c>
      <c r="C106" s="51" t="s">
        <v>429</v>
      </c>
      <c r="D106" s="49">
        <f>_xlfn.XLOOKUP(C106,Tab_Def_Flows[Name(EN)],Tab_Def_Flows[Type_Biomass],,0,)</f>
        <v>0</v>
      </c>
      <c r="E106" s="49" t="str">
        <f>_xlfn.XLOOKUP(C106,Tab_Def_Flows[Name(EN)],Tab_Def_Flows[Output_Process],,0,)</f>
        <v>Environment</v>
      </c>
      <c r="F106" s="49" t="str">
        <f>_xlfn.XLOOKUP(C106,Tab_Def_Flows[Name(EN)],Tab_Def_Flows[Process_ID_O],,0,)</f>
        <v>00_Env_BB</v>
      </c>
      <c r="G106" s="49" t="str">
        <f>_xlfn.XLOOKUP(C106,Tab_Def_Flows[Name(EN)],Tab_Def_Flows[Input_Process],,0,)</f>
        <v>Millet production</v>
      </c>
      <c r="H106" s="61" t="str">
        <f>_xlfn.XLOOKUP(C106,Tab_Def_Flows[Name(EN)],Tab_Def_Flows[Process_ID_I],,0,)</f>
        <v>11_Mil_BB</v>
      </c>
      <c r="I106" s="61">
        <f>_xlfn.XLOOKUP(C106,Tab_Def_Flows[Name(EN)],Tab_Def_Flows[Value_Source],,0,)</f>
        <v>0</v>
      </c>
      <c r="J106" s="61" t="s">
        <v>68</v>
      </c>
      <c r="K106" s="61" t="s">
        <v>68</v>
      </c>
      <c r="L106" s="61" t="s">
        <v>68</v>
      </c>
      <c r="M106" s="51">
        <v>2036</v>
      </c>
      <c r="N106" s="51" t="s">
        <v>353</v>
      </c>
      <c r="O106" s="126">
        <f t="shared" si="27"/>
        <v>1.3194787630628724</v>
      </c>
      <c r="P106" s="51" t="s">
        <v>398</v>
      </c>
      <c r="Q106" s="51"/>
      <c r="R106" s="51"/>
      <c r="S106" s="51"/>
      <c r="T106" s="51"/>
      <c r="U106" s="51"/>
      <c r="V106" s="51"/>
      <c r="W106" s="51"/>
      <c r="X106" s="51" t="s">
        <v>71</v>
      </c>
      <c r="Y106" s="109"/>
      <c r="Z106" s="51"/>
      <c r="AA106" s="89">
        <f t="shared" ref="AA106" si="29">IF(X106="no",O106,O106*Y106)</f>
        <v>1.3194787630628724</v>
      </c>
      <c r="AB106" s="51" t="s">
        <v>63</v>
      </c>
      <c r="AC106" s="114">
        <f>INDEX(Tab_Def_Flows[[Flow_ID]:[CC_DM_source]],MATCH(Tab_Data_Flows[[#This Row],[Name(EN)]],Tab_Def_Flows[Name(EN)],0),16)</f>
        <v>0.66</v>
      </c>
      <c r="AD106" s="115">
        <f>IF(J106="Yes",AA106*Tab_Data_Flows[[#This Row],[WC_'[%']]],"N.A.")</f>
        <v>0.87085598362149585</v>
      </c>
      <c r="AE106" s="61" t="str">
        <f>Tab_Data_Flows[[#This Row],[UoM_Flow_Py]]</f>
        <v>Mg</v>
      </c>
      <c r="AF106" s="114">
        <f>INDEX(Tab_Def_Flows[[Flow_ID]:[CC_DM_source]],MATCH(Tab_Data_Flows[[#This Row],[Name(EN)]],Tab_Def_Flows[Name(EN)],0),18)</f>
        <v>0.34</v>
      </c>
      <c r="AG106" s="115">
        <f>IF(K106="Yes",AF106*Tab_Data_Flows[[#This Row],[Flow_Py]],"N.A.")</f>
        <v>0.44862277944137663</v>
      </c>
      <c r="AH106" s="61" t="str">
        <f>Tab_Data_Flows[[#This Row],[UoM_Flow_Py]]</f>
        <v>Mg</v>
      </c>
      <c r="AI106" s="114">
        <f>INDEX(Tab_Def_Flows[[Flow_ID]:[CC_DM_source]],MATCH(Tab_Data_Flows[[#This Row],[Name(EN)]],Tab_Def_Flows[Name(EN)],0),20)</f>
        <v>0.47</v>
      </c>
      <c r="AJ106" s="115">
        <f>IF(L106="Yes",AI106*Tab_Data_Flows[[#This Row],[Flow_Py]],"N.A.")</f>
        <v>0.62015501863955003</v>
      </c>
      <c r="AK106" s="61" t="str">
        <f>Tab_Data_Flows[[#This Row],[UoM_Flow_Py]]</f>
        <v>Mg</v>
      </c>
    </row>
    <row r="107" spans="1:37" x14ac:dyDescent="0.35">
      <c r="A107" s="60">
        <f t="shared" si="12"/>
        <v>106</v>
      </c>
      <c r="B107" s="49" t="str">
        <f>_xlfn.XLOOKUP(C107,Tab_Def_Flows[Name(EN)],Tab_Def_Flows[Flow_ID],,0,)</f>
        <v>F_00_08</v>
      </c>
      <c r="C107" s="51" t="s">
        <v>430</v>
      </c>
      <c r="D107" s="49">
        <f>_xlfn.XLOOKUP(C107,Tab_Def_Flows[Name(EN)],Tab_Def_Flows[Type_Biomass],,0,)</f>
        <v>0</v>
      </c>
      <c r="E107" s="49" t="str">
        <f>_xlfn.XLOOKUP(C107,Tab_Def_Flows[Name(EN)],Tab_Def_Flows[Output_Process],,0,)</f>
        <v>Environment</v>
      </c>
      <c r="F107" s="49" t="str">
        <f>_xlfn.XLOOKUP(C107,Tab_Def_Flows[Name(EN)],Tab_Def_Flows[Process_ID_O],,0,)</f>
        <v>00_Env_BB</v>
      </c>
      <c r="G107" s="49" t="str">
        <f>_xlfn.XLOOKUP(C107,Tab_Def_Flows[Name(EN)],Tab_Def_Flows[Input_Process],,0,)</f>
        <v>Water System (Import)</v>
      </c>
      <c r="H107" s="61" t="str">
        <f>_xlfn.XLOOKUP(C107,Tab_Def_Flows[Name(EN)],Tab_Def_Flows[Process_ID_I],,0,)</f>
        <v>08_Wat_BB</v>
      </c>
      <c r="I107" s="61">
        <f>_xlfn.XLOOKUP(C107,Tab_Def_Flows[Name(EN)],Tab_Def_Flows[Value_Source],,0,)</f>
        <v>0</v>
      </c>
      <c r="J107" s="61" t="s">
        <v>68</v>
      </c>
      <c r="K107" s="61" t="s">
        <v>68</v>
      </c>
      <c r="L107" s="61" t="s">
        <v>71</v>
      </c>
      <c r="M107" s="51">
        <v>2022</v>
      </c>
      <c r="N107" s="51" t="s">
        <v>353</v>
      </c>
      <c r="O107" s="126">
        <v>74</v>
      </c>
      <c r="P107" s="51" t="s">
        <v>398</v>
      </c>
      <c r="Q107" s="51"/>
      <c r="R107" s="51"/>
      <c r="S107" s="51"/>
      <c r="T107" s="51"/>
      <c r="U107" s="51"/>
      <c r="V107" s="51"/>
      <c r="W107" s="51"/>
      <c r="X107" s="51" t="s">
        <v>71</v>
      </c>
      <c r="Y107" s="109"/>
      <c r="Z107" s="51"/>
      <c r="AA107" s="89">
        <f t="shared" si="7"/>
        <v>74</v>
      </c>
      <c r="AB107" s="51" t="s">
        <v>63</v>
      </c>
      <c r="AC107" s="114">
        <f>INDEX(Tab_Def_Flows[[Flow_ID]:[CC_DM_source]],MATCH(Tab_Data_Flows[[#This Row],[Name(EN)]],Tab_Def_Flows[Name(EN)],0),16)</f>
        <v>1</v>
      </c>
      <c r="AD107" s="115">
        <f>IF(J107="Yes",AA107*Tab_Data_Flows[[#This Row],[WC_'[%']]],"N.A.")</f>
        <v>74</v>
      </c>
      <c r="AE107" s="61" t="str">
        <f>Tab_Data_Flows[[#This Row],[UoM_Flow_Py]]</f>
        <v>Mg</v>
      </c>
      <c r="AF107" s="114">
        <f>INDEX(Tab_Def_Flows[[Flow_ID]:[CC_DM_source]],MATCH(Tab_Data_Flows[[#This Row],[Name(EN)]],Tab_Def_Flows[Name(EN)],0),18)</f>
        <v>0</v>
      </c>
      <c r="AG107" s="115">
        <f>IF(K107="Yes",AF107*Tab_Data_Flows[[#This Row],[Flow_Py]],"N.A.")</f>
        <v>0</v>
      </c>
      <c r="AH107" s="61" t="str">
        <f>Tab_Data_Flows[[#This Row],[UoM_Flow_Py]]</f>
        <v>Mg</v>
      </c>
      <c r="AI107" s="114">
        <f>INDEX(Tab_Def_Flows[[Flow_ID]:[CC_DM_source]],MATCH(Tab_Data_Flows[[#This Row],[Name(EN)]],Tab_Def_Flows[Name(EN)],0),20)</f>
        <v>0</v>
      </c>
      <c r="AJ107" s="115" t="str">
        <f>IF(L107="Yes",AI107*Tab_Data_Flows[[#This Row],[Flow_Py]],"N.A.")</f>
        <v>N.A.</v>
      </c>
      <c r="AK107" s="61" t="str">
        <f>Tab_Data_Flows[[#This Row],[UoM_Flow_Py]]</f>
        <v>Mg</v>
      </c>
    </row>
    <row r="108" spans="1:37" x14ac:dyDescent="0.35">
      <c r="A108" s="60">
        <f t="shared" si="12"/>
        <v>107</v>
      </c>
      <c r="B108" s="49" t="str">
        <f>_xlfn.XLOOKUP(C108,Tab_Def_Flows[Name(EN)],Tab_Def_Flows[Flow_ID],,0,)</f>
        <v>F_00_08</v>
      </c>
      <c r="C108" s="51" t="s">
        <v>430</v>
      </c>
      <c r="D108" s="49">
        <f>_xlfn.XLOOKUP(C108,Tab_Def_Flows[Name(EN)],Tab_Def_Flows[Type_Biomass],,0,)</f>
        <v>0</v>
      </c>
      <c r="E108" s="49" t="str">
        <f>_xlfn.XLOOKUP(C108,Tab_Def_Flows[Name(EN)],Tab_Def_Flows[Output_Process],,0,)</f>
        <v>Environment</v>
      </c>
      <c r="F108" s="49" t="str">
        <f>_xlfn.XLOOKUP(C108,Tab_Def_Flows[Name(EN)],Tab_Def_Flows[Process_ID_O],,0,)</f>
        <v>00_Env_BB</v>
      </c>
      <c r="G108" s="49" t="str">
        <f>_xlfn.XLOOKUP(C108,Tab_Def_Flows[Name(EN)],Tab_Def_Flows[Input_Process],,0,)</f>
        <v>Water System (Import)</v>
      </c>
      <c r="H108" s="61" t="str">
        <f>_xlfn.XLOOKUP(C108,Tab_Def_Flows[Name(EN)],Tab_Def_Flows[Process_ID_I],,0,)</f>
        <v>08_Wat_BB</v>
      </c>
      <c r="I108" s="61">
        <f>_xlfn.XLOOKUP(C108,Tab_Def_Flows[Name(EN)],Tab_Def_Flows[Value_Source],,0,)</f>
        <v>0</v>
      </c>
      <c r="J108" s="61" t="s">
        <v>68</v>
      </c>
      <c r="K108" s="61" t="s">
        <v>68</v>
      </c>
      <c r="L108" s="61" t="s">
        <v>71</v>
      </c>
      <c r="M108" s="51">
        <v>2023</v>
      </c>
      <c r="N108" s="51" t="s">
        <v>353</v>
      </c>
      <c r="O108" s="126">
        <f>O107*1.02</f>
        <v>75.48</v>
      </c>
      <c r="P108" s="51" t="s">
        <v>398</v>
      </c>
      <c r="Q108" s="51"/>
      <c r="R108" s="51"/>
      <c r="S108" s="51"/>
      <c r="T108" s="51"/>
      <c r="U108" s="51"/>
      <c r="V108" s="51"/>
      <c r="W108" s="51"/>
      <c r="X108" s="51" t="s">
        <v>71</v>
      </c>
      <c r="Y108" s="109"/>
      <c r="Z108" s="51"/>
      <c r="AA108" s="89">
        <f t="shared" ref="AA108:AA114" si="30">IF(X108="no",O108,O108*Y108)</f>
        <v>75.48</v>
      </c>
      <c r="AB108" s="51" t="s">
        <v>63</v>
      </c>
      <c r="AC108" s="114">
        <f>INDEX(Tab_Def_Flows[[Flow_ID]:[CC_DM_source]],MATCH(Tab_Data_Flows[[#This Row],[Name(EN)]],Tab_Def_Flows[Name(EN)],0),16)</f>
        <v>1</v>
      </c>
      <c r="AD108" s="115">
        <f>IF(J108="Yes",AA108*Tab_Data_Flows[[#This Row],[WC_'[%']]],"N.A.")</f>
        <v>75.48</v>
      </c>
      <c r="AE108" s="61" t="str">
        <f>Tab_Data_Flows[[#This Row],[UoM_Flow_Py]]</f>
        <v>Mg</v>
      </c>
      <c r="AF108" s="114">
        <f>INDEX(Tab_Def_Flows[[Flow_ID]:[CC_DM_source]],MATCH(Tab_Data_Flows[[#This Row],[Name(EN)]],Tab_Def_Flows[Name(EN)],0),18)</f>
        <v>0</v>
      </c>
      <c r="AG108" s="115">
        <f>IF(K108="Yes",AF108*Tab_Data_Flows[[#This Row],[Flow_Py]],"N.A.")</f>
        <v>0</v>
      </c>
      <c r="AH108" s="61" t="str">
        <f>Tab_Data_Flows[[#This Row],[UoM_Flow_Py]]</f>
        <v>Mg</v>
      </c>
      <c r="AI108" s="114">
        <f>INDEX(Tab_Def_Flows[[Flow_ID]:[CC_DM_source]],MATCH(Tab_Data_Flows[[#This Row],[Name(EN)]],Tab_Def_Flows[Name(EN)],0),20)</f>
        <v>0</v>
      </c>
      <c r="AJ108" s="115" t="str">
        <f>IF(L108="Yes",AI108*Tab_Data_Flows[[#This Row],[Flow_Py]],"N.A.")</f>
        <v>N.A.</v>
      </c>
      <c r="AK108" s="61" t="str">
        <f>Tab_Data_Flows[[#This Row],[UoM_Flow_Py]]</f>
        <v>Mg</v>
      </c>
    </row>
    <row r="109" spans="1:37" x14ac:dyDescent="0.35">
      <c r="A109" s="60">
        <f t="shared" si="12"/>
        <v>108</v>
      </c>
      <c r="B109" s="49" t="str">
        <f>_xlfn.XLOOKUP(C109,Tab_Def_Flows[Name(EN)],Tab_Def_Flows[Flow_ID],,0,)</f>
        <v>F_00_08</v>
      </c>
      <c r="C109" s="51" t="s">
        <v>430</v>
      </c>
      <c r="D109" s="49">
        <f>_xlfn.XLOOKUP(C109,Tab_Def_Flows[Name(EN)],Tab_Def_Flows[Type_Biomass],,0,)</f>
        <v>0</v>
      </c>
      <c r="E109" s="49" t="str">
        <f>_xlfn.XLOOKUP(C109,Tab_Def_Flows[Name(EN)],Tab_Def_Flows[Output_Process],,0,)</f>
        <v>Environment</v>
      </c>
      <c r="F109" s="49" t="str">
        <f>_xlfn.XLOOKUP(C109,Tab_Def_Flows[Name(EN)],Tab_Def_Flows[Process_ID_O],,0,)</f>
        <v>00_Env_BB</v>
      </c>
      <c r="G109" s="49" t="str">
        <f>_xlfn.XLOOKUP(C109,Tab_Def_Flows[Name(EN)],Tab_Def_Flows[Input_Process],,0,)</f>
        <v>Water System (Import)</v>
      </c>
      <c r="H109" s="61" t="str">
        <f>_xlfn.XLOOKUP(C109,Tab_Def_Flows[Name(EN)],Tab_Def_Flows[Process_ID_I],,0,)</f>
        <v>08_Wat_BB</v>
      </c>
      <c r="I109" s="61">
        <f>_xlfn.XLOOKUP(C109,Tab_Def_Flows[Name(EN)],Tab_Def_Flows[Value_Source],,0,)</f>
        <v>0</v>
      </c>
      <c r="J109" s="61" t="s">
        <v>68</v>
      </c>
      <c r="K109" s="61" t="s">
        <v>68</v>
      </c>
      <c r="L109" s="61" t="s">
        <v>71</v>
      </c>
      <c r="M109" s="51">
        <v>2024</v>
      </c>
      <c r="N109" s="51" t="s">
        <v>353</v>
      </c>
      <c r="O109" s="126">
        <f t="shared" ref="O109:O121" si="31">O108*1.02</f>
        <v>76.98960000000001</v>
      </c>
      <c r="P109" s="51" t="s">
        <v>398</v>
      </c>
      <c r="Q109" s="51"/>
      <c r="R109" s="51"/>
      <c r="S109" s="51"/>
      <c r="T109" s="51"/>
      <c r="U109" s="51"/>
      <c r="V109" s="51"/>
      <c r="W109" s="51"/>
      <c r="X109" s="51" t="s">
        <v>71</v>
      </c>
      <c r="Y109" s="109"/>
      <c r="Z109" s="51"/>
      <c r="AA109" s="89">
        <f t="shared" si="30"/>
        <v>76.98960000000001</v>
      </c>
      <c r="AB109" s="51" t="s">
        <v>63</v>
      </c>
      <c r="AC109" s="114">
        <f>INDEX(Tab_Def_Flows[[Flow_ID]:[CC_DM_source]],MATCH(Tab_Data_Flows[[#This Row],[Name(EN)]],Tab_Def_Flows[Name(EN)],0),16)</f>
        <v>1</v>
      </c>
      <c r="AD109" s="115">
        <f>IF(J109="Yes",AA109*Tab_Data_Flows[[#This Row],[WC_'[%']]],"N.A.")</f>
        <v>76.98960000000001</v>
      </c>
      <c r="AE109" s="61" t="str">
        <f>Tab_Data_Flows[[#This Row],[UoM_Flow_Py]]</f>
        <v>Mg</v>
      </c>
      <c r="AF109" s="114">
        <f>INDEX(Tab_Def_Flows[[Flow_ID]:[CC_DM_source]],MATCH(Tab_Data_Flows[[#This Row],[Name(EN)]],Tab_Def_Flows[Name(EN)],0),18)</f>
        <v>0</v>
      </c>
      <c r="AG109" s="115">
        <f>IF(K109="Yes",AF109*Tab_Data_Flows[[#This Row],[Flow_Py]],"N.A.")</f>
        <v>0</v>
      </c>
      <c r="AH109" s="61" t="str">
        <f>Tab_Data_Flows[[#This Row],[UoM_Flow_Py]]</f>
        <v>Mg</v>
      </c>
      <c r="AI109" s="114">
        <f>INDEX(Tab_Def_Flows[[Flow_ID]:[CC_DM_source]],MATCH(Tab_Data_Flows[[#This Row],[Name(EN)]],Tab_Def_Flows[Name(EN)],0),20)</f>
        <v>0</v>
      </c>
      <c r="AJ109" s="115" t="str">
        <f>IF(L109="Yes",AI109*Tab_Data_Flows[[#This Row],[Flow_Py]],"N.A.")</f>
        <v>N.A.</v>
      </c>
      <c r="AK109" s="61" t="str">
        <f>Tab_Data_Flows[[#This Row],[UoM_Flow_Py]]</f>
        <v>Mg</v>
      </c>
    </row>
    <row r="110" spans="1:37" x14ac:dyDescent="0.35">
      <c r="A110" s="60">
        <f t="shared" si="12"/>
        <v>109</v>
      </c>
      <c r="B110" s="49" t="str">
        <f>_xlfn.XLOOKUP(C110,Tab_Def_Flows[Name(EN)],Tab_Def_Flows[Flow_ID],,0,)</f>
        <v>F_00_08</v>
      </c>
      <c r="C110" s="51" t="s">
        <v>430</v>
      </c>
      <c r="D110" s="49">
        <f>_xlfn.XLOOKUP(C110,Tab_Def_Flows[Name(EN)],Tab_Def_Flows[Type_Biomass],,0,)</f>
        <v>0</v>
      </c>
      <c r="E110" s="49" t="str">
        <f>_xlfn.XLOOKUP(C110,Tab_Def_Flows[Name(EN)],Tab_Def_Flows[Output_Process],,0,)</f>
        <v>Environment</v>
      </c>
      <c r="F110" s="49" t="str">
        <f>_xlfn.XLOOKUP(C110,Tab_Def_Flows[Name(EN)],Tab_Def_Flows[Process_ID_O],,0,)</f>
        <v>00_Env_BB</v>
      </c>
      <c r="G110" s="49" t="str">
        <f>_xlfn.XLOOKUP(C110,Tab_Def_Flows[Name(EN)],Tab_Def_Flows[Input_Process],,0,)</f>
        <v>Water System (Import)</v>
      </c>
      <c r="H110" s="61" t="str">
        <f>_xlfn.XLOOKUP(C110,Tab_Def_Flows[Name(EN)],Tab_Def_Flows[Process_ID_I],,0,)</f>
        <v>08_Wat_BB</v>
      </c>
      <c r="I110" s="61">
        <f>_xlfn.XLOOKUP(C110,Tab_Def_Flows[Name(EN)],Tab_Def_Flows[Value_Source],,0,)</f>
        <v>0</v>
      </c>
      <c r="J110" s="61" t="s">
        <v>68</v>
      </c>
      <c r="K110" s="61" t="s">
        <v>68</v>
      </c>
      <c r="L110" s="61" t="s">
        <v>71</v>
      </c>
      <c r="M110" s="51">
        <v>2025</v>
      </c>
      <c r="N110" s="51" t="s">
        <v>353</v>
      </c>
      <c r="O110" s="126">
        <f t="shared" si="31"/>
        <v>78.529392000000016</v>
      </c>
      <c r="P110" s="51" t="s">
        <v>398</v>
      </c>
      <c r="Q110" s="51"/>
      <c r="R110" s="51"/>
      <c r="S110" s="51"/>
      <c r="T110" s="51"/>
      <c r="U110" s="51"/>
      <c r="V110" s="51"/>
      <c r="W110" s="51"/>
      <c r="X110" s="51" t="s">
        <v>71</v>
      </c>
      <c r="Y110" s="109"/>
      <c r="Z110" s="51"/>
      <c r="AA110" s="89">
        <f t="shared" si="30"/>
        <v>78.529392000000016</v>
      </c>
      <c r="AB110" s="51" t="s">
        <v>63</v>
      </c>
      <c r="AC110" s="114">
        <f>INDEX(Tab_Def_Flows[[Flow_ID]:[CC_DM_source]],MATCH(Tab_Data_Flows[[#This Row],[Name(EN)]],Tab_Def_Flows[Name(EN)],0),16)</f>
        <v>1</v>
      </c>
      <c r="AD110" s="115">
        <f>IF(J110="Yes",AA110*Tab_Data_Flows[[#This Row],[WC_'[%']]],"N.A.")</f>
        <v>78.529392000000016</v>
      </c>
      <c r="AE110" s="61" t="str">
        <f>Tab_Data_Flows[[#This Row],[UoM_Flow_Py]]</f>
        <v>Mg</v>
      </c>
      <c r="AF110" s="114">
        <f>INDEX(Tab_Def_Flows[[Flow_ID]:[CC_DM_source]],MATCH(Tab_Data_Flows[[#This Row],[Name(EN)]],Tab_Def_Flows[Name(EN)],0),18)</f>
        <v>0</v>
      </c>
      <c r="AG110" s="115">
        <f>IF(K110="Yes",AF110*Tab_Data_Flows[[#This Row],[Flow_Py]],"N.A.")</f>
        <v>0</v>
      </c>
      <c r="AH110" s="61" t="str">
        <f>Tab_Data_Flows[[#This Row],[UoM_Flow_Py]]</f>
        <v>Mg</v>
      </c>
      <c r="AI110" s="114">
        <f>INDEX(Tab_Def_Flows[[Flow_ID]:[CC_DM_source]],MATCH(Tab_Data_Flows[[#This Row],[Name(EN)]],Tab_Def_Flows[Name(EN)],0),20)</f>
        <v>0</v>
      </c>
      <c r="AJ110" s="115" t="str">
        <f>IF(L110="Yes",AI110*Tab_Data_Flows[[#This Row],[Flow_Py]],"N.A.")</f>
        <v>N.A.</v>
      </c>
      <c r="AK110" s="61" t="str">
        <f>Tab_Data_Flows[[#This Row],[UoM_Flow_Py]]</f>
        <v>Mg</v>
      </c>
    </row>
    <row r="111" spans="1:37" x14ac:dyDescent="0.35">
      <c r="A111" s="60">
        <f t="shared" si="12"/>
        <v>110</v>
      </c>
      <c r="B111" s="49" t="str">
        <f>_xlfn.XLOOKUP(C111,Tab_Def_Flows[Name(EN)],Tab_Def_Flows[Flow_ID],,0,)</f>
        <v>F_00_08</v>
      </c>
      <c r="C111" s="51" t="s">
        <v>430</v>
      </c>
      <c r="D111" s="49">
        <f>_xlfn.XLOOKUP(C111,Tab_Def_Flows[Name(EN)],Tab_Def_Flows[Type_Biomass],,0,)</f>
        <v>0</v>
      </c>
      <c r="E111" s="49" t="str">
        <f>_xlfn.XLOOKUP(C111,Tab_Def_Flows[Name(EN)],Tab_Def_Flows[Output_Process],,0,)</f>
        <v>Environment</v>
      </c>
      <c r="F111" s="49" t="str">
        <f>_xlfn.XLOOKUP(C111,Tab_Def_Flows[Name(EN)],Tab_Def_Flows[Process_ID_O],,0,)</f>
        <v>00_Env_BB</v>
      </c>
      <c r="G111" s="49" t="str">
        <f>_xlfn.XLOOKUP(C111,Tab_Def_Flows[Name(EN)],Tab_Def_Flows[Input_Process],,0,)</f>
        <v>Water System (Import)</v>
      </c>
      <c r="H111" s="61" t="str">
        <f>_xlfn.XLOOKUP(C111,Tab_Def_Flows[Name(EN)],Tab_Def_Flows[Process_ID_I],,0,)</f>
        <v>08_Wat_BB</v>
      </c>
      <c r="I111" s="61">
        <f>_xlfn.XLOOKUP(C111,Tab_Def_Flows[Name(EN)],Tab_Def_Flows[Value_Source],,0,)</f>
        <v>0</v>
      </c>
      <c r="J111" s="61" t="s">
        <v>68</v>
      </c>
      <c r="K111" s="61" t="s">
        <v>68</v>
      </c>
      <c r="L111" s="61" t="s">
        <v>71</v>
      </c>
      <c r="M111" s="51">
        <v>2026</v>
      </c>
      <c r="N111" s="51" t="s">
        <v>353</v>
      </c>
      <c r="O111" s="126">
        <f t="shared" si="31"/>
        <v>80.099979840000017</v>
      </c>
      <c r="P111" s="51" t="s">
        <v>398</v>
      </c>
      <c r="Q111" s="51"/>
      <c r="R111" s="51"/>
      <c r="S111" s="51"/>
      <c r="T111" s="51"/>
      <c r="U111" s="51"/>
      <c r="V111" s="51"/>
      <c r="W111" s="51"/>
      <c r="X111" s="51" t="s">
        <v>71</v>
      </c>
      <c r="Y111" s="109"/>
      <c r="Z111" s="51"/>
      <c r="AA111" s="89">
        <f t="shared" si="30"/>
        <v>80.099979840000017</v>
      </c>
      <c r="AB111" s="51" t="s">
        <v>63</v>
      </c>
      <c r="AC111" s="114">
        <f>INDEX(Tab_Def_Flows[[Flow_ID]:[CC_DM_source]],MATCH(Tab_Data_Flows[[#This Row],[Name(EN)]],Tab_Def_Flows[Name(EN)],0),16)</f>
        <v>1</v>
      </c>
      <c r="AD111" s="115">
        <f>IF(J111="Yes",AA111*Tab_Data_Flows[[#This Row],[WC_'[%']]],"N.A.")</f>
        <v>80.099979840000017</v>
      </c>
      <c r="AE111" s="61" t="str">
        <f>Tab_Data_Flows[[#This Row],[UoM_Flow_Py]]</f>
        <v>Mg</v>
      </c>
      <c r="AF111" s="114">
        <f>INDEX(Tab_Def_Flows[[Flow_ID]:[CC_DM_source]],MATCH(Tab_Data_Flows[[#This Row],[Name(EN)]],Tab_Def_Flows[Name(EN)],0),18)</f>
        <v>0</v>
      </c>
      <c r="AG111" s="115">
        <f>IF(K111="Yes",AF111*Tab_Data_Flows[[#This Row],[Flow_Py]],"N.A.")</f>
        <v>0</v>
      </c>
      <c r="AH111" s="61" t="str">
        <f>Tab_Data_Flows[[#This Row],[UoM_Flow_Py]]</f>
        <v>Mg</v>
      </c>
      <c r="AI111" s="114">
        <f>INDEX(Tab_Def_Flows[[Flow_ID]:[CC_DM_source]],MATCH(Tab_Data_Flows[[#This Row],[Name(EN)]],Tab_Def_Flows[Name(EN)],0),20)</f>
        <v>0</v>
      </c>
      <c r="AJ111" s="115" t="str">
        <f>IF(L111="Yes",AI111*Tab_Data_Flows[[#This Row],[Flow_Py]],"N.A.")</f>
        <v>N.A.</v>
      </c>
      <c r="AK111" s="61" t="str">
        <f>Tab_Data_Flows[[#This Row],[UoM_Flow_Py]]</f>
        <v>Mg</v>
      </c>
    </row>
    <row r="112" spans="1:37" x14ac:dyDescent="0.35">
      <c r="A112" s="60">
        <f t="shared" si="12"/>
        <v>111</v>
      </c>
      <c r="B112" s="49" t="str">
        <f>_xlfn.XLOOKUP(C112,Tab_Def_Flows[Name(EN)],Tab_Def_Flows[Flow_ID],,0,)</f>
        <v>F_00_08</v>
      </c>
      <c r="C112" s="51" t="s">
        <v>430</v>
      </c>
      <c r="D112" s="49">
        <f>_xlfn.XLOOKUP(C112,Tab_Def_Flows[Name(EN)],Tab_Def_Flows[Type_Biomass],,0,)</f>
        <v>0</v>
      </c>
      <c r="E112" s="49" t="str">
        <f>_xlfn.XLOOKUP(C112,Tab_Def_Flows[Name(EN)],Tab_Def_Flows[Output_Process],,0,)</f>
        <v>Environment</v>
      </c>
      <c r="F112" s="49" t="str">
        <f>_xlfn.XLOOKUP(C112,Tab_Def_Flows[Name(EN)],Tab_Def_Flows[Process_ID_O],,0,)</f>
        <v>00_Env_BB</v>
      </c>
      <c r="G112" s="49" t="str">
        <f>_xlfn.XLOOKUP(C112,Tab_Def_Flows[Name(EN)],Tab_Def_Flows[Input_Process],,0,)</f>
        <v>Water System (Import)</v>
      </c>
      <c r="H112" s="61" t="str">
        <f>_xlfn.XLOOKUP(C112,Tab_Def_Flows[Name(EN)],Tab_Def_Flows[Process_ID_I],,0,)</f>
        <v>08_Wat_BB</v>
      </c>
      <c r="I112" s="61">
        <f>_xlfn.XLOOKUP(C112,Tab_Def_Flows[Name(EN)],Tab_Def_Flows[Value_Source],,0,)</f>
        <v>0</v>
      </c>
      <c r="J112" s="61" t="s">
        <v>68</v>
      </c>
      <c r="K112" s="61" t="s">
        <v>68</v>
      </c>
      <c r="L112" s="61" t="s">
        <v>71</v>
      </c>
      <c r="M112" s="51">
        <v>2027</v>
      </c>
      <c r="N112" s="51" t="s">
        <v>353</v>
      </c>
      <c r="O112" s="126">
        <f t="shared" si="31"/>
        <v>81.701979436800016</v>
      </c>
      <c r="P112" s="51" t="s">
        <v>398</v>
      </c>
      <c r="Q112" s="51"/>
      <c r="R112" s="51"/>
      <c r="S112" s="51"/>
      <c r="T112" s="51"/>
      <c r="U112" s="51"/>
      <c r="V112" s="51"/>
      <c r="W112" s="51"/>
      <c r="X112" s="51" t="s">
        <v>71</v>
      </c>
      <c r="Y112" s="109"/>
      <c r="Z112" s="51"/>
      <c r="AA112" s="89">
        <f t="shared" si="30"/>
        <v>81.701979436800016</v>
      </c>
      <c r="AB112" s="51" t="s">
        <v>63</v>
      </c>
      <c r="AC112" s="114">
        <f>INDEX(Tab_Def_Flows[[Flow_ID]:[CC_DM_source]],MATCH(Tab_Data_Flows[[#This Row],[Name(EN)]],Tab_Def_Flows[Name(EN)],0),16)</f>
        <v>1</v>
      </c>
      <c r="AD112" s="115">
        <f>IF(J112="Yes",AA112*Tab_Data_Flows[[#This Row],[WC_'[%']]],"N.A.")</f>
        <v>81.701979436800016</v>
      </c>
      <c r="AE112" s="61" t="str">
        <f>Tab_Data_Flows[[#This Row],[UoM_Flow_Py]]</f>
        <v>Mg</v>
      </c>
      <c r="AF112" s="114">
        <f>INDEX(Tab_Def_Flows[[Flow_ID]:[CC_DM_source]],MATCH(Tab_Data_Flows[[#This Row],[Name(EN)]],Tab_Def_Flows[Name(EN)],0),18)</f>
        <v>0</v>
      </c>
      <c r="AG112" s="115">
        <f>IF(K112="Yes",AF112*Tab_Data_Flows[[#This Row],[Flow_Py]],"N.A.")</f>
        <v>0</v>
      </c>
      <c r="AH112" s="61" t="str">
        <f>Tab_Data_Flows[[#This Row],[UoM_Flow_Py]]</f>
        <v>Mg</v>
      </c>
      <c r="AI112" s="114">
        <f>INDEX(Tab_Def_Flows[[Flow_ID]:[CC_DM_source]],MATCH(Tab_Data_Flows[[#This Row],[Name(EN)]],Tab_Def_Flows[Name(EN)],0),20)</f>
        <v>0</v>
      </c>
      <c r="AJ112" s="115" t="str">
        <f>IF(L112="Yes",AI112*Tab_Data_Flows[[#This Row],[Flow_Py]],"N.A.")</f>
        <v>N.A.</v>
      </c>
      <c r="AK112" s="61" t="str">
        <f>Tab_Data_Flows[[#This Row],[UoM_Flow_Py]]</f>
        <v>Mg</v>
      </c>
    </row>
    <row r="113" spans="1:37" x14ac:dyDescent="0.35">
      <c r="A113" s="60">
        <f t="shared" si="12"/>
        <v>112</v>
      </c>
      <c r="B113" s="49" t="str">
        <f>_xlfn.XLOOKUP(C113,Tab_Def_Flows[Name(EN)],Tab_Def_Flows[Flow_ID],,0,)</f>
        <v>F_00_08</v>
      </c>
      <c r="C113" s="51" t="s">
        <v>430</v>
      </c>
      <c r="D113" s="49">
        <f>_xlfn.XLOOKUP(C113,Tab_Def_Flows[Name(EN)],Tab_Def_Flows[Type_Biomass],,0,)</f>
        <v>0</v>
      </c>
      <c r="E113" s="49" t="str">
        <f>_xlfn.XLOOKUP(C113,Tab_Def_Flows[Name(EN)],Tab_Def_Flows[Output_Process],,0,)</f>
        <v>Environment</v>
      </c>
      <c r="F113" s="49" t="str">
        <f>_xlfn.XLOOKUP(C113,Tab_Def_Flows[Name(EN)],Tab_Def_Flows[Process_ID_O],,0,)</f>
        <v>00_Env_BB</v>
      </c>
      <c r="G113" s="49" t="str">
        <f>_xlfn.XLOOKUP(C113,Tab_Def_Flows[Name(EN)],Tab_Def_Flows[Input_Process],,0,)</f>
        <v>Water System (Import)</v>
      </c>
      <c r="H113" s="61" t="str">
        <f>_xlfn.XLOOKUP(C113,Tab_Def_Flows[Name(EN)],Tab_Def_Flows[Process_ID_I],,0,)</f>
        <v>08_Wat_BB</v>
      </c>
      <c r="I113" s="61">
        <f>_xlfn.XLOOKUP(C113,Tab_Def_Flows[Name(EN)],Tab_Def_Flows[Value_Source],,0,)</f>
        <v>0</v>
      </c>
      <c r="J113" s="61" t="s">
        <v>68</v>
      </c>
      <c r="K113" s="61" t="s">
        <v>68</v>
      </c>
      <c r="L113" s="61" t="s">
        <v>71</v>
      </c>
      <c r="M113" s="51">
        <v>2028</v>
      </c>
      <c r="N113" s="51" t="s">
        <v>353</v>
      </c>
      <c r="O113" s="126">
        <f t="shared" si="31"/>
        <v>83.336019025536018</v>
      </c>
      <c r="P113" s="51" t="s">
        <v>398</v>
      </c>
      <c r="Q113" s="51"/>
      <c r="R113" s="51"/>
      <c r="S113" s="51"/>
      <c r="T113" s="51"/>
      <c r="U113" s="51"/>
      <c r="V113" s="51"/>
      <c r="W113" s="51"/>
      <c r="X113" s="51" t="s">
        <v>71</v>
      </c>
      <c r="Y113" s="109"/>
      <c r="Z113" s="51"/>
      <c r="AA113" s="89">
        <f t="shared" si="30"/>
        <v>83.336019025536018</v>
      </c>
      <c r="AB113" s="51" t="s">
        <v>63</v>
      </c>
      <c r="AC113" s="114">
        <f>INDEX(Tab_Def_Flows[[Flow_ID]:[CC_DM_source]],MATCH(Tab_Data_Flows[[#This Row],[Name(EN)]],Tab_Def_Flows[Name(EN)],0),16)</f>
        <v>1</v>
      </c>
      <c r="AD113" s="115">
        <f>IF(J113="Yes",AA113*Tab_Data_Flows[[#This Row],[WC_'[%']]],"N.A.")</f>
        <v>83.336019025536018</v>
      </c>
      <c r="AE113" s="61" t="str">
        <f>Tab_Data_Flows[[#This Row],[UoM_Flow_Py]]</f>
        <v>Mg</v>
      </c>
      <c r="AF113" s="114">
        <f>INDEX(Tab_Def_Flows[[Flow_ID]:[CC_DM_source]],MATCH(Tab_Data_Flows[[#This Row],[Name(EN)]],Tab_Def_Flows[Name(EN)],0),18)</f>
        <v>0</v>
      </c>
      <c r="AG113" s="115">
        <f>IF(K113="Yes",AF113*Tab_Data_Flows[[#This Row],[Flow_Py]],"N.A.")</f>
        <v>0</v>
      </c>
      <c r="AH113" s="61" t="str">
        <f>Tab_Data_Flows[[#This Row],[UoM_Flow_Py]]</f>
        <v>Mg</v>
      </c>
      <c r="AI113" s="114">
        <f>INDEX(Tab_Def_Flows[[Flow_ID]:[CC_DM_source]],MATCH(Tab_Data_Flows[[#This Row],[Name(EN)]],Tab_Def_Flows[Name(EN)],0),20)</f>
        <v>0</v>
      </c>
      <c r="AJ113" s="115" t="str">
        <f>IF(L113="Yes",AI113*Tab_Data_Flows[[#This Row],[Flow_Py]],"N.A.")</f>
        <v>N.A.</v>
      </c>
      <c r="AK113" s="61" t="str">
        <f>Tab_Data_Flows[[#This Row],[UoM_Flow_Py]]</f>
        <v>Mg</v>
      </c>
    </row>
    <row r="114" spans="1:37" x14ac:dyDescent="0.35">
      <c r="A114" s="60">
        <f t="shared" si="12"/>
        <v>113</v>
      </c>
      <c r="B114" s="49" t="str">
        <f>_xlfn.XLOOKUP(C114,Tab_Def_Flows[Name(EN)],Tab_Def_Flows[Flow_ID],,0,)</f>
        <v>F_00_08</v>
      </c>
      <c r="C114" s="51" t="s">
        <v>430</v>
      </c>
      <c r="D114" s="49">
        <f>_xlfn.XLOOKUP(C114,Tab_Def_Flows[Name(EN)],Tab_Def_Flows[Type_Biomass],,0,)</f>
        <v>0</v>
      </c>
      <c r="E114" s="49" t="str">
        <f>_xlfn.XLOOKUP(C114,Tab_Def_Flows[Name(EN)],Tab_Def_Flows[Output_Process],,0,)</f>
        <v>Environment</v>
      </c>
      <c r="F114" s="49" t="str">
        <f>_xlfn.XLOOKUP(C114,Tab_Def_Flows[Name(EN)],Tab_Def_Flows[Process_ID_O],,0,)</f>
        <v>00_Env_BB</v>
      </c>
      <c r="G114" s="49" t="str">
        <f>_xlfn.XLOOKUP(C114,Tab_Def_Flows[Name(EN)],Tab_Def_Flows[Input_Process],,0,)</f>
        <v>Water System (Import)</v>
      </c>
      <c r="H114" s="61" t="str">
        <f>_xlfn.XLOOKUP(C114,Tab_Def_Flows[Name(EN)],Tab_Def_Flows[Process_ID_I],,0,)</f>
        <v>08_Wat_BB</v>
      </c>
      <c r="I114" s="61">
        <f>_xlfn.XLOOKUP(C114,Tab_Def_Flows[Name(EN)],Tab_Def_Flows[Value_Source],,0,)</f>
        <v>0</v>
      </c>
      <c r="J114" s="61" t="s">
        <v>68</v>
      </c>
      <c r="K114" s="61" t="s">
        <v>68</v>
      </c>
      <c r="L114" s="61" t="s">
        <v>71</v>
      </c>
      <c r="M114" s="51">
        <v>2029</v>
      </c>
      <c r="N114" s="51" t="s">
        <v>353</v>
      </c>
      <c r="O114" s="126">
        <f t="shared" si="31"/>
        <v>85.002739406046743</v>
      </c>
      <c r="P114" s="51" t="s">
        <v>398</v>
      </c>
      <c r="Q114" s="51"/>
      <c r="R114" s="51"/>
      <c r="S114" s="51"/>
      <c r="T114" s="51"/>
      <c r="U114" s="51"/>
      <c r="V114" s="51"/>
      <c r="W114" s="51"/>
      <c r="X114" s="51" t="s">
        <v>71</v>
      </c>
      <c r="Y114" s="109"/>
      <c r="Z114" s="51"/>
      <c r="AA114" s="89">
        <f t="shared" si="30"/>
        <v>85.002739406046743</v>
      </c>
      <c r="AB114" s="51" t="s">
        <v>63</v>
      </c>
      <c r="AC114" s="114">
        <f>INDEX(Tab_Def_Flows[[Flow_ID]:[CC_DM_source]],MATCH(Tab_Data_Flows[[#This Row],[Name(EN)]],Tab_Def_Flows[Name(EN)],0),16)</f>
        <v>1</v>
      </c>
      <c r="AD114" s="115">
        <f>IF(J114="Yes",AA114*Tab_Data_Flows[[#This Row],[WC_'[%']]],"N.A.")</f>
        <v>85.002739406046743</v>
      </c>
      <c r="AE114" s="61" t="str">
        <f>Tab_Data_Flows[[#This Row],[UoM_Flow_Py]]</f>
        <v>Mg</v>
      </c>
      <c r="AF114" s="114">
        <f>INDEX(Tab_Def_Flows[[Flow_ID]:[CC_DM_source]],MATCH(Tab_Data_Flows[[#This Row],[Name(EN)]],Tab_Def_Flows[Name(EN)],0),18)</f>
        <v>0</v>
      </c>
      <c r="AG114" s="115">
        <f>IF(K114="Yes",AF114*Tab_Data_Flows[[#This Row],[Flow_Py]],"N.A.")</f>
        <v>0</v>
      </c>
      <c r="AH114" s="61" t="str">
        <f>Tab_Data_Flows[[#This Row],[UoM_Flow_Py]]</f>
        <v>Mg</v>
      </c>
      <c r="AI114" s="114">
        <f>INDEX(Tab_Def_Flows[[Flow_ID]:[CC_DM_source]],MATCH(Tab_Data_Flows[[#This Row],[Name(EN)]],Tab_Def_Flows[Name(EN)],0),20)</f>
        <v>0</v>
      </c>
      <c r="AJ114" s="115" t="str">
        <f>IF(L114="Yes",AI114*Tab_Data_Flows[[#This Row],[Flow_Py]],"N.A.")</f>
        <v>N.A.</v>
      </c>
      <c r="AK114" s="61" t="str">
        <f>Tab_Data_Flows[[#This Row],[UoM_Flow_Py]]</f>
        <v>Mg</v>
      </c>
    </row>
    <row r="115" spans="1:37" x14ac:dyDescent="0.35">
      <c r="A115" s="60">
        <f t="shared" si="12"/>
        <v>114</v>
      </c>
      <c r="B115" s="49" t="str">
        <f>_xlfn.XLOOKUP(C115,Tab_Def_Flows[Name(EN)],Tab_Def_Flows[Flow_ID],,0,)</f>
        <v>F_00_08</v>
      </c>
      <c r="C115" s="51" t="s">
        <v>430</v>
      </c>
      <c r="D115" s="49">
        <f>_xlfn.XLOOKUP(C115,Tab_Def_Flows[Name(EN)],Tab_Def_Flows[Type_Biomass],,0,)</f>
        <v>0</v>
      </c>
      <c r="E115" s="49" t="str">
        <f>_xlfn.XLOOKUP(C115,Tab_Def_Flows[Name(EN)],Tab_Def_Flows[Output_Process],,0,)</f>
        <v>Environment</v>
      </c>
      <c r="F115" s="49" t="str">
        <f>_xlfn.XLOOKUP(C115,Tab_Def_Flows[Name(EN)],Tab_Def_Flows[Process_ID_O],,0,)</f>
        <v>00_Env_BB</v>
      </c>
      <c r="G115" s="49" t="str">
        <f>_xlfn.XLOOKUP(C115,Tab_Def_Flows[Name(EN)],Tab_Def_Flows[Input_Process],,0,)</f>
        <v>Water System (Import)</v>
      </c>
      <c r="H115" s="61" t="str">
        <f>_xlfn.XLOOKUP(C115,Tab_Def_Flows[Name(EN)],Tab_Def_Flows[Process_ID_I],,0,)</f>
        <v>08_Wat_BB</v>
      </c>
      <c r="I115" s="61">
        <f>_xlfn.XLOOKUP(C115,Tab_Def_Flows[Name(EN)],Tab_Def_Flows[Value_Source],,0,)</f>
        <v>0</v>
      </c>
      <c r="J115" s="61" t="s">
        <v>68</v>
      </c>
      <c r="K115" s="61" t="s">
        <v>68</v>
      </c>
      <c r="L115" s="61" t="s">
        <v>71</v>
      </c>
      <c r="M115" s="51">
        <v>2030</v>
      </c>
      <c r="N115" s="51" t="s">
        <v>353</v>
      </c>
      <c r="O115" s="126">
        <f t="shared" si="31"/>
        <v>86.70279419416768</v>
      </c>
      <c r="P115" s="51" t="s">
        <v>398</v>
      </c>
      <c r="Q115" s="51"/>
      <c r="R115" s="51"/>
      <c r="S115" s="51"/>
      <c r="T115" s="51"/>
      <c r="U115" s="51"/>
      <c r="V115" s="51"/>
      <c r="W115" s="51"/>
      <c r="X115" s="51" t="s">
        <v>71</v>
      </c>
      <c r="Y115" s="109"/>
      <c r="Z115" s="51"/>
      <c r="AA115" s="89">
        <f t="shared" ref="AA115:AA121" si="32">IF(X115="no",O115,O115*Y115)</f>
        <v>86.70279419416768</v>
      </c>
      <c r="AB115" s="51" t="s">
        <v>63</v>
      </c>
      <c r="AC115" s="114">
        <f>INDEX(Tab_Def_Flows[[Flow_ID]:[CC_DM_source]],MATCH(Tab_Data_Flows[[#This Row],[Name(EN)]],Tab_Def_Flows[Name(EN)],0),16)</f>
        <v>1</v>
      </c>
      <c r="AD115" s="115">
        <f>IF(J115="Yes",AA115*Tab_Data_Flows[[#This Row],[WC_'[%']]],"N.A.")</f>
        <v>86.70279419416768</v>
      </c>
      <c r="AE115" s="61" t="str">
        <f>Tab_Data_Flows[[#This Row],[UoM_Flow_Py]]</f>
        <v>Mg</v>
      </c>
      <c r="AF115" s="114">
        <f>INDEX(Tab_Def_Flows[[Flow_ID]:[CC_DM_source]],MATCH(Tab_Data_Flows[[#This Row],[Name(EN)]],Tab_Def_Flows[Name(EN)],0),18)</f>
        <v>0</v>
      </c>
      <c r="AG115" s="115">
        <f>IF(K115="Yes",AF115*Tab_Data_Flows[[#This Row],[Flow_Py]],"N.A.")</f>
        <v>0</v>
      </c>
      <c r="AH115" s="61" t="str">
        <f>Tab_Data_Flows[[#This Row],[UoM_Flow_Py]]</f>
        <v>Mg</v>
      </c>
      <c r="AI115" s="114">
        <f>INDEX(Tab_Def_Flows[[Flow_ID]:[CC_DM_source]],MATCH(Tab_Data_Flows[[#This Row],[Name(EN)]],Tab_Def_Flows[Name(EN)],0),20)</f>
        <v>0</v>
      </c>
      <c r="AJ115" s="115" t="str">
        <f>IF(L115="Yes",AI115*Tab_Data_Flows[[#This Row],[Flow_Py]],"N.A.")</f>
        <v>N.A.</v>
      </c>
      <c r="AK115" s="61" t="str">
        <f>Tab_Data_Flows[[#This Row],[UoM_Flow_Py]]</f>
        <v>Mg</v>
      </c>
    </row>
    <row r="116" spans="1:37" x14ac:dyDescent="0.35">
      <c r="A116" s="60">
        <f t="shared" si="12"/>
        <v>115</v>
      </c>
      <c r="B116" s="49" t="str">
        <f>_xlfn.XLOOKUP(C116,Tab_Def_Flows[Name(EN)],Tab_Def_Flows[Flow_ID],,0,)</f>
        <v>F_00_08</v>
      </c>
      <c r="C116" s="51" t="s">
        <v>430</v>
      </c>
      <c r="D116" s="49">
        <f>_xlfn.XLOOKUP(C116,Tab_Def_Flows[Name(EN)],Tab_Def_Flows[Type_Biomass],,0,)</f>
        <v>0</v>
      </c>
      <c r="E116" s="49" t="str">
        <f>_xlfn.XLOOKUP(C116,Tab_Def_Flows[Name(EN)],Tab_Def_Flows[Output_Process],,0,)</f>
        <v>Environment</v>
      </c>
      <c r="F116" s="49" t="str">
        <f>_xlfn.XLOOKUP(C116,Tab_Def_Flows[Name(EN)],Tab_Def_Flows[Process_ID_O],,0,)</f>
        <v>00_Env_BB</v>
      </c>
      <c r="G116" s="49" t="str">
        <f>_xlfn.XLOOKUP(C116,Tab_Def_Flows[Name(EN)],Tab_Def_Flows[Input_Process],,0,)</f>
        <v>Water System (Import)</v>
      </c>
      <c r="H116" s="61" t="str">
        <f>_xlfn.XLOOKUP(C116,Tab_Def_Flows[Name(EN)],Tab_Def_Flows[Process_ID_I],,0,)</f>
        <v>08_Wat_BB</v>
      </c>
      <c r="I116" s="61">
        <f>_xlfn.XLOOKUP(C116,Tab_Def_Flows[Name(EN)],Tab_Def_Flows[Value_Source],,0,)</f>
        <v>0</v>
      </c>
      <c r="J116" s="61" t="s">
        <v>68</v>
      </c>
      <c r="K116" s="61" t="s">
        <v>68</v>
      </c>
      <c r="L116" s="61" t="s">
        <v>71</v>
      </c>
      <c r="M116" s="51">
        <v>2031</v>
      </c>
      <c r="N116" s="51" t="s">
        <v>353</v>
      </c>
      <c r="O116" s="126">
        <f t="shared" si="31"/>
        <v>88.436850078051037</v>
      </c>
      <c r="P116" s="51" t="s">
        <v>398</v>
      </c>
      <c r="Q116" s="51"/>
      <c r="R116" s="51"/>
      <c r="S116" s="51"/>
      <c r="T116" s="51"/>
      <c r="U116" s="51"/>
      <c r="V116" s="51"/>
      <c r="W116" s="51"/>
      <c r="X116" s="51" t="s">
        <v>71</v>
      </c>
      <c r="Y116" s="109"/>
      <c r="Z116" s="51"/>
      <c r="AA116" s="89">
        <f t="shared" si="32"/>
        <v>88.436850078051037</v>
      </c>
      <c r="AB116" s="51" t="s">
        <v>63</v>
      </c>
      <c r="AC116" s="114">
        <f>INDEX(Tab_Def_Flows[[Flow_ID]:[CC_DM_source]],MATCH(Tab_Data_Flows[[#This Row],[Name(EN)]],Tab_Def_Flows[Name(EN)],0),16)</f>
        <v>1</v>
      </c>
      <c r="AD116" s="115">
        <f>IF(J116="Yes",AA116*Tab_Data_Flows[[#This Row],[WC_'[%']]],"N.A.")</f>
        <v>88.436850078051037</v>
      </c>
      <c r="AE116" s="61" t="str">
        <f>Tab_Data_Flows[[#This Row],[UoM_Flow_Py]]</f>
        <v>Mg</v>
      </c>
      <c r="AF116" s="114">
        <f>INDEX(Tab_Def_Flows[[Flow_ID]:[CC_DM_source]],MATCH(Tab_Data_Flows[[#This Row],[Name(EN)]],Tab_Def_Flows[Name(EN)],0),18)</f>
        <v>0</v>
      </c>
      <c r="AG116" s="115">
        <f>IF(K116="Yes",AF116*Tab_Data_Flows[[#This Row],[Flow_Py]],"N.A.")</f>
        <v>0</v>
      </c>
      <c r="AH116" s="61" t="str">
        <f>Tab_Data_Flows[[#This Row],[UoM_Flow_Py]]</f>
        <v>Mg</v>
      </c>
      <c r="AI116" s="114">
        <f>INDEX(Tab_Def_Flows[[Flow_ID]:[CC_DM_source]],MATCH(Tab_Data_Flows[[#This Row],[Name(EN)]],Tab_Def_Flows[Name(EN)],0),20)</f>
        <v>0</v>
      </c>
      <c r="AJ116" s="115" t="str">
        <f>IF(L116="Yes",AI116*Tab_Data_Flows[[#This Row],[Flow_Py]],"N.A.")</f>
        <v>N.A.</v>
      </c>
      <c r="AK116" s="61" t="str">
        <f>Tab_Data_Flows[[#This Row],[UoM_Flow_Py]]</f>
        <v>Mg</v>
      </c>
    </row>
    <row r="117" spans="1:37" x14ac:dyDescent="0.35">
      <c r="A117" s="60">
        <f t="shared" si="12"/>
        <v>116</v>
      </c>
      <c r="B117" s="49" t="str">
        <f>_xlfn.XLOOKUP(C117,Tab_Def_Flows[Name(EN)],Tab_Def_Flows[Flow_ID],,0,)</f>
        <v>F_00_08</v>
      </c>
      <c r="C117" s="51" t="s">
        <v>430</v>
      </c>
      <c r="D117" s="49">
        <f>_xlfn.XLOOKUP(C117,Tab_Def_Flows[Name(EN)],Tab_Def_Flows[Type_Biomass],,0,)</f>
        <v>0</v>
      </c>
      <c r="E117" s="49" t="str">
        <f>_xlfn.XLOOKUP(C117,Tab_Def_Flows[Name(EN)],Tab_Def_Flows[Output_Process],,0,)</f>
        <v>Environment</v>
      </c>
      <c r="F117" s="49" t="str">
        <f>_xlfn.XLOOKUP(C117,Tab_Def_Flows[Name(EN)],Tab_Def_Flows[Process_ID_O],,0,)</f>
        <v>00_Env_BB</v>
      </c>
      <c r="G117" s="49" t="str">
        <f>_xlfn.XLOOKUP(C117,Tab_Def_Flows[Name(EN)],Tab_Def_Flows[Input_Process],,0,)</f>
        <v>Water System (Import)</v>
      </c>
      <c r="H117" s="61" t="str">
        <f>_xlfn.XLOOKUP(C117,Tab_Def_Flows[Name(EN)],Tab_Def_Flows[Process_ID_I],,0,)</f>
        <v>08_Wat_BB</v>
      </c>
      <c r="I117" s="61">
        <f>_xlfn.XLOOKUP(C117,Tab_Def_Flows[Name(EN)],Tab_Def_Flows[Value_Source],,0,)</f>
        <v>0</v>
      </c>
      <c r="J117" s="61" t="s">
        <v>68</v>
      </c>
      <c r="K117" s="61" t="s">
        <v>68</v>
      </c>
      <c r="L117" s="61" t="s">
        <v>71</v>
      </c>
      <c r="M117" s="51">
        <v>2032</v>
      </c>
      <c r="N117" s="51" t="s">
        <v>353</v>
      </c>
      <c r="O117" s="126">
        <f t="shared" si="31"/>
        <v>90.205587079612059</v>
      </c>
      <c r="P117" s="51" t="s">
        <v>398</v>
      </c>
      <c r="Q117" s="51"/>
      <c r="R117" s="51"/>
      <c r="S117" s="51"/>
      <c r="T117" s="51"/>
      <c r="U117" s="51"/>
      <c r="V117" s="51"/>
      <c r="W117" s="51"/>
      <c r="X117" s="51" t="s">
        <v>71</v>
      </c>
      <c r="Y117" s="109"/>
      <c r="Z117" s="51"/>
      <c r="AA117" s="89">
        <f t="shared" si="32"/>
        <v>90.205587079612059</v>
      </c>
      <c r="AB117" s="51" t="s">
        <v>63</v>
      </c>
      <c r="AC117" s="114">
        <f>INDEX(Tab_Def_Flows[[Flow_ID]:[CC_DM_source]],MATCH(Tab_Data_Flows[[#This Row],[Name(EN)]],Tab_Def_Flows[Name(EN)],0),16)</f>
        <v>1</v>
      </c>
      <c r="AD117" s="115">
        <f>IF(J117="Yes",AA117*Tab_Data_Flows[[#This Row],[WC_'[%']]],"N.A.")</f>
        <v>90.205587079612059</v>
      </c>
      <c r="AE117" s="61" t="str">
        <f>Tab_Data_Flows[[#This Row],[UoM_Flow_Py]]</f>
        <v>Mg</v>
      </c>
      <c r="AF117" s="114">
        <f>INDEX(Tab_Def_Flows[[Flow_ID]:[CC_DM_source]],MATCH(Tab_Data_Flows[[#This Row],[Name(EN)]],Tab_Def_Flows[Name(EN)],0),18)</f>
        <v>0</v>
      </c>
      <c r="AG117" s="115">
        <f>IF(K117="Yes",AF117*Tab_Data_Flows[[#This Row],[Flow_Py]],"N.A.")</f>
        <v>0</v>
      </c>
      <c r="AH117" s="61" t="str">
        <f>Tab_Data_Flows[[#This Row],[UoM_Flow_Py]]</f>
        <v>Mg</v>
      </c>
      <c r="AI117" s="114">
        <f>INDEX(Tab_Def_Flows[[Flow_ID]:[CC_DM_source]],MATCH(Tab_Data_Flows[[#This Row],[Name(EN)]],Tab_Def_Flows[Name(EN)],0),20)</f>
        <v>0</v>
      </c>
      <c r="AJ117" s="115" t="str">
        <f>IF(L117="Yes",AI117*Tab_Data_Flows[[#This Row],[Flow_Py]],"N.A.")</f>
        <v>N.A.</v>
      </c>
      <c r="AK117" s="61" t="str">
        <f>Tab_Data_Flows[[#This Row],[UoM_Flow_Py]]</f>
        <v>Mg</v>
      </c>
    </row>
    <row r="118" spans="1:37" x14ac:dyDescent="0.35">
      <c r="A118" s="60">
        <f t="shared" si="12"/>
        <v>117</v>
      </c>
      <c r="B118" s="49" t="str">
        <f>_xlfn.XLOOKUP(C118,Tab_Def_Flows[Name(EN)],Tab_Def_Flows[Flow_ID],,0,)</f>
        <v>F_00_08</v>
      </c>
      <c r="C118" s="51" t="s">
        <v>430</v>
      </c>
      <c r="D118" s="49">
        <f>_xlfn.XLOOKUP(C118,Tab_Def_Flows[Name(EN)],Tab_Def_Flows[Type_Biomass],,0,)</f>
        <v>0</v>
      </c>
      <c r="E118" s="49" t="str">
        <f>_xlfn.XLOOKUP(C118,Tab_Def_Flows[Name(EN)],Tab_Def_Flows[Output_Process],,0,)</f>
        <v>Environment</v>
      </c>
      <c r="F118" s="49" t="str">
        <f>_xlfn.XLOOKUP(C118,Tab_Def_Flows[Name(EN)],Tab_Def_Flows[Process_ID_O],,0,)</f>
        <v>00_Env_BB</v>
      </c>
      <c r="G118" s="49" t="str">
        <f>_xlfn.XLOOKUP(C118,Tab_Def_Flows[Name(EN)],Tab_Def_Flows[Input_Process],,0,)</f>
        <v>Water System (Import)</v>
      </c>
      <c r="H118" s="61" t="str">
        <f>_xlfn.XLOOKUP(C118,Tab_Def_Flows[Name(EN)],Tab_Def_Flows[Process_ID_I],,0,)</f>
        <v>08_Wat_BB</v>
      </c>
      <c r="I118" s="61">
        <f>_xlfn.XLOOKUP(C118,Tab_Def_Flows[Name(EN)],Tab_Def_Flows[Value_Source],,0,)</f>
        <v>0</v>
      </c>
      <c r="J118" s="61" t="s">
        <v>68</v>
      </c>
      <c r="K118" s="61" t="s">
        <v>68</v>
      </c>
      <c r="L118" s="61" t="s">
        <v>71</v>
      </c>
      <c r="M118" s="51">
        <v>2033</v>
      </c>
      <c r="N118" s="51" t="s">
        <v>353</v>
      </c>
      <c r="O118" s="126">
        <f t="shared" si="31"/>
        <v>92.009698821204296</v>
      </c>
      <c r="P118" s="51" t="s">
        <v>398</v>
      </c>
      <c r="Q118" s="51"/>
      <c r="R118" s="51"/>
      <c r="S118" s="51"/>
      <c r="T118" s="51"/>
      <c r="U118" s="51"/>
      <c r="V118" s="51"/>
      <c r="W118" s="51"/>
      <c r="X118" s="51" t="s">
        <v>71</v>
      </c>
      <c r="Y118" s="109"/>
      <c r="Z118" s="51"/>
      <c r="AA118" s="89">
        <f t="shared" si="32"/>
        <v>92.009698821204296</v>
      </c>
      <c r="AB118" s="51" t="s">
        <v>63</v>
      </c>
      <c r="AC118" s="114">
        <f>INDEX(Tab_Def_Flows[[Flow_ID]:[CC_DM_source]],MATCH(Tab_Data_Flows[[#This Row],[Name(EN)]],Tab_Def_Flows[Name(EN)],0),16)</f>
        <v>1</v>
      </c>
      <c r="AD118" s="115">
        <f>IF(J118="Yes",AA118*Tab_Data_Flows[[#This Row],[WC_'[%']]],"N.A.")</f>
        <v>92.009698821204296</v>
      </c>
      <c r="AE118" s="61" t="str">
        <f>Tab_Data_Flows[[#This Row],[UoM_Flow_Py]]</f>
        <v>Mg</v>
      </c>
      <c r="AF118" s="114">
        <f>INDEX(Tab_Def_Flows[[Flow_ID]:[CC_DM_source]],MATCH(Tab_Data_Flows[[#This Row],[Name(EN)]],Tab_Def_Flows[Name(EN)],0),18)</f>
        <v>0</v>
      </c>
      <c r="AG118" s="115">
        <f>IF(K118="Yes",AF118*Tab_Data_Flows[[#This Row],[Flow_Py]],"N.A.")</f>
        <v>0</v>
      </c>
      <c r="AH118" s="61" t="str">
        <f>Tab_Data_Flows[[#This Row],[UoM_Flow_Py]]</f>
        <v>Mg</v>
      </c>
      <c r="AI118" s="114">
        <f>INDEX(Tab_Def_Flows[[Flow_ID]:[CC_DM_source]],MATCH(Tab_Data_Flows[[#This Row],[Name(EN)]],Tab_Def_Flows[Name(EN)],0),20)</f>
        <v>0</v>
      </c>
      <c r="AJ118" s="115" t="str">
        <f>IF(L118="Yes",AI118*Tab_Data_Flows[[#This Row],[Flow_Py]],"N.A.")</f>
        <v>N.A.</v>
      </c>
      <c r="AK118" s="61" t="str">
        <f>Tab_Data_Flows[[#This Row],[UoM_Flow_Py]]</f>
        <v>Mg</v>
      </c>
    </row>
    <row r="119" spans="1:37" x14ac:dyDescent="0.35">
      <c r="A119" s="60">
        <f t="shared" si="12"/>
        <v>118</v>
      </c>
      <c r="B119" s="49" t="str">
        <f>_xlfn.XLOOKUP(C119,Tab_Def_Flows[Name(EN)],Tab_Def_Flows[Flow_ID],,0,)</f>
        <v>F_00_08</v>
      </c>
      <c r="C119" s="51" t="s">
        <v>430</v>
      </c>
      <c r="D119" s="49">
        <f>_xlfn.XLOOKUP(C119,Tab_Def_Flows[Name(EN)],Tab_Def_Flows[Type_Biomass],,0,)</f>
        <v>0</v>
      </c>
      <c r="E119" s="49" t="str">
        <f>_xlfn.XLOOKUP(C119,Tab_Def_Flows[Name(EN)],Tab_Def_Flows[Output_Process],,0,)</f>
        <v>Environment</v>
      </c>
      <c r="F119" s="49" t="str">
        <f>_xlfn.XLOOKUP(C119,Tab_Def_Flows[Name(EN)],Tab_Def_Flows[Process_ID_O],,0,)</f>
        <v>00_Env_BB</v>
      </c>
      <c r="G119" s="49" t="str">
        <f>_xlfn.XLOOKUP(C119,Tab_Def_Flows[Name(EN)],Tab_Def_Flows[Input_Process],,0,)</f>
        <v>Water System (Import)</v>
      </c>
      <c r="H119" s="61" t="str">
        <f>_xlfn.XLOOKUP(C119,Tab_Def_Flows[Name(EN)],Tab_Def_Flows[Process_ID_I],,0,)</f>
        <v>08_Wat_BB</v>
      </c>
      <c r="I119" s="61">
        <f>_xlfn.XLOOKUP(C119,Tab_Def_Flows[Name(EN)],Tab_Def_Flows[Value_Source],,0,)</f>
        <v>0</v>
      </c>
      <c r="J119" s="61" t="s">
        <v>68</v>
      </c>
      <c r="K119" s="61" t="s">
        <v>68</v>
      </c>
      <c r="L119" s="61" t="s">
        <v>71</v>
      </c>
      <c r="M119" s="51">
        <v>2034</v>
      </c>
      <c r="N119" s="51" t="s">
        <v>353</v>
      </c>
      <c r="O119" s="126">
        <f t="shared" si="31"/>
        <v>93.849892797628385</v>
      </c>
      <c r="P119" s="51" t="s">
        <v>398</v>
      </c>
      <c r="Q119" s="51"/>
      <c r="R119" s="51"/>
      <c r="S119" s="51"/>
      <c r="T119" s="51"/>
      <c r="U119" s="51"/>
      <c r="V119" s="51"/>
      <c r="W119" s="51"/>
      <c r="X119" s="51" t="s">
        <v>71</v>
      </c>
      <c r="Y119" s="109"/>
      <c r="Z119" s="51"/>
      <c r="AA119" s="89">
        <f t="shared" si="32"/>
        <v>93.849892797628385</v>
      </c>
      <c r="AB119" s="51" t="s">
        <v>63</v>
      </c>
      <c r="AC119" s="114">
        <f>INDEX(Tab_Def_Flows[[Flow_ID]:[CC_DM_source]],MATCH(Tab_Data_Flows[[#This Row],[Name(EN)]],Tab_Def_Flows[Name(EN)],0),16)</f>
        <v>1</v>
      </c>
      <c r="AD119" s="115">
        <f>IF(J119="Yes",AA119*Tab_Data_Flows[[#This Row],[WC_'[%']]],"N.A.")</f>
        <v>93.849892797628385</v>
      </c>
      <c r="AE119" s="61" t="str">
        <f>Tab_Data_Flows[[#This Row],[UoM_Flow_Py]]</f>
        <v>Mg</v>
      </c>
      <c r="AF119" s="114">
        <f>INDEX(Tab_Def_Flows[[Flow_ID]:[CC_DM_source]],MATCH(Tab_Data_Flows[[#This Row],[Name(EN)]],Tab_Def_Flows[Name(EN)],0),18)</f>
        <v>0</v>
      </c>
      <c r="AG119" s="115">
        <f>IF(K119="Yes",AF119*Tab_Data_Flows[[#This Row],[Flow_Py]],"N.A.")</f>
        <v>0</v>
      </c>
      <c r="AH119" s="61" t="str">
        <f>Tab_Data_Flows[[#This Row],[UoM_Flow_Py]]</f>
        <v>Mg</v>
      </c>
      <c r="AI119" s="114">
        <f>INDEX(Tab_Def_Flows[[Flow_ID]:[CC_DM_source]],MATCH(Tab_Data_Flows[[#This Row],[Name(EN)]],Tab_Def_Flows[Name(EN)],0),20)</f>
        <v>0</v>
      </c>
      <c r="AJ119" s="115" t="str">
        <f>IF(L119="Yes",AI119*Tab_Data_Flows[[#This Row],[Flow_Py]],"N.A.")</f>
        <v>N.A.</v>
      </c>
      <c r="AK119" s="61" t="str">
        <f>Tab_Data_Flows[[#This Row],[UoM_Flow_Py]]</f>
        <v>Mg</v>
      </c>
    </row>
    <row r="120" spans="1:37" x14ac:dyDescent="0.35">
      <c r="A120" s="60">
        <f t="shared" si="12"/>
        <v>119</v>
      </c>
      <c r="B120" s="49" t="str">
        <f>_xlfn.XLOOKUP(C120,Tab_Def_Flows[Name(EN)],Tab_Def_Flows[Flow_ID],,0,)</f>
        <v>F_00_08</v>
      </c>
      <c r="C120" s="51" t="s">
        <v>430</v>
      </c>
      <c r="D120" s="49">
        <f>_xlfn.XLOOKUP(C120,Tab_Def_Flows[Name(EN)],Tab_Def_Flows[Type_Biomass],,0,)</f>
        <v>0</v>
      </c>
      <c r="E120" s="49" t="str">
        <f>_xlfn.XLOOKUP(C120,Tab_Def_Flows[Name(EN)],Tab_Def_Flows[Output_Process],,0,)</f>
        <v>Environment</v>
      </c>
      <c r="F120" s="49" t="str">
        <f>_xlfn.XLOOKUP(C120,Tab_Def_Flows[Name(EN)],Tab_Def_Flows[Process_ID_O],,0,)</f>
        <v>00_Env_BB</v>
      </c>
      <c r="G120" s="49" t="str">
        <f>_xlfn.XLOOKUP(C120,Tab_Def_Flows[Name(EN)],Tab_Def_Flows[Input_Process],,0,)</f>
        <v>Water System (Import)</v>
      </c>
      <c r="H120" s="61" t="str">
        <f>_xlfn.XLOOKUP(C120,Tab_Def_Flows[Name(EN)],Tab_Def_Flows[Process_ID_I],,0,)</f>
        <v>08_Wat_BB</v>
      </c>
      <c r="I120" s="61">
        <f>_xlfn.XLOOKUP(C120,Tab_Def_Flows[Name(EN)],Tab_Def_Flows[Value_Source],,0,)</f>
        <v>0</v>
      </c>
      <c r="J120" s="61" t="s">
        <v>68</v>
      </c>
      <c r="K120" s="61" t="s">
        <v>68</v>
      </c>
      <c r="L120" s="61" t="s">
        <v>71</v>
      </c>
      <c r="M120" s="51">
        <v>2035</v>
      </c>
      <c r="N120" s="51" t="s">
        <v>353</v>
      </c>
      <c r="O120" s="126">
        <f t="shared" si="31"/>
        <v>95.726890653580952</v>
      </c>
      <c r="P120" s="51" t="s">
        <v>398</v>
      </c>
      <c r="Q120" s="51"/>
      <c r="R120" s="51"/>
      <c r="S120" s="51"/>
      <c r="T120" s="51"/>
      <c r="U120" s="51"/>
      <c r="V120" s="51"/>
      <c r="W120" s="51"/>
      <c r="X120" s="51" t="s">
        <v>71</v>
      </c>
      <c r="Y120" s="109"/>
      <c r="Z120" s="51"/>
      <c r="AA120" s="89">
        <f t="shared" si="32"/>
        <v>95.726890653580952</v>
      </c>
      <c r="AB120" s="51" t="s">
        <v>63</v>
      </c>
      <c r="AC120" s="114">
        <f>INDEX(Tab_Def_Flows[[Flow_ID]:[CC_DM_source]],MATCH(Tab_Data_Flows[[#This Row],[Name(EN)]],Tab_Def_Flows[Name(EN)],0),16)</f>
        <v>1</v>
      </c>
      <c r="AD120" s="115">
        <f>IF(J120="Yes",AA120*Tab_Data_Flows[[#This Row],[WC_'[%']]],"N.A.")</f>
        <v>95.726890653580952</v>
      </c>
      <c r="AE120" s="61" t="str">
        <f>Tab_Data_Flows[[#This Row],[UoM_Flow_Py]]</f>
        <v>Mg</v>
      </c>
      <c r="AF120" s="114">
        <f>INDEX(Tab_Def_Flows[[Flow_ID]:[CC_DM_source]],MATCH(Tab_Data_Flows[[#This Row],[Name(EN)]],Tab_Def_Flows[Name(EN)],0),18)</f>
        <v>0</v>
      </c>
      <c r="AG120" s="115">
        <f>IF(K120="Yes",AF120*Tab_Data_Flows[[#This Row],[Flow_Py]],"N.A.")</f>
        <v>0</v>
      </c>
      <c r="AH120" s="61" t="str">
        <f>Tab_Data_Flows[[#This Row],[UoM_Flow_Py]]</f>
        <v>Mg</v>
      </c>
      <c r="AI120" s="114">
        <f>INDEX(Tab_Def_Flows[[Flow_ID]:[CC_DM_source]],MATCH(Tab_Data_Flows[[#This Row],[Name(EN)]],Tab_Def_Flows[Name(EN)],0),20)</f>
        <v>0</v>
      </c>
      <c r="AJ120" s="115" t="str">
        <f>IF(L120="Yes",AI120*Tab_Data_Flows[[#This Row],[Flow_Py]],"N.A.")</f>
        <v>N.A.</v>
      </c>
      <c r="AK120" s="61" t="str">
        <f>Tab_Data_Flows[[#This Row],[UoM_Flow_Py]]</f>
        <v>Mg</v>
      </c>
    </row>
    <row r="121" spans="1:37" x14ac:dyDescent="0.35">
      <c r="A121" s="60">
        <f t="shared" si="12"/>
        <v>120</v>
      </c>
      <c r="B121" s="49" t="str">
        <f>_xlfn.XLOOKUP(C121,Tab_Def_Flows[Name(EN)],Tab_Def_Flows[Flow_ID],,0,)</f>
        <v>F_00_08</v>
      </c>
      <c r="C121" s="51" t="s">
        <v>430</v>
      </c>
      <c r="D121" s="49">
        <f>_xlfn.XLOOKUP(C121,Tab_Def_Flows[Name(EN)],Tab_Def_Flows[Type_Biomass],,0,)</f>
        <v>0</v>
      </c>
      <c r="E121" s="49" t="str">
        <f>_xlfn.XLOOKUP(C121,Tab_Def_Flows[Name(EN)],Tab_Def_Flows[Output_Process],,0,)</f>
        <v>Environment</v>
      </c>
      <c r="F121" s="49" t="str">
        <f>_xlfn.XLOOKUP(C121,Tab_Def_Flows[Name(EN)],Tab_Def_Flows[Process_ID_O],,0,)</f>
        <v>00_Env_BB</v>
      </c>
      <c r="G121" s="49" t="str">
        <f>_xlfn.XLOOKUP(C121,Tab_Def_Flows[Name(EN)],Tab_Def_Flows[Input_Process],,0,)</f>
        <v>Water System (Import)</v>
      </c>
      <c r="H121" s="61" t="str">
        <f>_xlfn.XLOOKUP(C121,Tab_Def_Flows[Name(EN)],Tab_Def_Flows[Process_ID_I],,0,)</f>
        <v>08_Wat_BB</v>
      </c>
      <c r="I121" s="61">
        <f>_xlfn.XLOOKUP(C121,Tab_Def_Flows[Name(EN)],Tab_Def_Flows[Value_Source],,0,)</f>
        <v>0</v>
      </c>
      <c r="J121" s="61" t="s">
        <v>68</v>
      </c>
      <c r="K121" s="61" t="s">
        <v>68</v>
      </c>
      <c r="L121" s="61" t="s">
        <v>71</v>
      </c>
      <c r="M121" s="51">
        <v>2036</v>
      </c>
      <c r="N121" s="51" t="s">
        <v>353</v>
      </c>
      <c r="O121" s="126">
        <f t="shared" si="31"/>
        <v>97.64142846665257</v>
      </c>
      <c r="P121" s="51" t="s">
        <v>398</v>
      </c>
      <c r="Q121" s="51"/>
      <c r="R121" s="51"/>
      <c r="S121" s="51"/>
      <c r="T121" s="51"/>
      <c r="U121" s="51"/>
      <c r="V121" s="51"/>
      <c r="W121" s="51"/>
      <c r="X121" s="51" t="s">
        <v>71</v>
      </c>
      <c r="Y121" s="109"/>
      <c r="Z121" s="51"/>
      <c r="AA121" s="89">
        <f t="shared" si="32"/>
        <v>97.64142846665257</v>
      </c>
      <c r="AB121" s="51" t="s">
        <v>63</v>
      </c>
      <c r="AC121" s="114">
        <f>INDEX(Tab_Def_Flows[[Flow_ID]:[CC_DM_source]],MATCH(Tab_Data_Flows[[#This Row],[Name(EN)]],Tab_Def_Flows[Name(EN)],0),16)</f>
        <v>1</v>
      </c>
      <c r="AD121" s="115">
        <f>IF(J121="Yes",AA121*Tab_Data_Flows[[#This Row],[WC_'[%']]],"N.A.")</f>
        <v>97.64142846665257</v>
      </c>
      <c r="AE121" s="61" t="str">
        <f>Tab_Data_Flows[[#This Row],[UoM_Flow_Py]]</f>
        <v>Mg</v>
      </c>
      <c r="AF121" s="114">
        <f>INDEX(Tab_Def_Flows[[Flow_ID]:[CC_DM_source]],MATCH(Tab_Data_Flows[[#This Row],[Name(EN)]],Tab_Def_Flows[Name(EN)],0),18)</f>
        <v>0</v>
      </c>
      <c r="AG121" s="115">
        <f>IF(K121="Yes",AF121*Tab_Data_Flows[[#This Row],[Flow_Py]],"N.A.")</f>
        <v>0</v>
      </c>
      <c r="AH121" s="61" t="str">
        <f>Tab_Data_Flows[[#This Row],[UoM_Flow_Py]]</f>
        <v>Mg</v>
      </c>
      <c r="AI121" s="114">
        <f>INDEX(Tab_Def_Flows[[Flow_ID]:[CC_DM_source]],MATCH(Tab_Data_Flows[[#This Row],[Name(EN)]],Tab_Def_Flows[Name(EN)],0),20)</f>
        <v>0</v>
      </c>
      <c r="AJ121" s="115" t="str">
        <f>IF(L121="Yes",AI121*Tab_Data_Flows[[#This Row],[Flow_Py]],"N.A.")</f>
        <v>N.A.</v>
      </c>
      <c r="AK121" s="61" t="str">
        <f>Tab_Data_Flows[[#This Row],[UoM_Flow_Py]]</f>
        <v>Mg</v>
      </c>
    </row>
    <row r="122" spans="1:37" x14ac:dyDescent="0.35">
      <c r="A122" s="60">
        <f t="shared" si="12"/>
        <v>121</v>
      </c>
      <c r="B122" s="49" t="str">
        <f>_xlfn.XLOOKUP(C122,Tab_Def_Flows[Name(EN)],Tab_Def_Flows[Flow_ID],,0,)</f>
        <v>F_21_21</v>
      </c>
      <c r="C122" s="51"/>
      <c r="D122" s="49">
        <f>_xlfn.XLOOKUP(C122,Tab_Def_Flows[Name(EN)],Tab_Def_Flows[Type_Biomass],,0,)</f>
        <v>0</v>
      </c>
      <c r="E122" s="49">
        <f>_xlfn.XLOOKUP(C122,Tab_Def_Flows[Name(EN)],Tab_Def_Flows[Output_Process],,0,)</f>
        <v>0</v>
      </c>
      <c r="F122" s="49" t="str">
        <f>_xlfn.XLOOKUP(C122,Tab_Def_Flows[Name(EN)],Tab_Def_Flows[Process_ID_O],,0,)</f>
        <v>21__</v>
      </c>
      <c r="G122" s="49">
        <f>_xlfn.XLOOKUP(C122,Tab_Def_Flows[Name(EN)],Tab_Def_Flows[Input_Process],,0,)</f>
        <v>0</v>
      </c>
      <c r="H122" s="61" t="str">
        <f>_xlfn.XLOOKUP(C122,Tab_Def_Flows[Name(EN)],Tab_Def_Flows[Process_ID_I],,0,)</f>
        <v>21__</v>
      </c>
      <c r="I122" s="61">
        <f>_xlfn.XLOOKUP(C122,Tab_Def_Flows[Name(EN)],Tab_Def_Flows[Value_Source],,0,)</f>
        <v>0</v>
      </c>
      <c r="J122" s="61">
        <f>_xlfn.XLOOKUP(C122,Tab_Def_Flows[Name(EN)],Tab_Def_Flows[WC?],,0,)</f>
        <v>0</v>
      </c>
      <c r="K122" s="61">
        <f>_xlfn.XLOOKUP(C122,Tab_Def_Flows[Name(EN)],Tab_Def_Flows[DM?],,0,)</f>
        <v>0</v>
      </c>
      <c r="L122" s="61">
        <f>_xlfn.XLOOKUP(C122,Tab_Def_Flows[Name(EN)],Tab_Def_Flows[CC?],,0,)</f>
        <v>0</v>
      </c>
      <c r="M122" s="51"/>
      <c r="N122" s="51"/>
      <c r="O122" s="88"/>
      <c r="P122" s="51"/>
      <c r="Q122" s="51"/>
      <c r="R122" s="51"/>
      <c r="S122" s="51"/>
      <c r="T122" s="51"/>
      <c r="U122" s="51"/>
      <c r="V122" s="51"/>
      <c r="W122" s="51"/>
      <c r="X122" s="51"/>
      <c r="Y122" s="109"/>
      <c r="Z122" s="51"/>
      <c r="AA122" s="89">
        <f t="shared" si="7"/>
        <v>0</v>
      </c>
      <c r="AB122" s="51" t="s">
        <v>63</v>
      </c>
      <c r="AC122" s="114" t="e">
        <f>INDEX(Tab_Def_Flows[[Flow_ID]:[CC_DM_source]],MATCH(Tab_Data_Flows[[#This Row],[Name(EN)]],Tab_Def_Flows[Name(EN)],0),16)</f>
        <v>#N/A</v>
      </c>
      <c r="AD122" s="115" t="str">
        <f>IF(J122="Yes",AA122*Tab_Data_Flows[[#This Row],[WC_'[%']]],"N.A.")</f>
        <v>N.A.</v>
      </c>
      <c r="AE122" s="61" t="str">
        <f>Tab_Data_Flows[[#This Row],[UoM_Flow_Py]]</f>
        <v>Mg</v>
      </c>
      <c r="AF122" s="114" t="e">
        <f>INDEX(Tab_Def_Flows[[Flow_ID]:[CC_DM_source]],MATCH(Tab_Data_Flows[[#This Row],[Name(EN)]],Tab_Def_Flows[Name(EN)],0),18)</f>
        <v>#N/A</v>
      </c>
      <c r="AG122" s="115" t="str">
        <f>IF(K122="Yes",AF122*Tab_Data_Flows[[#This Row],[Flow_Py]],"N.A.")</f>
        <v>N.A.</v>
      </c>
      <c r="AH122" s="61" t="str">
        <f>Tab_Data_Flows[[#This Row],[UoM_Flow_Py]]</f>
        <v>Mg</v>
      </c>
      <c r="AI122" s="114" t="e">
        <f>INDEX(Tab_Def_Flows[[Flow_ID]:[CC_DM_source]],MATCH(Tab_Data_Flows[[#This Row],[Name(EN)]],Tab_Def_Flows[Name(EN)],0),20)</f>
        <v>#N/A</v>
      </c>
      <c r="AJ122" s="115" t="str">
        <f>IF(L122="Yes",AI122*Tab_Data_Flows[[#This Row],[Flow_Py]],"N.A.")</f>
        <v>N.A.</v>
      </c>
      <c r="AK122" s="61" t="str">
        <f>Tab_Data_Flows[[#This Row],[UoM_Flow_Py]]</f>
        <v>Mg</v>
      </c>
    </row>
    <row r="123" spans="1:37" x14ac:dyDescent="0.35">
      <c r="A123" s="60">
        <f t="shared" si="12"/>
        <v>122</v>
      </c>
      <c r="B123" s="49" t="str">
        <f>_xlfn.XLOOKUP(C123,Tab_Def_Flows[Name(EN)],Tab_Def_Flows[Flow_ID],,0,)</f>
        <v>F_21_21</v>
      </c>
      <c r="C123" s="51"/>
      <c r="D123" s="49">
        <f>_xlfn.XLOOKUP(C123,Tab_Def_Flows[Name(EN)],Tab_Def_Flows[Type_Biomass],,0,)</f>
        <v>0</v>
      </c>
      <c r="E123" s="49">
        <f>_xlfn.XLOOKUP(C123,Tab_Def_Flows[Name(EN)],Tab_Def_Flows[Output_Process],,0,)</f>
        <v>0</v>
      </c>
      <c r="F123" s="49" t="str">
        <f>_xlfn.XLOOKUP(C123,Tab_Def_Flows[Name(EN)],Tab_Def_Flows[Process_ID_O],,0,)</f>
        <v>21__</v>
      </c>
      <c r="G123" s="49">
        <f>_xlfn.XLOOKUP(C123,Tab_Def_Flows[Name(EN)],Tab_Def_Flows[Input_Process],,0,)</f>
        <v>0</v>
      </c>
      <c r="H123" s="61" t="str">
        <f>_xlfn.XLOOKUP(C123,Tab_Def_Flows[Name(EN)],Tab_Def_Flows[Process_ID_I],,0,)</f>
        <v>21__</v>
      </c>
      <c r="I123" s="61">
        <f>_xlfn.XLOOKUP(C123,Tab_Def_Flows[Name(EN)],Tab_Def_Flows[Value_Source],,0,)</f>
        <v>0</v>
      </c>
      <c r="J123" s="61">
        <f>_xlfn.XLOOKUP(C123,Tab_Def_Flows[Name(EN)],Tab_Def_Flows[WC?],,0,)</f>
        <v>0</v>
      </c>
      <c r="K123" s="61">
        <f>_xlfn.XLOOKUP(C123,Tab_Def_Flows[Name(EN)],Tab_Def_Flows[DM?],,0,)</f>
        <v>0</v>
      </c>
      <c r="L123" s="61">
        <f>_xlfn.XLOOKUP(C123,Tab_Def_Flows[Name(EN)],Tab_Def_Flows[CC?],,0,)</f>
        <v>0</v>
      </c>
      <c r="M123" s="51"/>
      <c r="N123" s="51"/>
      <c r="O123" s="88"/>
      <c r="P123" s="51"/>
      <c r="Q123" s="51"/>
      <c r="R123" s="51"/>
      <c r="S123" s="51"/>
      <c r="T123" s="51"/>
      <c r="U123" s="51"/>
      <c r="V123" s="51"/>
      <c r="W123" s="51"/>
      <c r="X123" s="51"/>
      <c r="Y123" s="109"/>
      <c r="Z123" s="51"/>
      <c r="AA123" s="89">
        <f t="shared" si="7"/>
        <v>0</v>
      </c>
      <c r="AB123" s="51" t="s">
        <v>63</v>
      </c>
      <c r="AC123" s="114" t="e">
        <f>INDEX(Tab_Def_Flows[[Flow_ID]:[CC_DM_source]],MATCH(Tab_Data_Flows[[#This Row],[Name(EN)]],Tab_Def_Flows[Name(EN)],0),16)</f>
        <v>#N/A</v>
      </c>
      <c r="AD123" s="115" t="str">
        <f>IF(J123="Yes",AA123*Tab_Data_Flows[[#This Row],[WC_'[%']]],"N.A.")</f>
        <v>N.A.</v>
      </c>
      <c r="AE123" s="61" t="str">
        <f>Tab_Data_Flows[[#This Row],[UoM_Flow_Py]]</f>
        <v>Mg</v>
      </c>
      <c r="AF123" s="114" t="e">
        <f>INDEX(Tab_Def_Flows[[Flow_ID]:[CC_DM_source]],MATCH(Tab_Data_Flows[[#This Row],[Name(EN)]],Tab_Def_Flows[Name(EN)],0),18)</f>
        <v>#N/A</v>
      </c>
      <c r="AG123" s="115" t="str">
        <f>IF(K123="Yes",AF123*Tab_Data_Flows[[#This Row],[Flow_Py]],"N.A.")</f>
        <v>N.A.</v>
      </c>
      <c r="AH123" s="61" t="str">
        <f>Tab_Data_Flows[[#This Row],[UoM_Flow_Py]]</f>
        <v>Mg</v>
      </c>
      <c r="AI123" s="114" t="e">
        <f>INDEX(Tab_Def_Flows[[Flow_ID]:[CC_DM_source]],MATCH(Tab_Data_Flows[[#This Row],[Name(EN)]],Tab_Def_Flows[Name(EN)],0),20)</f>
        <v>#N/A</v>
      </c>
      <c r="AJ123" s="115" t="str">
        <f>IF(L123="Yes",AI123*Tab_Data_Flows[[#This Row],[Flow_Py]],"N.A.")</f>
        <v>N.A.</v>
      </c>
      <c r="AK123" s="61" t="str">
        <f>Tab_Data_Flows[[#This Row],[UoM_Flow_Py]]</f>
        <v>Mg</v>
      </c>
    </row>
    <row r="124" spans="1:37" x14ac:dyDescent="0.35">
      <c r="A124" s="60">
        <f t="shared" si="12"/>
        <v>123</v>
      </c>
      <c r="B124" s="49" t="str">
        <f>_xlfn.XLOOKUP(C124,Tab_Def_Flows[Name(EN)],Tab_Def_Flows[Flow_ID],,0,)</f>
        <v>F_21_21</v>
      </c>
      <c r="C124" s="51"/>
      <c r="D124" s="49">
        <f>_xlfn.XLOOKUP(C124,Tab_Def_Flows[Name(EN)],Tab_Def_Flows[Type_Biomass],,0,)</f>
        <v>0</v>
      </c>
      <c r="E124" s="49">
        <f>_xlfn.XLOOKUP(C124,Tab_Def_Flows[Name(EN)],Tab_Def_Flows[Output_Process],,0,)</f>
        <v>0</v>
      </c>
      <c r="F124" s="49" t="str">
        <f>_xlfn.XLOOKUP(C124,Tab_Def_Flows[Name(EN)],Tab_Def_Flows[Process_ID_O],,0,)</f>
        <v>21__</v>
      </c>
      <c r="G124" s="49">
        <f>_xlfn.XLOOKUP(C124,Tab_Def_Flows[Name(EN)],Tab_Def_Flows[Input_Process],,0,)</f>
        <v>0</v>
      </c>
      <c r="H124" s="61" t="str">
        <f>_xlfn.XLOOKUP(C124,Tab_Def_Flows[Name(EN)],Tab_Def_Flows[Process_ID_I],,0,)</f>
        <v>21__</v>
      </c>
      <c r="I124" s="61">
        <f>_xlfn.XLOOKUP(C124,Tab_Def_Flows[Name(EN)],Tab_Def_Flows[Value_Source],,0,)</f>
        <v>0</v>
      </c>
      <c r="J124" s="61">
        <f>_xlfn.XLOOKUP(C124,Tab_Def_Flows[Name(EN)],Tab_Def_Flows[WC?],,0,)</f>
        <v>0</v>
      </c>
      <c r="K124" s="61">
        <f>_xlfn.XLOOKUP(C124,Tab_Def_Flows[Name(EN)],Tab_Def_Flows[DM?],,0,)</f>
        <v>0</v>
      </c>
      <c r="L124" s="61">
        <f>_xlfn.XLOOKUP(C124,Tab_Def_Flows[Name(EN)],Tab_Def_Flows[CC?],,0,)</f>
        <v>0</v>
      </c>
      <c r="M124" s="51"/>
      <c r="N124" s="51"/>
      <c r="O124" s="88"/>
      <c r="P124" s="51"/>
      <c r="Q124" s="51"/>
      <c r="R124" s="51"/>
      <c r="S124" s="51"/>
      <c r="T124" s="51"/>
      <c r="U124" s="51"/>
      <c r="V124" s="51"/>
      <c r="W124" s="51"/>
      <c r="X124" s="51"/>
      <c r="Y124" s="109"/>
      <c r="Z124" s="51"/>
      <c r="AA124" s="89">
        <f t="shared" si="7"/>
        <v>0</v>
      </c>
      <c r="AB124" s="51" t="s">
        <v>63</v>
      </c>
      <c r="AC124" s="114" t="e">
        <f>INDEX(Tab_Def_Flows[[Flow_ID]:[CC_DM_source]],MATCH(Tab_Data_Flows[[#This Row],[Name(EN)]],Tab_Def_Flows[Name(EN)],0),16)</f>
        <v>#N/A</v>
      </c>
      <c r="AD124" s="115" t="str">
        <f>IF(J124="Yes",AA124*Tab_Data_Flows[[#This Row],[WC_'[%']]],"N.A.")</f>
        <v>N.A.</v>
      </c>
      <c r="AE124" s="61" t="str">
        <f>Tab_Data_Flows[[#This Row],[UoM_Flow_Py]]</f>
        <v>Mg</v>
      </c>
      <c r="AF124" s="114" t="e">
        <f>INDEX(Tab_Def_Flows[[Flow_ID]:[CC_DM_source]],MATCH(Tab_Data_Flows[[#This Row],[Name(EN)]],Tab_Def_Flows[Name(EN)],0),18)</f>
        <v>#N/A</v>
      </c>
      <c r="AG124" s="115" t="str">
        <f>IF(K124="Yes",AF124*Tab_Data_Flows[[#This Row],[Flow_Py]],"N.A.")</f>
        <v>N.A.</v>
      </c>
      <c r="AH124" s="61" t="str">
        <f>Tab_Data_Flows[[#This Row],[UoM_Flow_Py]]</f>
        <v>Mg</v>
      </c>
      <c r="AI124" s="114" t="e">
        <f>INDEX(Tab_Def_Flows[[Flow_ID]:[CC_DM_source]],MATCH(Tab_Data_Flows[[#This Row],[Name(EN)]],Tab_Def_Flows[Name(EN)],0),20)</f>
        <v>#N/A</v>
      </c>
      <c r="AJ124" s="115" t="str">
        <f>IF(L124="Yes",AI124*Tab_Data_Flows[[#This Row],[Flow_Py]],"N.A.")</f>
        <v>N.A.</v>
      </c>
      <c r="AK124" s="61" t="str">
        <f>Tab_Data_Flows[[#This Row],[UoM_Flow_Py]]</f>
        <v>Mg</v>
      </c>
    </row>
    <row r="125" spans="1:37" x14ac:dyDescent="0.35">
      <c r="A125" s="60">
        <f t="shared" si="12"/>
        <v>124</v>
      </c>
      <c r="B125" s="49" t="str">
        <f>_xlfn.XLOOKUP(C125,Tab_Def_Flows[Name(EN)],Tab_Def_Flows[Flow_ID],,0,)</f>
        <v>F_21_21</v>
      </c>
      <c r="C125" s="51"/>
      <c r="D125" s="49">
        <f>_xlfn.XLOOKUP(C125,Tab_Def_Flows[Name(EN)],Tab_Def_Flows[Type_Biomass],,0,)</f>
        <v>0</v>
      </c>
      <c r="E125" s="49">
        <f>_xlfn.XLOOKUP(C125,Tab_Def_Flows[Name(EN)],Tab_Def_Flows[Output_Process],,0,)</f>
        <v>0</v>
      </c>
      <c r="F125" s="49" t="str">
        <f>_xlfn.XLOOKUP(C125,Tab_Def_Flows[Name(EN)],Tab_Def_Flows[Process_ID_O],,0,)</f>
        <v>21__</v>
      </c>
      <c r="G125" s="49">
        <f>_xlfn.XLOOKUP(C125,Tab_Def_Flows[Name(EN)],Tab_Def_Flows[Input_Process],,0,)</f>
        <v>0</v>
      </c>
      <c r="H125" s="61" t="str">
        <f>_xlfn.XLOOKUP(C125,Tab_Def_Flows[Name(EN)],Tab_Def_Flows[Process_ID_I],,0,)</f>
        <v>21__</v>
      </c>
      <c r="I125" s="61">
        <f>_xlfn.XLOOKUP(C125,Tab_Def_Flows[Name(EN)],Tab_Def_Flows[Value_Source],,0,)</f>
        <v>0</v>
      </c>
      <c r="J125" s="61">
        <f>_xlfn.XLOOKUP(C125,Tab_Def_Flows[Name(EN)],Tab_Def_Flows[WC?],,0,)</f>
        <v>0</v>
      </c>
      <c r="K125" s="61">
        <f>_xlfn.XLOOKUP(C125,Tab_Def_Flows[Name(EN)],Tab_Def_Flows[DM?],,0,)</f>
        <v>0</v>
      </c>
      <c r="L125" s="61">
        <f>_xlfn.XLOOKUP(C125,Tab_Def_Flows[Name(EN)],Tab_Def_Flows[CC?],,0,)</f>
        <v>0</v>
      </c>
      <c r="M125" s="51"/>
      <c r="N125" s="51"/>
      <c r="O125" s="88"/>
      <c r="P125" s="51"/>
      <c r="Q125" s="51"/>
      <c r="R125" s="51"/>
      <c r="S125" s="51"/>
      <c r="T125" s="51"/>
      <c r="U125" s="51"/>
      <c r="V125" s="51"/>
      <c r="W125" s="51"/>
      <c r="X125" s="51"/>
      <c r="Y125" s="109"/>
      <c r="Z125" s="51"/>
      <c r="AA125" s="89">
        <f t="shared" si="7"/>
        <v>0</v>
      </c>
      <c r="AB125" s="51" t="s">
        <v>63</v>
      </c>
      <c r="AC125" s="114" t="e">
        <f>INDEX(Tab_Def_Flows[[Flow_ID]:[CC_DM_source]],MATCH(Tab_Data_Flows[[#This Row],[Name(EN)]],Tab_Def_Flows[Name(EN)],0),16)</f>
        <v>#N/A</v>
      </c>
      <c r="AD125" s="115" t="str">
        <f>IF(J125="Yes",AA125*Tab_Data_Flows[[#This Row],[WC_'[%']]],"N.A.")</f>
        <v>N.A.</v>
      </c>
      <c r="AE125" s="61" t="str">
        <f>Tab_Data_Flows[[#This Row],[UoM_Flow_Py]]</f>
        <v>Mg</v>
      </c>
      <c r="AF125" s="114" t="e">
        <f>INDEX(Tab_Def_Flows[[Flow_ID]:[CC_DM_source]],MATCH(Tab_Data_Flows[[#This Row],[Name(EN)]],Tab_Def_Flows[Name(EN)],0),18)</f>
        <v>#N/A</v>
      </c>
      <c r="AG125" s="115" t="str">
        <f>IF(K125="Yes",AF125*Tab_Data_Flows[[#This Row],[Flow_Py]],"N.A.")</f>
        <v>N.A.</v>
      </c>
      <c r="AH125" s="61" t="str">
        <f>Tab_Data_Flows[[#This Row],[UoM_Flow_Py]]</f>
        <v>Mg</v>
      </c>
      <c r="AI125" s="114" t="e">
        <f>INDEX(Tab_Def_Flows[[Flow_ID]:[CC_DM_source]],MATCH(Tab_Data_Flows[[#This Row],[Name(EN)]],Tab_Def_Flows[Name(EN)],0),20)</f>
        <v>#N/A</v>
      </c>
      <c r="AJ125" s="115" t="str">
        <f>IF(L125="Yes",AI125*Tab_Data_Flows[[#This Row],[Flow_Py]],"N.A.")</f>
        <v>N.A.</v>
      </c>
      <c r="AK125" s="61" t="str">
        <f>Tab_Data_Flows[[#This Row],[UoM_Flow_Py]]</f>
        <v>Mg</v>
      </c>
    </row>
    <row r="126" spans="1:37" x14ac:dyDescent="0.35">
      <c r="A126" s="60">
        <f t="shared" si="12"/>
        <v>125</v>
      </c>
      <c r="B126" s="49" t="str">
        <f>_xlfn.XLOOKUP(C126,Tab_Def_Flows[Name(EN)],Tab_Def_Flows[Flow_ID],,0,)</f>
        <v>F_21_21</v>
      </c>
      <c r="C126" s="51"/>
      <c r="D126" s="49">
        <f>_xlfn.XLOOKUP(C126,Tab_Def_Flows[Name(EN)],Tab_Def_Flows[Type_Biomass],,0,)</f>
        <v>0</v>
      </c>
      <c r="E126" s="49">
        <f>_xlfn.XLOOKUP(C126,Tab_Def_Flows[Name(EN)],Tab_Def_Flows[Output_Process],,0,)</f>
        <v>0</v>
      </c>
      <c r="F126" s="49" t="str">
        <f>_xlfn.XLOOKUP(C126,Tab_Def_Flows[Name(EN)],Tab_Def_Flows[Process_ID_O],,0,)</f>
        <v>21__</v>
      </c>
      <c r="G126" s="49">
        <f>_xlfn.XLOOKUP(C126,Tab_Def_Flows[Name(EN)],Tab_Def_Flows[Input_Process],,0,)</f>
        <v>0</v>
      </c>
      <c r="H126" s="61" t="str">
        <f>_xlfn.XLOOKUP(C126,Tab_Def_Flows[Name(EN)],Tab_Def_Flows[Process_ID_I],,0,)</f>
        <v>21__</v>
      </c>
      <c r="I126" s="61">
        <f>_xlfn.XLOOKUP(C126,Tab_Def_Flows[Name(EN)],Tab_Def_Flows[Value_Source],,0,)</f>
        <v>0</v>
      </c>
      <c r="J126" s="61">
        <f>_xlfn.XLOOKUP(C126,Tab_Def_Flows[Name(EN)],Tab_Def_Flows[WC?],,0,)</f>
        <v>0</v>
      </c>
      <c r="K126" s="61">
        <f>_xlfn.XLOOKUP(C126,Tab_Def_Flows[Name(EN)],Tab_Def_Flows[DM?],,0,)</f>
        <v>0</v>
      </c>
      <c r="L126" s="61">
        <f>_xlfn.XLOOKUP(C126,Tab_Def_Flows[Name(EN)],Tab_Def_Flows[CC?],,0,)</f>
        <v>0</v>
      </c>
      <c r="M126" s="51"/>
      <c r="N126" s="51"/>
      <c r="O126" s="88"/>
      <c r="P126" s="51"/>
      <c r="Q126" s="51"/>
      <c r="R126" s="51"/>
      <c r="S126" s="51"/>
      <c r="T126" s="51"/>
      <c r="U126" s="51"/>
      <c r="V126" s="51"/>
      <c r="W126" s="51"/>
      <c r="X126" s="51"/>
      <c r="Y126" s="109"/>
      <c r="Z126" s="51"/>
      <c r="AA126" s="89">
        <f t="shared" si="7"/>
        <v>0</v>
      </c>
      <c r="AB126" s="51" t="s">
        <v>63</v>
      </c>
      <c r="AC126" s="114" t="e">
        <f>INDEX(Tab_Def_Flows[[Flow_ID]:[CC_DM_source]],MATCH(Tab_Data_Flows[[#This Row],[Name(EN)]],Tab_Def_Flows[Name(EN)],0),16)</f>
        <v>#N/A</v>
      </c>
      <c r="AD126" s="115" t="str">
        <f>IF(J126="Yes",AA126*Tab_Data_Flows[[#This Row],[WC_'[%']]],"N.A.")</f>
        <v>N.A.</v>
      </c>
      <c r="AE126" s="61" t="str">
        <f>Tab_Data_Flows[[#This Row],[UoM_Flow_Py]]</f>
        <v>Mg</v>
      </c>
      <c r="AF126" s="114" t="e">
        <f>INDEX(Tab_Def_Flows[[Flow_ID]:[CC_DM_source]],MATCH(Tab_Data_Flows[[#This Row],[Name(EN)]],Tab_Def_Flows[Name(EN)],0),18)</f>
        <v>#N/A</v>
      </c>
      <c r="AG126" s="115" t="str">
        <f>IF(K126="Yes",AF126*Tab_Data_Flows[[#This Row],[Flow_Py]],"N.A.")</f>
        <v>N.A.</v>
      </c>
      <c r="AH126" s="61" t="str">
        <f>Tab_Data_Flows[[#This Row],[UoM_Flow_Py]]</f>
        <v>Mg</v>
      </c>
      <c r="AI126" s="114" t="e">
        <f>INDEX(Tab_Def_Flows[[Flow_ID]:[CC_DM_source]],MATCH(Tab_Data_Flows[[#This Row],[Name(EN)]],Tab_Def_Flows[Name(EN)],0),20)</f>
        <v>#N/A</v>
      </c>
      <c r="AJ126" s="115" t="str">
        <f>IF(L126="Yes",AI126*Tab_Data_Flows[[#This Row],[Flow_Py]],"N.A.")</f>
        <v>N.A.</v>
      </c>
      <c r="AK126" s="61" t="str">
        <f>Tab_Data_Flows[[#This Row],[UoM_Flow_Py]]</f>
        <v>Mg</v>
      </c>
    </row>
    <row r="127" spans="1:37" x14ac:dyDescent="0.35">
      <c r="A127" s="60">
        <f t="shared" si="12"/>
        <v>126</v>
      </c>
      <c r="B127" s="49" t="str">
        <f>_xlfn.XLOOKUP(C127,Tab_Def_Flows[Name(EN)],Tab_Def_Flows[Flow_ID],,0,)</f>
        <v>F_21_21</v>
      </c>
      <c r="C127" s="51"/>
      <c r="D127" s="49">
        <f>_xlfn.XLOOKUP(C127,Tab_Def_Flows[Name(EN)],Tab_Def_Flows[Type_Biomass],,0,)</f>
        <v>0</v>
      </c>
      <c r="E127" s="49">
        <f>_xlfn.XLOOKUP(C127,Tab_Def_Flows[Name(EN)],Tab_Def_Flows[Output_Process],,0,)</f>
        <v>0</v>
      </c>
      <c r="F127" s="49" t="str">
        <f>_xlfn.XLOOKUP(C127,Tab_Def_Flows[Name(EN)],Tab_Def_Flows[Process_ID_O],,0,)</f>
        <v>21__</v>
      </c>
      <c r="G127" s="49">
        <f>_xlfn.XLOOKUP(C127,Tab_Def_Flows[Name(EN)],Tab_Def_Flows[Input_Process],,0,)</f>
        <v>0</v>
      </c>
      <c r="H127" s="61" t="str">
        <f>_xlfn.XLOOKUP(C127,Tab_Def_Flows[Name(EN)],Tab_Def_Flows[Process_ID_I],,0,)</f>
        <v>21__</v>
      </c>
      <c r="I127" s="61">
        <f>_xlfn.XLOOKUP(C127,Tab_Def_Flows[Name(EN)],Tab_Def_Flows[Value_Source],,0,)</f>
        <v>0</v>
      </c>
      <c r="J127" s="61">
        <f>_xlfn.XLOOKUP(C127,Tab_Def_Flows[Name(EN)],Tab_Def_Flows[WC?],,0,)</f>
        <v>0</v>
      </c>
      <c r="K127" s="61">
        <f>_xlfn.XLOOKUP(C127,Tab_Def_Flows[Name(EN)],Tab_Def_Flows[DM?],,0,)</f>
        <v>0</v>
      </c>
      <c r="L127" s="61">
        <f>_xlfn.XLOOKUP(C127,Tab_Def_Flows[Name(EN)],Tab_Def_Flows[CC?],,0,)</f>
        <v>0</v>
      </c>
      <c r="M127" s="51"/>
      <c r="N127" s="51"/>
      <c r="O127" s="88"/>
      <c r="P127" s="51"/>
      <c r="Q127" s="51"/>
      <c r="R127" s="51"/>
      <c r="S127" s="51"/>
      <c r="T127" s="51"/>
      <c r="U127" s="51"/>
      <c r="V127" s="51"/>
      <c r="W127" s="51"/>
      <c r="X127" s="51"/>
      <c r="Y127" s="109"/>
      <c r="Z127" s="51"/>
      <c r="AA127" s="89">
        <f t="shared" si="7"/>
        <v>0</v>
      </c>
      <c r="AB127" s="51" t="s">
        <v>63</v>
      </c>
      <c r="AC127" s="114" t="e">
        <f>INDEX(Tab_Def_Flows[[Flow_ID]:[CC_DM_source]],MATCH(Tab_Data_Flows[[#This Row],[Name(EN)]],Tab_Def_Flows[Name(EN)],0),16)</f>
        <v>#N/A</v>
      </c>
      <c r="AD127" s="115" t="str">
        <f>IF(J127="Yes",AA127*Tab_Data_Flows[[#This Row],[WC_'[%']]],"N.A.")</f>
        <v>N.A.</v>
      </c>
      <c r="AE127" s="61" t="str">
        <f>Tab_Data_Flows[[#This Row],[UoM_Flow_Py]]</f>
        <v>Mg</v>
      </c>
      <c r="AF127" s="114" t="e">
        <f>INDEX(Tab_Def_Flows[[Flow_ID]:[CC_DM_source]],MATCH(Tab_Data_Flows[[#This Row],[Name(EN)]],Tab_Def_Flows[Name(EN)],0),18)</f>
        <v>#N/A</v>
      </c>
      <c r="AG127" s="115" t="str">
        <f>IF(K127="Yes",AF127*Tab_Data_Flows[[#This Row],[Flow_Py]],"N.A.")</f>
        <v>N.A.</v>
      </c>
      <c r="AH127" s="61" t="str">
        <f>Tab_Data_Flows[[#This Row],[UoM_Flow_Py]]</f>
        <v>Mg</v>
      </c>
      <c r="AI127" s="114" t="e">
        <f>INDEX(Tab_Def_Flows[[Flow_ID]:[CC_DM_source]],MATCH(Tab_Data_Flows[[#This Row],[Name(EN)]],Tab_Def_Flows[Name(EN)],0),20)</f>
        <v>#N/A</v>
      </c>
      <c r="AJ127" s="115" t="str">
        <f>IF(L127="Yes",AI127*Tab_Data_Flows[[#This Row],[Flow_Py]],"N.A.")</f>
        <v>N.A.</v>
      </c>
      <c r="AK127" s="61" t="str">
        <f>Tab_Data_Flows[[#This Row],[UoM_Flow_Py]]</f>
        <v>Mg</v>
      </c>
    </row>
    <row r="128" spans="1:37" x14ac:dyDescent="0.35">
      <c r="A128" s="60">
        <f t="shared" si="12"/>
        <v>127</v>
      </c>
      <c r="B128" s="49" t="str">
        <f>_xlfn.XLOOKUP(C128,Tab_Def_Flows[Name(EN)],Tab_Def_Flows[Flow_ID],,0,)</f>
        <v>F_21_21</v>
      </c>
      <c r="C128" s="51"/>
      <c r="D128" s="49">
        <f>_xlfn.XLOOKUP(C128,Tab_Def_Flows[Name(EN)],Tab_Def_Flows[Type_Biomass],,0,)</f>
        <v>0</v>
      </c>
      <c r="E128" s="49">
        <f>_xlfn.XLOOKUP(C128,Tab_Def_Flows[Name(EN)],Tab_Def_Flows[Output_Process],,0,)</f>
        <v>0</v>
      </c>
      <c r="F128" s="49" t="str">
        <f>_xlfn.XLOOKUP(C128,Tab_Def_Flows[Name(EN)],Tab_Def_Flows[Process_ID_O],,0,)</f>
        <v>21__</v>
      </c>
      <c r="G128" s="49">
        <f>_xlfn.XLOOKUP(C128,Tab_Def_Flows[Name(EN)],Tab_Def_Flows[Input_Process],,0,)</f>
        <v>0</v>
      </c>
      <c r="H128" s="61" t="str">
        <f>_xlfn.XLOOKUP(C128,Tab_Def_Flows[Name(EN)],Tab_Def_Flows[Process_ID_I],,0,)</f>
        <v>21__</v>
      </c>
      <c r="I128" s="61">
        <f>_xlfn.XLOOKUP(C128,Tab_Def_Flows[Name(EN)],Tab_Def_Flows[Value_Source],,0,)</f>
        <v>0</v>
      </c>
      <c r="J128" s="61">
        <f>_xlfn.XLOOKUP(C128,Tab_Def_Flows[Name(EN)],Tab_Def_Flows[WC?],,0,)</f>
        <v>0</v>
      </c>
      <c r="K128" s="61">
        <f>_xlfn.XLOOKUP(C128,Tab_Def_Flows[Name(EN)],Tab_Def_Flows[DM?],,0,)</f>
        <v>0</v>
      </c>
      <c r="L128" s="61">
        <f>_xlfn.XLOOKUP(C128,Tab_Def_Flows[Name(EN)],Tab_Def_Flows[CC?],,0,)</f>
        <v>0</v>
      </c>
      <c r="M128" s="51"/>
      <c r="N128" s="51"/>
      <c r="O128" s="88"/>
      <c r="P128" s="51"/>
      <c r="Q128" s="51"/>
      <c r="R128" s="51"/>
      <c r="S128" s="51"/>
      <c r="T128" s="51"/>
      <c r="U128" s="51"/>
      <c r="V128" s="51"/>
      <c r="W128" s="51"/>
      <c r="X128" s="51"/>
      <c r="Y128" s="109"/>
      <c r="Z128" s="51"/>
      <c r="AA128" s="89">
        <f t="shared" si="7"/>
        <v>0</v>
      </c>
      <c r="AB128" s="51" t="s">
        <v>63</v>
      </c>
      <c r="AC128" s="114" t="e">
        <f>INDEX(Tab_Def_Flows[[Flow_ID]:[CC_DM_source]],MATCH(Tab_Data_Flows[[#This Row],[Name(EN)]],Tab_Def_Flows[Name(EN)],0),16)</f>
        <v>#N/A</v>
      </c>
      <c r="AD128" s="115" t="str">
        <f>IF(J128="Yes",AA128*Tab_Data_Flows[[#This Row],[WC_'[%']]],"N.A.")</f>
        <v>N.A.</v>
      </c>
      <c r="AE128" s="61" t="str">
        <f>Tab_Data_Flows[[#This Row],[UoM_Flow_Py]]</f>
        <v>Mg</v>
      </c>
      <c r="AF128" s="114" t="e">
        <f>INDEX(Tab_Def_Flows[[Flow_ID]:[CC_DM_source]],MATCH(Tab_Data_Flows[[#This Row],[Name(EN)]],Tab_Def_Flows[Name(EN)],0),18)</f>
        <v>#N/A</v>
      </c>
      <c r="AG128" s="115" t="str">
        <f>IF(K128="Yes",AF128*Tab_Data_Flows[[#This Row],[Flow_Py]],"N.A.")</f>
        <v>N.A.</v>
      </c>
      <c r="AH128" s="61" t="str">
        <f>Tab_Data_Flows[[#This Row],[UoM_Flow_Py]]</f>
        <v>Mg</v>
      </c>
      <c r="AI128" s="114" t="e">
        <f>INDEX(Tab_Def_Flows[[Flow_ID]:[CC_DM_source]],MATCH(Tab_Data_Flows[[#This Row],[Name(EN)]],Tab_Def_Flows[Name(EN)],0),20)</f>
        <v>#N/A</v>
      </c>
      <c r="AJ128" s="115" t="str">
        <f>IF(L128="Yes",AI128*Tab_Data_Flows[[#This Row],[Flow_Py]],"N.A.")</f>
        <v>N.A.</v>
      </c>
      <c r="AK128" s="61" t="str">
        <f>Tab_Data_Flows[[#This Row],[UoM_Flow_Py]]</f>
        <v>Mg</v>
      </c>
    </row>
    <row r="129" spans="1:37" x14ac:dyDescent="0.35">
      <c r="A129" s="60">
        <f t="shared" si="12"/>
        <v>128</v>
      </c>
      <c r="B129" s="49" t="str">
        <f>_xlfn.XLOOKUP(C129,Tab_Def_Flows[Name(EN)],Tab_Def_Flows[Flow_ID],,0,)</f>
        <v>F_21_21</v>
      </c>
      <c r="C129" s="51"/>
      <c r="D129" s="49">
        <f>_xlfn.XLOOKUP(C129,Tab_Def_Flows[Name(EN)],Tab_Def_Flows[Type_Biomass],,0,)</f>
        <v>0</v>
      </c>
      <c r="E129" s="49">
        <f>_xlfn.XLOOKUP(C129,Tab_Def_Flows[Name(EN)],Tab_Def_Flows[Output_Process],,0,)</f>
        <v>0</v>
      </c>
      <c r="F129" s="49" t="str">
        <f>_xlfn.XLOOKUP(C129,Tab_Def_Flows[Name(EN)],Tab_Def_Flows[Process_ID_O],,0,)</f>
        <v>21__</v>
      </c>
      <c r="G129" s="49">
        <f>_xlfn.XLOOKUP(C129,Tab_Def_Flows[Name(EN)],Tab_Def_Flows[Input_Process],,0,)</f>
        <v>0</v>
      </c>
      <c r="H129" s="61" t="str">
        <f>_xlfn.XLOOKUP(C129,Tab_Def_Flows[Name(EN)],Tab_Def_Flows[Process_ID_I],,0,)</f>
        <v>21__</v>
      </c>
      <c r="I129" s="61">
        <f>_xlfn.XLOOKUP(C129,Tab_Def_Flows[Name(EN)],Tab_Def_Flows[Value_Source],,0,)</f>
        <v>0</v>
      </c>
      <c r="J129" s="61">
        <f>_xlfn.XLOOKUP(C129,Tab_Def_Flows[Name(EN)],Tab_Def_Flows[WC?],,0,)</f>
        <v>0</v>
      </c>
      <c r="K129" s="61">
        <f>_xlfn.XLOOKUP(C129,Tab_Def_Flows[Name(EN)],Tab_Def_Flows[DM?],,0,)</f>
        <v>0</v>
      </c>
      <c r="L129" s="61">
        <f>_xlfn.XLOOKUP(C129,Tab_Def_Flows[Name(EN)],Tab_Def_Flows[CC?],,0,)</f>
        <v>0</v>
      </c>
      <c r="M129" s="51"/>
      <c r="N129" s="51"/>
      <c r="O129" s="88"/>
      <c r="P129" s="51"/>
      <c r="Q129" s="51"/>
      <c r="R129" s="51"/>
      <c r="S129" s="51"/>
      <c r="T129" s="51"/>
      <c r="U129" s="51"/>
      <c r="V129" s="51"/>
      <c r="W129" s="51"/>
      <c r="X129" s="51"/>
      <c r="Y129" s="109"/>
      <c r="Z129" s="51"/>
      <c r="AA129" s="89">
        <f t="shared" si="7"/>
        <v>0</v>
      </c>
      <c r="AB129" s="51" t="s">
        <v>63</v>
      </c>
      <c r="AC129" s="114" t="e">
        <f>INDEX(Tab_Def_Flows[[Flow_ID]:[CC_DM_source]],MATCH(Tab_Data_Flows[[#This Row],[Name(EN)]],Tab_Def_Flows[Name(EN)],0),16)</f>
        <v>#N/A</v>
      </c>
      <c r="AD129" s="115" t="str">
        <f>IF(J129="Yes",AA129*Tab_Data_Flows[[#This Row],[WC_'[%']]],"N.A.")</f>
        <v>N.A.</v>
      </c>
      <c r="AE129" s="61" t="str">
        <f>Tab_Data_Flows[[#This Row],[UoM_Flow_Py]]</f>
        <v>Mg</v>
      </c>
      <c r="AF129" s="114" t="e">
        <f>INDEX(Tab_Def_Flows[[Flow_ID]:[CC_DM_source]],MATCH(Tab_Data_Flows[[#This Row],[Name(EN)]],Tab_Def_Flows[Name(EN)],0),18)</f>
        <v>#N/A</v>
      </c>
      <c r="AG129" s="115" t="str">
        <f>IF(K129="Yes",AF129*Tab_Data_Flows[[#This Row],[Flow_Py]],"N.A.")</f>
        <v>N.A.</v>
      </c>
      <c r="AH129" s="61" t="str">
        <f>Tab_Data_Flows[[#This Row],[UoM_Flow_Py]]</f>
        <v>Mg</v>
      </c>
      <c r="AI129" s="114" t="e">
        <f>INDEX(Tab_Def_Flows[[Flow_ID]:[CC_DM_source]],MATCH(Tab_Data_Flows[[#This Row],[Name(EN)]],Tab_Def_Flows[Name(EN)],0),20)</f>
        <v>#N/A</v>
      </c>
      <c r="AJ129" s="115" t="str">
        <f>IF(L129="Yes",AI129*Tab_Data_Flows[[#This Row],[Flow_Py]],"N.A.")</f>
        <v>N.A.</v>
      </c>
      <c r="AK129" s="61" t="str">
        <f>Tab_Data_Flows[[#This Row],[UoM_Flow_Py]]</f>
        <v>Mg</v>
      </c>
    </row>
    <row r="130" spans="1:37" x14ac:dyDescent="0.35">
      <c r="A130" s="60">
        <f t="shared" si="12"/>
        <v>129</v>
      </c>
      <c r="B130" s="49" t="str">
        <f>_xlfn.XLOOKUP(C130,Tab_Def_Flows[Name(EN)],Tab_Def_Flows[Flow_ID],,0,)</f>
        <v>F_21_21</v>
      </c>
      <c r="C130" s="51"/>
      <c r="D130" s="49">
        <f>_xlfn.XLOOKUP(C130,Tab_Def_Flows[Name(EN)],Tab_Def_Flows[Type_Biomass],,0,)</f>
        <v>0</v>
      </c>
      <c r="E130" s="49">
        <f>_xlfn.XLOOKUP(C130,Tab_Def_Flows[Name(EN)],Tab_Def_Flows[Output_Process],,0,)</f>
        <v>0</v>
      </c>
      <c r="F130" s="49" t="str">
        <f>_xlfn.XLOOKUP(C130,Tab_Def_Flows[Name(EN)],Tab_Def_Flows[Process_ID_O],,0,)</f>
        <v>21__</v>
      </c>
      <c r="G130" s="49">
        <f>_xlfn.XLOOKUP(C130,Tab_Def_Flows[Name(EN)],Tab_Def_Flows[Input_Process],,0,)</f>
        <v>0</v>
      </c>
      <c r="H130" s="61" t="str">
        <f>_xlfn.XLOOKUP(C130,Tab_Def_Flows[Name(EN)],Tab_Def_Flows[Process_ID_I],,0,)</f>
        <v>21__</v>
      </c>
      <c r="I130" s="61">
        <f>_xlfn.XLOOKUP(C130,Tab_Def_Flows[Name(EN)],Tab_Def_Flows[Value_Source],,0,)</f>
        <v>0</v>
      </c>
      <c r="J130" s="61">
        <f>_xlfn.XLOOKUP(C130,Tab_Def_Flows[Name(EN)],Tab_Def_Flows[WC?],,0,)</f>
        <v>0</v>
      </c>
      <c r="K130" s="61">
        <f>_xlfn.XLOOKUP(C130,Tab_Def_Flows[Name(EN)],Tab_Def_Flows[DM?],,0,)</f>
        <v>0</v>
      </c>
      <c r="L130" s="61">
        <f>_xlfn.XLOOKUP(C130,Tab_Def_Flows[Name(EN)],Tab_Def_Flows[CC?],,0,)</f>
        <v>0</v>
      </c>
      <c r="M130" s="51"/>
      <c r="N130" s="51"/>
      <c r="O130" s="88"/>
      <c r="P130" s="51"/>
      <c r="Q130" s="51"/>
      <c r="R130" s="51"/>
      <c r="S130" s="51"/>
      <c r="T130" s="51"/>
      <c r="U130" s="51"/>
      <c r="V130" s="51"/>
      <c r="W130" s="51"/>
      <c r="X130" s="51"/>
      <c r="Y130" s="109"/>
      <c r="Z130" s="51"/>
      <c r="AA130" s="89">
        <f t="shared" si="7"/>
        <v>0</v>
      </c>
      <c r="AB130" s="51" t="s">
        <v>63</v>
      </c>
      <c r="AC130" s="114" t="e">
        <f>INDEX(Tab_Def_Flows[[Flow_ID]:[CC_DM_source]],MATCH(Tab_Data_Flows[[#This Row],[Name(EN)]],Tab_Def_Flows[Name(EN)],0),16)</f>
        <v>#N/A</v>
      </c>
      <c r="AD130" s="115" t="str">
        <f>IF(J130="Yes",AA130*Tab_Data_Flows[[#This Row],[WC_'[%']]],"N.A.")</f>
        <v>N.A.</v>
      </c>
      <c r="AE130" s="61" t="str">
        <f>Tab_Data_Flows[[#This Row],[UoM_Flow_Py]]</f>
        <v>Mg</v>
      </c>
      <c r="AF130" s="114" t="e">
        <f>INDEX(Tab_Def_Flows[[Flow_ID]:[CC_DM_source]],MATCH(Tab_Data_Flows[[#This Row],[Name(EN)]],Tab_Def_Flows[Name(EN)],0),18)</f>
        <v>#N/A</v>
      </c>
      <c r="AG130" s="115" t="str">
        <f>IF(K130="Yes",AF130*Tab_Data_Flows[[#This Row],[Flow_Py]],"N.A.")</f>
        <v>N.A.</v>
      </c>
      <c r="AH130" s="61" t="str">
        <f>Tab_Data_Flows[[#This Row],[UoM_Flow_Py]]</f>
        <v>Mg</v>
      </c>
      <c r="AI130" s="114" t="e">
        <f>INDEX(Tab_Def_Flows[[Flow_ID]:[CC_DM_source]],MATCH(Tab_Data_Flows[[#This Row],[Name(EN)]],Tab_Def_Flows[Name(EN)],0),20)</f>
        <v>#N/A</v>
      </c>
      <c r="AJ130" s="115" t="str">
        <f>IF(L130="Yes",AI130*Tab_Data_Flows[[#This Row],[Flow_Py]],"N.A.")</f>
        <v>N.A.</v>
      </c>
      <c r="AK130" s="61" t="str">
        <f>Tab_Data_Flows[[#This Row],[UoM_Flow_Py]]</f>
        <v>Mg</v>
      </c>
    </row>
    <row r="131" spans="1:37" x14ac:dyDescent="0.35">
      <c r="A131" s="60">
        <f t="shared" si="12"/>
        <v>130</v>
      </c>
      <c r="B131" s="49" t="str">
        <f>_xlfn.XLOOKUP(C131,Tab_Def_Flows[Name(EN)],Tab_Def_Flows[Flow_ID],,0,)</f>
        <v>F_21_21</v>
      </c>
      <c r="C131" s="51"/>
      <c r="D131" s="49">
        <f>_xlfn.XLOOKUP(C131,Tab_Def_Flows[Name(EN)],Tab_Def_Flows[Type_Biomass],,0,)</f>
        <v>0</v>
      </c>
      <c r="E131" s="49">
        <f>_xlfn.XLOOKUP(C131,Tab_Def_Flows[Name(EN)],Tab_Def_Flows[Output_Process],,0,)</f>
        <v>0</v>
      </c>
      <c r="F131" s="49" t="str">
        <f>_xlfn.XLOOKUP(C131,Tab_Def_Flows[Name(EN)],Tab_Def_Flows[Process_ID_O],,0,)</f>
        <v>21__</v>
      </c>
      <c r="G131" s="49">
        <f>_xlfn.XLOOKUP(C131,Tab_Def_Flows[Name(EN)],Tab_Def_Flows[Input_Process],,0,)</f>
        <v>0</v>
      </c>
      <c r="H131" s="61" t="str">
        <f>_xlfn.XLOOKUP(C131,Tab_Def_Flows[Name(EN)],Tab_Def_Flows[Process_ID_I],,0,)</f>
        <v>21__</v>
      </c>
      <c r="I131" s="61">
        <f>_xlfn.XLOOKUP(C131,Tab_Def_Flows[Name(EN)],Tab_Def_Flows[Value_Source],,0,)</f>
        <v>0</v>
      </c>
      <c r="J131" s="61">
        <f>_xlfn.XLOOKUP(C131,Tab_Def_Flows[Name(EN)],Tab_Def_Flows[WC?],,0,)</f>
        <v>0</v>
      </c>
      <c r="K131" s="61">
        <f>_xlfn.XLOOKUP(C131,Tab_Def_Flows[Name(EN)],Tab_Def_Flows[DM?],,0,)</f>
        <v>0</v>
      </c>
      <c r="L131" s="61">
        <f>_xlfn.XLOOKUP(C131,Tab_Def_Flows[Name(EN)],Tab_Def_Flows[CC?],,0,)</f>
        <v>0</v>
      </c>
      <c r="M131" s="51"/>
      <c r="N131" s="51"/>
      <c r="O131" s="88"/>
      <c r="P131" s="51"/>
      <c r="Q131" s="51"/>
      <c r="R131" s="51"/>
      <c r="S131" s="51"/>
      <c r="T131" s="51"/>
      <c r="U131" s="51"/>
      <c r="V131" s="51"/>
      <c r="W131" s="51"/>
      <c r="X131" s="51"/>
      <c r="Y131" s="109"/>
      <c r="Z131" s="51"/>
      <c r="AA131" s="89">
        <f t="shared" si="7"/>
        <v>0</v>
      </c>
      <c r="AB131" s="51" t="s">
        <v>63</v>
      </c>
      <c r="AC131" s="114" t="e">
        <f>INDEX(Tab_Def_Flows[[Flow_ID]:[CC_DM_source]],MATCH(Tab_Data_Flows[[#This Row],[Name(EN)]],Tab_Def_Flows[Name(EN)],0),16)</f>
        <v>#N/A</v>
      </c>
      <c r="AD131" s="115" t="str">
        <f>IF(J131="Yes",AA131*Tab_Data_Flows[[#This Row],[WC_'[%']]],"N.A.")</f>
        <v>N.A.</v>
      </c>
      <c r="AE131" s="61" t="str">
        <f>Tab_Data_Flows[[#This Row],[UoM_Flow_Py]]</f>
        <v>Mg</v>
      </c>
      <c r="AF131" s="114" t="e">
        <f>INDEX(Tab_Def_Flows[[Flow_ID]:[CC_DM_source]],MATCH(Tab_Data_Flows[[#This Row],[Name(EN)]],Tab_Def_Flows[Name(EN)],0),18)</f>
        <v>#N/A</v>
      </c>
      <c r="AG131" s="115" t="str">
        <f>IF(K131="Yes",AF131*Tab_Data_Flows[[#This Row],[Flow_Py]],"N.A.")</f>
        <v>N.A.</v>
      </c>
      <c r="AH131" s="61" t="str">
        <f>Tab_Data_Flows[[#This Row],[UoM_Flow_Py]]</f>
        <v>Mg</v>
      </c>
      <c r="AI131" s="114" t="e">
        <f>INDEX(Tab_Def_Flows[[Flow_ID]:[CC_DM_source]],MATCH(Tab_Data_Flows[[#This Row],[Name(EN)]],Tab_Def_Flows[Name(EN)],0),20)</f>
        <v>#N/A</v>
      </c>
      <c r="AJ131" s="115" t="str">
        <f>IF(L131="Yes",AI131*Tab_Data_Flows[[#This Row],[Flow_Py]],"N.A.")</f>
        <v>N.A.</v>
      </c>
      <c r="AK131" s="61" t="str">
        <f>Tab_Data_Flows[[#This Row],[UoM_Flow_Py]]</f>
        <v>Mg</v>
      </c>
    </row>
    <row r="132" spans="1:37" x14ac:dyDescent="0.35">
      <c r="A132" s="60">
        <f t="shared" si="12"/>
        <v>131</v>
      </c>
      <c r="B132" s="49" t="str">
        <f>_xlfn.XLOOKUP(C132,Tab_Def_Flows[Name(EN)],Tab_Def_Flows[Flow_ID],,0,)</f>
        <v>F_21_21</v>
      </c>
      <c r="C132" s="51"/>
      <c r="D132" s="49">
        <f>_xlfn.XLOOKUP(C132,Tab_Def_Flows[Name(EN)],Tab_Def_Flows[Type_Biomass],,0,)</f>
        <v>0</v>
      </c>
      <c r="E132" s="49">
        <f>_xlfn.XLOOKUP(C132,Tab_Def_Flows[Name(EN)],Tab_Def_Flows[Output_Process],,0,)</f>
        <v>0</v>
      </c>
      <c r="F132" s="49" t="str">
        <f>_xlfn.XLOOKUP(C132,Tab_Def_Flows[Name(EN)],Tab_Def_Flows[Process_ID_O],,0,)</f>
        <v>21__</v>
      </c>
      <c r="G132" s="49">
        <f>_xlfn.XLOOKUP(C132,Tab_Def_Flows[Name(EN)],Tab_Def_Flows[Input_Process],,0,)</f>
        <v>0</v>
      </c>
      <c r="H132" s="61" t="str">
        <f>_xlfn.XLOOKUP(C132,Tab_Def_Flows[Name(EN)],Tab_Def_Flows[Process_ID_I],,0,)</f>
        <v>21__</v>
      </c>
      <c r="I132" s="61">
        <f>_xlfn.XLOOKUP(C132,Tab_Def_Flows[Name(EN)],Tab_Def_Flows[Value_Source],,0,)</f>
        <v>0</v>
      </c>
      <c r="J132" s="61">
        <f>_xlfn.XLOOKUP(C132,Tab_Def_Flows[Name(EN)],Tab_Def_Flows[WC?],,0,)</f>
        <v>0</v>
      </c>
      <c r="K132" s="61">
        <f>_xlfn.XLOOKUP(C132,Tab_Def_Flows[Name(EN)],Tab_Def_Flows[DM?],,0,)</f>
        <v>0</v>
      </c>
      <c r="L132" s="61">
        <f>_xlfn.XLOOKUP(C132,Tab_Def_Flows[Name(EN)],Tab_Def_Flows[CC?],,0,)</f>
        <v>0</v>
      </c>
      <c r="M132" s="51"/>
      <c r="N132" s="51"/>
      <c r="O132" s="88"/>
      <c r="P132" s="51"/>
      <c r="Q132" s="51"/>
      <c r="R132" s="51"/>
      <c r="S132" s="51"/>
      <c r="T132" s="51"/>
      <c r="U132" s="51"/>
      <c r="V132" s="51"/>
      <c r="W132" s="51"/>
      <c r="X132" s="51"/>
      <c r="Y132" s="109"/>
      <c r="Z132" s="51"/>
      <c r="AA132" s="89">
        <f t="shared" si="7"/>
        <v>0</v>
      </c>
      <c r="AB132" s="51" t="s">
        <v>63</v>
      </c>
      <c r="AC132" s="114" t="e">
        <f>INDEX(Tab_Def_Flows[[Flow_ID]:[CC_DM_source]],MATCH(Tab_Data_Flows[[#This Row],[Name(EN)]],Tab_Def_Flows[Name(EN)],0),16)</f>
        <v>#N/A</v>
      </c>
      <c r="AD132" s="115" t="str">
        <f>IF(J132="Yes",AA132*Tab_Data_Flows[[#This Row],[WC_'[%']]],"N.A.")</f>
        <v>N.A.</v>
      </c>
      <c r="AE132" s="61" t="str">
        <f>Tab_Data_Flows[[#This Row],[UoM_Flow_Py]]</f>
        <v>Mg</v>
      </c>
      <c r="AF132" s="114" t="e">
        <f>INDEX(Tab_Def_Flows[[Flow_ID]:[CC_DM_source]],MATCH(Tab_Data_Flows[[#This Row],[Name(EN)]],Tab_Def_Flows[Name(EN)],0),18)</f>
        <v>#N/A</v>
      </c>
      <c r="AG132" s="115" t="str">
        <f>IF(K132="Yes",AF132*Tab_Data_Flows[[#This Row],[Flow_Py]],"N.A.")</f>
        <v>N.A.</v>
      </c>
      <c r="AH132" s="61" t="str">
        <f>Tab_Data_Flows[[#This Row],[UoM_Flow_Py]]</f>
        <v>Mg</v>
      </c>
      <c r="AI132" s="114" t="e">
        <f>INDEX(Tab_Def_Flows[[Flow_ID]:[CC_DM_source]],MATCH(Tab_Data_Flows[[#This Row],[Name(EN)]],Tab_Def_Flows[Name(EN)],0),20)</f>
        <v>#N/A</v>
      </c>
      <c r="AJ132" s="115" t="str">
        <f>IF(L132="Yes",AI132*Tab_Data_Flows[[#This Row],[Flow_Py]],"N.A.")</f>
        <v>N.A.</v>
      </c>
      <c r="AK132" s="61" t="str">
        <f>Tab_Data_Flows[[#This Row],[UoM_Flow_Py]]</f>
        <v>Mg</v>
      </c>
    </row>
    <row r="133" spans="1:37" x14ac:dyDescent="0.35">
      <c r="A133" s="60">
        <f t="shared" si="12"/>
        <v>132</v>
      </c>
      <c r="B133" s="49" t="str">
        <f>_xlfn.XLOOKUP(C133,Tab_Def_Flows[Name(EN)],Tab_Def_Flows[Flow_ID],,0,)</f>
        <v>F_21_21</v>
      </c>
      <c r="C133" s="51"/>
      <c r="D133" s="49">
        <f>_xlfn.XLOOKUP(C133,Tab_Def_Flows[Name(EN)],Tab_Def_Flows[Type_Biomass],,0,)</f>
        <v>0</v>
      </c>
      <c r="E133" s="49">
        <f>_xlfn.XLOOKUP(C133,Tab_Def_Flows[Name(EN)],Tab_Def_Flows[Output_Process],,0,)</f>
        <v>0</v>
      </c>
      <c r="F133" s="49" t="str">
        <f>_xlfn.XLOOKUP(C133,Tab_Def_Flows[Name(EN)],Tab_Def_Flows[Process_ID_O],,0,)</f>
        <v>21__</v>
      </c>
      <c r="G133" s="49">
        <f>_xlfn.XLOOKUP(C133,Tab_Def_Flows[Name(EN)],Tab_Def_Flows[Input_Process],,0,)</f>
        <v>0</v>
      </c>
      <c r="H133" s="61" t="str">
        <f>_xlfn.XLOOKUP(C133,Tab_Def_Flows[Name(EN)],Tab_Def_Flows[Process_ID_I],,0,)</f>
        <v>21__</v>
      </c>
      <c r="I133" s="61">
        <f>_xlfn.XLOOKUP(C133,Tab_Def_Flows[Name(EN)],Tab_Def_Flows[Value_Source],,0,)</f>
        <v>0</v>
      </c>
      <c r="J133" s="61">
        <f>_xlfn.XLOOKUP(C133,Tab_Def_Flows[Name(EN)],Tab_Def_Flows[WC?],,0,)</f>
        <v>0</v>
      </c>
      <c r="K133" s="61">
        <f>_xlfn.XLOOKUP(C133,Tab_Def_Flows[Name(EN)],Tab_Def_Flows[DM?],,0,)</f>
        <v>0</v>
      </c>
      <c r="L133" s="61">
        <f>_xlfn.XLOOKUP(C133,Tab_Def_Flows[Name(EN)],Tab_Def_Flows[CC?],,0,)</f>
        <v>0</v>
      </c>
      <c r="M133" s="51"/>
      <c r="N133" s="51"/>
      <c r="O133" s="88"/>
      <c r="P133" s="51"/>
      <c r="Q133" s="51"/>
      <c r="R133" s="51"/>
      <c r="S133" s="51"/>
      <c r="T133" s="51"/>
      <c r="U133" s="51"/>
      <c r="V133" s="51"/>
      <c r="W133" s="51"/>
      <c r="X133" s="51"/>
      <c r="Y133" s="109"/>
      <c r="Z133" s="51"/>
      <c r="AA133" s="89">
        <f t="shared" si="7"/>
        <v>0</v>
      </c>
      <c r="AB133" s="51" t="s">
        <v>63</v>
      </c>
      <c r="AC133" s="114" t="e">
        <f>INDEX(Tab_Def_Flows[[Flow_ID]:[CC_DM_source]],MATCH(Tab_Data_Flows[[#This Row],[Name(EN)]],Tab_Def_Flows[Name(EN)],0),16)</f>
        <v>#N/A</v>
      </c>
      <c r="AD133" s="115" t="str">
        <f>IF(J133="Yes",AA133*Tab_Data_Flows[[#This Row],[WC_'[%']]],"N.A.")</f>
        <v>N.A.</v>
      </c>
      <c r="AE133" s="61" t="str">
        <f>Tab_Data_Flows[[#This Row],[UoM_Flow_Py]]</f>
        <v>Mg</v>
      </c>
      <c r="AF133" s="114" t="e">
        <f>INDEX(Tab_Def_Flows[[Flow_ID]:[CC_DM_source]],MATCH(Tab_Data_Flows[[#This Row],[Name(EN)]],Tab_Def_Flows[Name(EN)],0),18)</f>
        <v>#N/A</v>
      </c>
      <c r="AG133" s="115" t="str">
        <f>IF(K133="Yes",AF133*Tab_Data_Flows[[#This Row],[Flow_Py]],"N.A.")</f>
        <v>N.A.</v>
      </c>
      <c r="AH133" s="61" t="str">
        <f>Tab_Data_Flows[[#This Row],[UoM_Flow_Py]]</f>
        <v>Mg</v>
      </c>
      <c r="AI133" s="114" t="e">
        <f>INDEX(Tab_Def_Flows[[Flow_ID]:[CC_DM_source]],MATCH(Tab_Data_Flows[[#This Row],[Name(EN)]],Tab_Def_Flows[Name(EN)],0),20)</f>
        <v>#N/A</v>
      </c>
      <c r="AJ133" s="115" t="str">
        <f>IF(L133="Yes",AI133*Tab_Data_Flows[[#This Row],[Flow_Py]],"N.A.")</f>
        <v>N.A.</v>
      </c>
      <c r="AK133" s="61" t="str">
        <f>Tab_Data_Flows[[#This Row],[UoM_Flow_Py]]</f>
        <v>Mg</v>
      </c>
    </row>
    <row r="134" spans="1:37" x14ac:dyDescent="0.35">
      <c r="A134" s="60">
        <f t="shared" si="12"/>
        <v>133</v>
      </c>
      <c r="B134" s="49" t="str">
        <f>_xlfn.XLOOKUP(C134,Tab_Def_Flows[Name(EN)],Tab_Def_Flows[Flow_ID],,0,)</f>
        <v>F_21_21</v>
      </c>
      <c r="C134" s="51"/>
      <c r="D134" s="49">
        <f>_xlfn.XLOOKUP(C134,Tab_Def_Flows[Name(EN)],Tab_Def_Flows[Type_Biomass],,0,)</f>
        <v>0</v>
      </c>
      <c r="E134" s="49">
        <f>_xlfn.XLOOKUP(C134,Tab_Def_Flows[Name(EN)],Tab_Def_Flows[Output_Process],,0,)</f>
        <v>0</v>
      </c>
      <c r="F134" s="49" t="str">
        <f>_xlfn.XLOOKUP(C134,Tab_Def_Flows[Name(EN)],Tab_Def_Flows[Process_ID_O],,0,)</f>
        <v>21__</v>
      </c>
      <c r="G134" s="49">
        <f>_xlfn.XLOOKUP(C134,Tab_Def_Flows[Name(EN)],Tab_Def_Flows[Input_Process],,0,)</f>
        <v>0</v>
      </c>
      <c r="H134" s="61" t="str">
        <f>_xlfn.XLOOKUP(C134,Tab_Def_Flows[Name(EN)],Tab_Def_Flows[Process_ID_I],,0,)</f>
        <v>21__</v>
      </c>
      <c r="I134" s="61">
        <f>_xlfn.XLOOKUP(C134,Tab_Def_Flows[Name(EN)],Tab_Def_Flows[Value_Source],,0,)</f>
        <v>0</v>
      </c>
      <c r="J134" s="61">
        <f>_xlfn.XLOOKUP(C134,Tab_Def_Flows[Name(EN)],Tab_Def_Flows[WC?],,0,)</f>
        <v>0</v>
      </c>
      <c r="K134" s="61">
        <f>_xlfn.XLOOKUP(C134,Tab_Def_Flows[Name(EN)],Tab_Def_Flows[DM?],,0,)</f>
        <v>0</v>
      </c>
      <c r="L134" s="61">
        <f>_xlfn.XLOOKUP(C134,Tab_Def_Flows[Name(EN)],Tab_Def_Flows[CC?],,0,)</f>
        <v>0</v>
      </c>
      <c r="M134" s="51"/>
      <c r="N134" s="51"/>
      <c r="O134" s="88"/>
      <c r="P134" s="51"/>
      <c r="Q134" s="51"/>
      <c r="R134" s="51"/>
      <c r="S134" s="51"/>
      <c r="T134" s="51"/>
      <c r="U134" s="51"/>
      <c r="V134" s="51"/>
      <c r="W134" s="51"/>
      <c r="X134" s="51"/>
      <c r="Y134" s="109"/>
      <c r="Z134" s="51"/>
      <c r="AA134" s="89">
        <f t="shared" si="7"/>
        <v>0</v>
      </c>
      <c r="AB134" s="51" t="s">
        <v>63</v>
      </c>
      <c r="AC134" s="114" t="e">
        <f>INDEX(Tab_Def_Flows[[Flow_ID]:[CC_DM_source]],MATCH(Tab_Data_Flows[[#This Row],[Name(EN)]],Tab_Def_Flows[Name(EN)],0),16)</f>
        <v>#N/A</v>
      </c>
      <c r="AD134" s="115" t="str">
        <f>IF(J134="Yes",AA134*Tab_Data_Flows[[#This Row],[WC_'[%']]],"N.A.")</f>
        <v>N.A.</v>
      </c>
      <c r="AE134" s="61" t="str">
        <f>Tab_Data_Flows[[#This Row],[UoM_Flow_Py]]</f>
        <v>Mg</v>
      </c>
      <c r="AF134" s="114" t="e">
        <f>INDEX(Tab_Def_Flows[[Flow_ID]:[CC_DM_source]],MATCH(Tab_Data_Flows[[#This Row],[Name(EN)]],Tab_Def_Flows[Name(EN)],0),18)</f>
        <v>#N/A</v>
      </c>
      <c r="AG134" s="115" t="str">
        <f>IF(K134="Yes",AF134*Tab_Data_Flows[[#This Row],[Flow_Py]],"N.A.")</f>
        <v>N.A.</v>
      </c>
      <c r="AH134" s="61" t="str">
        <f>Tab_Data_Flows[[#This Row],[UoM_Flow_Py]]</f>
        <v>Mg</v>
      </c>
      <c r="AI134" s="114" t="e">
        <f>INDEX(Tab_Def_Flows[[Flow_ID]:[CC_DM_source]],MATCH(Tab_Data_Flows[[#This Row],[Name(EN)]],Tab_Def_Flows[Name(EN)],0),20)</f>
        <v>#N/A</v>
      </c>
      <c r="AJ134" s="115" t="str">
        <f>IF(L134="Yes",AI134*Tab_Data_Flows[[#This Row],[Flow_Py]],"N.A.")</f>
        <v>N.A.</v>
      </c>
      <c r="AK134" s="61" t="str">
        <f>Tab_Data_Flows[[#This Row],[UoM_Flow_Py]]</f>
        <v>Mg</v>
      </c>
    </row>
    <row r="135" spans="1:37" x14ac:dyDescent="0.35">
      <c r="A135" s="60">
        <f t="shared" si="12"/>
        <v>134</v>
      </c>
      <c r="B135" s="49" t="str">
        <f>_xlfn.XLOOKUP(C135,Tab_Def_Flows[Name(EN)],Tab_Def_Flows[Flow_ID],,0,)</f>
        <v>F_21_21</v>
      </c>
      <c r="C135" s="51"/>
      <c r="D135" s="49">
        <f>_xlfn.XLOOKUP(C135,Tab_Def_Flows[Name(EN)],Tab_Def_Flows[Type_Biomass],,0,)</f>
        <v>0</v>
      </c>
      <c r="E135" s="49">
        <f>_xlfn.XLOOKUP(C135,Tab_Def_Flows[Name(EN)],Tab_Def_Flows[Output_Process],,0,)</f>
        <v>0</v>
      </c>
      <c r="F135" s="49" t="str">
        <f>_xlfn.XLOOKUP(C135,Tab_Def_Flows[Name(EN)],Tab_Def_Flows[Process_ID_O],,0,)</f>
        <v>21__</v>
      </c>
      <c r="G135" s="49">
        <f>_xlfn.XLOOKUP(C135,Tab_Def_Flows[Name(EN)],Tab_Def_Flows[Input_Process],,0,)</f>
        <v>0</v>
      </c>
      <c r="H135" s="61" t="str">
        <f>_xlfn.XLOOKUP(C135,Tab_Def_Flows[Name(EN)],Tab_Def_Flows[Process_ID_I],,0,)</f>
        <v>21__</v>
      </c>
      <c r="I135" s="49">
        <f>_xlfn.XLOOKUP(C135,Tab_Def_Flows[Name(EN)],Tab_Def_Flows[Value_Source],,0,)</f>
        <v>0</v>
      </c>
      <c r="J135" s="49">
        <f>_xlfn.XLOOKUP(C135,Tab_Def_Flows[Name(EN)],Tab_Def_Flows[WC?],,0,)</f>
        <v>0</v>
      </c>
      <c r="K135" s="49">
        <f>_xlfn.XLOOKUP(C135,Tab_Def_Flows[Name(EN)],Tab_Def_Flows[DM?],,0,)</f>
        <v>0</v>
      </c>
      <c r="L135" s="49">
        <f>_xlfn.XLOOKUP(C135,Tab_Def_Flows[Name(EN)],Tab_Def_Flows[CC?],,0,)</f>
        <v>0</v>
      </c>
      <c r="M135" s="51"/>
      <c r="N135" s="51"/>
      <c r="O135" s="88"/>
      <c r="P135" s="51"/>
      <c r="Q135" s="51"/>
      <c r="R135" s="51"/>
      <c r="S135" s="51"/>
      <c r="T135" s="51"/>
      <c r="U135" s="51"/>
      <c r="V135" s="51"/>
      <c r="W135" s="51"/>
      <c r="X135" s="51"/>
      <c r="Y135" s="109"/>
      <c r="Z135" s="51"/>
      <c r="AA135" s="89">
        <f t="shared" si="7"/>
        <v>0</v>
      </c>
      <c r="AB135" s="51" t="s">
        <v>63</v>
      </c>
      <c r="AC135" s="114" t="e">
        <f>INDEX(Tab_Def_Flows[[Flow_ID]:[CC_DM_source]],MATCH(Tab_Data_Flows[[#This Row],[Name(EN)]],Tab_Def_Flows[Name(EN)],0),16)</f>
        <v>#N/A</v>
      </c>
      <c r="AD135" s="115" t="str">
        <f>IF(J135="Yes",AA135*Tab_Data_Flows[[#This Row],[WC_'[%']]],"N.A.")</f>
        <v>N.A.</v>
      </c>
      <c r="AE135" s="61" t="str">
        <f>Tab_Data_Flows[[#This Row],[UoM_Flow_Py]]</f>
        <v>Mg</v>
      </c>
      <c r="AF135" s="114" t="e">
        <f>INDEX(Tab_Def_Flows[[Flow_ID]:[CC_DM_source]],MATCH(Tab_Data_Flows[[#This Row],[Name(EN)]],Tab_Def_Flows[Name(EN)],0),18)</f>
        <v>#N/A</v>
      </c>
      <c r="AG135" s="115" t="str">
        <f>IF(K135="Yes",AF135*Tab_Data_Flows[[#This Row],[Flow_Py]],"N.A.")</f>
        <v>N.A.</v>
      </c>
      <c r="AH135" s="61" t="str">
        <f>Tab_Data_Flows[[#This Row],[UoM_Flow_Py]]</f>
        <v>Mg</v>
      </c>
      <c r="AI135" s="114" t="e">
        <f>INDEX(Tab_Def_Flows[[Flow_ID]:[CC_DM_source]],MATCH(Tab_Data_Flows[[#This Row],[Name(EN)]],Tab_Def_Flows[Name(EN)],0),20)</f>
        <v>#N/A</v>
      </c>
      <c r="AJ135" s="115" t="str">
        <f>IF(L135="Yes",AI135*Tab_Data_Flows[[#This Row],[Flow_Py]],"N.A.")</f>
        <v>N.A.</v>
      </c>
      <c r="AK135" s="61" t="str">
        <f>Tab_Data_Flows[[#This Row],[UoM_Flow_Py]]</f>
        <v>Mg</v>
      </c>
    </row>
    <row r="136" spans="1:37" x14ac:dyDescent="0.35">
      <c r="A136" s="60">
        <f t="shared" si="12"/>
        <v>135</v>
      </c>
      <c r="B136" s="49" t="str">
        <f>_xlfn.XLOOKUP(C136,Tab_Def_Flows[Name(EN)],Tab_Def_Flows[Flow_ID],,0,)</f>
        <v>F_21_21</v>
      </c>
      <c r="C136" s="51"/>
      <c r="D136" s="49">
        <f>_xlfn.XLOOKUP(C136,Tab_Def_Flows[Name(EN)],Tab_Def_Flows[Type_Biomass],,0,)</f>
        <v>0</v>
      </c>
      <c r="E136" s="49">
        <f>_xlfn.XLOOKUP(C136,Tab_Def_Flows[Name(EN)],Tab_Def_Flows[Output_Process],,0,)</f>
        <v>0</v>
      </c>
      <c r="F136" s="49" t="str">
        <f>_xlfn.XLOOKUP(C136,Tab_Def_Flows[Name(EN)],Tab_Def_Flows[Process_ID_O],,0,)</f>
        <v>21__</v>
      </c>
      <c r="G136" s="49">
        <f>_xlfn.XLOOKUP(C136,Tab_Def_Flows[Name(EN)],Tab_Def_Flows[Input_Process],,0,)</f>
        <v>0</v>
      </c>
      <c r="H136" s="61" t="str">
        <f>_xlfn.XLOOKUP(C136,Tab_Def_Flows[Name(EN)],Tab_Def_Flows[Process_ID_I],,0,)</f>
        <v>21__</v>
      </c>
      <c r="I136" s="49">
        <f>_xlfn.XLOOKUP(C136,Tab_Def_Flows[Name(EN)],Tab_Def_Flows[Value_Source],,0,)</f>
        <v>0</v>
      </c>
      <c r="J136" s="49">
        <f>_xlfn.XLOOKUP(C136,Tab_Def_Flows[Name(EN)],Tab_Def_Flows[WC?],,0,)</f>
        <v>0</v>
      </c>
      <c r="K136" s="49">
        <f>_xlfn.XLOOKUP(C136,Tab_Def_Flows[Name(EN)],Tab_Def_Flows[DM?],,0,)</f>
        <v>0</v>
      </c>
      <c r="L136" s="49">
        <f>_xlfn.XLOOKUP(C136,Tab_Def_Flows[Name(EN)],Tab_Def_Flows[CC?],,0,)</f>
        <v>0</v>
      </c>
      <c r="M136" s="51"/>
      <c r="N136" s="51"/>
      <c r="O136" s="88"/>
      <c r="P136" s="51"/>
      <c r="Q136" s="51"/>
      <c r="R136" s="51"/>
      <c r="S136" s="51"/>
      <c r="T136" s="51"/>
      <c r="U136" s="51"/>
      <c r="V136" s="51"/>
      <c r="W136" s="51"/>
      <c r="X136" s="51"/>
      <c r="Y136" s="109"/>
      <c r="Z136" s="51"/>
      <c r="AA136" s="89">
        <f t="shared" si="7"/>
        <v>0</v>
      </c>
      <c r="AB136" s="51" t="s">
        <v>63</v>
      </c>
      <c r="AC136" s="114" t="e">
        <f>INDEX(Tab_Def_Flows[[Flow_ID]:[CC_DM_source]],MATCH(Tab_Data_Flows[[#This Row],[Name(EN)]],Tab_Def_Flows[Name(EN)],0),16)</f>
        <v>#N/A</v>
      </c>
      <c r="AD136" s="115" t="str">
        <f>IF(J136="Yes",AA136*Tab_Data_Flows[[#This Row],[WC_'[%']]],"N.A.")</f>
        <v>N.A.</v>
      </c>
      <c r="AE136" s="61" t="str">
        <f>Tab_Data_Flows[[#This Row],[UoM_Flow_Py]]</f>
        <v>Mg</v>
      </c>
      <c r="AF136" s="114" t="e">
        <f>INDEX(Tab_Def_Flows[[Flow_ID]:[CC_DM_source]],MATCH(Tab_Data_Flows[[#This Row],[Name(EN)]],Tab_Def_Flows[Name(EN)],0),18)</f>
        <v>#N/A</v>
      </c>
      <c r="AG136" s="115" t="str">
        <f>IF(K136="Yes",AF136*Tab_Data_Flows[[#This Row],[Flow_Py]],"N.A.")</f>
        <v>N.A.</v>
      </c>
      <c r="AH136" s="61" t="str">
        <f>Tab_Data_Flows[[#This Row],[UoM_Flow_Py]]</f>
        <v>Mg</v>
      </c>
      <c r="AI136" s="114" t="e">
        <f>INDEX(Tab_Def_Flows[[Flow_ID]:[CC_DM_source]],MATCH(Tab_Data_Flows[[#This Row],[Name(EN)]],Tab_Def_Flows[Name(EN)],0),20)</f>
        <v>#N/A</v>
      </c>
      <c r="AJ136" s="115" t="str">
        <f>IF(L136="Yes",AI136*Tab_Data_Flows[[#This Row],[Flow_Py]],"N.A.")</f>
        <v>N.A.</v>
      </c>
      <c r="AK136" s="61" t="str">
        <f>Tab_Data_Flows[[#This Row],[UoM_Flow_Py]]</f>
        <v>Mg</v>
      </c>
    </row>
    <row r="137" spans="1:37" x14ac:dyDescent="0.35">
      <c r="A137" s="60">
        <f t="shared" si="12"/>
        <v>136</v>
      </c>
      <c r="B137" s="49" t="str">
        <f>_xlfn.XLOOKUP(C137,Tab_Def_Flows[Name(EN)],Tab_Def_Flows[Flow_ID],,0,)</f>
        <v>F_21_21</v>
      </c>
      <c r="C137" s="51"/>
      <c r="D137" s="49">
        <f>_xlfn.XLOOKUP(C137,Tab_Def_Flows[Name(EN)],Tab_Def_Flows[Type_Biomass],,0,)</f>
        <v>0</v>
      </c>
      <c r="E137" s="49">
        <f>_xlfn.XLOOKUP(C137,Tab_Def_Flows[Name(EN)],Tab_Def_Flows[Output_Process],,0,)</f>
        <v>0</v>
      </c>
      <c r="F137" s="49" t="str">
        <f>_xlfn.XLOOKUP(C137,Tab_Def_Flows[Name(EN)],Tab_Def_Flows[Process_ID_O],,0,)</f>
        <v>21__</v>
      </c>
      <c r="G137" s="49">
        <f>_xlfn.XLOOKUP(C137,Tab_Def_Flows[Name(EN)],Tab_Def_Flows[Input_Process],,0,)</f>
        <v>0</v>
      </c>
      <c r="H137" s="61" t="str">
        <f>_xlfn.XLOOKUP(C137,Tab_Def_Flows[Name(EN)],Tab_Def_Flows[Process_ID_I],,0,)</f>
        <v>21__</v>
      </c>
      <c r="I137" s="49">
        <f>_xlfn.XLOOKUP(C137,Tab_Def_Flows[Name(EN)],Tab_Def_Flows[Value_Source],,0,)</f>
        <v>0</v>
      </c>
      <c r="J137" s="49">
        <f>_xlfn.XLOOKUP(C137,Tab_Def_Flows[Name(EN)],Tab_Def_Flows[WC?],,0,)</f>
        <v>0</v>
      </c>
      <c r="K137" s="49">
        <f>_xlfn.XLOOKUP(C137,Tab_Def_Flows[Name(EN)],Tab_Def_Flows[DM?],,0,)</f>
        <v>0</v>
      </c>
      <c r="L137" s="49">
        <f>_xlfn.XLOOKUP(C137,Tab_Def_Flows[Name(EN)],Tab_Def_Flows[CC?],,0,)</f>
        <v>0</v>
      </c>
      <c r="M137" s="51"/>
      <c r="N137" s="51"/>
      <c r="O137" s="88"/>
      <c r="P137" s="51"/>
      <c r="Q137" s="51"/>
      <c r="R137" s="51"/>
      <c r="S137" s="51"/>
      <c r="T137" s="51"/>
      <c r="U137" s="51"/>
      <c r="V137" s="51"/>
      <c r="W137" s="51"/>
      <c r="X137" s="51"/>
      <c r="Y137" s="109"/>
      <c r="Z137" s="51"/>
      <c r="AA137" s="89">
        <f t="shared" si="7"/>
        <v>0</v>
      </c>
      <c r="AB137" s="51" t="s">
        <v>63</v>
      </c>
      <c r="AC137" s="114" t="e">
        <f>INDEX(Tab_Def_Flows[[Flow_ID]:[CC_DM_source]],MATCH(Tab_Data_Flows[[#This Row],[Name(EN)]],Tab_Def_Flows[Name(EN)],0),16)</f>
        <v>#N/A</v>
      </c>
      <c r="AD137" s="115" t="str">
        <f>IF(J137="Yes",AA137*Tab_Data_Flows[[#This Row],[WC_'[%']]],"N.A.")</f>
        <v>N.A.</v>
      </c>
      <c r="AE137" s="61" t="str">
        <f>Tab_Data_Flows[[#This Row],[UoM_Flow_Py]]</f>
        <v>Mg</v>
      </c>
      <c r="AF137" s="114" t="e">
        <f>INDEX(Tab_Def_Flows[[Flow_ID]:[CC_DM_source]],MATCH(Tab_Data_Flows[[#This Row],[Name(EN)]],Tab_Def_Flows[Name(EN)],0),18)</f>
        <v>#N/A</v>
      </c>
      <c r="AG137" s="115" t="str">
        <f>IF(K137="Yes",AF137*Tab_Data_Flows[[#This Row],[Flow_Py]],"N.A.")</f>
        <v>N.A.</v>
      </c>
      <c r="AH137" s="61" t="str">
        <f>Tab_Data_Flows[[#This Row],[UoM_Flow_Py]]</f>
        <v>Mg</v>
      </c>
      <c r="AI137" s="114" t="e">
        <f>INDEX(Tab_Def_Flows[[Flow_ID]:[CC_DM_source]],MATCH(Tab_Data_Flows[[#This Row],[Name(EN)]],Tab_Def_Flows[Name(EN)],0),20)</f>
        <v>#N/A</v>
      </c>
      <c r="AJ137" s="115" t="str">
        <f>IF(L137="Yes",AI137*Tab_Data_Flows[[#This Row],[Flow_Py]],"N.A.")</f>
        <v>N.A.</v>
      </c>
      <c r="AK137" s="61" t="str">
        <f>Tab_Data_Flows[[#This Row],[UoM_Flow_Py]]</f>
        <v>Mg</v>
      </c>
    </row>
    <row r="138" spans="1:37" x14ac:dyDescent="0.35">
      <c r="A138" s="60">
        <f t="shared" si="12"/>
        <v>137</v>
      </c>
      <c r="B138" s="49" t="str">
        <f>_xlfn.XLOOKUP(C138,Tab_Def_Flows[Name(EN)],Tab_Def_Flows[Flow_ID],,0,)</f>
        <v>F_21_21</v>
      </c>
      <c r="C138" s="51"/>
      <c r="D138" s="49">
        <f>_xlfn.XLOOKUP(C138,Tab_Def_Flows[Name(EN)],Tab_Def_Flows[Type_Biomass],,0,)</f>
        <v>0</v>
      </c>
      <c r="E138" s="49">
        <f>_xlfn.XLOOKUP(C138,Tab_Def_Flows[Name(EN)],Tab_Def_Flows[Output_Process],,0,)</f>
        <v>0</v>
      </c>
      <c r="F138" s="49" t="str">
        <f>_xlfn.XLOOKUP(C138,Tab_Def_Flows[Name(EN)],Tab_Def_Flows[Process_ID_O],,0,)</f>
        <v>21__</v>
      </c>
      <c r="G138" s="49">
        <f>_xlfn.XLOOKUP(C138,Tab_Def_Flows[Name(EN)],Tab_Def_Flows[Input_Process],,0,)</f>
        <v>0</v>
      </c>
      <c r="H138" s="61" t="str">
        <f>_xlfn.XLOOKUP(C138,Tab_Def_Flows[Name(EN)],Tab_Def_Flows[Process_ID_I],,0,)</f>
        <v>21__</v>
      </c>
      <c r="I138" s="49">
        <f>_xlfn.XLOOKUP(C138,Tab_Def_Flows[Name(EN)],Tab_Def_Flows[Value_Source],,0,)</f>
        <v>0</v>
      </c>
      <c r="J138" s="49">
        <f>_xlfn.XLOOKUP(C138,Tab_Def_Flows[Name(EN)],Tab_Def_Flows[WC?],,0,)</f>
        <v>0</v>
      </c>
      <c r="K138" s="49">
        <f>_xlfn.XLOOKUP(C138,Tab_Def_Flows[Name(EN)],Tab_Def_Flows[DM?],,0,)</f>
        <v>0</v>
      </c>
      <c r="L138" s="49">
        <f>_xlfn.XLOOKUP(C138,Tab_Def_Flows[Name(EN)],Tab_Def_Flows[CC?],,0,)</f>
        <v>0</v>
      </c>
      <c r="M138" s="51"/>
      <c r="N138" s="51"/>
      <c r="O138" s="88"/>
      <c r="P138" s="51"/>
      <c r="Q138" s="51"/>
      <c r="R138" s="51"/>
      <c r="S138" s="51"/>
      <c r="T138" s="51"/>
      <c r="U138" s="51"/>
      <c r="V138" s="51"/>
      <c r="W138" s="51"/>
      <c r="X138" s="51"/>
      <c r="Y138" s="109"/>
      <c r="Z138" s="51"/>
      <c r="AA138" s="89">
        <f t="shared" si="7"/>
        <v>0</v>
      </c>
      <c r="AB138" s="51" t="s">
        <v>63</v>
      </c>
      <c r="AC138" s="114" t="e">
        <f>INDEX(Tab_Def_Flows[[Flow_ID]:[CC_DM_source]],MATCH(Tab_Data_Flows[[#This Row],[Name(EN)]],Tab_Def_Flows[Name(EN)],0),16)</f>
        <v>#N/A</v>
      </c>
      <c r="AD138" s="115" t="str">
        <f>IF(J138="Yes",AA138*Tab_Data_Flows[[#This Row],[WC_'[%']]],"N.A.")</f>
        <v>N.A.</v>
      </c>
      <c r="AE138" s="61" t="str">
        <f>Tab_Data_Flows[[#This Row],[UoM_Flow_Py]]</f>
        <v>Mg</v>
      </c>
      <c r="AF138" s="114" t="e">
        <f>INDEX(Tab_Def_Flows[[Flow_ID]:[CC_DM_source]],MATCH(Tab_Data_Flows[[#This Row],[Name(EN)]],Tab_Def_Flows[Name(EN)],0),18)</f>
        <v>#N/A</v>
      </c>
      <c r="AG138" s="115" t="str">
        <f>IF(K138="Yes",AF138*Tab_Data_Flows[[#This Row],[Flow_Py]],"N.A.")</f>
        <v>N.A.</v>
      </c>
      <c r="AH138" s="61" t="str">
        <f>Tab_Data_Flows[[#This Row],[UoM_Flow_Py]]</f>
        <v>Mg</v>
      </c>
      <c r="AI138" s="114" t="e">
        <f>INDEX(Tab_Def_Flows[[Flow_ID]:[CC_DM_source]],MATCH(Tab_Data_Flows[[#This Row],[Name(EN)]],Tab_Def_Flows[Name(EN)],0),20)</f>
        <v>#N/A</v>
      </c>
      <c r="AJ138" s="115" t="str">
        <f>IF(L138="Yes",AI138*Tab_Data_Flows[[#This Row],[Flow_Py]],"N.A.")</f>
        <v>N.A.</v>
      </c>
      <c r="AK138" s="61" t="str">
        <f>Tab_Data_Flows[[#This Row],[UoM_Flow_Py]]</f>
        <v>Mg</v>
      </c>
    </row>
    <row r="139" spans="1:37" x14ac:dyDescent="0.35">
      <c r="A139" s="60">
        <f t="shared" si="12"/>
        <v>138</v>
      </c>
      <c r="B139" s="49" t="str">
        <f>_xlfn.XLOOKUP(C139,Tab_Def_Flows[Name(EN)],Tab_Def_Flows[Flow_ID],,0,)</f>
        <v>F_21_21</v>
      </c>
      <c r="C139" s="51"/>
      <c r="D139" s="49">
        <f>_xlfn.XLOOKUP(C139,Tab_Def_Flows[Name(EN)],Tab_Def_Flows[Type_Biomass],,0,)</f>
        <v>0</v>
      </c>
      <c r="E139" s="49">
        <f>_xlfn.XLOOKUP(C139,Tab_Def_Flows[Name(EN)],Tab_Def_Flows[Output_Process],,0,)</f>
        <v>0</v>
      </c>
      <c r="F139" s="49" t="str">
        <f>_xlfn.XLOOKUP(C139,Tab_Def_Flows[Name(EN)],Tab_Def_Flows[Process_ID_O],,0,)</f>
        <v>21__</v>
      </c>
      <c r="G139" s="49">
        <f>_xlfn.XLOOKUP(C139,Tab_Def_Flows[Name(EN)],Tab_Def_Flows[Input_Process],,0,)</f>
        <v>0</v>
      </c>
      <c r="H139" s="61" t="str">
        <f>_xlfn.XLOOKUP(C139,Tab_Def_Flows[Name(EN)],Tab_Def_Flows[Process_ID_I],,0,)</f>
        <v>21__</v>
      </c>
      <c r="I139" s="49">
        <f>_xlfn.XLOOKUP(C139,Tab_Def_Flows[Name(EN)],Tab_Def_Flows[Value_Source],,0,)</f>
        <v>0</v>
      </c>
      <c r="J139" s="49">
        <f>_xlfn.XLOOKUP(C139,Tab_Def_Flows[Name(EN)],Tab_Def_Flows[WC?],,0,)</f>
        <v>0</v>
      </c>
      <c r="K139" s="49">
        <f>_xlfn.XLOOKUP(C139,Tab_Def_Flows[Name(EN)],Tab_Def_Flows[DM?],,0,)</f>
        <v>0</v>
      </c>
      <c r="L139" s="49">
        <f>_xlfn.XLOOKUP(C139,Tab_Def_Flows[Name(EN)],Tab_Def_Flows[CC?],,0,)</f>
        <v>0</v>
      </c>
      <c r="M139" s="51"/>
      <c r="N139" s="51"/>
      <c r="O139" s="88"/>
      <c r="P139" s="51"/>
      <c r="Q139" s="51"/>
      <c r="R139" s="51"/>
      <c r="S139" s="51"/>
      <c r="T139" s="51"/>
      <c r="U139" s="51"/>
      <c r="V139" s="51"/>
      <c r="W139" s="51"/>
      <c r="X139" s="51"/>
      <c r="Y139" s="109"/>
      <c r="Z139" s="51"/>
      <c r="AA139" s="89">
        <f t="shared" si="7"/>
        <v>0</v>
      </c>
      <c r="AB139" s="51" t="s">
        <v>63</v>
      </c>
      <c r="AC139" s="114" t="e">
        <f>INDEX(Tab_Def_Flows[[Flow_ID]:[CC_DM_source]],MATCH(Tab_Data_Flows[[#This Row],[Name(EN)]],Tab_Def_Flows[Name(EN)],0),16)</f>
        <v>#N/A</v>
      </c>
      <c r="AD139" s="115" t="str">
        <f>IF(J139="Yes",AA139*Tab_Data_Flows[[#This Row],[WC_'[%']]],"N.A.")</f>
        <v>N.A.</v>
      </c>
      <c r="AE139" s="61" t="str">
        <f>Tab_Data_Flows[[#This Row],[UoM_Flow_Py]]</f>
        <v>Mg</v>
      </c>
      <c r="AF139" s="114" t="e">
        <f>INDEX(Tab_Def_Flows[[Flow_ID]:[CC_DM_source]],MATCH(Tab_Data_Flows[[#This Row],[Name(EN)]],Tab_Def_Flows[Name(EN)],0),18)</f>
        <v>#N/A</v>
      </c>
      <c r="AG139" s="115" t="str">
        <f>IF(K139="Yes",AF139*Tab_Data_Flows[[#This Row],[Flow_Py]],"N.A.")</f>
        <v>N.A.</v>
      </c>
      <c r="AH139" s="61" t="str">
        <f>Tab_Data_Flows[[#This Row],[UoM_Flow_Py]]</f>
        <v>Mg</v>
      </c>
      <c r="AI139" s="114" t="e">
        <f>INDEX(Tab_Def_Flows[[Flow_ID]:[CC_DM_source]],MATCH(Tab_Data_Flows[[#This Row],[Name(EN)]],Tab_Def_Flows[Name(EN)],0),20)</f>
        <v>#N/A</v>
      </c>
      <c r="AJ139" s="115" t="str">
        <f>IF(L139="Yes",AI139*Tab_Data_Flows[[#This Row],[Flow_Py]],"N.A.")</f>
        <v>N.A.</v>
      </c>
      <c r="AK139" s="61" t="str">
        <f>Tab_Data_Flows[[#This Row],[UoM_Flow_Py]]</f>
        <v>Mg</v>
      </c>
    </row>
    <row r="140" spans="1:37" x14ac:dyDescent="0.35">
      <c r="A140" s="60">
        <f t="shared" si="12"/>
        <v>139</v>
      </c>
      <c r="B140" s="49" t="str">
        <f>_xlfn.XLOOKUP(C140,Tab_Def_Flows[Name(EN)],Tab_Def_Flows[Flow_ID],,0,)</f>
        <v>F_21_21</v>
      </c>
      <c r="C140" s="51"/>
      <c r="D140" s="49">
        <f>_xlfn.XLOOKUP(C140,Tab_Def_Flows[Name(EN)],Tab_Def_Flows[Type_Biomass],,0,)</f>
        <v>0</v>
      </c>
      <c r="E140" s="49">
        <f>_xlfn.XLOOKUP(C140,Tab_Def_Flows[Name(EN)],Tab_Def_Flows[Output_Process],,0,)</f>
        <v>0</v>
      </c>
      <c r="F140" s="49" t="str">
        <f>_xlfn.XLOOKUP(C140,Tab_Def_Flows[Name(EN)],Tab_Def_Flows[Process_ID_O],,0,)</f>
        <v>21__</v>
      </c>
      <c r="G140" s="49">
        <f>_xlfn.XLOOKUP(C140,Tab_Def_Flows[Name(EN)],Tab_Def_Flows[Input_Process],,0,)</f>
        <v>0</v>
      </c>
      <c r="H140" s="61" t="str">
        <f>_xlfn.XLOOKUP(C140,Tab_Def_Flows[Name(EN)],Tab_Def_Flows[Process_ID_I],,0,)</f>
        <v>21__</v>
      </c>
      <c r="I140" s="49">
        <f>_xlfn.XLOOKUP(C140,Tab_Def_Flows[Name(EN)],Tab_Def_Flows[Value_Source],,0,)</f>
        <v>0</v>
      </c>
      <c r="J140" s="49">
        <f>_xlfn.XLOOKUP(C140,Tab_Def_Flows[Name(EN)],Tab_Def_Flows[WC?],,0,)</f>
        <v>0</v>
      </c>
      <c r="K140" s="49">
        <f>_xlfn.XLOOKUP(C140,Tab_Def_Flows[Name(EN)],Tab_Def_Flows[DM?],,0,)</f>
        <v>0</v>
      </c>
      <c r="L140" s="49">
        <f>_xlfn.XLOOKUP(C140,Tab_Def_Flows[Name(EN)],Tab_Def_Flows[CC?],,0,)</f>
        <v>0</v>
      </c>
      <c r="M140" s="51"/>
      <c r="N140" s="51"/>
      <c r="O140" s="88"/>
      <c r="P140" s="51"/>
      <c r="Q140" s="51"/>
      <c r="R140" s="51"/>
      <c r="S140" s="51"/>
      <c r="T140" s="51"/>
      <c r="U140" s="51"/>
      <c r="V140" s="51"/>
      <c r="W140" s="51"/>
      <c r="X140" s="51"/>
      <c r="Y140" s="109"/>
      <c r="Z140" s="51"/>
      <c r="AA140" s="89">
        <f t="shared" si="7"/>
        <v>0</v>
      </c>
      <c r="AB140" s="51" t="s">
        <v>63</v>
      </c>
      <c r="AC140" s="114" t="e">
        <f>INDEX(Tab_Def_Flows[[Flow_ID]:[CC_DM_source]],MATCH(Tab_Data_Flows[[#This Row],[Name(EN)]],Tab_Def_Flows[Name(EN)],0),16)</f>
        <v>#N/A</v>
      </c>
      <c r="AD140" s="115" t="str">
        <f>IF(J140="Yes",AA140*Tab_Data_Flows[[#This Row],[WC_'[%']]],"N.A.")</f>
        <v>N.A.</v>
      </c>
      <c r="AE140" s="61" t="str">
        <f>Tab_Data_Flows[[#This Row],[UoM_Flow_Py]]</f>
        <v>Mg</v>
      </c>
      <c r="AF140" s="114" t="e">
        <f>INDEX(Tab_Def_Flows[[Flow_ID]:[CC_DM_source]],MATCH(Tab_Data_Flows[[#This Row],[Name(EN)]],Tab_Def_Flows[Name(EN)],0),18)</f>
        <v>#N/A</v>
      </c>
      <c r="AG140" s="115" t="str">
        <f>IF(K140="Yes",AF140*Tab_Data_Flows[[#This Row],[Flow_Py]],"N.A.")</f>
        <v>N.A.</v>
      </c>
      <c r="AH140" s="61" t="str">
        <f>Tab_Data_Flows[[#This Row],[UoM_Flow_Py]]</f>
        <v>Mg</v>
      </c>
      <c r="AI140" s="114" t="e">
        <f>INDEX(Tab_Def_Flows[[Flow_ID]:[CC_DM_source]],MATCH(Tab_Data_Flows[[#This Row],[Name(EN)]],Tab_Def_Flows[Name(EN)],0),20)</f>
        <v>#N/A</v>
      </c>
      <c r="AJ140" s="115" t="str">
        <f>IF(L140="Yes",AI140*Tab_Data_Flows[[#This Row],[Flow_Py]],"N.A.")</f>
        <v>N.A.</v>
      </c>
      <c r="AK140" s="61" t="str">
        <f>Tab_Data_Flows[[#This Row],[UoM_Flow_Py]]</f>
        <v>Mg</v>
      </c>
    </row>
    <row r="141" spans="1:37" x14ac:dyDescent="0.35">
      <c r="A141" s="60">
        <f t="shared" si="12"/>
        <v>140</v>
      </c>
      <c r="B141" s="49" t="str">
        <f>_xlfn.XLOOKUP(C141,Tab_Def_Flows[Name(EN)],Tab_Def_Flows[Flow_ID],,0,)</f>
        <v>F_21_21</v>
      </c>
      <c r="C141" s="51"/>
      <c r="D141" s="49">
        <f>_xlfn.XLOOKUP(C141,Tab_Def_Flows[Name(EN)],Tab_Def_Flows[Type_Biomass],,0,)</f>
        <v>0</v>
      </c>
      <c r="E141" s="49">
        <f>_xlfn.XLOOKUP(C141,Tab_Def_Flows[Name(EN)],Tab_Def_Flows[Output_Process],,0,)</f>
        <v>0</v>
      </c>
      <c r="F141" s="49" t="str">
        <f>_xlfn.XLOOKUP(C141,Tab_Def_Flows[Name(EN)],Tab_Def_Flows[Process_ID_O],,0,)</f>
        <v>21__</v>
      </c>
      <c r="G141" s="49">
        <f>_xlfn.XLOOKUP(C141,Tab_Def_Flows[Name(EN)],Tab_Def_Flows[Input_Process],,0,)</f>
        <v>0</v>
      </c>
      <c r="H141" s="61" t="str">
        <f>_xlfn.XLOOKUP(C141,Tab_Def_Flows[Name(EN)],Tab_Def_Flows[Process_ID_I],,0,)</f>
        <v>21__</v>
      </c>
      <c r="I141" s="49">
        <f>_xlfn.XLOOKUP(C141,Tab_Def_Flows[Name(EN)],Tab_Def_Flows[Value_Source],,0,)</f>
        <v>0</v>
      </c>
      <c r="J141" s="49">
        <f>_xlfn.XLOOKUP(C141,Tab_Def_Flows[Name(EN)],Tab_Def_Flows[WC?],,0,)</f>
        <v>0</v>
      </c>
      <c r="K141" s="49">
        <f>_xlfn.XLOOKUP(C141,Tab_Def_Flows[Name(EN)],Tab_Def_Flows[DM?],,0,)</f>
        <v>0</v>
      </c>
      <c r="L141" s="49">
        <f>_xlfn.XLOOKUP(C141,Tab_Def_Flows[Name(EN)],Tab_Def_Flows[CC?],,0,)</f>
        <v>0</v>
      </c>
      <c r="M141" s="51"/>
      <c r="N141" s="51"/>
      <c r="O141" s="88"/>
      <c r="P141" s="51"/>
      <c r="Q141" s="51"/>
      <c r="R141" s="51"/>
      <c r="S141" s="51"/>
      <c r="T141" s="51"/>
      <c r="U141" s="51"/>
      <c r="V141" s="51"/>
      <c r="W141" s="51"/>
      <c r="X141" s="51"/>
      <c r="Y141" s="109"/>
      <c r="Z141" s="51"/>
      <c r="AA141" s="89">
        <f t="shared" si="7"/>
        <v>0</v>
      </c>
      <c r="AB141" s="51" t="s">
        <v>63</v>
      </c>
      <c r="AC141" s="114" t="e">
        <f>INDEX(Tab_Def_Flows[[Flow_ID]:[CC_DM_source]],MATCH(Tab_Data_Flows[[#This Row],[Name(EN)]],Tab_Def_Flows[Name(EN)],0),16)</f>
        <v>#N/A</v>
      </c>
      <c r="AD141" s="115" t="str">
        <f>IF(J141="Yes",AA141*Tab_Data_Flows[[#This Row],[WC_'[%']]],"N.A.")</f>
        <v>N.A.</v>
      </c>
      <c r="AE141" s="61" t="str">
        <f>Tab_Data_Flows[[#This Row],[UoM_Flow_Py]]</f>
        <v>Mg</v>
      </c>
      <c r="AF141" s="114" t="e">
        <f>INDEX(Tab_Def_Flows[[Flow_ID]:[CC_DM_source]],MATCH(Tab_Data_Flows[[#This Row],[Name(EN)]],Tab_Def_Flows[Name(EN)],0),18)</f>
        <v>#N/A</v>
      </c>
      <c r="AG141" s="115" t="str">
        <f>IF(K141="Yes",AF141*Tab_Data_Flows[[#This Row],[Flow_Py]],"N.A.")</f>
        <v>N.A.</v>
      </c>
      <c r="AH141" s="61" t="str">
        <f>Tab_Data_Flows[[#This Row],[UoM_Flow_Py]]</f>
        <v>Mg</v>
      </c>
      <c r="AI141" s="114" t="e">
        <f>INDEX(Tab_Def_Flows[[Flow_ID]:[CC_DM_source]],MATCH(Tab_Data_Flows[[#This Row],[Name(EN)]],Tab_Def_Flows[Name(EN)],0),20)</f>
        <v>#N/A</v>
      </c>
      <c r="AJ141" s="115" t="str">
        <f>IF(L141="Yes",AI141*Tab_Data_Flows[[#This Row],[Flow_Py]],"N.A.")</f>
        <v>N.A.</v>
      </c>
      <c r="AK141" s="61" t="str">
        <f>Tab_Data_Flows[[#This Row],[UoM_Flow_Py]]</f>
        <v>Mg</v>
      </c>
    </row>
    <row r="142" spans="1:37" x14ac:dyDescent="0.35">
      <c r="A142" s="60">
        <f t="shared" si="12"/>
        <v>141</v>
      </c>
      <c r="B142" s="49" t="str">
        <f>_xlfn.XLOOKUP(C142,Tab_Def_Flows[Name(EN)],Tab_Def_Flows[Flow_ID],,0,)</f>
        <v>F_21_21</v>
      </c>
      <c r="C142" s="51"/>
      <c r="D142" s="49">
        <f>_xlfn.XLOOKUP(C142,Tab_Def_Flows[Name(EN)],Tab_Def_Flows[Type_Biomass],,0,)</f>
        <v>0</v>
      </c>
      <c r="E142" s="49">
        <f>_xlfn.XLOOKUP(C142,Tab_Def_Flows[Name(EN)],Tab_Def_Flows[Output_Process],,0,)</f>
        <v>0</v>
      </c>
      <c r="F142" s="49" t="str">
        <f>_xlfn.XLOOKUP(C142,Tab_Def_Flows[Name(EN)],Tab_Def_Flows[Process_ID_O],,0,)</f>
        <v>21__</v>
      </c>
      <c r="G142" s="49">
        <f>_xlfn.XLOOKUP(C142,Tab_Def_Flows[Name(EN)],Tab_Def_Flows[Input_Process],,0,)</f>
        <v>0</v>
      </c>
      <c r="H142" s="61" t="str">
        <f>_xlfn.XLOOKUP(C142,Tab_Def_Flows[Name(EN)],Tab_Def_Flows[Process_ID_I],,0,)</f>
        <v>21__</v>
      </c>
      <c r="I142" s="49">
        <f>_xlfn.XLOOKUP(C142,Tab_Def_Flows[Name(EN)],Tab_Def_Flows[Value_Source],,0,)</f>
        <v>0</v>
      </c>
      <c r="J142" s="49">
        <f>_xlfn.XLOOKUP(C142,Tab_Def_Flows[Name(EN)],Tab_Def_Flows[WC?],,0,)</f>
        <v>0</v>
      </c>
      <c r="K142" s="49">
        <f>_xlfn.XLOOKUP(C142,Tab_Def_Flows[Name(EN)],Tab_Def_Flows[DM?],,0,)</f>
        <v>0</v>
      </c>
      <c r="L142" s="49">
        <f>_xlfn.XLOOKUP(C142,Tab_Def_Flows[Name(EN)],Tab_Def_Flows[CC?],,0,)</f>
        <v>0</v>
      </c>
      <c r="M142" s="51"/>
      <c r="N142" s="51"/>
      <c r="O142" s="88"/>
      <c r="P142" s="51"/>
      <c r="Q142" s="51"/>
      <c r="R142" s="51"/>
      <c r="S142" s="51"/>
      <c r="T142" s="51"/>
      <c r="U142" s="51"/>
      <c r="V142" s="51"/>
      <c r="W142" s="51"/>
      <c r="X142" s="51"/>
      <c r="Y142" s="109"/>
      <c r="Z142" s="51"/>
      <c r="AA142" s="89">
        <f t="shared" si="7"/>
        <v>0</v>
      </c>
      <c r="AB142" s="51" t="s">
        <v>63</v>
      </c>
      <c r="AC142" s="114" t="e">
        <f>INDEX(Tab_Def_Flows[[Flow_ID]:[CC_DM_source]],MATCH(Tab_Data_Flows[[#This Row],[Name(EN)]],Tab_Def_Flows[Name(EN)],0),16)</f>
        <v>#N/A</v>
      </c>
      <c r="AD142" s="115" t="str">
        <f>IF(J142="Yes",AA142*Tab_Data_Flows[[#This Row],[WC_'[%']]],"N.A.")</f>
        <v>N.A.</v>
      </c>
      <c r="AE142" s="61" t="str">
        <f>Tab_Data_Flows[[#This Row],[UoM_Flow_Py]]</f>
        <v>Mg</v>
      </c>
      <c r="AF142" s="114" t="e">
        <f>INDEX(Tab_Def_Flows[[Flow_ID]:[CC_DM_source]],MATCH(Tab_Data_Flows[[#This Row],[Name(EN)]],Tab_Def_Flows[Name(EN)],0),18)</f>
        <v>#N/A</v>
      </c>
      <c r="AG142" s="115" t="str">
        <f>IF(K142="Yes",AF142*Tab_Data_Flows[[#This Row],[Flow_Py]],"N.A.")</f>
        <v>N.A.</v>
      </c>
      <c r="AH142" s="61" t="str">
        <f>Tab_Data_Flows[[#This Row],[UoM_Flow_Py]]</f>
        <v>Mg</v>
      </c>
      <c r="AI142" s="114" t="e">
        <f>INDEX(Tab_Def_Flows[[Flow_ID]:[CC_DM_source]],MATCH(Tab_Data_Flows[[#This Row],[Name(EN)]],Tab_Def_Flows[Name(EN)],0),20)</f>
        <v>#N/A</v>
      </c>
      <c r="AJ142" s="115" t="str">
        <f>IF(L142="Yes",AI142*Tab_Data_Flows[[#This Row],[Flow_Py]],"N.A.")</f>
        <v>N.A.</v>
      </c>
      <c r="AK142" s="61" t="str">
        <f>Tab_Data_Flows[[#This Row],[UoM_Flow_Py]]</f>
        <v>Mg</v>
      </c>
    </row>
    <row r="143" spans="1:37" x14ac:dyDescent="0.35">
      <c r="A143" s="60">
        <f t="shared" si="12"/>
        <v>142</v>
      </c>
      <c r="B143" s="49" t="str">
        <f>_xlfn.XLOOKUP(C143,Tab_Def_Flows[Name(EN)],Tab_Def_Flows[Flow_ID],,0,)</f>
        <v>F_21_21</v>
      </c>
      <c r="C143" s="51"/>
      <c r="D143" s="49">
        <f>_xlfn.XLOOKUP(C143,Tab_Def_Flows[Name(EN)],Tab_Def_Flows[Type_Biomass],,0,)</f>
        <v>0</v>
      </c>
      <c r="E143" s="49">
        <f>_xlfn.XLOOKUP(C143,Tab_Def_Flows[Name(EN)],Tab_Def_Flows[Output_Process],,0,)</f>
        <v>0</v>
      </c>
      <c r="F143" s="49" t="str">
        <f>_xlfn.XLOOKUP(C143,Tab_Def_Flows[Name(EN)],Tab_Def_Flows[Process_ID_O],,0,)</f>
        <v>21__</v>
      </c>
      <c r="G143" s="49">
        <f>_xlfn.XLOOKUP(C143,Tab_Def_Flows[Name(EN)],Tab_Def_Flows[Input_Process],,0,)</f>
        <v>0</v>
      </c>
      <c r="H143" s="61" t="str">
        <f>_xlfn.XLOOKUP(C143,Tab_Def_Flows[Name(EN)],Tab_Def_Flows[Process_ID_I],,0,)</f>
        <v>21__</v>
      </c>
      <c r="I143" s="49">
        <f>_xlfn.XLOOKUP(C143,Tab_Def_Flows[Name(EN)],Tab_Def_Flows[Value_Source],,0,)</f>
        <v>0</v>
      </c>
      <c r="J143" s="49">
        <f>_xlfn.XLOOKUP(C143,Tab_Def_Flows[Name(EN)],Tab_Def_Flows[WC?],,0,)</f>
        <v>0</v>
      </c>
      <c r="K143" s="49">
        <f>_xlfn.XLOOKUP(C143,Tab_Def_Flows[Name(EN)],Tab_Def_Flows[DM?],,0,)</f>
        <v>0</v>
      </c>
      <c r="L143" s="49">
        <f>_xlfn.XLOOKUP(C143,Tab_Def_Flows[Name(EN)],Tab_Def_Flows[CC?],,0,)</f>
        <v>0</v>
      </c>
      <c r="M143" s="51"/>
      <c r="N143" s="51"/>
      <c r="O143" s="88"/>
      <c r="P143" s="51"/>
      <c r="Q143" s="51"/>
      <c r="R143" s="51"/>
      <c r="S143" s="51"/>
      <c r="T143" s="51"/>
      <c r="U143" s="51"/>
      <c r="V143" s="51"/>
      <c r="W143" s="51"/>
      <c r="X143" s="51"/>
      <c r="Y143" s="109"/>
      <c r="Z143" s="51"/>
      <c r="AA143" s="89">
        <f t="shared" si="7"/>
        <v>0</v>
      </c>
      <c r="AB143" s="51" t="s">
        <v>63</v>
      </c>
      <c r="AC143" s="114" t="e">
        <f>INDEX(Tab_Def_Flows[[Flow_ID]:[CC_DM_source]],MATCH(Tab_Data_Flows[[#This Row],[Name(EN)]],Tab_Def_Flows[Name(EN)],0),16)</f>
        <v>#N/A</v>
      </c>
      <c r="AD143" s="115" t="str">
        <f>IF(J143="Yes",AA143*Tab_Data_Flows[[#This Row],[WC_'[%']]],"N.A.")</f>
        <v>N.A.</v>
      </c>
      <c r="AE143" s="61" t="str">
        <f>Tab_Data_Flows[[#This Row],[UoM_Flow_Py]]</f>
        <v>Mg</v>
      </c>
      <c r="AF143" s="114" t="e">
        <f>INDEX(Tab_Def_Flows[[Flow_ID]:[CC_DM_source]],MATCH(Tab_Data_Flows[[#This Row],[Name(EN)]],Tab_Def_Flows[Name(EN)],0),18)</f>
        <v>#N/A</v>
      </c>
      <c r="AG143" s="115" t="str">
        <f>IF(K143="Yes",AF143*Tab_Data_Flows[[#This Row],[Flow_Py]],"N.A.")</f>
        <v>N.A.</v>
      </c>
      <c r="AH143" s="61" t="str">
        <f>Tab_Data_Flows[[#This Row],[UoM_Flow_Py]]</f>
        <v>Mg</v>
      </c>
      <c r="AI143" s="114" t="e">
        <f>INDEX(Tab_Def_Flows[[Flow_ID]:[CC_DM_source]],MATCH(Tab_Data_Flows[[#This Row],[Name(EN)]],Tab_Def_Flows[Name(EN)],0),20)</f>
        <v>#N/A</v>
      </c>
      <c r="AJ143" s="115" t="str">
        <f>IF(L143="Yes",AI143*Tab_Data_Flows[[#This Row],[Flow_Py]],"N.A.")</f>
        <v>N.A.</v>
      </c>
      <c r="AK143" s="61" t="str">
        <f>Tab_Data_Flows[[#This Row],[UoM_Flow_Py]]</f>
        <v>Mg</v>
      </c>
    </row>
    <row r="144" spans="1:37" x14ac:dyDescent="0.35">
      <c r="A144" s="60">
        <f t="shared" si="12"/>
        <v>143</v>
      </c>
      <c r="B144" s="49" t="str">
        <f>_xlfn.XLOOKUP(C144,Tab_Def_Flows[Name(EN)],Tab_Def_Flows[Flow_ID],,0,)</f>
        <v>F_21_21</v>
      </c>
      <c r="C144" s="51"/>
      <c r="D144" s="49">
        <f>_xlfn.XLOOKUP(C144,Tab_Def_Flows[Name(EN)],Tab_Def_Flows[Type_Biomass],,0,)</f>
        <v>0</v>
      </c>
      <c r="E144" s="49">
        <f>_xlfn.XLOOKUP(C144,Tab_Def_Flows[Name(EN)],Tab_Def_Flows[Output_Process],,0,)</f>
        <v>0</v>
      </c>
      <c r="F144" s="49" t="str">
        <f>_xlfn.XLOOKUP(C144,Tab_Def_Flows[Name(EN)],Tab_Def_Flows[Process_ID_O],,0,)</f>
        <v>21__</v>
      </c>
      <c r="G144" s="49">
        <f>_xlfn.XLOOKUP(C144,Tab_Def_Flows[Name(EN)],Tab_Def_Flows[Input_Process],,0,)</f>
        <v>0</v>
      </c>
      <c r="H144" s="61" t="str">
        <f>_xlfn.XLOOKUP(C144,Tab_Def_Flows[Name(EN)],Tab_Def_Flows[Process_ID_I],,0,)</f>
        <v>21__</v>
      </c>
      <c r="I144" s="49">
        <f>_xlfn.XLOOKUP(C144,Tab_Def_Flows[Name(EN)],Tab_Def_Flows[Value_Source],,0,)</f>
        <v>0</v>
      </c>
      <c r="J144" s="49">
        <f>_xlfn.XLOOKUP(C144,Tab_Def_Flows[Name(EN)],Tab_Def_Flows[WC?],,0,)</f>
        <v>0</v>
      </c>
      <c r="K144" s="49">
        <f>_xlfn.XLOOKUP(C144,Tab_Def_Flows[Name(EN)],Tab_Def_Flows[DM?],,0,)</f>
        <v>0</v>
      </c>
      <c r="L144" s="49">
        <f>_xlfn.XLOOKUP(C144,Tab_Def_Flows[Name(EN)],Tab_Def_Flows[CC?],,0,)</f>
        <v>0</v>
      </c>
      <c r="M144" s="51"/>
      <c r="N144" s="51"/>
      <c r="O144" s="88"/>
      <c r="P144" s="51"/>
      <c r="Q144" s="51"/>
      <c r="R144" s="51"/>
      <c r="S144" s="51"/>
      <c r="T144" s="51"/>
      <c r="U144" s="51"/>
      <c r="V144" s="51"/>
      <c r="W144" s="51"/>
      <c r="X144" s="51"/>
      <c r="Y144" s="109"/>
      <c r="Z144" s="51"/>
      <c r="AA144" s="89">
        <f t="shared" si="7"/>
        <v>0</v>
      </c>
      <c r="AB144" s="51" t="s">
        <v>63</v>
      </c>
      <c r="AC144" s="114" t="e">
        <f>INDEX(Tab_Def_Flows[[Flow_ID]:[CC_DM_source]],MATCH(Tab_Data_Flows[[#This Row],[Name(EN)]],Tab_Def_Flows[Name(EN)],0),16)</f>
        <v>#N/A</v>
      </c>
      <c r="AD144" s="115" t="str">
        <f>IF(J144="Yes",AA144*Tab_Data_Flows[[#This Row],[WC_'[%']]],"N.A.")</f>
        <v>N.A.</v>
      </c>
      <c r="AE144" s="61" t="str">
        <f>Tab_Data_Flows[[#This Row],[UoM_Flow_Py]]</f>
        <v>Mg</v>
      </c>
      <c r="AF144" s="114" t="e">
        <f>INDEX(Tab_Def_Flows[[Flow_ID]:[CC_DM_source]],MATCH(Tab_Data_Flows[[#This Row],[Name(EN)]],Tab_Def_Flows[Name(EN)],0),18)</f>
        <v>#N/A</v>
      </c>
      <c r="AG144" s="115" t="str">
        <f>IF(K144="Yes",AF144*Tab_Data_Flows[[#This Row],[Flow_Py]],"N.A.")</f>
        <v>N.A.</v>
      </c>
      <c r="AH144" s="61" t="str">
        <f>Tab_Data_Flows[[#This Row],[UoM_Flow_Py]]</f>
        <v>Mg</v>
      </c>
      <c r="AI144" s="114" t="e">
        <f>INDEX(Tab_Def_Flows[[Flow_ID]:[CC_DM_source]],MATCH(Tab_Data_Flows[[#This Row],[Name(EN)]],Tab_Def_Flows[Name(EN)],0),20)</f>
        <v>#N/A</v>
      </c>
      <c r="AJ144" s="115" t="str">
        <f>IF(L144="Yes",AI144*Tab_Data_Flows[[#This Row],[Flow_Py]],"N.A.")</f>
        <v>N.A.</v>
      </c>
      <c r="AK144" s="61" t="str">
        <f>Tab_Data_Flows[[#This Row],[UoM_Flow_Py]]</f>
        <v>Mg</v>
      </c>
    </row>
    <row r="145" spans="1:37" x14ac:dyDescent="0.35">
      <c r="A145" s="60">
        <f t="shared" si="12"/>
        <v>144</v>
      </c>
      <c r="B145" s="49" t="str">
        <f>_xlfn.XLOOKUP(C145,Tab_Def_Flows[Name(EN)],Tab_Def_Flows[Flow_ID],,0,)</f>
        <v>F_21_21</v>
      </c>
      <c r="C145" s="51"/>
      <c r="D145" s="49">
        <f>_xlfn.XLOOKUP(C145,Tab_Def_Flows[Name(EN)],Tab_Def_Flows[Type_Biomass],,0,)</f>
        <v>0</v>
      </c>
      <c r="E145" s="49">
        <f>_xlfn.XLOOKUP(C145,Tab_Def_Flows[Name(EN)],Tab_Def_Flows[Output_Process],,0,)</f>
        <v>0</v>
      </c>
      <c r="F145" s="49" t="str">
        <f>_xlfn.XLOOKUP(C145,Tab_Def_Flows[Name(EN)],Tab_Def_Flows[Process_ID_O],,0,)</f>
        <v>21__</v>
      </c>
      <c r="G145" s="49">
        <f>_xlfn.XLOOKUP(C145,Tab_Def_Flows[Name(EN)],Tab_Def_Flows[Input_Process],,0,)</f>
        <v>0</v>
      </c>
      <c r="H145" s="61" t="str">
        <f>_xlfn.XLOOKUP(C145,Tab_Def_Flows[Name(EN)],Tab_Def_Flows[Process_ID_I],,0,)</f>
        <v>21__</v>
      </c>
      <c r="I145" s="49">
        <f>_xlfn.XLOOKUP(C145,Tab_Def_Flows[Name(EN)],Tab_Def_Flows[Value_Source],,0,)</f>
        <v>0</v>
      </c>
      <c r="J145" s="49">
        <f>_xlfn.XLOOKUP(C145,Tab_Def_Flows[Name(EN)],Tab_Def_Flows[WC?],,0,)</f>
        <v>0</v>
      </c>
      <c r="K145" s="49">
        <f>_xlfn.XLOOKUP(C145,Tab_Def_Flows[Name(EN)],Tab_Def_Flows[DM?],,0,)</f>
        <v>0</v>
      </c>
      <c r="L145" s="49">
        <f>_xlfn.XLOOKUP(C145,Tab_Def_Flows[Name(EN)],Tab_Def_Flows[CC?],,0,)</f>
        <v>0</v>
      </c>
      <c r="M145" s="51"/>
      <c r="N145" s="51"/>
      <c r="O145" s="88"/>
      <c r="P145" s="51"/>
      <c r="Q145" s="51"/>
      <c r="R145" s="51"/>
      <c r="S145" s="51"/>
      <c r="T145" s="51"/>
      <c r="U145" s="51"/>
      <c r="V145" s="51"/>
      <c r="W145" s="51"/>
      <c r="X145" s="51"/>
      <c r="Y145" s="109"/>
      <c r="Z145" s="51"/>
      <c r="AA145" s="89">
        <f t="shared" si="7"/>
        <v>0</v>
      </c>
      <c r="AB145" s="51" t="s">
        <v>63</v>
      </c>
      <c r="AC145" s="114" t="e">
        <f>INDEX(Tab_Def_Flows[[Flow_ID]:[CC_DM_source]],MATCH(Tab_Data_Flows[[#This Row],[Name(EN)]],Tab_Def_Flows[Name(EN)],0),16)</f>
        <v>#N/A</v>
      </c>
      <c r="AD145" s="115" t="str">
        <f>IF(J145="Yes",AA145*Tab_Data_Flows[[#This Row],[WC_'[%']]],"N.A.")</f>
        <v>N.A.</v>
      </c>
      <c r="AE145" s="61" t="str">
        <f>Tab_Data_Flows[[#This Row],[UoM_Flow_Py]]</f>
        <v>Mg</v>
      </c>
      <c r="AF145" s="114" t="e">
        <f>INDEX(Tab_Def_Flows[[Flow_ID]:[CC_DM_source]],MATCH(Tab_Data_Flows[[#This Row],[Name(EN)]],Tab_Def_Flows[Name(EN)],0),18)</f>
        <v>#N/A</v>
      </c>
      <c r="AG145" s="115" t="str">
        <f>IF(K145="Yes",AF145*Tab_Data_Flows[[#This Row],[Flow_Py]],"N.A.")</f>
        <v>N.A.</v>
      </c>
      <c r="AH145" s="61" t="str">
        <f>Tab_Data_Flows[[#This Row],[UoM_Flow_Py]]</f>
        <v>Mg</v>
      </c>
      <c r="AI145" s="114" t="e">
        <f>INDEX(Tab_Def_Flows[[Flow_ID]:[CC_DM_source]],MATCH(Tab_Data_Flows[[#This Row],[Name(EN)]],Tab_Def_Flows[Name(EN)],0),20)</f>
        <v>#N/A</v>
      </c>
      <c r="AJ145" s="115" t="str">
        <f>IF(L145="Yes",AI145*Tab_Data_Flows[[#This Row],[Flow_Py]],"N.A.")</f>
        <v>N.A.</v>
      </c>
      <c r="AK145" s="61" t="str">
        <f>Tab_Data_Flows[[#This Row],[UoM_Flow_Py]]</f>
        <v>Mg</v>
      </c>
    </row>
    <row r="146" spans="1:37" x14ac:dyDescent="0.35">
      <c r="A146" s="60">
        <f t="shared" si="12"/>
        <v>145</v>
      </c>
      <c r="B146" s="49" t="str">
        <f>_xlfn.XLOOKUP(C146,Tab_Def_Flows[Name(EN)],Tab_Def_Flows[Flow_ID],,0,)</f>
        <v>F_21_21</v>
      </c>
      <c r="C146" s="51"/>
      <c r="D146" s="49">
        <f>_xlfn.XLOOKUP(C146,Tab_Def_Flows[Name(EN)],Tab_Def_Flows[Type_Biomass],,0,)</f>
        <v>0</v>
      </c>
      <c r="E146" s="49">
        <f>_xlfn.XLOOKUP(C146,Tab_Def_Flows[Name(EN)],Tab_Def_Flows[Output_Process],,0,)</f>
        <v>0</v>
      </c>
      <c r="F146" s="49" t="str">
        <f>_xlfn.XLOOKUP(C146,Tab_Def_Flows[Name(EN)],Tab_Def_Flows[Process_ID_O],,0,)</f>
        <v>21__</v>
      </c>
      <c r="G146" s="49">
        <f>_xlfn.XLOOKUP(C146,Tab_Def_Flows[Name(EN)],Tab_Def_Flows[Input_Process],,0,)</f>
        <v>0</v>
      </c>
      <c r="H146" s="61" t="str">
        <f>_xlfn.XLOOKUP(C146,Tab_Def_Flows[Name(EN)],Tab_Def_Flows[Process_ID_I],,0,)</f>
        <v>21__</v>
      </c>
      <c r="I146" s="49">
        <f>_xlfn.XLOOKUP(C146,Tab_Def_Flows[Name(EN)],Tab_Def_Flows[Value_Source],,0,)</f>
        <v>0</v>
      </c>
      <c r="J146" s="49">
        <f>_xlfn.XLOOKUP(C146,Tab_Def_Flows[Name(EN)],Tab_Def_Flows[WC?],,0,)</f>
        <v>0</v>
      </c>
      <c r="K146" s="49">
        <f>_xlfn.XLOOKUP(C146,Tab_Def_Flows[Name(EN)],Tab_Def_Flows[DM?],,0,)</f>
        <v>0</v>
      </c>
      <c r="L146" s="49">
        <f>_xlfn.XLOOKUP(C146,Tab_Def_Flows[Name(EN)],Tab_Def_Flows[CC?],,0,)</f>
        <v>0</v>
      </c>
      <c r="M146" s="51"/>
      <c r="N146" s="51"/>
      <c r="O146" s="88"/>
      <c r="P146" s="51"/>
      <c r="Q146" s="51"/>
      <c r="R146" s="51"/>
      <c r="S146" s="51"/>
      <c r="T146" s="51"/>
      <c r="U146" s="51"/>
      <c r="V146" s="51"/>
      <c r="W146" s="51"/>
      <c r="X146" s="51"/>
      <c r="Y146" s="109"/>
      <c r="Z146" s="51"/>
      <c r="AA146" s="89">
        <f t="shared" si="7"/>
        <v>0</v>
      </c>
      <c r="AB146" s="51" t="s">
        <v>63</v>
      </c>
      <c r="AC146" s="114" t="e">
        <f>INDEX(Tab_Def_Flows[[Flow_ID]:[CC_DM_source]],MATCH(Tab_Data_Flows[[#This Row],[Name(EN)]],Tab_Def_Flows[Name(EN)],0),16)</f>
        <v>#N/A</v>
      </c>
      <c r="AD146" s="115" t="str">
        <f>IF(J146="Yes",AA146*Tab_Data_Flows[[#This Row],[WC_'[%']]],"N.A.")</f>
        <v>N.A.</v>
      </c>
      <c r="AE146" s="61" t="str">
        <f>Tab_Data_Flows[[#This Row],[UoM_Flow_Py]]</f>
        <v>Mg</v>
      </c>
      <c r="AF146" s="114" t="e">
        <f>INDEX(Tab_Def_Flows[[Flow_ID]:[CC_DM_source]],MATCH(Tab_Data_Flows[[#This Row],[Name(EN)]],Tab_Def_Flows[Name(EN)],0),18)</f>
        <v>#N/A</v>
      </c>
      <c r="AG146" s="115" t="str">
        <f>IF(K146="Yes",AF146*Tab_Data_Flows[[#This Row],[Flow_Py]],"N.A.")</f>
        <v>N.A.</v>
      </c>
      <c r="AH146" s="61" t="str">
        <f>Tab_Data_Flows[[#This Row],[UoM_Flow_Py]]</f>
        <v>Mg</v>
      </c>
      <c r="AI146" s="114" t="e">
        <f>INDEX(Tab_Def_Flows[[Flow_ID]:[CC_DM_source]],MATCH(Tab_Data_Flows[[#This Row],[Name(EN)]],Tab_Def_Flows[Name(EN)],0),20)</f>
        <v>#N/A</v>
      </c>
      <c r="AJ146" s="115" t="str">
        <f>IF(L146="Yes",AI146*Tab_Data_Flows[[#This Row],[Flow_Py]],"N.A.")</f>
        <v>N.A.</v>
      </c>
      <c r="AK146" s="61" t="str">
        <f>Tab_Data_Flows[[#This Row],[UoM_Flow_Py]]</f>
        <v>Mg</v>
      </c>
    </row>
    <row r="147" spans="1:37" x14ac:dyDescent="0.35">
      <c r="A147" s="60">
        <f t="shared" si="12"/>
        <v>146</v>
      </c>
      <c r="B147" s="49" t="str">
        <f>_xlfn.XLOOKUP(C147,Tab_Def_Flows[Name(EN)],Tab_Def_Flows[Flow_ID],,0,)</f>
        <v>F_21_21</v>
      </c>
      <c r="C147" s="51"/>
      <c r="D147" s="49">
        <f>_xlfn.XLOOKUP(C147,Tab_Def_Flows[Name(EN)],Tab_Def_Flows[Type_Biomass],,0,)</f>
        <v>0</v>
      </c>
      <c r="E147" s="49">
        <f>_xlfn.XLOOKUP(C147,Tab_Def_Flows[Name(EN)],Tab_Def_Flows[Output_Process],,0,)</f>
        <v>0</v>
      </c>
      <c r="F147" s="49" t="str">
        <f>_xlfn.XLOOKUP(C147,Tab_Def_Flows[Name(EN)],Tab_Def_Flows[Process_ID_O],,0,)</f>
        <v>21__</v>
      </c>
      <c r="G147" s="49">
        <f>_xlfn.XLOOKUP(C147,Tab_Def_Flows[Name(EN)],Tab_Def_Flows[Input_Process],,0,)</f>
        <v>0</v>
      </c>
      <c r="H147" s="61" t="str">
        <f>_xlfn.XLOOKUP(C147,Tab_Def_Flows[Name(EN)],Tab_Def_Flows[Process_ID_I],,0,)</f>
        <v>21__</v>
      </c>
      <c r="I147" s="49">
        <f>_xlfn.XLOOKUP(C147,Tab_Def_Flows[Name(EN)],Tab_Def_Flows[Value_Source],,0,)</f>
        <v>0</v>
      </c>
      <c r="J147" s="49">
        <f>_xlfn.XLOOKUP(C147,Tab_Def_Flows[Name(EN)],Tab_Def_Flows[WC?],,0,)</f>
        <v>0</v>
      </c>
      <c r="K147" s="49">
        <f>_xlfn.XLOOKUP(C147,Tab_Def_Flows[Name(EN)],Tab_Def_Flows[DM?],,0,)</f>
        <v>0</v>
      </c>
      <c r="L147" s="49">
        <f>_xlfn.XLOOKUP(C147,Tab_Def_Flows[Name(EN)],Tab_Def_Flows[CC?],,0,)</f>
        <v>0</v>
      </c>
      <c r="M147" s="51"/>
      <c r="N147" s="51"/>
      <c r="O147" s="88"/>
      <c r="P147" s="51"/>
      <c r="Q147" s="51"/>
      <c r="R147" s="51"/>
      <c r="S147" s="51"/>
      <c r="T147" s="51"/>
      <c r="U147" s="51"/>
      <c r="V147" s="51"/>
      <c r="W147" s="51"/>
      <c r="X147" s="51"/>
      <c r="Y147" s="109"/>
      <c r="Z147" s="51"/>
      <c r="AA147" s="89">
        <f t="shared" si="7"/>
        <v>0</v>
      </c>
      <c r="AB147" s="51" t="s">
        <v>63</v>
      </c>
      <c r="AC147" s="114" t="e">
        <f>INDEX(Tab_Def_Flows[[Flow_ID]:[CC_DM_source]],MATCH(Tab_Data_Flows[[#This Row],[Name(EN)]],Tab_Def_Flows[Name(EN)],0),16)</f>
        <v>#N/A</v>
      </c>
      <c r="AD147" s="115" t="str">
        <f>IF(J147="Yes",AA147*Tab_Data_Flows[[#This Row],[WC_'[%']]],"N.A.")</f>
        <v>N.A.</v>
      </c>
      <c r="AE147" s="61" t="str">
        <f>Tab_Data_Flows[[#This Row],[UoM_Flow_Py]]</f>
        <v>Mg</v>
      </c>
      <c r="AF147" s="114" t="e">
        <f>INDEX(Tab_Def_Flows[[Flow_ID]:[CC_DM_source]],MATCH(Tab_Data_Flows[[#This Row],[Name(EN)]],Tab_Def_Flows[Name(EN)],0),18)</f>
        <v>#N/A</v>
      </c>
      <c r="AG147" s="115" t="str">
        <f>IF(K147="Yes",AF147*Tab_Data_Flows[[#This Row],[Flow_Py]],"N.A.")</f>
        <v>N.A.</v>
      </c>
      <c r="AH147" s="61" t="str">
        <f>Tab_Data_Flows[[#This Row],[UoM_Flow_Py]]</f>
        <v>Mg</v>
      </c>
      <c r="AI147" s="114" t="e">
        <f>INDEX(Tab_Def_Flows[[Flow_ID]:[CC_DM_source]],MATCH(Tab_Data_Flows[[#This Row],[Name(EN)]],Tab_Def_Flows[Name(EN)],0),20)</f>
        <v>#N/A</v>
      </c>
      <c r="AJ147" s="115" t="str">
        <f>IF(L147="Yes",AI147*Tab_Data_Flows[[#This Row],[Flow_Py]],"N.A.")</f>
        <v>N.A.</v>
      </c>
      <c r="AK147" s="61" t="str">
        <f>Tab_Data_Flows[[#This Row],[UoM_Flow_Py]]</f>
        <v>Mg</v>
      </c>
    </row>
    <row r="148" spans="1:37" x14ac:dyDescent="0.35">
      <c r="A148" s="60">
        <f t="shared" si="12"/>
        <v>147</v>
      </c>
      <c r="B148" s="49" t="str">
        <f>_xlfn.XLOOKUP(C148,Tab_Def_Flows[Name(EN)],Tab_Def_Flows[Flow_ID],,0,)</f>
        <v>F_21_21</v>
      </c>
      <c r="C148" s="51"/>
      <c r="D148" s="49">
        <f>_xlfn.XLOOKUP(C148,Tab_Def_Flows[Name(EN)],Tab_Def_Flows[Type_Biomass],,0,)</f>
        <v>0</v>
      </c>
      <c r="E148" s="49">
        <f>_xlfn.XLOOKUP(C148,Tab_Def_Flows[Name(EN)],Tab_Def_Flows[Output_Process],,0,)</f>
        <v>0</v>
      </c>
      <c r="F148" s="49" t="str">
        <f>_xlfn.XLOOKUP(C148,Tab_Def_Flows[Name(EN)],Tab_Def_Flows[Process_ID_O],,0,)</f>
        <v>21__</v>
      </c>
      <c r="G148" s="49">
        <f>_xlfn.XLOOKUP(C148,Tab_Def_Flows[Name(EN)],Tab_Def_Flows[Input_Process],,0,)</f>
        <v>0</v>
      </c>
      <c r="H148" s="61" t="str">
        <f>_xlfn.XLOOKUP(C148,Tab_Def_Flows[Name(EN)],Tab_Def_Flows[Process_ID_I],,0,)</f>
        <v>21__</v>
      </c>
      <c r="I148" s="49">
        <f>_xlfn.XLOOKUP(C148,Tab_Def_Flows[Name(EN)],Tab_Def_Flows[Value_Source],,0,)</f>
        <v>0</v>
      </c>
      <c r="J148" s="49">
        <f>_xlfn.XLOOKUP(C148,Tab_Def_Flows[Name(EN)],Tab_Def_Flows[WC?],,0,)</f>
        <v>0</v>
      </c>
      <c r="K148" s="49">
        <f>_xlfn.XLOOKUP(C148,Tab_Def_Flows[Name(EN)],Tab_Def_Flows[DM?],,0,)</f>
        <v>0</v>
      </c>
      <c r="L148" s="49">
        <f>_xlfn.XLOOKUP(C148,Tab_Def_Flows[Name(EN)],Tab_Def_Flows[CC?],,0,)</f>
        <v>0</v>
      </c>
      <c r="M148" s="51"/>
      <c r="N148" s="51"/>
      <c r="O148" s="88"/>
      <c r="P148" s="51"/>
      <c r="Q148" s="51"/>
      <c r="R148" s="51"/>
      <c r="S148" s="51"/>
      <c r="T148" s="51"/>
      <c r="U148" s="51"/>
      <c r="V148" s="51"/>
      <c r="W148" s="51"/>
      <c r="X148" s="51"/>
      <c r="Y148" s="109"/>
      <c r="Z148" s="51"/>
      <c r="AA148" s="89">
        <f t="shared" si="7"/>
        <v>0</v>
      </c>
      <c r="AB148" s="51" t="s">
        <v>63</v>
      </c>
      <c r="AC148" s="114" t="e">
        <f>INDEX(Tab_Def_Flows[[Flow_ID]:[CC_DM_source]],MATCH(Tab_Data_Flows[[#This Row],[Name(EN)]],Tab_Def_Flows[Name(EN)],0),16)</f>
        <v>#N/A</v>
      </c>
      <c r="AD148" s="115" t="str">
        <f>IF(J148="Yes",AA148*Tab_Data_Flows[[#This Row],[WC_'[%']]],"N.A.")</f>
        <v>N.A.</v>
      </c>
      <c r="AE148" s="61" t="str">
        <f>Tab_Data_Flows[[#This Row],[UoM_Flow_Py]]</f>
        <v>Mg</v>
      </c>
      <c r="AF148" s="114" t="e">
        <f>INDEX(Tab_Def_Flows[[Flow_ID]:[CC_DM_source]],MATCH(Tab_Data_Flows[[#This Row],[Name(EN)]],Tab_Def_Flows[Name(EN)],0),18)</f>
        <v>#N/A</v>
      </c>
      <c r="AG148" s="115" t="str">
        <f>IF(K148="Yes",AF148*Tab_Data_Flows[[#This Row],[Flow_Py]],"N.A.")</f>
        <v>N.A.</v>
      </c>
      <c r="AH148" s="61" t="str">
        <f>Tab_Data_Flows[[#This Row],[UoM_Flow_Py]]</f>
        <v>Mg</v>
      </c>
      <c r="AI148" s="114" t="e">
        <f>INDEX(Tab_Def_Flows[[Flow_ID]:[CC_DM_source]],MATCH(Tab_Data_Flows[[#This Row],[Name(EN)]],Tab_Def_Flows[Name(EN)],0),20)</f>
        <v>#N/A</v>
      </c>
      <c r="AJ148" s="115" t="str">
        <f>IF(L148="Yes",AI148*Tab_Data_Flows[[#This Row],[Flow_Py]],"N.A.")</f>
        <v>N.A.</v>
      </c>
      <c r="AK148" s="61" t="str">
        <f>Tab_Data_Flows[[#This Row],[UoM_Flow_Py]]</f>
        <v>Mg</v>
      </c>
    </row>
    <row r="149" spans="1:37" x14ac:dyDescent="0.35">
      <c r="A149" s="60">
        <f t="shared" si="12"/>
        <v>148</v>
      </c>
      <c r="B149" s="49" t="str">
        <f>_xlfn.XLOOKUP(C149,Tab_Def_Flows[Name(EN)],Tab_Def_Flows[Flow_ID],,0,)</f>
        <v>F_21_21</v>
      </c>
      <c r="C149" s="51"/>
      <c r="D149" s="49">
        <f>_xlfn.XLOOKUP(C149,Tab_Def_Flows[Name(EN)],Tab_Def_Flows[Type_Biomass],,0,)</f>
        <v>0</v>
      </c>
      <c r="E149" s="49">
        <f>_xlfn.XLOOKUP(C149,Tab_Def_Flows[Name(EN)],Tab_Def_Flows[Output_Process],,0,)</f>
        <v>0</v>
      </c>
      <c r="F149" s="49" t="str">
        <f>_xlfn.XLOOKUP(C149,Tab_Def_Flows[Name(EN)],Tab_Def_Flows[Process_ID_O],,0,)</f>
        <v>21__</v>
      </c>
      <c r="G149" s="49">
        <f>_xlfn.XLOOKUP(C149,Tab_Def_Flows[Name(EN)],Tab_Def_Flows[Input_Process],,0,)</f>
        <v>0</v>
      </c>
      <c r="H149" s="61" t="str">
        <f>_xlfn.XLOOKUP(C149,Tab_Def_Flows[Name(EN)],Tab_Def_Flows[Process_ID_I],,0,)</f>
        <v>21__</v>
      </c>
      <c r="I149" s="49">
        <f>_xlfn.XLOOKUP(C149,Tab_Def_Flows[Name(EN)],Tab_Def_Flows[Value_Source],,0,)</f>
        <v>0</v>
      </c>
      <c r="J149" s="49">
        <f>_xlfn.XLOOKUP(C149,Tab_Def_Flows[Name(EN)],Tab_Def_Flows[WC?],,0,)</f>
        <v>0</v>
      </c>
      <c r="K149" s="49">
        <f>_xlfn.XLOOKUP(C149,Tab_Def_Flows[Name(EN)],Tab_Def_Flows[DM?],,0,)</f>
        <v>0</v>
      </c>
      <c r="L149" s="49">
        <f>_xlfn.XLOOKUP(C149,Tab_Def_Flows[Name(EN)],Tab_Def_Flows[CC?],,0,)</f>
        <v>0</v>
      </c>
      <c r="M149" s="51"/>
      <c r="N149" s="51"/>
      <c r="O149" s="88"/>
      <c r="P149" s="51"/>
      <c r="Q149" s="51"/>
      <c r="R149" s="51"/>
      <c r="S149" s="51"/>
      <c r="T149" s="51"/>
      <c r="U149" s="51"/>
      <c r="V149" s="51"/>
      <c r="W149" s="51"/>
      <c r="X149" s="51"/>
      <c r="Y149" s="109"/>
      <c r="Z149" s="51"/>
      <c r="AA149" s="89">
        <f t="shared" si="7"/>
        <v>0</v>
      </c>
      <c r="AB149" s="51" t="s">
        <v>63</v>
      </c>
      <c r="AC149" s="114" t="e">
        <f>INDEX(Tab_Def_Flows[[Flow_ID]:[CC_DM_source]],MATCH(Tab_Data_Flows[[#This Row],[Name(EN)]],Tab_Def_Flows[Name(EN)],0),16)</f>
        <v>#N/A</v>
      </c>
      <c r="AD149" s="115" t="str">
        <f>IF(J149="Yes",AA149*Tab_Data_Flows[[#This Row],[WC_'[%']]],"N.A.")</f>
        <v>N.A.</v>
      </c>
      <c r="AE149" s="61" t="str">
        <f>Tab_Data_Flows[[#This Row],[UoM_Flow_Py]]</f>
        <v>Mg</v>
      </c>
      <c r="AF149" s="114" t="e">
        <f>INDEX(Tab_Def_Flows[[Flow_ID]:[CC_DM_source]],MATCH(Tab_Data_Flows[[#This Row],[Name(EN)]],Tab_Def_Flows[Name(EN)],0),18)</f>
        <v>#N/A</v>
      </c>
      <c r="AG149" s="115" t="str">
        <f>IF(K149="Yes",AF149*Tab_Data_Flows[[#This Row],[Flow_Py]],"N.A.")</f>
        <v>N.A.</v>
      </c>
      <c r="AH149" s="61" t="str">
        <f>Tab_Data_Flows[[#This Row],[UoM_Flow_Py]]</f>
        <v>Mg</v>
      </c>
      <c r="AI149" s="114" t="e">
        <f>INDEX(Tab_Def_Flows[[Flow_ID]:[CC_DM_source]],MATCH(Tab_Data_Flows[[#This Row],[Name(EN)]],Tab_Def_Flows[Name(EN)],0),20)</f>
        <v>#N/A</v>
      </c>
      <c r="AJ149" s="115" t="str">
        <f>IF(L149="Yes",AI149*Tab_Data_Flows[[#This Row],[Flow_Py]],"N.A.")</f>
        <v>N.A.</v>
      </c>
      <c r="AK149" s="61" t="str">
        <f>Tab_Data_Flows[[#This Row],[UoM_Flow_Py]]</f>
        <v>Mg</v>
      </c>
    </row>
    <row r="150" spans="1:37" x14ac:dyDescent="0.35">
      <c r="A150" s="60">
        <f t="shared" si="12"/>
        <v>149</v>
      </c>
      <c r="B150" s="49" t="str">
        <f>_xlfn.XLOOKUP(C150,Tab_Def_Flows[Name(EN)],Tab_Def_Flows[Flow_ID],,0,)</f>
        <v>F_21_21</v>
      </c>
      <c r="C150" s="51"/>
      <c r="D150" s="49">
        <f>_xlfn.XLOOKUP(C150,Tab_Def_Flows[Name(EN)],Tab_Def_Flows[Type_Biomass],,0,)</f>
        <v>0</v>
      </c>
      <c r="E150" s="49">
        <f>_xlfn.XLOOKUP(C150,Tab_Def_Flows[Name(EN)],Tab_Def_Flows[Output_Process],,0,)</f>
        <v>0</v>
      </c>
      <c r="F150" s="49" t="str">
        <f>_xlfn.XLOOKUP(C150,Tab_Def_Flows[Name(EN)],Tab_Def_Flows[Process_ID_O],,0,)</f>
        <v>21__</v>
      </c>
      <c r="G150" s="49">
        <f>_xlfn.XLOOKUP(C150,Tab_Def_Flows[Name(EN)],Tab_Def_Flows[Input_Process],,0,)</f>
        <v>0</v>
      </c>
      <c r="H150" s="61" t="str">
        <f>_xlfn.XLOOKUP(C150,Tab_Def_Flows[Name(EN)],Tab_Def_Flows[Process_ID_I],,0,)</f>
        <v>21__</v>
      </c>
      <c r="I150" s="49">
        <f>_xlfn.XLOOKUP(C150,Tab_Def_Flows[Name(EN)],Tab_Def_Flows[Value_Source],,0,)</f>
        <v>0</v>
      </c>
      <c r="J150" s="49">
        <f>_xlfn.XLOOKUP(C150,Tab_Def_Flows[Name(EN)],Tab_Def_Flows[WC?],,0,)</f>
        <v>0</v>
      </c>
      <c r="K150" s="49">
        <f>_xlfn.XLOOKUP(C150,Tab_Def_Flows[Name(EN)],Tab_Def_Flows[DM?],,0,)</f>
        <v>0</v>
      </c>
      <c r="L150" s="49">
        <f>_xlfn.XLOOKUP(C150,Tab_Def_Flows[Name(EN)],Tab_Def_Flows[CC?],,0,)</f>
        <v>0</v>
      </c>
      <c r="M150" s="51"/>
      <c r="N150" s="51"/>
      <c r="O150" s="88"/>
      <c r="P150" s="51"/>
      <c r="Q150" s="51"/>
      <c r="R150" s="51"/>
      <c r="S150" s="51"/>
      <c r="T150" s="51"/>
      <c r="U150" s="51"/>
      <c r="V150" s="51"/>
      <c r="W150" s="51"/>
      <c r="X150" s="51"/>
      <c r="Y150" s="109"/>
      <c r="Z150" s="51"/>
      <c r="AA150" s="89">
        <f t="shared" si="7"/>
        <v>0</v>
      </c>
      <c r="AB150" s="51" t="s">
        <v>63</v>
      </c>
      <c r="AC150" s="114" t="e">
        <f>INDEX(Tab_Def_Flows[[Flow_ID]:[CC_DM_source]],MATCH(Tab_Data_Flows[[#This Row],[Name(EN)]],Tab_Def_Flows[Name(EN)],0),16)</f>
        <v>#N/A</v>
      </c>
      <c r="AD150" s="115" t="str">
        <f>IF(J150="Yes",AA150*Tab_Data_Flows[[#This Row],[WC_'[%']]],"N.A.")</f>
        <v>N.A.</v>
      </c>
      <c r="AE150" s="61" t="str">
        <f>Tab_Data_Flows[[#This Row],[UoM_Flow_Py]]</f>
        <v>Mg</v>
      </c>
      <c r="AF150" s="114" t="e">
        <f>INDEX(Tab_Def_Flows[[Flow_ID]:[CC_DM_source]],MATCH(Tab_Data_Flows[[#This Row],[Name(EN)]],Tab_Def_Flows[Name(EN)],0),18)</f>
        <v>#N/A</v>
      </c>
      <c r="AG150" s="115" t="str">
        <f>IF(K150="Yes",AF150*Tab_Data_Flows[[#This Row],[Flow_Py]],"N.A.")</f>
        <v>N.A.</v>
      </c>
      <c r="AH150" s="61" t="str">
        <f>Tab_Data_Flows[[#This Row],[UoM_Flow_Py]]</f>
        <v>Mg</v>
      </c>
      <c r="AI150" s="114" t="e">
        <f>INDEX(Tab_Def_Flows[[Flow_ID]:[CC_DM_source]],MATCH(Tab_Data_Flows[[#This Row],[Name(EN)]],Tab_Def_Flows[Name(EN)],0),20)</f>
        <v>#N/A</v>
      </c>
      <c r="AJ150" s="115" t="str">
        <f>IF(L150="Yes",AI150*Tab_Data_Flows[[#This Row],[Flow_Py]],"N.A.")</f>
        <v>N.A.</v>
      </c>
      <c r="AK150" s="61" t="str">
        <f>Tab_Data_Flows[[#This Row],[UoM_Flow_Py]]</f>
        <v>Mg</v>
      </c>
    </row>
    <row r="151" spans="1:37" x14ac:dyDescent="0.35">
      <c r="A151" s="60">
        <f t="shared" si="12"/>
        <v>150</v>
      </c>
      <c r="B151" s="49" t="str">
        <f>_xlfn.XLOOKUP(C151,Tab_Def_Flows[Name(EN)],Tab_Def_Flows[Flow_ID],,0,)</f>
        <v>F_21_21</v>
      </c>
      <c r="C151" s="51"/>
      <c r="D151" s="49">
        <f>_xlfn.XLOOKUP(C151,Tab_Def_Flows[Name(EN)],Tab_Def_Flows[Type_Biomass],,0,)</f>
        <v>0</v>
      </c>
      <c r="E151" s="49">
        <f>_xlfn.XLOOKUP(C151,Tab_Def_Flows[Name(EN)],Tab_Def_Flows[Output_Process],,0,)</f>
        <v>0</v>
      </c>
      <c r="F151" s="49" t="str">
        <f>_xlfn.XLOOKUP(C151,Tab_Def_Flows[Name(EN)],Tab_Def_Flows[Process_ID_O],,0,)</f>
        <v>21__</v>
      </c>
      <c r="G151" s="49">
        <f>_xlfn.XLOOKUP(C151,Tab_Def_Flows[Name(EN)],Tab_Def_Flows[Input_Process],,0,)</f>
        <v>0</v>
      </c>
      <c r="H151" s="61" t="str">
        <f>_xlfn.XLOOKUP(C151,Tab_Def_Flows[Name(EN)],Tab_Def_Flows[Process_ID_I],,0,)</f>
        <v>21__</v>
      </c>
      <c r="I151" s="49">
        <f>_xlfn.XLOOKUP(C151,Tab_Def_Flows[Name(EN)],Tab_Def_Flows[Value_Source],,0,)</f>
        <v>0</v>
      </c>
      <c r="J151" s="49">
        <f>_xlfn.XLOOKUP(C151,Tab_Def_Flows[Name(EN)],Tab_Def_Flows[WC?],,0,)</f>
        <v>0</v>
      </c>
      <c r="K151" s="49">
        <f>_xlfn.XLOOKUP(C151,Tab_Def_Flows[Name(EN)],Tab_Def_Flows[DM?],,0,)</f>
        <v>0</v>
      </c>
      <c r="L151" s="49">
        <f>_xlfn.XLOOKUP(C151,Tab_Def_Flows[Name(EN)],Tab_Def_Flows[CC?],,0,)</f>
        <v>0</v>
      </c>
      <c r="M151" s="51"/>
      <c r="N151" s="51"/>
      <c r="O151" s="88"/>
      <c r="P151" s="51"/>
      <c r="Q151" s="51"/>
      <c r="R151" s="51"/>
      <c r="S151" s="51"/>
      <c r="T151" s="51"/>
      <c r="U151" s="51"/>
      <c r="V151" s="51"/>
      <c r="W151" s="51"/>
      <c r="X151" s="51"/>
      <c r="Y151" s="109"/>
      <c r="Z151" s="51"/>
      <c r="AA151" s="89">
        <f t="shared" si="7"/>
        <v>0</v>
      </c>
      <c r="AB151" s="51" t="s">
        <v>63</v>
      </c>
      <c r="AC151" s="114" t="e">
        <f>INDEX(Tab_Def_Flows[[Flow_ID]:[CC_DM_source]],MATCH(Tab_Data_Flows[[#This Row],[Name(EN)]],Tab_Def_Flows[Name(EN)],0),16)</f>
        <v>#N/A</v>
      </c>
      <c r="AD151" s="115" t="str">
        <f>IF(J151="Yes",AA151*Tab_Data_Flows[[#This Row],[WC_'[%']]],"N.A.")</f>
        <v>N.A.</v>
      </c>
      <c r="AE151" s="61" t="str">
        <f>Tab_Data_Flows[[#This Row],[UoM_Flow_Py]]</f>
        <v>Mg</v>
      </c>
      <c r="AF151" s="114" t="e">
        <f>INDEX(Tab_Def_Flows[[Flow_ID]:[CC_DM_source]],MATCH(Tab_Data_Flows[[#This Row],[Name(EN)]],Tab_Def_Flows[Name(EN)],0),18)</f>
        <v>#N/A</v>
      </c>
      <c r="AG151" s="115" t="str">
        <f>IF(K151="Yes",AF151*Tab_Data_Flows[[#This Row],[Flow_Py]],"N.A.")</f>
        <v>N.A.</v>
      </c>
      <c r="AH151" s="61" t="str">
        <f>Tab_Data_Flows[[#This Row],[UoM_Flow_Py]]</f>
        <v>Mg</v>
      </c>
      <c r="AI151" s="114" t="e">
        <f>INDEX(Tab_Def_Flows[[Flow_ID]:[CC_DM_source]],MATCH(Tab_Data_Flows[[#This Row],[Name(EN)]],Tab_Def_Flows[Name(EN)],0),20)</f>
        <v>#N/A</v>
      </c>
      <c r="AJ151" s="115" t="str">
        <f>IF(L151="Yes",AI151*Tab_Data_Flows[[#This Row],[Flow_Py]],"N.A.")</f>
        <v>N.A.</v>
      </c>
      <c r="AK151" s="61" t="str">
        <f>Tab_Data_Flows[[#This Row],[UoM_Flow_Py]]</f>
        <v>Mg</v>
      </c>
    </row>
    <row r="152" spans="1:37" x14ac:dyDescent="0.35">
      <c r="A152" s="60">
        <f t="shared" si="12"/>
        <v>151</v>
      </c>
      <c r="B152" s="49" t="str">
        <f>_xlfn.XLOOKUP(C152,Tab_Def_Flows[Name(EN)],Tab_Def_Flows[Flow_ID],,0,)</f>
        <v>F_21_21</v>
      </c>
      <c r="C152" s="51"/>
      <c r="D152" s="49">
        <f>_xlfn.XLOOKUP(C152,Tab_Def_Flows[Name(EN)],Tab_Def_Flows[Type_Biomass],,0,)</f>
        <v>0</v>
      </c>
      <c r="E152" s="49">
        <f>_xlfn.XLOOKUP(C152,Tab_Def_Flows[Name(EN)],Tab_Def_Flows[Output_Process],,0,)</f>
        <v>0</v>
      </c>
      <c r="F152" s="49" t="str">
        <f>_xlfn.XLOOKUP(C152,Tab_Def_Flows[Name(EN)],Tab_Def_Flows[Process_ID_O],,0,)</f>
        <v>21__</v>
      </c>
      <c r="G152" s="49">
        <f>_xlfn.XLOOKUP(C152,Tab_Def_Flows[Name(EN)],Tab_Def_Flows[Input_Process],,0,)</f>
        <v>0</v>
      </c>
      <c r="H152" s="61" t="str">
        <f>_xlfn.XLOOKUP(C152,Tab_Def_Flows[Name(EN)],Tab_Def_Flows[Process_ID_I],,0,)</f>
        <v>21__</v>
      </c>
      <c r="I152" s="49">
        <f>_xlfn.XLOOKUP(C152,Tab_Def_Flows[Name(EN)],Tab_Def_Flows[Value_Source],,0,)</f>
        <v>0</v>
      </c>
      <c r="J152" s="49">
        <f>_xlfn.XLOOKUP(C152,Tab_Def_Flows[Name(EN)],Tab_Def_Flows[WC?],,0,)</f>
        <v>0</v>
      </c>
      <c r="K152" s="49">
        <f>_xlfn.XLOOKUP(C152,Tab_Def_Flows[Name(EN)],Tab_Def_Flows[DM?],,0,)</f>
        <v>0</v>
      </c>
      <c r="L152" s="49">
        <f>_xlfn.XLOOKUP(C152,Tab_Def_Flows[Name(EN)],Tab_Def_Flows[CC?],,0,)</f>
        <v>0</v>
      </c>
      <c r="M152" s="51"/>
      <c r="N152" s="51"/>
      <c r="O152" s="88"/>
      <c r="P152" s="51"/>
      <c r="Q152" s="51"/>
      <c r="R152" s="51"/>
      <c r="S152" s="51"/>
      <c r="T152" s="51"/>
      <c r="U152" s="51"/>
      <c r="V152" s="51"/>
      <c r="W152" s="51"/>
      <c r="X152" s="51"/>
      <c r="Y152" s="109"/>
      <c r="Z152" s="51"/>
      <c r="AA152" s="89">
        <f t="shared" si="7"/>
        <v>0</v>
      </c>
      <c r="AB152" s="51" t="s">
        <v>63</v>
      </c>
      <c r="AC152" s="114" t="e">
        <f>INDEX(Tab_Def_Flows[[Flow_ID]:[CC_DM_source]],MATCH(Tab_Data_Flows[[#This Row],[Name(EN)]],Tab_Def_Flows[Name(EN)],0),16)</f>
        <v>#N/A</v>
      </c>
      <c r="AD152" s="115" t="str">
        <f>IF(J152="Yes",AA152*Tab_Data_Flows[[#This Row],[WC_'[%']]],"N.A.")</f>
        <v>N.A.</v>
      </c>
      <c r="AE152" s="61" t="str">
        <f>Tab_Data_Flows[[#This Row],[UoM_Flow_Py]]</f>
        <v>Mg</v>
      </c>
      <c r="AF152" s="114" t="e">
        <f>INDEX(Tab_Def_Flows[[Flow_ID]:[CC_DM_source]],MATCH(Tab_Data_Flows[[#This Row],[Name(EN)]],Tab_Def_Flows[Name(EN)],0),18)</f>
        <v>#N/A</v>
      </c>
      <c r="AG152" s="115" t="str">
        <f>IF(K152="Yes",AF152*Tab_Data_Flows[[#This Row],[Flow_Py]],"N.A.")</f>
        <v>N.A.</v>
      </c>
      <c r="AH152" s="61" t="str">
        <f>Tab_Data_Flows[[#This Row],[UoM_Flow_Py]]</f>
        <v>Mg</v>
      </c>
      <c r="AI152" s="114" t="e">
        <f>INDEX(Tab_Def_Flows[[Flow_ID]:[CC_DM_source]],MATCH(Tab_Data_Flows[[#This Row],[Name(EN)]],Tab_Def_Flows[Name(EN)],0),20)</f>
        <v>#N/A</v>
      </c>
      <c r="AJ152" s="115" t="str">
        <f>IF(L152="Yes",AI152*Tab_Data_Flows[[#This Row],[Flow_Py]],"N.A.")</f>
        <v>N.A.</v>
      </c>
      <c r="AK152" s="61" t="str">
        <f>Tab_Data_Flows[[#This Row],[UoM_Flow_Py]]</f>
        <v>Mg</v>
      </c>
    </row>
    <row r="153" spans="1:37" x14ac:dyDescent="0.35">
      <c r="A153" s="60">
        <f t="shared" si="12"/>
        <v>152</v>
      </c>
      <c r="B153" s="49" t="str">
        <f>_xlfn.XLOOKUP(C153,Tab_Def_Flows[Name(EN)],Tab_Def_Flows[Flow_ID],,0,)</f>
        <v>F_21_21</v>
      </c>
      <c r="C153" s="51"/>
      <c r="D153" s="49">
        <f>_xlfn.XLOOKUP(C153,Tab_Def_Flows[Name(EN)],Tab_Def_Flows[Type_Biomass],,0,)</f>
        <v>0</v>
      </c>
      <c r="E153" s="49">
        <f>_xlfn.XLOOKUP(C153,Tab_Def_Flows[Name(EN)],Tab_Def_Flows[Output_Process],,0,)</f>
        <v>0</v>
      </c>
      <c r="F153" s="49" t="str">
        <f>_xlfn.XLOOKUP(C153,Tab_Def_Flows[Name(EN)],Tab_Def_Flows[Process_ID_O],,0,)</f>
        <v>21__</v>
      </c>
      <c r="G153" s="49">
        <f>_xlfn.XLOOKUP(C153,Tab_Def_Flows[Name(EN)],Tab_Def_Flows[Input_Process],,0,)</f>
        <v>0</v>
      </c>
      <c r="H153" s="61" t="str">
        <f>_xlfn.XLOOKUP(C153,Tab_Def_Flows[Name(EN)],Tab_Def_Flows[Process_ID_I],,0,)</f>
        <v>21__</v>
      </c>
      <c r="I153" s="49">
        <f>_xlfn.XLOOKUP(C153,Tab_Def_Flows[Name(EN)],Tab_Def_Flows[Value_Source],,0,)</f>
        <v>0</v>
      </c>
      <c r="J153" s="49">
        <f>_xlfn.XLOOKUP(C153,Tab_Def_Flows[Name(EN)],Tab_Def_Flows[WC?],,0,)</f>
        <v>0</v>
      </c>
      <c r="K153" s="49">
        <f>_xlfn.XLOOKUP(C153,Tab_Def_Flows[Name(EN)],Tab_Def_Flows[DM?],,0,)</f>
        <v>0</v>
      </c>
      <c r="L153" s="49">
        <f>_xlfn.XLOOKUP(C153,Tab_Def_Flows[Name(EN)],Tab_Def_Flows[CC?],,0,)</f>
        <v>0</v>
      </c>
      <c r="M153" s="51"/>
      <c r="N153" s="51"/>
      <c r="O153" s="88"/>
      <c r="P153" s="51"/>
      <c r="Q153" s="51"/>
      <c r="R153" s="51"/>
      <c r="S153" s="51"/>
      <c r="T153" s="51"/>
      <c r="U153" s="51"/>
      <c r="V153" s="51"/>
      <c r="W153" s="51"/>
      <c r="X153" s="51"/>
      <c r="Y153" s="109"/>
      <c r="Z153" s="51"/>
      <c r="AA153" s="89">
        <f t="shared" si="7"/>
        <v>0</v>
      </c>
      <c r="AB153" s="51" t="s">
        <v>63</v>
      </c>
      <c r="AC153" s="114" t="e">
        <f>INDEX(Tab_Def_Flows[[Flow_ID]:[CC_DM_source]],MATCH(Tab_Data_Flows[[#This Row],[Name(EN)]],Tab_Def_Flows[Name(EN)],0),16)</f>
        <v>#N/A</v>
      </c>
      <c r="AD153" s="115" t="str">
        <f>IF(J153="Yes",AA153*Tab_Data_Flows[[#This Row],[WC_'[%']]],"N.A.")</f>
        <v>N.A.</v>
      </c>
      <c r="AE153" s="61" t="str">
        <f>Tab_Data_Flows[[#This Row],[UoM_Flow_Py]]</f>
        <v>Mg</v>
      </c>
      <c r="AF153" s="114" t="e">
        <f>INDEX(Tab_Def_Flows[[Flow_ID]:[CC_DM_source]],MATCH(Tab_Data_Flows[[#This Row],[Name(EN)]],Tab_Def_Flows[Name(EN)],0),18)</f>
        <v>#N/A</v>
      </c>
      <c r="AG153" s="115" t="str">
        <f>IF(K153="Yes",AF153*Tab_Data_Flows[[#This Row],[Flow_Py]],"N.A.")</f>
        <v>N.A.</v>
      </c>
      <c r="AH153" s="61" t="str">
        <f>Tab_Data_Flows[[#This Row],[UoM_Flow_Py]]</f>
        <v>Mg</v>
      </c>
      <c r="AI153" s="114" t="e">
        <f>INDEX(Tab_Def_Flows[[Flow_ID]:[CC_DM_source]],MATCH(Tab_Data_Flows[[#This Row],[Name(EN)]],Tab_Def_Flows[Name(EN)],0),20)</f>
        <v>#N/A</v>
      </c>
      <c r="AJ153" s="115" t="str">
        <f>IF(L153="Yes",AI153*Tab_Data_Flows[[#This Row],[Flow_Py]],"N.A.")</f>
        <v>N.A.</v>
      </c>
      <c r="AK153" s="61" t="str">
        <f>Tab_Data_Flows[[#This Row],[UoM_Flow_Py]]</f>
        <v>Mg</v>
      </c>
    </row>
    <row r="154" spans="1:37" x14ac:dyDescent="0.35">
      <c r="A154" s="60">
        <f t="shared" si="12"/>
        <v>153</v>
      </c>
      <c r="B154" s="49" t="str">
        <f>_xlfn.XLOOKUP(C154,Tab_Def_Flows[Name(EN)],Tab_Def_Flows[Flow_ID],,0,)</f>
        <v>F_21_21</v>
      </c>
      <c r="C154" s="51"/>
      <c r="D154" s="49">
        <f>_xlfn.XLOOKUP(C154,Tab_Def_Flows[Name(EN)],Tab_Def_Flows[Type_Biomass],,0,)</f>
        <v>0</v>
      </c>
      <c r="E154" s="49">
        <f>_xlfn.XLOOKUP(C154,Tab_Def_Flows[Name(EN)],Tab_Def_Flows[Output_Process],,0,)</f>
        <v>0</v>
      </c>
      <c r="F154" s="49" t="str">
        <f>_xlfn.XLOOKUP(C154,Tab_Def_Flows[Name(EN)],Tab_Def_Flows[Process_ID_O],,0,)</f>
        <v>21__</v>
      </c>
      <c r="G154" s="49">
        <f>_xlfn.XLOOKUP(C154,Tab_Def_Flows[Name(EN)],Tab_Def_Flows[Input_Process],,0,)</f>
        <v>0</v>
      </c>
      <c r="H154" s="61" t="str">
        <f>_xlfn.XLOOKUP(C154,Tab_Def_Flows[Name(EN)],Tab_Def_Flows[Process_ID_I],,0,)</f>
        <v>21__</v>
      </c>
      <c r="I154" s="49">
        <f>_xlfn.XLOOKUP(C154,Tab_Def_Flows[Name(EN)],Tab_Def_Flows[Value_Source],,0,)</f>
        <v>0</v>
      </c>
      <c r="J154" s="49">
        <f>_xlfn.XLOOKUP(C154,Tab_Def_Flows[Name(EN)],Tab_Def_Flows[WC?],,0,)</f>
        <v>0</v>
      </c>
      <c r="K154" s="49">
        <f>_xlfn.XLOOKUP(C154,Tab_Def_Flows[Name(EN)],Tab_Def_Flows[DM?],,0,)</f>
        <v>0</v>
      </c>
      <c r="L154" s="49">
        <f>_xlfn.XLOOKUP(C154,Tab_Def_Flows[Name(EN)],Tab_Def_Flows[CC?],,0,)</f>
        <v>0</v>
      </c>
      <c r="M154" s="51"/>
      <c r="N154" s="51"/>
      <c r="O154" s="88"/>
      <c r="P154" s="51"/>
      <c r="Q154" s="51"/>
      <c r="R154" s="51"/>
      <c r="S154" s="51"/>
      <c r="T154" s="51"/>
      <c r="U154" s="51"/>
      <c r="V154" s="51"/>
      <c r="W154" s="51"/>
      <c r="X154" s="51"/>
      <c r="Y154" s="109"/>
      <c r="Z154" s="51"/>
      <c r="AA154" s="89">
        <f t="shared" si="7"/>
        <v>0</v>
      </c>
      <c r="AB154" s="51" t="s">
        <v>63</v>
      </c>
      <c r="AC154" s="114" t="e">
        <f>INDEX(Tab_Def_Flows[[Flow_ID]:[CC_DM_source]],MATCH(Tab_Data_Flows[[#This Row],[Name(EN)]],Tab_Def_Flows[Name(EN)],0),16)</f>
        <v>#N/A</v>
      </c>
      <c r="AD154" s="115" t="str">
        <f>IF(J154="Yes",AA154*Tab_Data_Flows[[#This Row],[WC_'[%']]],"N.A.")</f>
        <v>N.A.</v>
      </c>
      <c r="AE154" s="61" t="str">
        <f>Tab_Data_Flows[[#This Row],[UoM_Flow_Py]]</f>
        <v>Mg</v>
      </c>
      <c r="AF154" s="114" t="e">
        <f>INDEX(Tab_Def_Flows[[Flow_ID]:[CC_DM_source]],MATCH(Tab_Data_Flows[[#This Row],[Name(EN)]],Tab_Def_Flows[Name(EN)],0),18)</f>
        <v>#N/A</v>
      </c>
      <c r="AG154" s="115" t="str">
        <f>IF(K154="Yes",AF154*Tab_Data_Flows[[#This Row],[Flow_Py]],"N.A.")</f>
        <v>N.A.</v>
      </c>
      <c r="AH154" s="61" t="str">
        <f>Tab_Data_Flows[[#This Row],[UoM_Flow_Py]]</f>
        <v>Mg</v>
      </c>
      <c r="AI154" s="114" t="e">
        <f>INDEX(Tab_Def_Flows[[Flow_ID]:[CC_DM_source]],MATCH(Tab_Data_Flows[[#This Row],[Name(EN)]],Tab_Def_Flows[Name(EN)],0),20)</f>
        <v>#N/A</v>
      </c>
      <c r="AJ154" s="115" t="str">
        <f>IF(L154="Yes",AI154*Tab_Data_Flows[[#This Row],[Flow_Py]],"N.A.")</f>
        <v>N.A.</v>
      </c>
      <c r="AK154" s="61" t="str">
        <f>Tab_Data_Flows[[#This Row],[UoM_Flow_Py]]</f>
        <v>Mg</v>
      </c>
    </row>
    <row r="155" spans="1:37" x14ac:dyDescent="0.35">
      <c r="A155" s="60">
        <f t="shared" si="12"/>
        <v>154</v>
      </c>
      <c r="B155" s="49" t="str">
        <f>_xlfn.XLOOKUP(C155,Tab_Def_Flows[Name(EN)],Tab_Def_Flows[Flow_ID],,0,)</f>
        <v>F_21_21</v>
      </c>
      <c r="C155" s="51"/>
      <c r="D155" s="49">
        <f>_xlfn.XLOOKUP(C155,Tab_Def_Flows[Name(EN)],Tab_Def_Flows[Type_Biomass],,0,)</f>
        <v>0</v>
      </c>
      <c r="E155" s="49">
        <f>_xlfn.XLOOKUP(C155,Tab_Def_Flows[Name(EN)],Tab_Def_Flows[Output_Process],,0,)</f>
        <v>0</v>
      </c>
      <c r="F155" s="49" t="str">
        <f>_xlfn.XLOOKUP(C155,Tab_Def_Flows[Name(EN)],Tab_Def_Flows[Process_ID_O],,0,)</f>
        <v>21__</v>
      </c>
      <c r="G155" s="49">
        <f>_xlfn.XLOOKUP(C155,Tab_Def_Flows[Name(EN)],Tab_Def_Flows[Input_Process],,0,)</f>
        <v>0</v>
      </c>
      <c r="H155" s="61" t="str">
        <f>_xlfn.XLOOKUP(C155,Tab_Def_Flows[Name(EN)],Tab_Def_Flows[Process_ID_I],,0,)</f>
        <v>21__</v>
      </c>
      <c r="I155" s="49">
        <f>_xlfn.XLOOKUP(C155,Tab_Def_Flows[Name(EN)],Tab_Def_Flows[Value_Source],,0,)</f>
        <v>0</v>
      </c>
      <c r="J155" s="49">
        <f>_xlfn.XLOOKUP(C155,Tab_Def_Flows[Name(EN)],Tab_Def_Flows[WC?],,0,)</f>
        <v>0</v>
      </c>
      <c r="K155" s="49">
        <f>_xlfn.XLOOKUP(C155,Tab_Def_Flows[Name(EN)],Tab_Def_Flows[DM?],,0,)</f>
        <v>0</v>
      </c>
      <c r="L155" s="49">
        <f>_xlfn.XLOOKUP(C155,Tab_Def_Flows[Name(EN)],Tab_Def_Flows[CC?],,0,)</f>
        <v>0</v>
      </c>
      <c r="M155" s="51"/>
      <c r="N155" s="51"/>
      <c r="O155" s="88"/>
      <c r="P155" s="51"/>
      <c r="Q155" s="51"/>
      <c r="R155" s="51"/>
      <c r="S155" s="51"/>
      <c r="T155" s="51"/>
      <c r="U155" s="51"/>
      <c r="V155" s="51"/>
      <c r="W155" s="51"/>
      <c r="X155" s="51"/>
      <c r="Y155" s="109"/>
      <c r="Z155" s="51"/>
      <c r="AA155" s="89">
        <f t="shared" si="7"/>
        <v>0</v>
      </c>
      <c r="AB155" s="51" t="s">
        <v>63</v>
      </c>
      <c r="AC155" s="114" t="e">
        <f>INDEX(Tab_Def_Flows[[Flow_ID]:[CC_DM_source]],MATCH(Tab_Data_Flows[[#This Row],[Name(EN)]],Tab_Def_Flows[Name(EN)],0),16)</f>
        <v>#N/A</v>
      </c>
      <c r="AD155" s="115" t="str">
        <f>IF(J155="Yes",AA155*Tab_Data_Flows[[#This Row],[WC_'[%']]],"N.A.")</f>
        <v>N.A.</v>
      </c>
      <c r="AE155" s="61" t="str">
        <f>Tab_Data_Flows[[#This Row],[UoM_Flow_Py]]</f>
        <v>Mg</v>
      </c>
      <c r="AF155" s="114" t="e">
        <f>INDEX(Tab_Def_Flows[[Flow_ID]:[CC_DM_source]],MATCH(Tab_Data_Flows[[#This Row],[Name(EN)]],Tab_Def_Flows[Name(EN)],0),18)</f>
        <v>#N/A</v>
      </c>
      <c r="AG155" s="115" t="str">
        <f>IF(K155="Yes",AF155*Tab_Data_Flows[[#This Row],[Flow_Py]],"N.A.")</f>
        <v>N.A.</v>
      </c>
      <c r="AH155" s="61" t="str">
        <f>Tab_Data_Flows[[#This Row],[UoM_Flow_Py]]</f>
        <v>Mg</v>
      </c>
      <c r="AI155" s="114" t="e">
        <f>INDEX(Tab_Def_Flows[[Flow_ID]:[CC_DM_source]],MATCH(Tab_Data_Flows[[#This Row],[Name(EN)]],Tab_Def_Flows[Name(EN)],0),20)</f>
        <v>#N/A</v>
      </c>
      <c r="AJ155" s="115" t="str">
        <f>IF(L155="Yes",AI155*Tab_Data_Flows[[#This Row],[Flow_Py]],"N.A.")</f>
        <v>N.A.</v>
      </c>
      <c r="AK155" s="61" t="str">
        <f>Tab_Data_Flows[[#This Row],[UoM_Flow_Py]]</f>
        <v>Mg</v>
      </c>
    </row>
    <row r="156" spans="1:37" x14ac:dyDescent="0.35">
      <c r="A156" s="60">
        <f t="shared" si="12"/>
        <v>155</v>
      </c>
      <c r="B156" s="49" t="str">
        <f>_xlfn.XLOOKUP(C156,Tab_Def_Flows[Name(EN)],Tab_Def_Flows[Flow_ID],,0,)</f>
        <v>F_21_21</v>
      </c>
      <c r="C156" s="51"/>
      <c r="D156" s="49">
        <f>_xlfn.XLOOKUP(C156,Tab_Def_Flows[Name(EN)],Tab_Def_Flows[Type_Biomass],,0,)</f>
        <v>0</v>
      </c>
      <c r="E156" s="49">
        <f>_xlfn.XLOOKUP(C156,Tab_Def_Flows[Name(EN)],Tab_Def_Flows[Output_Process],,0,)</f>
        <v>0</v>
      </c>
      <c r="F156" s="49" t="str">
        <f>_xlfn.XLOOKUP(C156,Tab_Def_Flows[Name(EN)],Tab_Def_Flows[Process_ID_O],,0,)</f>
        <v>21__</v>
      </c>
      <c r="G156" s="49">
        <f>_xlfn.XLOOKUP(C156,Tab_Def_Flows[Name(EN)],Tab_Def_Flows[Input_Process],,0,)</f>
        <v>0</v>
      </c>
      <c r="H156" s="61" t="str">
        <f>_xlfn.XLOOKUP(C156,Tab_Def_Flows[Name(EN)],Tab_Def_Flows[Process_ID_I],,0,)</f>
        <v>21__</v>
      </c>
      <c r="I156" s="49">
        <f>_xlfn.XLOOKUP(C156,Tab_Def_Flows[Name(EN)],Tab_Def_Flows[Value_Source],,0,)</f>
        <v>0</v>
      </c>
      <c r="J156" s="49">
        <f>_xlfn.XLOOKUP(C156,Tab_Def_Flows[Name(EN)],Tab_Def_Flows[WC?],,0,)</f>
        <v>0</v>
      </c>
      <c r="K156" s="49">
        <f>_xlfn.XLOOKUP(C156,Tab_Def_Flows[Name(EN)],Tab_Def_Flows[DM?],,0,)</f>
        <v>0</v>
      </c>
      <c r="L156" s="49">
        <f>_xlfn.XLOOKUP(C156,Tab_Def_Flows[Name(EN)],Tab_Def_Flows[CC?],,0,)</f>
        <v>0</v>
      </c>
      <c r="M156" s="51"/>
      <c r="N156" s="51"/>
      <c r="O156" s="88"/>
      <c r="P156" s="51"/>
      <c r="Q156" s="51"/>
      <c r="R156" s="51"/>
      <c r="S156" s="51"/>
      <c r="T156" s="51"/>
      <c r="U156" s="51"/>
      <c r="V156" s="51"/>
      <c r="W156" s="51"/>
      <c r="X156" s="51"/>
      <c r="Y156" s="109"/>
      <c r="Z156" s="51"/>
      <c r="AA156" s="89">
        <f t="shared" si="7"/>
        <v>0</v>
      </c>
      <c r="AB156" s="51" t="s">
        <v>63</v>
      </c>
      <c r="AC156" s="114" t="e">
        <f>INDEX(Tab_Def_Flows[[Flow_ID]:[CC_DM_source]],MATCH(Tab_Data_Flows[[#This Row],[Name(EN)]],Tab_Def_Flows[Name(EN)],0),16)</f>
        <v>#N/A</v>
      </c>
      <c r="AD156" s="115" t="str">
        <f>IF(J156="Yes",AA156*Tab_Data_Flows[[#This Row],[WC_'[%']]],"N.A.")</f>
        <v>N.A.</v>
      </c>
      <c r="AE156" s="61" t="str">
        <f>Tab_Data_Flows[[#This Row],[UoM_Flow_Py]]</f>
        <v>Mg</v>
      </c>
      <c r="AF156" s="114" t="e">
        <f>INDEX(Tab_Def_Flows[[Flow_ID]:[CC_DM_source]],MATCH(Tab_Data_Flows[[#This Row],[Name(EN)]],Tab_Def_Flows[Name(EN)],0),18)</f>
        <v>#N/A</v>
      </c>
      <c r="AG156" s="115" t="str">
        <f>IF(K156="Yes",AF156*Tab_Data_Flows[[#This Row],[Flow_Py]],"N.A.")</f>
        <v>N.A.</v>
      </c>
      <c r="AH156" s="61" t="str">
        <f>Tab_Data_Flows[[#This Row],[UoM_Flow_Py]]</f>
        <v>Mg</v>
      </c>
      <c r="AI156" s="114" t="e">
        <f>INDEX(Tab_Def_Flows[[Flow_ID]:[CC_DM_source]],MATCH(Tab_Data_Flows[[#This Row],[Name(EN)]],Tab_Def_Flows[Name(EN)],0),20)</f>
        <v>#N/A</v>
      </c>
      <c r="AJ156" s="115" t="str">
        <f>IF(L156="Yes",AI156*Tab_Data_Flows[[#This Row],[Flow_Py]],"N.A.")</f>
        <v>N.A.</v>
      </c>
      <c r="AK156" s="61" t="str">
        <f>Tab_Data_Flows[[#This Row],[UoM_Flow_Py]]</f>
        <v>Mg</v>
      </c>
    </row>
    <row r="157" spans="1:37" x14ac:dyDescent="0.35">
      <c r="A157" s="60">
        <f t="shared" si="12"/>
        <v>156</v>
      </c>
      <c r="B157" s="49" t="str">
        <f>_xlfn.XLOOKUP(C157,Tab_Def_Flows[Name(EN)],Tab_Def_Flows[Flow_ID],,0,)</f>
        <v>F_21_21</v>
      </c>
      <c r="C157" s="51"/>
      <c r="D157" s="49">
        <f>_xlfn.XLOOKUP(C157,Tab_Def_Flows[Name(EN)],Tab_Def_Flows[Type_Biomass],,0,)</f>
        <v>0</v>
      </c>
      <c r="E157" s="49">
        <f>_xlfn.XLOOKUP(C157,Tab_Def_Flows[Name(EN)],Tab_Def_Flows[Output_Process],,0,)</f>
        <v>0</v>
      </c>
      <c r="F157" s="49" t="str">
        <f>_xlfn.XLOOKUP(C157,Tab_Def_Flows[Name(EN)],Tab_Def_Flows[Process_ID_O],,0,)</f>
        <v>21__</v>
      </c>
      <c r="G157" s="49">
        <f>_xlfn.XLOOKUP(C157,Tab_Def_Flows[Name(EN)],Tab_Def_Flows[Input_Process],,0,)</f>
        <v>0</v>
      </c>
      <c r="H157" s="61" t="str">
        <f>_xlfn.XLOOKUP(C157,Tab_Def_Flows[Name(EN)],Tab_Def_Flows[Process_ID_I],,0,)</f>
        <v>21__</v>
      </c>
      <c r="I157" s="49">
        <f>_xlfn.XLOOKUP(C157,Tab_Def_Flows[Name(EN)],Tab_Def_Flows[Value_Source],,0,)</f>
        <v>0</v>
      </c>
      <c r="J157" s="49">
        <f>_xlfn.XLOOKUP(C157,Tab_Def_Flows[Name(EN)],Tab_Def_Flows[WC?],,0,)</f>
        <v>0</v>
      </c>
      <c r="K157" s="49">
        <f>_xlfn.XLOOKUP(C157,Tab_Def_Flows[Name(EN)],Tab_Def_Flows[DM?],,0,)</f>
        <v>0</v>
      </c>
      <c r="L157" s="49">
        <f>_xlfn.XLOOKUP(C157,Tab_Def_Flows[Name(EN)],Tab_Def_Flows[CC?],,0,)</f>
        <v>0</v>
      </c>
      <c r="M157" s="51"/>
      <c r="N157" s="51"/>
      <c r="O157" s="88"/>
      <c r="P157" s="51"/>
      <c r="Q157" s="51"/>
      <c r="R157" s="51"/>
      <c r="S157" s="51"/>
      <c r="T157" s="51"/>
      <c r="U157" s="51"/>
      <c r="V157" s="51"/>
      <c r="W157" s="51"/>
      <c r="X157" s="51"/>
      <c r="Y157" s="109"/>
      <c r="Z157" s="51"/>
      <c r="AA157" s="89">
        <f t="shared" si="7"/>
        <v>0</v>
      </c>
      <c r="AB157" s="51" t="s">
        <v>63</v>
      </c>
      <c r="AC157" s="114" t="e">
        <f>INDEX(Tab_Def_Flows[[Flow_ID]:[CC_DM_source]],MATCH(Tab_Data_Flows[[#This Row],[Name(EN)]],Tab_Def_Flows[Name(EN)],0),16)</f>
        <v>#N/A</v>
      </c>
      <c r="AD157" s="115" t="str">
        <f>IF(J157="Yes",AA157*Tab_Data_Flows[[#This Row],[WC_'[%']]],"N.A.")</f>
        <v>N.A.</v>
      </c>
      <c r="AE157" s="61" t="str">
        <f>Tab_Data_Flows[[#This Row],[UoM_Flow_Py]]</f>
        <v>Mg</v>
      </c>
      <c r="AF157" s="114" t="e">
        <f>INDEX(Tab_Def_Flows[[Flow_ID]:[CC_DM_source]],MATCH(Tab_Data_Flows[[#This Row],[Name(EN)]],Tab_Def_Flows[Name(EN)],0),18)</f>
        <v>#N/A</v>
      </c>
      <c r="AG157" s="115" t="str">
        <f>IF(K157="Yes",AF157*Tab_Data_Flows[[#This Row],[Flow_Py]],"N.A.")</f>
        <v>N.A.</v>
      </c>
      <c r="AH157" s="61" t="str">
        <f>Tab_Data_Flows[[#This Row],[UoM_Flow_Py]]</f>
        <v>Mg</v>
      </c>
      <c r="AI157" s="114" t="e">
        <f>INDEX(Tab_Def_Flows[[Flow_ID]:[CC_DM_source]],MATCH(Tab_Data_Flows[[#This Row],[Name(EN)]],Tab_Def_Flows[Name(EN)],0),20)</f>
        <v>#N/A</v>
      </c>
      <c r="AJ157" s="115" t="str">
        <f>IF(L157="Yes",AI157*Tab_Data_Flows[[#This Row],[Flow_Py]],"N.A.")</f>
        <v>N.A.</v>
      </c>
      <c r="AK157" s="61" t="str">
        <f>Tab_Data_Flows[[#This Row],[UoM_Flow_Py]]</f>
        <v>Mg</v>
      </c>
    </row>
    <row r="158" spans="1:37" x14ac:dyDescent="0.35">
      <c r="A158" s="60">
        <f t="shared" si="12"/>
        <v>157</v>
      </c>
      <c r="B158" s="49" t="str">
        <f>_xlfn.XLOOKUP(C158,Tab_Def_Flows[Name(EN)],Tab_Def_Flows[Flow_ID],,0,)</f>
        <v>F_21_21</v>
      </c>
      <c r="C158" s="51"/>
      <c r="D158" s="49">
        <f>_xlfn.XLOOKUP(C158,Tab_Def_Flows[Name(EN)],Tab_Def_Flows[Type_Biomass],,0,)</f>
        <v>0</v>
      </c>
      <c r="E158" s="49">
        <f>_xlfn.XLOOKUP(C158,Tab_Def_Flows[Name(EN)],Tab_Def_Flows[Output_Process],,0,)</f>
        <v>0</v>
      </c>
      <c r="F158" s="49" t="str">
        <f>_xlfn.XLOOKUP(C158,Tab_Def_Flows[Name(EN)],Tab_Def_Flows[Process_ID_O],,0,)</f>
        <v>21__</v>
      </c>
      <c r="G158" s="49">
        <f>_xlfn.XLOOKUP(C158,Tab_Def_Flows[Name(EN)],Tab_Def_Flows[Input_Process],,0,)</f>
        <v>0</v>
      </c>
      <c r="H158" s="61" t="str">
        <f>_xlfn.XLOOKUP(C158,Tab_Def_Flows[Name(EN)],Tab_Def_Flows[Process_ID_I],,0,)</f>
        <v>21__</v>
      </c>
      <c r="I158" s="49">
        <f>_xlfn.XLOOKUP(C158,Tab_Def_Flows[Name(EN)],Tab_Def_Flows[Value_Source],,0,)</f>
        <v>0</v>
      </c>
      <c r="J158" s="49">
        <f>_xlfn.XLOOKUP(C158,Tab_Def_Flows[Name(EN)],Tab_Def_Flows[WC?],,0,)</f>
        <v>0</v>
      </c>
      <c r="K158" s="49">
        <f>_xlfn.XLOOKUP(C158,Tab_Def_Flows[Name(EN)],Tab_Def_Flows[DM?],,0,)</f>
        <v>0</v>
      </c>
      <c r="L158" s="49">
        <f>_xlfn.XLOOKUP(C158,Tab_Def_Flows[Name(EN)],Tab_Def_Flows[CC?],,0,)</f>
        <v>0</v>
      </c>
      <c r="M158" s="51"/>
      <c r="N158" s="51"/>
      <c r="O158" s="88"/>
      <c r="P158" s="51"/>
      <c r="Q158" s="51"/>
      <c r="R158" s="51"/>
      <c r="S158" s="51"/>
      <c r="T158" s="51"/>
      <c r="U158" s="51"/>
      <c r="V158" s="51"/>
      <c r="W158" s="51"/>
      <c r="X158" s="51"/>
      <c r="Y158" s="109"/>
      <c r="Z158" s="51"/>
      <c r="AA158" s="89">
        <f t="shared" si="7"/>
        <v>0</v>
      </c>
      <c r="AB158" s="51" t="s">
        <v>63</v>
      </c>
      <c r="AC158" s="114" t="e">
        <f>INDEX(Tab_Def_Flows[[Flow_ID]:[CC_DM_source]],MATCH(Tab_Data_Flows[[#This Row],[Name(EN)]],Tab_Def_Flows[Name(EN)],0),16)</f>
        <v>#N/A</v>
      </c>
      <c r="AD158" s="115" t="str">
        <f>IF(J158="Yes",AA158*Tab_Data_Flows[[#This Row],[WC_'[%']]],"N.A.")</f>
        <v>N.A.</v>
      </c>
      <c r="AE158" s="61" t="str">
        <f>Tab_Data_Flows[[#This Row],[UoM_Flow_Py]]</f>
        <v>Mg</v>
      </c>
      <c r="AF158" s="114" t="e">
        <f>INDEX(Tab_Def_Flows[[Flow_ID]:[CC_DM_source]],MATCH(Tab_Data_Flows[[#This Row],[Name(EN)]],Tab_Def_Flows[Name(EN)],0),18)</f>
        <v>#N/A</v>
      </c>
      <c r="AG158" s="115" t="str">
        <f>IF(K158="Yes",AF158*Tab_Data_Flows[[#This Row],[Flow_Py]],"N.A.")</f>
        <v>N.A.</v>
      </c>
      <c r="AH158" s="61" t="str">
        <f>Tab_Data_Flows[[#This Row],[UoM_Flow_Py]]</f>
        <v>Mg</v>
      </c>
      <c r="AI158" s="114" t="e">
        <f>INDEX(Tab_Def_Flows[[Flow_ID]:[CC_DM_source]],MATCH(Tab_Data_Flows[[#This Row],[Name(EN)]],Tab_Def_Flows[Name(EN)],0),20)</f>
        <v>#N/A</v>
      </c>
      <c r="AJ158" s="115" t="str">
        <f>IF(L158="Yes",AI158*Tab_Data_Flows[[#This Row],[Flow_Py]],"N.A.")</f>
        <v>N.A.</v>
      </c>
      <c r="AK158" s="61" t="str">
        <f>Tab_Data_Flows[[#This Row],[UoM_Flow_Py]]</f>
        <v>Mg</v>
      </c>
    </row>
    <row r="159" spans="1:37" x14ac:dyDescent="0.35">
      <c r="A159" s="60">
        <f t="shared" si="12"/>
        <v>158</v>
      </c>
      <c r="B159" s="49" t="str">
        <f>_xlfn.XLOOKUP(C159,Tab_Def_Flows[Name(EN)],Tab_Def_Flows[Flow_ID],,0,)</f>
        <v>F_21_21</v>
      </c>
      <c r="C159" s="51"/>
      <c r="D159" s="49">
        <f>_xlfn.XLOOKUP(C159,Tab_Def_Flows[Name(EN)],Tab_Def_Flows[Type_Biomass],,0,)</f>
        <v>0</v>
      </c>
      <c r="E159" s="49">
        <f>_xlfn.XLOOKUP(C159,Tab_Def_Flows[Name(EN)],Tab_Def_Flows[Output_Process],,0,)</f>
        <v>0</v>
      </c>
      <c r="F159" s="49" t="str">
        <f>_xlfn.XLOOKUP(C159,Tab_Def_Flows[Name(EN)],Tab_Def_Flows[Process_ID_O],,0,)</f>
        <v>21__</v>
      </c>
      <c r="G159" s="49">
        <f>_xlfn.XLOOKUP(C159,Tab_Def_Flows[Name(EN)],Tab_Def_Flows[Input_Process],,0,)</f>
        <v>0</v>
      </c>
      <c r="H159" s="61" t="str">
        <f>_xlfn.XLOOKUP(C159,Tab_Def_Flows[Name(EN)],Tab_Def_Flows[Process_ID_I],,0,)</f>
        <v>21__</v>
      </c>
      <c r="I159" s="49">
        <f>_xlfn.XLOOKUP(C159,Tab_Def_Flows[Name(EN)],Tab_Def_Flows[Value_Source],,0,)</f>
        <v>0</v>
      </c>
      <c r="J159" s="49">
        <f>_xlfn.XLOOKUP(C159,Tab_Def_Flows[Name(EN)],Tab_Def_Flows[WC?],,0,)</f>
        <v>0</v>
      </c>
      <c r="K159" s="49">
        <f>_xlfn.XLOOKUP(C159,Tab_Def_Flows[Name(EN)],Tab_Def_Flows[DM?],,0,)</f>
        <v>0</v>
      </c>
      <c r="L159" s="49">
        <f>_xlfn.XLOOKUP(C159,Tab_Def_Flows[Name(EN)],Tab_Def_Flows[CC?],,0,)</f>
        <v>0</v>
      </c>
      <c r="M159" s="51"/>
      <c r="N159" s="51"/>
      <c r="O159" s="88"/>
      <c r="P159" s="51"/>
      <c r="Q159" s="51"/>
      <c r="R159" s="51"/>
      <c r="S159" s="51"/>
      <c r="T159" s="51"/>
      <c r="U159" s="51"/>
      <c r="V159" s="51"/>
      <c r="W159" s="51"/>
      <c r="X159" s="51"/>
      <c r="Y159" s="109"/>
      <c r="Z159" s="51"/>
      <c r="AA159" s="89">
        <f t="shared" si="7"/>
        <v>0</v>
      </c>
      <c r="AB159" s="51" t="s">
        <v>63</v>
      </c>
      <c r="AC159" s="114" t="e">
        <f>INDEX(Tab_Def_Flows[[Flow_ID]:[CC_DM_source]],MATCH(Tab_Data_Flows[[#This Row],[Name(EN)]],Tab_Def_Flows[Name(EN)],0),16)</f>
        <v>#N/A</v>
      </c>
      <c r="AD159" s="115" t="str">
        <f>IF(J159="Yes",AA159*Tab_Data_Flows[[#This Row],[WC_'[%']]],"N.A.")</f>
        <v>N.A.</v>
      </c>
      <c r="AE159" s="61" t="str">
        <f>Tab_Data_Flows[[#This Row],[UoM_Flow_Py]]</f>
        <v>Mg</v>
      </c>
      <c r="AF159" s="114" t="e">
        <f>INDEX(Tab_Def_Flows[[Flow_ID]:[CC_DM_source]],MATCH(Tab_Data_Flows[[#This Row],[Name(EN)]],Tab_Def_Flows[Name(EN)],0),18)</f>
        <v>#N/A</v>
      </c>
      <c r="AG159" s="115" t="str">
        <f>IF(K159="Yes",AF159*Tab_Data_Flows[[#This Row],[Flow_Py]],"N.A.")</f>
        <v>N.A.</v>
      </c>
      <c r="AH159" s="61" t="str">
        <f>Tab_Data_Flows[[#This Row],[UoM_Flow_Py]]</f>
        <v>Mg</v>
      </c>
      <c r="AI159" s="114" t="e">
        <f>INDEX(Tab_Def_Flows[[Flow_ID]:[CC_DM_source]],MATCH(Tab_Data_Flows[[#This Row],[Name(EN)]],Tab_Def_Flows[Name(EN)],0),20)</f>
        <v>#N/A</v>
      </c>
      <c r="AJ159" s="115" t="str">
        <f>IF(L159="Yes",AI159*Tab_Data_Flows[[#This Row],[Flow_Py]],"N.A.")</f>
        <v>N.A.</v>
      </c>
      <c r="AK159" s="61" t="str">
        <f>Tab_Data_Flows[[#This Row],[UoM_Flow_Py]]</f>
        <v>Mg</v>
      </c>
    </row>
    <row r="160" spans="1:37" x14ac:dyDescent="0.35">
      <c r="A160" s="60">
        <f t="shared" si="12"/>
        <v>159</v>
      </c>
      <c r="B160" s="49" t="str">
        <f>_xlfn.XLOOKUP(C160,Tab_Def_Flows[Name(EN)],Tab_Def_Flows[Flow_ID],,0,)</f>
        <v>F_21_21</v>
      </c>
      <c r="C160" s="51"/>
      <c r="D160" s="49">
        <f>_xlfn.XLOOKUP(C160,Tab_Def_Flows[Name(EN)],Tab_Def_Flows[Type_Biomass],,0,)</f>
        <v>0</v>
      </c>
      <c r="E160" s="49">
        <f>_xlfn.XLOOKUP(C160,Tab_Def_Flows[Name(EN)],Tab_Def_Flows[Output_Process],,0,)</f>
        <v>0</v>
      </c>
      <c r="F160" s="49" t="str">
        <f>_xlfn.XLOOKUP(C160,Tab_Def_Flows[Name(EN)],Tab_Def_Flows[Process_ID_O],,0,)</f>
        <v>21__</v>
      </c>
      <c r="G160" s="49">
        <f>_xlfn.XLOOKUP(C160,Tab_Def_Flows[Name(EN)],Tab_Def_Flows[Input_Process],,0,)</f>
        <v>0</v>
      </c>
      <c r="H160" s="61" t="str">
        <f>_xlfn.XLOOKUP(C160,Tab_Def_Flows[Name(EN)],Tab_Def_Flows[Process_ID_I],,0,)</f>
        <v>21__</v>
      </c>
      <c r="I160" s="49">
        <f>_xlfn.XLOOKUP(C160,Tab_Def_Flows[Name(EN)],Tab_Def_Flows[Value_Source],,0,)</f>
        <v>0</v>
      </c>
      <c r="J160" s="49">
        <f>_xlfn.XLOOKUP(C160,Tab_Def_Flows[Name(EN)],Tab_Def_Flows[WC?],,0,)</f>
        <v>0</v>
      </c>
      <c r="K160" s="49">
        <f>_xlfn.XLOOKUP(C160,Tab_Def_Flows[Name(EN)],Tab_Def_Flows[DM?],,0,)</f>
        <v>0</v>
      </c>
      <c r="L160" s="49">
        <f>_xlfn.XLOOKUP(C160,Tab_Def_Flows[Name(EN)],Tab_Def_Flows[CC?],,0,)</f>
        <v>0</v>
      </c>
      <c r="M160" s="51"/>
      <c r="N160" s="51"/>
      <c r="O160" s="88"/>
      <c r="P160" s="51"/>
      <c r="Q160" s="51"/>
      <c r="R160" s="51"/>
      <c r="S160" s="51"/>
      <c r="T160" s="51"/>
      <c r="U160" s="51"/>
      <c r="V160" s="51"/>
      <c r="W160" s="51"/>
      <c r="X160" s="51"/>
      <c r="Y160" s="109"/>
      <c r="Z160" s="51"/>
      <c r="AA160" s="89">
        <f t="shared" si="7"/>
        <v>0</v>
      </c>
      <c r="AB160" s="51" t="s">
        <v>63</v>
      </c>
      <c r="AC160" s="114" t="e">
        <f>INDEX(Tab_Def_Flows[[Flow_ID]:[CC_DM_source]],MATCH(Tab_Data_Flows[[#This Row],[Name(EN)]],Tab_Def_Flows[Name(EN)],0),16)</f>
        <v>#N/A</v>
      </c>
      <c r="AD160" s="115" t="str">
        <f>IF(J160="Yes",AA160*Tab_Data_Flows[[#This Row],[WC_'[%']]],"N.A.")</f>
        <v>N.A.</v>
      </c>
      <c r="AE160" s="61" t="str">
        <f>Tab_Data_Flows[[#This Row],[UoM_Flow_Py]]</f>
        <v>Mg</v>
      </c>
      <c r="AF160" s="114" t="e">
        <f>INDEX(Tab_Def_Flows[[Flow_ID]:[CC_DM_source]],MATCH(Tab_Data_Flows[[#This Row],[Name(EN)]],Tab_Def_Flows[Name(EN)],0),18)</f>
        <v>#N/A</v>
      </c>
      <c r="AG160" s="115" t="str">
        <f>IF(K160="Yes",AF160*Tab_Data_Flows[[#This Row],[Flow_Py]],"N.A.")</f>
        <v>N.A.</v>
      </c>
      <c r="AH160" s="61" t="str">
        <f>Tab_Data_Flows[[#This Row],[UoM_Flow_Py]]</f>
        <v>Mg</v>
      </c>
      <c r="AI160" s="114" t="e">
        <f>INDEX(Tab_Def_Flows[[Flow_ID]:[CC_DM_source]],MATCH(Tab_Data_Flows[[#This Row],[Name(EN)]],Tab_Def_Flows[Name(EN)],0),20)</f>
        <v>#N/A</v>
      </c>
      <c r="AJ160" s="115" t="str">
        <f>IF(L160="Yes",AI160*Tab_Data_Flows[[#This Row],[Flow_Py]],"N.A.")</f>
        <v>N.A.</v>
      </c>
      <c r="AK160" s="61" t="str">
        <f>Tab_Data_Flows[[#This Row],[UoM_Flow_Py]]</f>
        <v>Mg</v>
      </c>
    </row>
    <row r="161" spans="1:37" x14ac:dyDescent="0.35">
      <c r="A161" s="60">
        <f t="shared" ref="A161:A224" si="33">ROW()-1</f>
        <v>160</v>
      </c>
      <c r="B161" s="49" t="str">
        <f>_xlfn.XLOOKUP(C161,Tab_Def_Flows[Name(EN)],Tab_Def_Flows[Flow_ID],,0,)</f>
        <v>F_21_21</v>
      </c>
      <c r="C161" s="51"/>
      <c r="D161" s="49">
        <f>_xlfn.XLOOKUP(C161,Tab_Def_Flows[Name(EN)],Tab_Def_Flows[Type_Biomass],,0,)</f>
        <v>0</v>
      </c>
      <c r="E161" s="49">
        <f>_xlfn.XLOOKUP(C161,Tab_Def_Flows[Name(EN)],Tab_Def_Flows[Output_Process],,0,)</f>
        <v>0</v>
      </c>
      <c r="F161" s="49" t="str">
        <f>_xlfn.XLOOKUP(C161,Tab_Def_Flows[Name(EN)],Tab_Def_Flows[Process_ID_O],,0,)</f>
        <v>21__</v>
      </c>
      <c r="G161" s="49">
        <f>_xlfn.XLOOKUP(C161,Tab_Def_Flows[Name(EN)],Tab_Def_Flows[Input_Process],,0,)</f>
        <v>0</v>
      </c>
      <c r="H161" s="61" t="str">
        <f>_xlfn.XLOOKUP(C161,Tab_Def_Flows[Name(EN)],Tab_Def_Flows[Process_ID_I],,0,)</f>
        <v>21__</v>
      </c>
      <c r="I161" s="49">
        <f>_xlfn.XLOOKUP(C161,Tab_Def_Flows[Name(EN)],Tab_Def_Flows[Value_Source],,0,)</f>
        <v>0</v>
      </c>
      <c r="J161" s="49">
        <f>_xlfn.XLOOKUP(C161,Tab_Def_Flows[Name(EN)],Tab_Def_Flows[WC?],,0,)</f>
        <v>0</v>
      </c>
      <c r="K161" s="49">
        <f>_xlfn.XLOOKUP(C161,Tab_Def_Flows[Name(EN)],Tab_Def_Flows[DM?],,0,)</f>
        <v>0</v>
      </c>
      <c r="L161" s="49">
        <f>_xlfn.XLOOKUP(C161,Tab_Def_Flows[Name(EN)],Tab_Def_Flows[CC?],,0,)</f>
        <v>0</v>
      </c>
      <c r="M161" s="51"/>
      <c r="N161" s="51"/>
      <c r="O161" s="88"/>
      <c r="P161" s="51"/>
      <c r="Q161" s="51"/>
      <c r="R161" s="51"/>
      <c r="S161" s="51"/>
      <c r="T161" s="51"/>
      <c r="U161" s="51"/>
      <c r="V161" s="51"/>
      <c r="W161" s="51"/>
      <c r="X161" s="51"/>
      <c r="Y161" s="109"/>
      <c r="Z161" s="51"/>
      <c r="AA161" s="89">
        <f t="shared" ref="AA161:AA224" si="34">IF(X161="no",O161,O161*Y161)</f>
        <v>0</v>
      </c>
      <c r="AB161" s="51" t="s">
        <v>63</v>
      </c>
      <c r="AC161" s="114" t="e">
        <f>INDEX(Tab_Def_Flows[[Flow_ID]:[CC_DM_source]],MATCH(Tab_Data_Flows[[#This Row],[Name(EN)]],Tab_Def_Flows[Name(EN)],0),16)</f>
        <v>#N/A</v>
      </c>
      <c r="AD161" s="115" t="str">
        <f>IF(J161="Yes",AA161*Tab_Data_Flows[[#This Row],[WC_'[%']]],"N.A.")</f>
        <v>N.A.</v>
      </c>
      <c r="AE161" s="61" t="str">
        <f>Tab_Data_Flows[[#This Row],[UoM_Flow_Py]]</f>
        <v>Mg</v>
      </c>
      <c r="AF161" s="114" t="e">
        <f>INDEX(Tab_Def_Flows[[Flow_ID]:[CC_DM_source]],MATCH(Tab_Data_Flows[[#This Row],[Name(EN)]],Tab_Def_Flows[Name(EN)],0),18)</f>
        <v>#N/A</v>
      </c>
      <c r="AG161" s="115" t="str">
        <f>IF(K161="Yes",AF161*Tab_Data_Flows[[#This Row],[Flow_Py]],"N.A.")</f>
        <v>N.A.</v>
      </c>
      <c r="AH161" s="61" t="str">
        <f>Tab_Data_Flows[[#This Row],[UoM_Flow_Py]]</f>
        <v>Mg</v>
      </c>
      <c r="AI161" s="114" t="e">
        <f>INDEX(Tab_Def_Flows[[Flow_ID]:[CC_DM_source]],MATCH(Tab_Data_Flows[[#This Row],[Name(EN)]],Tab_Def_Flows[Name(EN)],0),20)</f>
        <v>#N/A</v>
      </c>
      <c r="AJ161" s="115" t="str">
        <f>IF(L161="Yes",AI161*Tab_Data_Flows[[#This Row],[Flow_Py]],"N.A.")</f>
        <v>N.A.</v>
      </c>
      <c r="AK161" s="61" t="str">
        <f>Tab_Data_Flows[[#This Row],[UoM_Flow_Py]]</f>
        <v>Mg</v>
      </c>
    </row>
    <row r="162" spans="1:37" x14ac:dyDescent="0.35">
      <c r="A162" s="60">
        <f t="shared" si="33"/>
        <v>161</v>
      </c>
      <c r="B162" s="49" t="str">
        <f>_xlfn.XLOOKUP(C162,Tab_Def_Flows[Name(EN)],Tab_Def_Flows[Flow_ID],,0,)</f>
        <v>F_21_21</v>
      </c>
      <c r="C162" s="51"/>
      <c r="D162" s="49">
        <f>_xlfn.XLOOKUP(C162,Tab_Def_Flows[Name(EN)],Tab_Def_Flows[Type_Biomass],,0,)</f>
        <v>0</v>
      </c>
      <c r="E162" s="49">
        <f>_xlfn.XLOOKUP(C162,Tab_Def_Flows[Name(EN)],Tab_Def_Flows[Output_Process],,0,)</f>
        <v>0</v>
      </c>
      <c r="F162" s="49" t="str">
        <f>_xlfn.XLOOKUP(C162,Tab_Def_Flows[Name(EN)],Tab_Def_Flows[Process_ID_O],,0,)</f>
        <v>21__</v>
      </c>
      <c r="G162" s="49">
        <f>_xlfn.XLOOKUP(C162,Tab_Def_Flows[Name(EN)],Tab_Def_Flows[Input_Process],,0,)</f>
        <v>0</v>
      </c>
      <c r="H162" s="61" t="str">
        <f>_xlfn.XLOOKUP(C162,Tab_Def_Flows[Name(EN)],Tab_Def_Flows[Process_ID_I],,0,)</f>
        <v>21__</v>
      </c>
      <c r="I162" s="49">
        <f>_xlfn.XLOOKUP(C162,Tab_Def_Flows[Name(EN)],Tab_Def_Flows[Value_Source],,0,)</f>
        <v>0</v>
      </c>
      <c r="J162" s="49">
        <f>_xlfn.XLOOKUP(C162,Tab_Def_Flows[Name(EN)],Tab_Def_Flows[WC?],,0,)</f>
        <v>0</v>
      </c>
      <c r="K162" s="49">
        <f>_xlfn.XLOOKUP(C162,Tab_Def_Flows[Name(EN)],Tab_Def_Flows[DM?],,0,)</f>
        <v>0</v>
      </c>
      <c r="L162" s="49">
        <f>_xlfn.XLOOKUP(C162,Tab_Def_Flows[Name(EN)],Tab_Def_Flows[CC?],,0,)</f>
        <v>0</v>
      </c>
      <c r="M162" s="51"/>
      <c r="N162" s="51"/>
      <c r="O162" s="88"/>
      <c r="P162" s="51"/>
      <c r="Q162" s="51"/>
      <c r="R162" s="51"/>
      <c r="S162" s="51"/>
      <c r="T162" s="51"/>
      <c r="U162" s="51"/>
      <c r="V162" s="51"/>
      <c r="W162" s="51"/>
      <c r="X162" s="51"/>
      <c r="Y162" s="109"/>
      <c r="Z162" s="51"/>
      <c r="AA162" s="89">
        <f t="shared" si="34"/>
        <v>0</v>
      </c>
      <c r="AB162" s="51" t="s">
        <v>63</v>
      </c>
      <c r="AC162" s="114" t="e">
        <f>INDEX(Tab_Def_Flows[[Flow_ID]:[CC_DM_source]],MATCH(Tab_Data_Flows[[#This Row],[Name(EN)]],Tab_Def_Flows[Name(EN)],0),16)</f>
        <v>#N/A</v>
      </c>
      <c r="AD162" s="115" t="str">
        <f>IF(J162="Yes",AA162*Tab_Data_Flows[[#This Row],[WC_'[%']]],"N.A.")</f>
        <v>N.A.</v>
      </c>
      <c r="AE162" s="61" t="str">
        <f>Tab_Data_Flows[[#This Row],[UoM_Flow_Py]]</f>
        <v>Mg</v>
      </c>
      <c r="AF162" s="114" t="e">
        <f>INDEX(Tab_Def_Flows[[Flow_ID]:[CC_DM_source]],MATCH(Tab_Data_Flows[[#This Row],[Name(EN)]],Tab_Def_Flows[Name(EN)],0),18)</f>
        <v>#N/A</v>
      </c>
      <c r="AG162" s="115" t="str">
        <f>IF(K162="Yes",AF162*Tab_Data_Flows[[#This Row],[Flow_Py]],"N.A.")</f>
        <v>N.A.</v>
      </c>
      <c r="AH162" s="61" t="str">
        <f>Tab_Data_Flows[[#This Row],[UoM_Flow_Py]]</f>
        <v>Mg</v>
      </c>
      <c r="AI162" s="114" t="e">
        <f>INDEX(Tab_Def_Flows[[Flow_ID]:[CC_DM_source]],MATCH(Tab_Data_Flows[[#This Row],[Name(EN)]],Tab_Def_Flows[Name(EN)],0),20)</f>
        <v>#N/A</v>
      </c>
      <c r="AJ162" s="115" t="str">
        <f>IF(L162="Yes",AI162*Tab_Data_Flows[[#This Row],[Flow_Py]],"N.A.")</f>
        <v>N.A.</v>
      </c>
      <c r="AK162" s="61" t="str">
        <f>Tab_Data_Flows[[#This Row],[UoM_Flow_Py]]</f>
        <v>Mg</v>
      </c>
    </row>
    <row r="163" spans="1:37" x14ac:dyDescent="0.35">
      <c r="A163" s="60">
        <f t="shared" si="33"/>
        <v>162</v>
      </c>
      <c r="B163" s="49" t="str">
        <f>_xlfn.XLOOKUP(C163,Tab_Def_Flows[Name(EN)],Tab_Def_Flows[Flow_ID],,0,)</f>
        <v>F_21_21</v>
      </c>
      <c r="C163" s="51"/>
      <c r="D163" s="49">
        <f>_xlfn.XLOOKUP(C163,Tab_Def_Flows[Name(EN)],Tab_Def_Flows[Type_Biomass],,0,)</f>
        <v>0</v>
      </c>
      <c r="E163" s="49">
        <f>_xlfn.XLOOKUP(C163,Tab_Def_Flows[Name(EN)],Tab_Def_Flows[Output_Process],,0,)</f>
        <v>0</v>
      </c>
      <c r="F163" s="49" t="str">
        <f>_xlfn.XLOOKUP(C163,Tab_Def_Flows[Name(EN)],Tab_Def_Flows[Process_ID_O],,0,)</f>
        <v>21__</v>
      </c>
      <c r="G163" s="49">
        <f>_xlfn.XLOOKUP(C163,Tab_Def_Flows[Name(EN)],Tab_Def_Flows[Input_Process],,0,)</f>
        <v>0</v>
      </c>
      <c r="H163" s="61" t="str">
        <f>_xlfn.XLOOKUP(C163,Tab_Def_Flows[Name(EN)],Tab_Def_Flows[Process_ID_I],,0,)</f>
        <v>21__</v>
      </c>
      <c r="I163" s="49">
        <f>_xlfn.XLOOKUP(C163,Tab_Def_Flows[Name(EN)],Tab_Def_Flows[Value_Source],,0,)</f>
        <v>0</v>
      </c>
      <c r="J163" s="49">
        <f>_xlfn.XLOOKUP(C163,Tab_Def_Flows[Name(EN)],Tab_Def_Flows[WC?],,0,)</f>
        <v>0</v>
      </c>
      <c r="K163" s="49">
        <f>_xlfn.XLOOKUP(C163,Tab_Def_Flows[Name(EN)],Tab_Def_Flows[DM?],,0,)</f>
        <v>0</v>
      </c>
      <c r="L163" s="49">
        <f>_xlfn.XLOOKUP(C163,Tab_Def_Flows[Name(EN)],Tab_Def_Flows[CC?],,0,)</f>
        <v>0</v>
      </c>
      <c r="M163" s="51"/>
      <c r="N163" s="51"/>
      <c r="O163" s="88"/>
      <c r="P163" s="51"/>
      <c r="Q163" s="51"/>
      <c r="R163" s="51"/>
      <c r="S163" s="51"/>
      <c r="T163" s="51"/>
      <c r="U163" s="51"/>
      <c r="V163" s="51"/>
      <c r="W163" s="51"/>
      <c r="X163" s="51"/>
      <c r="Y163" s="109"/>
      <c r="Z163" s="51"/>
      <c r="AA163" s="89">
        <f t="shared" si="34"/>
        <v>0</v>
      </c>
      <c r="AB163" s="51" t="s">
        <v>63</v>
      </c>
      <c r="AC163" s="114" t="e">
        <f>INDEX(Tab_Def_Flows[[Flow_ID]:[CC_DM_source]],MATCH(Tab_Data_Flows[[#This Row],[Name(EN)]],Tab_Def_Flows[Name(EN)],0),16)</f>
        <v>#N/A</v>
      </c>
      <c r="AD163" s="115" t="str">
        <f>IF(J163="Yes",AA163*Tab_Data_Flows[[#This Row],[WC_'[%']]],"N.A.")</f>
        <v>N.A.</v>
      </c>
      <c r="AE163" s="61" t="str">
        <f>Tab_Data_Flows[[#This Row],[UoM_Flow_Py]]</f>
        <v>Mg</v>
      </c>
      <c r="AF163" s="114" t="e">
        <f>INDEX(Tab_Def_Flows[[Flow_ID]:[CC_DM_source]],MATCH(Tab_Data_Flows[[#This Row],[Name(EN)]],Tab_Def_Flows[Name(EN)],0),18)</f>
        <v>#N/A</v>
      </c>
      <c r="AG163" s="115" t="str">
        <f>IF(K163="Yes",AF163*Tab_Data_Flows[[#This Row],[Flow_Py]],"N.A.")</f>
        <v>N.A.</v>
      </c>
      <c r="AH163" s="61" t="str">
        <f>Tab_Data_Flows[[#This Row],[UoM_Flow_Py]]</f>
        <v>Mg</v>
      </c>
      <c r="AI163" s="114" t="e">
        <f>INDEX(Tab_Def_Flows[[Flow_ID]:[CC_DM_source]],MATCH(Tab_Data_Flows[[#This Row],[Name(EN)]],Tab_Def_Flows[Name(EN)],0),20)</f>
        <v>#N/A</v>
      </c>
      <c r="AJ163" s="115" t="str">
        <f>IF(L163="Yes",AI163*Tab_Data_Flows[[#This Row],[Flow_Py]],"N.A.")</f>
        <v>N.A.</v>
      </c>
      <c r="AK163" s="61" t="str">
        <f>Tab_Data_Flows[[#This Row],[UoM_Flow_Py]]</f>
        <v>Mg</v>
      </c>
    </row>
    <row r="164" spans="1:37" x14ac:dyDescent="0.35">
      <c r="A164" s="60">
        <f t="shared" si="33"/>
        <v>163</v>
      </c>
      <c r="B164" s="49" t="str">
        <f>_xlfn.XLOOKUP(C164,Tab_Def_Flows[Name(EN)],Tab_Def_Flows[Flow_ID],,0,)</f>
        <v>F_21_21</v>
      </c>
      <c r="C164" s="51"/>
      <c r="D164" s="49">
        <f>_xlfn.XLOOKUP(C164,Tab_Def_Flows[Name(EN)],Tab_Def_Flows[Type_Biomass],,0,)</f>
        <v>0</v>
      </c>
      <c r="E164" s="49">
        <f>_xlfn.XLOOKUP(C164,Tab_Def_Flows[Name(EN)],Tab_Def_Flows[Output_Process],,0,)</f>
        <v>0</v>
      </c>
      <c r="F164" s="49" t="str">
        <f>_xlfn.XLOOKUP(C164,Tab_Def_Flows[Name(EN)],Tab_Def_Flows[Process_ID_O],,0,)</f>
        <v>21__</v>
      </c>
      <c r="G164" s="49">
        <f>_xlfn.XLOOKUP(C164,Tab_Def_Flows[Name(EN)],Tab_Def_Flows[Input_Process],,0,)</f>
        <v>0</v>
      </c>
      <c r="H164" s="61" t="str">
        <f>_xlfn.XLOOKUP(C164,Tab_Def_Flows[Name(EN)],Tab_Def_Flows[Process_ID_I],,0,)</f>
        <v>21__</v>
      </c>
      <c r="I164" s="49">
        <f>_xlfn.XLOOKUP(C164,Tab_Def_Flows[Name(EN)],Tab_Def_Flows[Value_Source],,0,)</f>
        <v>0</v>
      </c>
      <c r="J164" s="49">
        <f>_xlfn.XLOOKUP(C164,Tab_Def_Flows[Name(EN)],Tab_Def_Flows[WC?],,0,)</f>
        <v>0</v>
      </c>
      <c r="K164" s="49">
        <f>_xlfn.XLOOKUP(C164,Tab_Def_Flows[Name(EN)],Tab_Def_Flows[DM?],,0,)</f>
        <v>0</v>
      </c>
      <c r="L164" s="49">
        <f>_xlfn.XLOOKUP(C164,Tab_Def_Flows[Name(EN)],Tab_Def_Flows[CC?],,0,)</f>
        <v>0</v>
      </c>
      <c r="M164" s="51"/>
      <c r="N164" s="51"/>
      <c r="O164" s="88"/>
      <c r="P164" s="51"/>
      <c r="Q164" s="51"/>
      <c r="R164" s="51"/>
      <c r="S164" s="51"/>
      <c r="T164" s="51"/>
      <c r="U164" s="51"/>
      <c r="V164" s="51"/>
      <c r="W164" s="51"/>
      <c r="X164" s="51"/>
      <c r="Y164" s="109"/>
      <c r="Z164" s="51"/>
      <c r="AA164" s="89">
        <f t="shared" si="34"/>
        <v>0</v>
      </c>
      <c r="AB164" s="51" t="s">
        <v>63</v>
      </c>
      <c r="AC164" s="114" t="e">
        <f>INDEX(Tab_Def_Flows[[Flow_ID]:[CC_DM_source]],MATCH(Tab_Data_Flows[[#This Row],[Name(EN)]],Tab_Def_Flows[Name(EN)],0),16)</f>
        <v>#N/A</v>
      </c>
      <c r="AD164" s="115" t="str">
        <f>IF(J164="Yes",AA164*Tab_Data_Flows[[#This Row],[WC_'[%']]],"N.A.")</f>
        <v>N.A.</v>
      </c>
      <c r="AE164" s="61" t="str">
        <f>Tab_Data_Flows[[#This Row],[UoM_Flow_Py]]</f>
        <v>Mg</v>
      </c>
      <c r="AF164" s="114" t="e">
        <f>INDEX(Tab_Def_Flows[[Flow_ID]:[CC_DM_source]],MATCH(Tab_Data_Flows[[#This Row],[Name(EN)]],Tab_Def_Flows[Name(EN)],0),18)</f>
        <v>#N/A</v>
      </c>
      <c r="AG164" s="115" t="str">
        <f>IF(K164="Yes",AF164*Tab_Data_Flows[[#This Row],[Flow_Py]],"N.A.")</f>
        <v>N.A.</v>
      </c>
      <c r="AH164" s="61" t="str">
        <f>Tab_Data_Flows[[#This Row],[UoM_Flow_Py]]</f>
        <v>Mg</v>
      </c>
      <c r="AI164" s="114" t="e">
        <f>INDEX(Tab_Def_Flows[[Flow_ID]:[CC_DM_source]],MATCH(Tab_Data_Flows[[#This Row],[Name(EN)]],Tab_Def_Flows[Name(EN)],0),20)</f>
        <v>#N/A</v>
      </c>
      <c r="AJ164" s="115" t="str">
        <f>IF(L164="Yes",AI164*Tab_Data_Flows[[#This Row],[Flow_Py]],"N.A.")</f>
        <v>N.A.</v>
      </c>
      <c r="AK164" s="61" t="str">
        <f>Tab_Data_Flows[[#This Row],[UoM_Flow_Py]]</f>
        <v>Mg</v>
      </c>
    </row>
    <row r="165" spans="1:37" x14ac:dyDescent="0.35">
      <c r="A165" s="60">
        <f t="shared" si="33"/>
        <v>164</v>
      </c>
      <c r="B165" s="49" t="str">
        <f>_xlfn.XLOOKUP(C165,Tab_Def_Flows[Name(EN)],Tab_Def_Flows[Flow_ID],,0,)</f>
        <v>F_21_21</v>
      </c>
      <c r="C165" s="51"/>
      <c r="D165" s="49">
        <f>_xlfn.XLOOKUP(C165,Tab_Def_Flows[Name(EN)],Tab_Def_Flows[Type_Biomass],,0,)</f>
        <v>0</v>
      </c>
      <c r="E165" s="49">
        <f>_xlfn.XLOOKUP(C165,Tab_Def_Flows[Name(EN)],Tab_Def_Flows[Output_Process],,0,)</f>
        <v>0</v>
      </c>
      <c r="F165" s="49" t="str">
        <f>_xlfn.XLOOKUP(C165,Tab_Def_Flows[Name(EN)],Tab_Def_Flows[Process_ID_O],,0,)</f>
        <v>21__</v>
      </c>
      <c r="G165" s="49">
        <f>_xlfn.XLOOKUP(C165,Tab_Def_Flows[Name(EN)],Tab_Def_Flows[Input_Process],,0,)</f>
        <v>0</v>
      </c>
      <c r="H165" s="61" t="str">
        <f>_xlfn.XLOOKUP(C165,Tab_Def_Flows[Name(EN)],Tab_Def_Flows[Process_ID_I],,0,)</f>
        <v>21__</v>
      </c>
      <c r="I165" s="49">
        <f>_xlfn.XLOOKUP(C165,Tab_Def_Flows[Name(EN)],Tab_Def_Flows[Value_Source],,0,)</f>
        <v>0</v>
      </c>
      <c r="J165" s="49">
        <f>_xlfn.XLOOKUP(C165,Tab_Def_Flows[Name(EN)],Tab_Def_Flows[WC?],,0,)</f>
        <v>0</v>
      </c>
      <c r="K165" s="49">
        <f>_xlfn.XLOOKUP(C165,Tab_Def_Flows[Name(EN)],Tab_Def_Flows[DM?],,0,)</f>
        <v>0</v>
      </c>
      <c r="L165" s="49">
        <f>_xlfn.XLOOKUP(C165,Tab_Def_Flows[Name(EN)],Tab_Def_Flows[CC?],,0,)</f>
        <v>0</v>
      </c>
      <c r="M165" s="51"/>
      <c r="N165" s="51"/>
      <c r="O165" s="88"/>
      <c r="P165" s="51"/>
      <c r="Q165" s="51"/>
      <c r="R165" s="51"/>
      <c r="S165" s="51"/>
      <c r="T165" s="51"/>
      <c r="U165" s="51"/>
      <c r="V165" s="51"/>
      <c r="W165" s="51"/>
      <c r="X165" s="51"/>
      <c r="Y165" s="109"/>
      <c r="Z165" s="51"/>
      <c r="AA165" s="89">
        <f t="shared" si="34"/>
        <v>0</v>
      </c>
      <c r="AB165" s="51" t="s">
        <v>63</v>
      </c>
      <c r="AC165" s="114" t="e">
        <f>INDEX(Tab_Def_Flows[[Flow_ID]:[CC_DM_source]],MATCH(Tab_Data_Flows[[#This Row],[Name(EN)]],Tab_Def_Flows[Name(EN)],0),16)</f>
        <v>#N/A</v>
      </c>
      <c r="AD165" s="115" t="str">
        <f>IF(J165="Yes",AA165*Tab_Data_Flows[[#This Row],[WC_'[%']]],"N.A.")</f>
        <v>N.A.</v>
      </c>
      <c r="AE165" s="61" t="str">
        <f>Tab_Data_Flows[[#This Row],[UoM_Flow_Py]]</f>
        <v>Mg</v>
      </c>
      <c r="AF165" s="114" t="e">
        <f>INDEX(Tab_Def_Flows[[Flow_ID]:[CC_DM_source]],MATCH(Tab_Data_Flows[[#This Row],[Name(EN)]],Tab_Def_Flows[Name(EN)],0),18)</f>
        <v>#N/A</v>
      </c>
      <c r="AG165" s="115" t="str">
        <f>IF(K165="Yes",AF165*Tab_Data_Flows[[#This Row],[Flow_Py]],"N.A.")</f>
        <v>N.A.</v>
      </c>
      <c r="AH165" s="61" t="str">
        <f>Tab_Data_Flows[[#This Row],[UoM_Flow_Py]]</f>
        <v>Mg</v>
      </c>
      <c r="AI165" s="114" t="e">
        <f>INDEX(Tab_Def_Flows[[Flow_ID]:[CC_DM_source]],MATCH(Tab_Data_Flows[[#This Row],[Name(EN)]],Tab_Def_Flows[Name(EN)],0),20)</f>
        <v>#N/A</v>
      </c>
      <c r="AJ165" s="115" t="str">
        <f>IF(L165="Yes",AI165*Tab_Data_Flows[[#This Row],[Flow_Py]],"N.A.")</f>
        <v>N.A.</v>
      </c>
      <c r="AK165" s="61" t="str">
        <f>Tab_Data_Flows[[#This Row],[UoM_Flow_Py]]</f>
        <v>Mg</v>
      </c>
    </row>
    <row r="166" spans="1:37" x14ac:dyDescent="0.35">
      <c r="A166" s="60">
        <f t="shared" si="33"/>
        <v>165</v>
      </c>
      <c r="B166" s="49" t="str">
        <f>_xlfn.XLOOKUP(C166,Tab_Def_Flows[Name(EN)],Tab_Def_Flows[Flow_ID],,0,)</f>
        <v>F_21_21</v>
      </c>
      <c r="C166" s="51"/>
      <c r="D166" s="49">
        <f>_xlfn.XLOOKUP(C166,Tab_Def_Flows[Name(EN)],Tab_Def_Flows[Type_Biomass],,0,)</f>
        <v>0</v>
      </c>
      <c r="E166" s="49">
        <f>_xlfn.XLOOKUP(C166,Tab_Def_Flows[Name(EN)],Tab_Def_Flows[Output_Process],,0,)</f>
        <v>0</v>
      </c>
      <c r="F166" s="49" t="str">
        <f>_xlfn.XLOOKUP(C166,Tab_Def_Flows[Name(EN)],Tab_Def_Flows[Process_ID_O],,0,)</f>
        <v>21__</v>
      </c>
      <c r="G166" s="49">
        <f>_xlfn.XLOOKUP(C166,Tab_Def_Flows[Name(EN)],Tab_Def_Flows[Input_Process],,0,)</f>
        <v>0</v>
      </c>
      <c r="H166" s="61" t="str">
        <f>_xlfn.XLOOKUP(C166,Tab_Def_Flows[Name(EN)],Tab_Def_Flows[Process_ID_I],,0,)</f>
        <v>21__</v>
      </c>
      <c r="I166" s="49">
        <f>_xlfn.XLOOKUP(C166,Tab_Def_Flows[Name(EN)],Tab_Def_Flows[Value_Source],,0,)</f>
        <v>0</v>
      </c>
      <c r="J166" s="49">
        <f>_xlfn.XLOOKUP(C166,Tab_Def_Flows[Name(EN)],Tab_Def_Flows[WC?],,0,)</f>
        <v>0</v>
      </c>
      <c r="K166" s="49">
        <f>_xlfn.XLOOKUP(C166,Tab_Def_Flows[Name(EN)],Tab_Def_Flows[DM?],,0,)</f>
        <v>0</v>
      </c>
      <c r="L166" s="49">
        <f>_xlfn.XLOOKUP(C166,Tab_Def_Flows[Name(EN)],Tab_Def_Flows[CC?],,0,)</f>
        <v>0</v>
      </c>
      <c r="M166" s="51"/>
      <c r="N166" s="51"/>
      <c r="O166" s="88"/>
      <c r="P166" s="51"/>
      <c r="Q166" s="51"/>
      <c r="R166" s="51"/>
      <c r="S166" s="69"/>
      <c r="T166" s="51"/>
      <c r="U166" s="51"/>
      <c r="V166" s="51"/>
      <c r="W166" s="51"/>
      <c r="X166" s="51"/>
      <c r="Y166" s="109"/>
      <c r="Z166" s="51"/>
      <c r="AA166" s="89">
        <f t="shared" si="34"/>
        <v>0</v>
      </c>
      <c r="AB166" s="51" t="s">
        <v>63</v>
      </c>
      <c r="AC166" s="114" t="e">
        <f>INDEX(Tab_Def_Flows[[Flow_ID]:[CC_DM_source]],MATCH(Tab_Data_Flows[[#This Row],[Name(EN)]],Tab_Def_Flows[Name(EN)],0),16)</f>
        <v>#N/A</v>
      </c>
      <c r="AD166" s="115" t="str">
        <f>IF(J166="Yes",AA166*Tab_Data_Flows[[#This Row],[WC_'[%']]],"N.A.")</f>
        <v>N.A.</v>
      </c>
      <c r="AE166" s="61" t="str">
        <f>Tab_Data_Flows[[#This Row],[UoM_Flow_Py]]</f>
        <v>Mg</v>
      </c>
      <c r="AF166" s="114" t="e">
        <f>INDEX(Tab_Def_Flows[[Flow_ID]:[CC_DM_source]],MATCH(Tab_Data_Flows[[#This Row],[Name(EN)]],Tab_Def_Flows[Name(EN)],0),18)</f>
        <v>#N/A</v>
      </c>
      <c r="AG166" s="115" t="str">
        <f>IF(K166="Yes",AF166*Tab_Data_Flows[[#This Row],[Flow_Py]],"N.A.")</f>
        <v>N.A.</v>
      </c>
      <c r="AH166" s="61" t="str">
        <f>Tab_Data_Flows[[#This Row],[UoM_Flow_Py]]</f>
        <v>Mg</v>
      </c>
      <c r="AI166" s="114" t="e">
        <f>INDEX(Tab_Def_Flows[[Flow_ID]:[CC_DM_source]],MATCH(Tab_Data_Flows[[#This Row],[Name(EN)]],Tab_Def_Flows[Name(EN)],0),20)</f>
        <v>#N/A</v>
      </c>
      <c r="AJ166" s="115" t="str">
        <f>IF(L166="Yes",AI166*Tab_Data_Flows[[#This Row],[Flow_Py]],"N.A.")</f>
        <v>N.A.</v>
      </c>
      <c r="AK166" s="61" t="str">
        <f>Tab_Data_Flows[[#This Row],[UoM_Flow_Py]]</f>
        <v>Mg</v>
      </c>
    </row>
    <row r="167" spans="1:37" x14ac:dyDescent="0.35">
      <c r="A167" s="60">
        <f t="shared" si="33"/>
        <v>166</v>
      </c>
      <c r="B167" s="49" t="str">
        <f>_xlfn.XLOOKUP(C167,Tab_Def_Flows[Name(EN)],Tab_Def_Flows[Flow_ID],,0,)</f>
        <v>F_21_21</v>
      </c>
      <c r="C167" s="51"/>
      <c r="D167" s="49">
        <f>_xlfn.XLOOKUP(C167,Tab_Def_Flows[Name(EN)],Tab_Def_Flows[Type_Biomass],,0,)</f>
        <v>0</v>
      </c>
      <c r="E167" s="49">
        <f>_xlfn.XLOOKUP(C167,Tab_Def_Flows[Name(EN)],Tab_Def_Flows[Output_Process],,0,)</f>
        <v>0</v>
      </c>
      <c r="F167" s="49" t="str">
        <f>_xlfn.XLOOKUP(C167,Tab_Def_Flows[Name(EN)],Tab_Def_Flows[Process_ID_O],,0,)</f>
        <v>21__</v>
      </c>
      <c r="G167" s="49">
        <f>_xlfn.XLOOKUP(C167,Tab_Def_Flows[Name(EN)],Tab_Def_Flows[Input_Process],,0,)</f>
        <v>0</v>
      </c>
      <c r="H167" s="61" t="str">
        <f>_xlfn.XLOOKUP(C167,Tab_Def_Flows[Name(EN)],Tab_Def_Flows[Process_ID_I],,0,)</f>
        <v>21__</v>
      </c>
      <c r="I167" s="49">
        <f>_xlfn.XLOOKUP(C167,Tab_Def_Flows[Name(EN)],Tab_Def_Flows[Value_Source],,0,)</f>
        <v>0</v>
      </c>
      <c r="J167" s="49">
        <f>_xlfn.XLOOKUP(C167,Tab_Def_Flows[Name(EN)],Tab_Def_Flows[WC?],,0,)</f>
        <v>0</v>
      </c>
      <c r="K167" s="49">
        <f>_xlfn.XLOOKUP(C167,Tab_Def_Flows[Name(EN)],Tab_Def_Flows[DM?],,0,)</f>
        <v>0</v>
      </c>
      <c r="L167" s="49">
        <f>_xlfn.XLOOKUP(C167,Tab_Def_Flows[Name(EN)],Tab_Def_Flows[CC?],,0,)</f>
        <v>0</v>
      </c>
      <c r="M167" s="51"/>
      <c r="N167" s="51"/>
      <c r="O167" s="88"/>
      <c r="P167" s="51"/>
      <c r="Q167" s="51"/>
      <c r="R167" s="51"/>
      <c r="S167" s="69"/>
      <c r="T167" s="51"/>
      <c r="U167" s="51"/>
      <c r="V167" s="51"/>
      <c r="W167" s="51"/>
      <c r="X167" s="51"/>
      <c r="Y167" s="109"/>
      <c r="Z167" s="51"/>
      <c r="AA167" s="89">
        <f t="shared" si="34"/>
        <v>0</v>
      </c>
      <c r="AB167" s="51" t="s">
        <v>63</v>
      </c>
      <c r="AC167" s="114" t="e">
        <f>INDEX(Tab_Def_Flows[[Flow_ID]:[CC_DM_source]],MATCH(Tab_Data_Flows[[#This Row],[Name(EN)]],Tab_Def_Flows[Name(EN)],0),16)</f>
        <v>#N/A</v>
      </c>
      <c r="AD167" s="115" t="str">
        <f>IF(J167="Yes",AA167*Tab_Data_Flows[[#This Row],[WC_'[%']]],"N.A.")</f>
        <v>N.A.</v>
      </c>
      <c r="AE167" s="61" t="str">
        <f>Tab_Data_Flows[[#This Row],[UoM_Flow_Py]]</f>
        <v>Mg</v>
      </c>
      <c r="AF167" s="114" t="e">
        <f>INDEX(Tab_Def_Flows[[Flow_ID]:[CC_DM_source]],MATCH(Tab_Data_Flows[[#This Row],[Name(EN)]],Tab_Def_Flows[Name(EN)],0),18)</f>
        <v>#N/A</v>
      </c>
      <c r="AG167" s="115" t="str">
        <f>IF(K167="Yes",AF167*Tab_Data_Flows[[#This Row],[Flow_Py]],"N.A.")</f>
        <v>N.A.</v>
      </c>
      <c r="AH167" s="61" t="str">
        <f>Tab_Data_Flows[[#This Row],[UoM_Flow_Py]]</f>
        <v>Mg</v>
      </c>
      <c r="AI167" s="114" t="e">
        <f>INDEX(Tab_Def_Flows[[Flow_ID]:[CC_DM_source]],MATCH(Tab_Data_Flows[[#This Row],[Name(EN)]],Tab_Def_Flows[Name(EN)],0),20)</f>
        <v>#N/A</v>
      </c>
      <c r="AJ167" s="115" t="str">
        <f>IF(L167="Yes",AI167*Tab_Data_Flows[[#This Row],[Flow_Py]],"N.A.")</f>
        <v>N.A.</v>
      </c>
      <c r="AK167" s="61" t="str">
        <f>Tab_Data_Flows[[#This Row],[UoM_Flow_Py]]</f>
        <v>Mg</v>
      </c>
    </row>
    <row r="168" spans="1:37" x14ac:dyDescent="0.35">
      <c r="A168" s="60">
        <f t="shared" si="33"/>
        <v>167</v>
      </c>
      <c r="B168" s="49" t="str">
        <f>_xlfn.XLOOKUP(C168,Tab_Def_Flows[Name(EN)],Tab_Def_Flows[Flow_ID],,0,)</f>
        <v>F_21_21</v>
      </c>
      <c r="C168" s="51"/>
      <c r="D168" s="49">
        <f>_xlfn.XLOOKUP(C168,Tab_Def_Flows[Name(EN)],Tab_Def_Flows[Type_Biomass],,0,)</f>
        <v>0</v>
      </c>
      <c r="E168" s="49">
        <f>_xlfn.XLOOKUP(C168,Tab_Def_Flows[Name(EN)],Tab_Def_Flows[Output_Process],,0,)</f>
        <v>0</v>
      </c>
      <c r="F168" s="49" t="str">
        <f>_xlfn.XLOOKUP(C168,Tab_Def_Flows[Name(EN)],Tab_Def_Flows[Process_ID_O],,0,)</f>
        <v>21__</v>
      </c>
      <c r="G168" s="49">
        <f>_xlfn.XLOOKUP(C168,Tab_Def_Flows[Name(EN)],Tab_Def_Flows[Input_Process],,0,)</f>
        <v>0</v>
      </c>
      <c r="H168" s="61" t="str">
        <f>_xlfn.XLOOKUP(C168,Tab_Def_Flows[Name(EN)],Tab_Def_Flows[Process_ID_I],,0,)</f>
        <v>21__</v>
      </c>
      <c r="I168" s="49">
        <f>_xlfn.XLOOKUP(C168,Tab_Def_Flows[Name(EN)],Tab_Def_Flows[Value_Source],,0,)</f>
        <v>0</v>
      </c>
      <c r="J168" s="49">
        <f>_xlfn.XLOOKUP(C168,Tab_Def_Flows[Name(EN)],Tab_Def_Flows[WC?],,0,)</f>
        <v>0</v>
      </c>
      <c r="K168" s="49">
        <f>_xlfn.XLOOKUP(C168,Tab_Def_Flows[Name(EN)],Tab_Def_Flows[DM?],,0,)</f>
        <v>0</v>
      </c>
      <c r="L168" s="49">
        <f>_xlfn.XLOOKUP(C168,Tab_Def_Flows[Name(EN)],Tab_Def_Flows[CC?],,0,)</f>
        <v>0</v>
      </c>
      <c r="M168" s="51"/>
      <c r="N168" s="51"/>
      <c r="O168" s="88"/>
      <c r="P168" s="51"/>
      <c r="Q168" s="51"/>
      <c r="R168" s="51"/>
      <c r="S168" s="69"/>
      <c r="T168" s="51"/>
      <c r="U168" s="51"/>
      <c r="V168" s="51"/>
      <c r="W168" s="51"/>
      <c r="X168" s="51"/>
      <c r="Y168" s="109"/>
      <c r="Z168" s="51"/>
      <c r="AA168" s="89">
        <f t="shared" si="34"/>
        <v>0</v>
      </c>
      <c r="AB168" s="51" t="s">
        <v>63</v>
      </c>
      <c r="AC168" s="114" t="e">
        <f>INDEX(Tab_Def_Flows[[Flow_ID]:[CC_DM_source]],MATCH(Tab_Data_Flows[[#This Row],[Name(EN)]],Tab_Def_Flows[Name(EN)],0),16)</f>
        <v>#N/A</v>
      </c>
      <c r="AD168" s="115" t="str">
        <f>IF(J168="Yes",AA168*Tab_Data_Flows[[#This Row],[WC_'[%']]],"N.A.")</f>
        <v>N.A.</v>
      </c>
      <c r="AE168" s="61" t="str">
        <f>Tab_Data_Flows[[#This Row],[UoM_Flow_Py]]</f>
        <v>Mg</v>
      </c>
      <c r="AF168" s="114" t="e">
        <f>INDEX(Tab_Def_Flows[[Flow_ID]:[CC_DM_source]],MATCH(Tab_Data_Flows[[#This Row],[Name(EN)]],Tab_Def_Flows[Name(EN)],0),18)</f>
        <v>#N/A</v>
      </c>
      <c r="AG168" s="115" t="str">
        <f>IF(K168="Yes",AF168*Tab_Data_Flows[[#This Row],[Flow_Py]],"N.A.")</f>
        <v>N.A.</v>
      </c>
      <c r="AH168" s="61" t="str">
        <f>Tab_Data_Flows[[#This Row],[UoM_Flow_Py]]</f>
        <v>Mg</v>
      </c>
      <c r="AI168" s="114" t="e">
        <f>INDEX(Tab_Def_Flows[[Flow_ID]:[CC_DM_source]],MATCH(Tab_Data_Flows[[#This Row],[Name(EN)]],Tab_Def_Flows[Name(EN)],0),20)</f>
        <v>#N/A</v>
      </c>
      <c r="AJ168" s="115" t="str">
        <f>IF(L168="Yes",AI168*Tab_Data_Flows[[#This Row],[Flow_Py]],"N.A.")</f>
        <v>N.A.</v>
      </c>
      <c r="AK168" s="61" t="str">
        <f>Tab_Data_Flows[[#This Row],[UoM_Flow_Py]]</f>
        <v>Mg</v>
      </c>
    </row>
    <row r="169" spans="1:37" x14ac:dyDescent="0.35">
      <c r="A169" s="60">
        <f t="shared" si="33"/>
        <v>168</v>
      </c>
      <c r="B169" s="49" t="str">
        <f>_xlfn.XLOOKUP(C169,Tab_Def_Flows[Name(EN)],Tab_Def_Flows[Flow_ID],,0,)</f>
        <v>F_21_21</v>
      </c>
      <c r="C169" s="51"/>
      <c r="D169" s="49">
        <f>_xlfn.XLOOKUP(C169,Tab_Def_Flows[Name(EN)],Tab_Def_Flows[Type_Biomass],,0,)</f>
        <v>0</v>
      </c>
      <c r="E169" s="49">
        <f>_xlfn.XLOOKUP(C169,Tab_Def_Flows[Name(EN)],Tab_Def_Flows[Output_Process],,0,)</f>
        <v>0</v>
      </c>
      <c r="F169" s="49" t="str">
        <f>_xlfn.XLOOKUP(C169,Tab_Def_Flows[Name(EN)],Tab_Def_Flows[Process_ID_O],,0,)</f>
        <v>21__</v>
      </c>
      <c r="G169" s="49">
        <f>_xlfn.XLOOKUP(C169,Tab_Def_Flows[Name(EN)],Tab_Def_Flows[Input_Process],,0,)</f>
        <v>0</v>
      </c>
      <c r="H169" s="61" t="str">
        <f>_xlfn.XLOOKUP(C169,Tab_Def_Flows[Name(EN)],Tab_Def_Flows[Process_ID_I],,0,)</f>
        <v>21__</v>
      </c>
      <c r="I169" s="49">
        <f>_xlfn.XLOOKUP(C169,Tab_Def_Flows[Name(EN)],Tab_Def_Flows[Value_Source],,0,)</f>
        <v>0</v>
      </c>
      <c r="J169" s="49">
        <f>_xlfn.XLOOKUP(C169,Tab_Def_Flows[Name(EN)],Tab_Def_Flows[WC?],,0,)</f>
        <v>0</v>
      </c>
      <c r="K169" s="49">
        <f>_xlfn.XLOOKUP(C169,Tab_Def_Flows[Name(EN)],Tab_Def_Flows[DM?],,0,)</f>
        <v>0</v>
      </c>
      <c r="L169" s="49">
        <f>_xlfn.XLOOKUP(C169,Tab_Def_Flows[Name(EN)],Tab_Def_Flows[CC?],,0,)</f>
        <v>0</v>
      </c>
      <c r="M169" s="51"/>
      <c r="N169" s="51"/>
      <c r="O169" s="88"/>
      <c r="P169" s="51"/>
      <c r="Q169" s="51"/>
      <c r="R169" s="51"/>
      <c r="S169" s="69"/>
      <c r="T169" s="51"/>
      <c r="U169" s="51"/>
      <c r="V169" s="51"/>
      <c r="W169" s="51"/>
      <c r="X169" s="51"/>
      <c r="Y169" s="109"/>
      <c r="Z169" s="51"/>
      <c r="AA169" s="89">
        <f t="shared" si="34"/>
        <v>0</v>
      </c>
      <c r="AB169" s="51" t="s">
        <v>63</v>
      </c>
      <c r="AC169" s="114" t="e">
        <f>INDEX(Tab_Def_Flows[[Flow_ID]:[CC_DM_source]],MATCH(Tab_Data_Flows[[#This Row],[Name(EN)]],Tab_Def_Flows[Name(EN)],0),16)</f>
        <v>#N/A</v>
      </c>
      <c r="AD169" s="115" t="str">
        <f>IF(J169="Yes",AA169*Tab_Data_Flows[[#This Row],[WC_'[%']]],"N.A.")</f>
        <v>N.A.</v>
      </c>
      <c r="AE169" s="61" t="str">
        <f>Tab_Data_Flows[[#This Row],[UoM_Flow_Py]]</f>
        <v>Mg</v>
      </c>
      <c r="AF169" s="114" t="e">
        <f>INDEX(Tab_Def_Flows[[Flow_ID]:[CC_DM_source]],MATCH(Tab_Data_Flows[[#This Row],[Name(EN)]],Tab_Def_Flows[Name(EN)],0),18)</f>
        <v>#N/A</v>
      </c>
      <c r="AG169" s="115" t="str">
        <f>IF(K169="Yes",AF169*Tab_Data_Flows[[#This Row],[Flow_Py]],"N.A.")</f>
        <v>N.A.</v>
      </c>
      <c r="AH169" s="61" t="str">
        <f>Tab_Data_Flows[[#This Row],[UoM_Flow_Py]]</f>
        <v>Mg</v>
      </c>
      <c r="AI169" s="114" t="e">
        <f>INDEX(Tab_Def_Flows[[Flow_ID]:[CC_DM_source]],MATCH(Tab_Data_Flows[[#This Row],[Name(EN)]],Tab_Def_Flows[Name(EN)],0),20)</f>
        <v>#N/A</v>
      </c>
      <c r="AJ169" s="115" t="str">
        <f>IF(L169="Yes",AI169*Tab_Data_Flows[[#This Row],[Flow_Py]],"N.A.")</f>
        <v>N.A.</v>
      </c>
      <c r="AK169" s="61" t="str">
        <f>Tab_Data_Flows[[#This Row],[UoM_Flow_Py]]</f>
        <v>Mg</v>
      </c>
    </row>
    <row r="170" spans="1:37" x14ac:dyDescent="0.35">
      <c r="A170" s="60">
        <f t="shared" si="33"/>
        <v>169</v>
      </c>
      <c r="B170" s="49" t="str">
        <f>_xlfn.XLOOKUP(C170,Tab_Def_Flows[Name(EN)],Tab_Def_Flows[Flow_ID],,0,)</f>
        <v>F_21_21</v>
      </c>
      <c r="C170" s="51"/>
      <c r="D170" s="49">
        <f>_xlfn.XLOOKUP(C170,Tab_Def_Flows[Name(EN)],Tab_Def_Flows[Type_Biomass],,0,)</f>
        <v>0</v>
      </c>
      <c r="E170" s="49">
        <f>_xlfn.XLOOKUP(C170,Tab_Def_Flows[Name(EN)],Tab_Def_Flows[Output_Process],,0,)</f>
        <v>0</v>
      </c>
      <c r="F170" s="49" t="str">
        <f>_xlfn.XLOOKUP(C170,Tab_Def_Flows[Name(EN)],Tab_Def_Flows[Process_ID_O],,0,)</f>
        <v>21__</v>
      </c>
      <c r="G170" s="49">
        <f>_xlfn.XLOOKUP(C170,Tab_Def_Flows[Name(EN)],Tab_Def_Flows[Input_Process],,0,)</f>
        <v>0</v>
      </c>
      <c r="H170" s="61" t="str">
        <f>_xlfn.XLOOKUP(C170,Tab_Def_Flows[Name(EN)],Tab_Def_Flows[Process_ID_I],,0,)</f>
        <v>21__</v>
      </c>
      <c r="I170" s="49">
        <f>_xlfn.XLOOKUP(C170,Tab_Def_Flows[Name(EN)],Tab_Def_Flows[Value_Source],,0,)</f>
        <v>0</v>
      </c>
      <c r="J170" s="49">
        <f>_xlfn.XLOOKUP(C170,Tab_Def_Flows[Name(EN)],Tab_Def_Flows[WC?],,0,)</f>
        <v>0</v>
      </c>
      <c r="K170" s="49">
        <f>_xlfn.XLOOKUP(C170,Tab_Def_Flows[Name(EN)],Tab_Def_Flows[DM?],,0,)</f>
        <v>0</v>
      </c>
      <c r="L170" s="49">
        <f>_xlfn.XLOOKUP(C170,Tab_Def_Flows[Name(EN)],Tab_Def_Flows[CC?],,0,)</f>
        <v>0</v>
      </c>
      <c r="M170" s="51"/>
      <c r="N170" s="51"/>
      <c r="O170" s="88"/>
      <c r="P170" s="51"/>
      <c r="Q170" s="51"/>
      <c r="R170" s="51"/>
      <c r="S170" s="69"/>
      <c r="T170" s="51"/>
      <c r="U170" s="51"/>
      <c r="V170" s="51"/>
      <c r="W170" s="51"/>
      <c r="X170" s="51"/>
      <c r="Y170" s="109"/>
      <c r="Z170" s="51"/>
      <c r="AA170" s="89">
        <f t="shared" si="34"/>
        <v>0</v>
      </c>
      <c r="AB170" s="51" t="s">
        <v>63</v>
      </c>
      <c r="AC170" s="114" t="e">
        <f>INDEX(Tab_Def_Flows[[Flow_ID]:[CC_DM_source]],MATCH(Tab_Data_Flows[[#This Row],[Name(EN)]],Tab_Def_Flows[Name(EN)],0),16)</f>
        <v>#N/A</v>
      </c>
      <c r="AD170" s="115" t="str">
        <f>IF(J170="Yes",AA170*Tab_Data_Flows[[#This Row],[WC_'[%']]],"N.A.")</f>
        <v>N.A.</v>
      </c>
      <c r="AE170" s="61" t="str">
        <f>Tab_Data_Flows[[#This Row],[UoM_Flow_Py]]</f>
        <v>Mg</v>
      </c>
      <c r="AF170" s="114" t="e">
        <f>INDEX(Tab_Def_Flows[[Flow_ID]:[CC_DM_source]],MATCH(Tab_Data_Flows[[#This Row],[Name(EN)]],Tab_Def_Flows[Name(EN)],0),18)</f>
        <v>#N/A</v>
      </c>
      <c r="AG170" s="115" t="str">
        <f>IF(K170="Yes",AF170*Tab_Data_Flows[[#This Row],[Flow_Py]],"N.A.")</f>
        <v>N.A.</v>
      </c>
      <c r="AH170" s="61" t="str">
        <f>Tab_Data_Flows[[#This Row],[UoM_Flow_Py]]</f>
        <v>Mg</v>
      </c>
      <c r="AI170" s="114" t="e">
        <f>INDEX(Tab_Def_Flows[[Flow_ID]:[CC_DM_source]],MATCH(Tab_Data_Flows[[#This Row],[Name(EN)]],Tab_Def_Flows[Name(EN)],0),20)</f>
        <v>#N/A</v>
      </c>
      <c r="AJ170" s="115" t="str">
        <f>IF(L170="Yes",AI170*Tab_Data_Flows[[#This Row],[Flow_Py]],"N.A.")</f>
        <v>N.A.</v>
      </c>
      <c r="AK170" s="61" t="str">
        <f>Tab_Data_Flows[[#This Row],[UoM_Flow_Py]]</f>
        <v>Mg</v>
      </c>
    </row>
    <row r="171" spans="1:37" x14ac:dyDescent="0.35">
      <c r="A171" s="60">
        <f t="shared" si="33"/>
        <v>170</v>
      </c>
      <c r="B171" s="49" t="str">
        <f>_xlfn.XLOOKUP(C171,Tab_Def_Flows[Name(EN)],Tab_Def_Flows[Flow_ID],,0,)</f>
        <v>F_21_21</v>
      </c>
      <c r="C171" s="51"/>
      <c r="D171" s="49">
        <f>_xlfn.XLOOKUP(C171,Tab_Def_Flows[Name(EN)],Tab_Def_Flows[Type_Biomass],,0,)</f>
        <v>0</v>
      </c>
      <c r="E171" s="49">
        <f>_xlfn.XLOOKUP(C171,Tab_Def_Flows[Name(EN)],Tab_Def_Flows[Output_Process],,0,)</f>
        <v>0</v>
      </c>
      <c r="F171" s="49" t="str">
        <f>_xlfn.XLOOKUP(C171,Tab_Def_Flows[Name(EN)],Tab_Def_Flows[Process_ID_O],,0,)</f>
        <v>21__</v>
      </c>
      <c r="G171" s="49">
        <f>_xlfn.XLOOKUP(C171,Tab_Def_Flows[Name(EN)],Tab_Def_Flows[Input_Process],,0,)</f>
        <v>0</v>
      </c>
      <c r="H171" s="61" t="str">
        <f>_xlfn.XLOOKUP(C171,Tab_Def_Flows[Name(EN)],Tab_Def_Flows[Process_ID_I],,0,)</f>
        <v>21__</v>
      </c>
      <c r="I171" s="49">
        <f>_xlfn.XLOOKUP(C171,Tab_Def_Flows[Name(EN)],Tab_Def_Flows[Value_Source],,0,)</f>
        <v>0</v>
      </c>
      <c r="J171" s="49">
        <f>_xlfn.XLOOKUP(C171,Tab_Def_Flows[Name(EN)],Tab_Def_Flows[WC?],,0,)</f>
        <v>0</v>
      </c>
      <c r="K171" s="49">
        <f>_xlfn.XLOOKUP(C171,Tab_Def_Flows[Name(EN)],Tab_Def_Flows[DM?],,0,)</f>
        <v>0</v>
      </c>
      <c r="L171" s="49">
        <f>_xlfn.XLOOKUP(C171,Tab_Def_Flows[Name(EN)],Tab_Def_Flows[CC?],,0,)</f>
        <v>0</v>
      </c>
      <c r="M171" s="51"/>
      <c r="N171" s="51"/>
      <c r="O171" s="88"/>
      <c r="P171" s="51"/>
      <c r="Q171" s="51"/>
      <c r="R171" s="51"/>
      <c r="S171" s="69"/>
      <c r="T171" s="51"/>
      <c r="U171" s="51"/>
      <c r="V171" s="51"/>
      <c r="W171" s="51"/>
      <c r="X171" s="51"/>
      <c r="Y171" s="109"/>
      <c r="Z171" s="51"/>
      <c r="AA171" s="89">
        <f t="shared" si="34"/>
        <v>0</v>
      </c>
      <c r="AB171" s="51" t="s">
        <v>63</v>
      </c>
      <c r="AC171" s="114" t="e">
        <f>INDEX(Tab_Def_Flows[[Flow_ID]:[CC_DM_source]],MATCH(Tab_Data_Flows[[#This Row],[Name(EN)]],Tab_Def_Flows[Name(EN)],0),16)</f>
        <v>#N/A</v>
      </c>
      <c r="AD171" s="115" t="str">
        <f>IF(J171="Yes",AA171*Tab_Data_Flows[[#This Row],[WC_'[%']]],"N.A.")</f>
        <v>N.A.</v>
      </c>
      <c r="AE171" s="61" t="str">
        <f>Tab_Data_Flows[[#This Row],[UoM_Flow_Py]]</f>
        <v>Mg</v>
      </c>
      <c r="AF171" s="114" t="e">
        <f>INDEX(Tab_Def_Flows[[Flow_ID]:[CC_DM_source]],MATCH(Tab_Data_Flows[[#This Row],[Name(EN)]],Tab_Def_Flows[Name(EN)],0),18)</f>
        <v>#N/A</v>
      </c>
      <c r="AG171" s="115" t="str">
        <f>IF(K171="Yes",AF171*Tab_Data_Flows[[#This Row],[Flow_Py]],"N.A.")</f>
        <v>N.A.</v>
      </c>
      <c r="AH171" s="61" t="str">
        <f>Tab_Data_Flows[[#This Row],[UoM_Flow_Py]]</f>
        <v>Mg</v>
      </c>
      <c r="AI171" s="114" t="e">
        <f>INDEX(Tab_Def_Flows[[Flow_ID]:[CC_DM_source]],MATCH(Tab_Data_Flows[[#This Row],[Name(EN)]],Tab_Def_Flows[Name(EN)],0),20)</f>
        <v>#N/A</v>
      </c>
      <c r="AJ171" s="115" t="str">
        <f>IF(L171="Yes",AI171*Tab_Data_Flows[[#This Row],[Flow_Py]],"N.A.")</f>
        <v>N.A.</v>
      </c>
      <c r="AK171" s="61" t="str">
        <f>Tab_Data_Flows[[#This Row],[UoM_Flow_Py]]</f>
        <v>Mg</v>
      </c>
    </row>
    <row r="172" spans="1:37" x14ac:dyDescent="0.35">
      <c r="A172" s="60">
        <f t="shared" si="33"/>
        <v>171</v>
      </c>
      <c r="B172" s="49" t="str">
        <f>_xlfn.XLOOKUP(C172,Tab_Def_Flows[Name(EN)],Tab_Def_Flows[Flow_ID],,0,)</f>
        <v>F_21_21</v>
      </c>
      <c r="C172" s="51"/>
      <c r="D172" s="49">
        <f>_xlfn.XLOOKUP(C172,Tab_Def_Flows[Name(EN)],Tab_Def_Flows[Type_Biomass],,0,)</f>
        <v>0</v>
      </c>
      <c r="E172" s="49">
        <f>_xlfn.XLOOKUP(C172,Tab_Def_Flows[Name(EN)],Tab_Def_Flows[Output_Process],,0,)</f>
        <v>0</v>
      </c>
      <c r="F172" s="49" t="str">
        <f>_xlfn.XLOOKUP(C172,Tab_Def_Flows[Name(EN)],Tab_Def_Flows[Process_ID_O],,0,)</f>
        <v>21__</v>
      </c>
      <c r="G172" s="49">
        <f>_xlfn.XLOOKUP(C172,Tab_Def_Flows[Name(EN)],Tab_Def_Flows[Input_Process],,0,)</f>
        <v>0</v>
      </c>
      <c r="H172" s="61" t="str">
        <f>_xlfn.XLOOKUP(C172,Tab_Def_Flows[Name(EN)],Tab_Def_Flows[Process_ID_I],,0,)</f>
        <v>21__</v>
      </c>
      <c r="I172" s="49">
        <f>_xlfn.XLOOKUP(C172,Tab_Def_Flows[Name(EN)],Tab_Def_Flows[Value_Source],,0,)</f>
        <v>0</v>
      </c>
      <c r="J172" s="49">
        <f>_xlfn.XLOOKUP(C172,Tab_Def_Flows[Name(EN)],Tab_Def_Flows[WC?],,0,)</f>
        <v>0</v>
      </c>
      <c r="K172" s="49">
        <f>_xlfn.XLOOKUP(C172,Tab_Def_Flows[Name(EN)],Tab_Def_Flows[DM?],,0,)</f>
        <v>0</v>
      </c>
      <c r="L172" s="49">
        <f>_xlfn.XLOOKUP(C172,Tab_Def_Flows[Name(EN)],Tab_Def_Flows[CC?],,0,)</f>
        <v>0</v>
      </c>
      <c r="M172" s="51"/>
      <c r="N172" s="51"/>
      <c r="O172" s="88"/>
      <c r="P172" s="51"/>
      <c r="Q172" s="51"/>
      <c r="R172" s="51"/>
      <c r="S172" s="69"/>
      <c r="T172" s="51"/>
      <c r="U172" s="51"/>
      <c r="V172" s="51"/>
      <c r="W172" s="51"/>
      <c r="X172" s="51"/>
      <c r="Y172" s="109"/>
      <c r="Z172" s="51"/>
      <c r="AA172" s="89">
        <f t="shared" si="34"/>
        <v>0</v>
      </c>
      <c r="AB172" s="51" t="s">
        <v>63</v>
      </c>
      <c r="AC172" s="114" t="e">
        <f>INDEX(Tab_Def_Flows[[Flow_ID]:[CC_DM_source]],MATCH(Tab_Data_Flows[[#This Row],[Name(EN)]],Tab_Def_Flows[Name(EN)],0),16)</f>
        <v>#N/A</v>
      </c>
      <c r="AD172" s="115" t="str">
        <f>IF(J172="Yes",AA172*Tab_Data_Flows[[#This Row],[WC_'[%']]],"N.A.")</f>
        <v>N.A.</v>
      </c>
      <c r="AE172" s="61" t="str">
        <f>Tab_Data_Flows[[#This Row],[UoM_Flow_Py]]</f>
        <v>Mg</v>
      </c>
      <c r="AF172" s="114" t="e">
        <f>INDEX(Tab_Def_Flows[[Flow_ID]:[CC_DM_source]],MATCH(Tab_Data_Flows[[#This Row],[Name(EN)]],Tab_Def_Flows[Name(EN)],0),18)</f>
        <v>#N/A</v>
      </c>
      <c r="AG172" s="115" t="str">
        <f>IF(K172="Yes",AF172*Tab_Data_Flows[[#This Row],[Flow_Py]],"N.A.")</f>
        <v>N.A.</v>
      </c>
      <c r="AH172" s="61" t="str">
        <f>Tab_Data_Flows[[#This Row],[UoM_Flow_Py]]</f>
        <v>Mg</v>
      </c>
      <c r="AI172" s="114" t="e">
        <f>INDEX(Tab_Def_Flows[[Flow_ID]:[CC_DM_source]],MATCH(Tab_Data_Flows[[#This Row],[Name(EN)]],Tab_Def_Flows[Name(EN)],0),20)</f>
        <v>#N/A</v>
      </c>
      <c r="AJ172" s="115" t="str">
        <f>IF(L172="Yes",AI172*Tab_Data_Flows[[#This Row],[Flow_Py]],"N.A.")</f>
        <v>N.A.</v>
      </c>
      <c r="AK172" s="61" t="str">
        <f>Tab_Data_Flows[[#This Row],[UoM_Flow_Py]]</f>
        <v>Mg</v>
      </c>
    </row>
    <row r="173" spans="1:37" x14ac:dyDescent="0.35">
      <c r="A173" s="60">
        <f t="shared" si="33"/>
        <v>172</v>
      </c>
      <c r="B173" s="49" t="str">
        <f>_xlfn.XLOOKUP(C173,Tab_Def_Flows[Name(EN)],Tab_Def_Flows[Flow_ID],,0,)</f>
        <v>F_21_21</v>
      </c>
      <c r="C173" s="51"/>
      <c r="D173" s="49">
        <f>_xlfn.XLOOKUP(C173,Tab_Def_Flows[Name(EN)],Tab_Def_Flows[Type_Biomass],,0,)</f>
        <v>0</v>
      </c>
      <c r="E173" s="49">
        <f>_xlfn.XLOOKUP(C173,Tab_Def_Flows[Name(EN)],Tab_Def_Flows[Output_Process],,0,)</f>
        <v>0</v>
      </c>
      <c r="F173" s="49" t="str">
        <f>_xlfn.XLOOKUP(C173,Tab_Def_Flows[Name(EN)],Tab_Def_Flows[Process_ID_O],,0,)</f>
        <v>21__</v>
      </c>
      <c r="G173" s="49">
        <f>_xlfn.XLOOKUP(C173,Tab_Def_Flows[Name(EN)],Tab_Def_Flows[Input_Process],,0,)</f>
        <v>0</v>
      </c>
      <c r="H173" s="61" t="str">
        <f>_xlfn.XLOOKUP(C173,Tab_Def_Flows[Name(EN)],Tab_Def_Flows[Process_ID_I],,0,)</f>
        <v>21__</v>
      </c>
      <c r="I173" s="49">
        <f>_xlfn.XLOOKUP(C173,Tab_Def_Flows[Name(EN)],Tab_Def_Flows[Value_Source],,0,)</f>
        <v>0</v>
      </c>
      <c r="J173" s="49">
        <f>_xlfn.XLOOKUP(C173,Tab_Def_Flows[Name(EN)],Tab_Def_Flows[WC?],,0,)</f>
        <v>0</v>
      </c>
      <c r="K173" s="49">
        <f>_xlfn.XLOOKUP(C173,Tab_Def_Flows[Name(EN)],Tab_Def_Flows[DM?],,0,)</f>
        <v>0</v>
      </c>
      <c r="L173" s="49">
        <f>_xlfn.XLOOKUP(C173,Tab_Def_Flows[Name(EN)],Tab_Def_Flows[CC?],,0,)</f>
        <v>0</v>
      </c>
      <c r="M173" s="51"/>
      <c r="N173" s="51"/>
      <c r="O173" s="88"/>
      <c r="P173" s="51"/>
      <c r="Q173" s="51"/>
      <c r="R173" s="51"/>
      <c r="S173" s="69"/>
      <c r="T173" s="51"/>
      <c r="U173" s="51"/>
      <c r="V173" s="51"/>
      <c r="W173" s="51"/>
      <c r="X173" s="51"/>
      <c r="Y173" s="109"/>
      <c r="Z173" s="51"/>
      <c r="AA173" s="89">
        <f t="shared" si="34"/>
        <v>0</v>
      </c>
      <c r="AB173" s="51" t="s">
        <v>63</v>
      </c>
      <c r="AC173" s="114" t="e">
        <f>INDEX(Tab_Def_Flows[[Flow_ID]:[CC_DM_source]],MATCH(Tab_Data_Flows[[#This Row],[Name(EN)]],Tab_Def_Flows[Name(EN)],0),16)</f>
        <v>#N/A</v>
      </c>
      <c r="AD173" s="115" t="str">
        <f>IF(J173="Yes",AA173*Tab_Data_Flows[[#This Row],[WC_'[%']]],"N.A.")</f>
        <v>N.A.</v>
      </c>
      <c r="AE173" s="61" t="str">
        <f>Tab_Data_Flows[[#This Row],[UoM_Flow_Py]]</f>
        <v>Mg</v>
      </c>
      <c r="AF173" s="114" t="e">
        <f>INDEX(Tab_Def_Flows[[Flow_ID]:[CC_DM_source]],MATCH(Tab_Data_Flows[[#This Row],[Name(EN)]],Tab_Def_Flows[Name(EN)],0),18)</f>
        <v>#N/A</v>
      </c>
      <c r="AG173" s="115" t="str">
        <f>IF(K173="Yes",AF173*Tab_Data_Flows[[#This Row],[Flow_Py]],"N.A.")</f>
        <v>N.A.</v>
      </c>
      <c r="AH173" s="61" t="str">
        <f>Tab_Data_Flows[[#This Row],[UoM_Flow_Py]]</f>
        <v>Mg</v>
      </c>
      <c r="AI173" s="114" t="e">
        <f>INDEX(Tab_Def_Flows[[Flow_ID]:[CC_DM_source]],MATCH(Tab_Data_Flows[[#This Row],[Name(EN)]],Tab_Def_Flows[Name(EN)],0),20)</f>
        <v>#N/A</v>
      </c>
      <c r="AJ173" s="115" t="str">
        <f>IF(L173="Yes",AI173*Tab_Data_Flows[[#This Row],[Flow_Py]],"N.A.")</f>
        <v>N.A.</v>
      </c>
      <c r="AK173" s="61" t="str">
        <f>Tab_Data_Flows[[#This Row],[UoM_Flow_Py]]</f>
        <v>Mg</v>
      </c>
    </row>
    <row r="174" spans="1:37" x14ac:dyDescent="0.35">
      <c r="A174" s="60">
        <f t="shared" si="33"/>
        <v>173</v>
      </c>
      <c r="B174" s="49" t="str">
        <f>_xlfn.XLOOKUP(C174,Tab_Def_Flows[Name(EN)],Tab_Def_Flows[Flow_ID],,0,)</f>
        <v>F_21_21</v>
      </c>
      <c r="C174" s="51"/>
      <c r="D174" s="49">
        <f>_xlfn.XLOOKUP(C174,Tab_Def_Flows[Name(EN)],Tab_Def_Flows[Type_Biomass],,0,)</f>
        <v>0</v>
      </c>
      <c r="E174" s="49">
        <f>_xlfn.XLOOKUP(C174,Tab_Def_Flows[Name(EN)],Tab_Def_Flows[Output_Process],,0,)</f>
        <v>0</v>
      </c>
      <c r="F174" s="49" t="str">
        <f>_xlfn.XLOOKUP(C174,Tab_Def_Flows[Name(EN)],Tab_Def_Flows[Process_ID_O],,0,)</f>
        <v>21__</v>
      </c>
      <c r="G174" s="49">
        <f>_xlfn.XLOOKUP(C174,Tab_Def_Flows[Name(EN)],Tab_Def_Flows[Input_Process],,0,)</f>
        <v>0</v>
      </c>
      <c r="H174" s="61" t="str">
        <f>_xlfn.XLOOKUP(C174,Tab_Def_Flows[Name(EN)],Tab_Def_Flows[Process_ID_I],,0,)</f>
        <v>21__</v>
      </c>
      <c r="I174" s="49">
        <f>_xlfn.XLOOKUP(C174,Tab_Def_Flows[Name(EN)],Tab_Def_Flows[Value_Source],,0,)</f>
        <v>0</v>
      </c>
      <c r="J174" s="49">
        <f>_xlfn.XLOOKUP(C174,Tab_Def_Flows[Name(EN)],Tab_Def_Flows[WC?],,0,)</f>
        <v>0</v>
      </c>
      <c r="K174" s="49">
        <f>_xlfn.XLOOKUP(C174,Tab_Def_Flows[Name(EN)],Tab_Def_Flows[DM?],,0,)</f>
        <v>0</v>
      </c>
      <c r="L174" s="49">
        <f>_xlfn.XLOOKUP(C174,Tab_Def_Flows[Name(EN)],Tab_Def_Flows[CC?],,0,)</f>
        <v>0</v>
      </c>
      <c r="M174" s="51"/>
      <c r="N174" s="51"/>
      <c r="O174" s="88"/>
      <c r="P174" s="51"/>
      <c r="Q174" s="51"/>
      <c r="R174" s="51"/>
      <c r="S174" s="69"/>
      <c r="T174" s="51"/>
      <c r="U174" s="51"/>
      <c r="V174" s="51"/>
      <c r="W174" s="51"/>
      <c r="X174" s="51"/>
      <c r="Y174" s="109"/>
      <c r="Z174" s="51"/>
      <c r="AA174" s="89">
        <f t="shared" si="34"/>
        <v>0</v>
      </c>
      <c r="AB174" s="51" t="s">
        <v>63</v>
      </c>
      <c r="AC174" s="114" t="e">
        <f>INDEX(Tab_Def_Flows[[Flow_ID]:[CC_DM_source]],MATCH(Tab_Data_Flows[[#This Row],[Name(EN)]],Tab_Def_Flows[Name(EN)],0),16)</f>
        <v>#N/A</v>
      </c>
      <c r="AD174" s="115" t="str">
        <f>IF(J174="Yes",AA174*Tab_Data_Flows[[#This Row],[WC_'[%']]],"N.A.")</f>
        <v>N.A.</v>
      </c>
      <c r="AE174" s="61" t="str">
        <f>Tab_Data_Flows[[#This Row],[UoM_Flow_Py]]</f>
        <v>Mg</v>
      </c>
      <c r="AF174" s="114" t="e">
        <f>INDEX(Tab_Def_Flows[[Flow_ID]:[CC_DM_source]],MATCH(Tab_Data_Flows[[#This Row],[Name(EN)]],Tab_Def_Flows[Name(EN)],0),18)</f>
        <v>#N/A</v>
      </c>
      <c r="AG174" s="115" t="str">
        <f>IF(K174="Yes",AF174*Tab_Data_Flows[[#This Row],[Flow_Py]],"N.A.")</f>
        <v>N.A.</v>
      </c>
      <c r="AH174" s="61" t="str">
        <f>Tab_Data_Flows[[#This Row],[UoM_Flow_Py]]</f>
        <v>Mg</v>
      </c>
      <c r="AI174" s="114" t="e">
        <f>INDEX(Tab_Def_Flows[[Flow_ID]:[CC_DM_source]],MATCH(Tab_Data_Flows[[#This Row],[Name(EN)]],Tab_Def_Flows[Name(EN)],0),20)</f>
        <v>#N/A</v>
      </c>
      <c r="AJ174" s="115" t="str">
        <f>IF(L174="Yes",AI174*Tab_Data_Flows[[#This Row],[Flow_Py]],"N.A.")</f>
        <v>N.A.</v>
      </c>
      <c r="AK174" s="61" t="str">
        <f>Tab_Data_Flows[[#This Row],[UoM_Flow_Py]]</f>
        <v>Mg</v>
      </c>
    </row>
    <row r="175" spans="1:37" x14ac:dyDescent="0.35">
      <c r="A175" s="60">
        <f t="shared" si="33"/>
        <v>174</v>
      </c>
      <c r="B175" s="49" t="str">
        <f>_xlfn.XLOOKUP(C175,Tab_Def_Flows[Name(EN)],Tab_Def_Flows[Flow_ID],,0,)</f>
        <v>F_21_21</v>
      </c>
      <c r="C175" s="51"/>
      <c r="D175" s="49">
        <f>_xlfn.XLOOKUP(C175,Tab_Def_Flows[Name(EN)],Tab_Def_Flows[Type_Biomass],,0,)</f>
        <v>0</v>
      </c>
      <c r="E175" s="49">
        <f>_xlfn.XLOOKUP(C175,Tab_Def_Flows[Name(EN)],Tab_Def_Flows[Output_Process],,0,)</f>
        <v>0</v>
      </c>
      <c r="F175" s="49" t="str">
        <f>_xlfn.XLOOKUP(C175,Tab_Def_Flows[Name(EN)],Tab_Def_Flows[Process_ID_O],,0,)</f>
        <v>21__</v>
      </c>
      <c r="G175" s="49">
        <f>_xlfn.XLOOKUP(C175,Tab_Def_Flows[Name(EN)],Tab_Def_Flows[Input_Process],,0,)</f>
        <v>0</v>
      </c>
      <c r="H175" s="61" t="str">
        <f>_xlfn.XLOOKUP(C175,Tab_Def_Flows[Name(EN)],Tab_Def_Flows[Process_ID_I],,0,)</f>
        <v>21__</v>
      </c>
      <c r="I175" s="49">
        <f>_xlfn.XLOOKUP(C175,Tab_Def_Flows[Name(EN)],Tab_Def_Flows[Value_Source],,0,)</f>
        <v>0</v>
      </c>
      <c r="J175" s="49">
        <f>_xlfn.XLOOKUP(C175,Tab_Def_Flows[Name(EN)],Tab_Def_Flows[WC?],,0,)</f>
        <v>0</v>
      </c>
      <c r="K175" s="49">
        <f>_xlfn.XLOOKUP(C175,Tab_Def_Flows[Name(EN)],Tab_Def_Flows[DM?],,0,)</f>
        <v>0</v>
      </c>
      <c r="L175" s="49">
        <f>_xlfn.XLOOKUP(C175,Tab_Def_Flows[Name(EN)],Tab_Def_Flows[CC?],,0,)</f>
        <v>0</v>
      </c>
      <c r="M175" s="51"/>
      <c r="N175" s="51"/>
      <c r="O175" s="88"/>
      <c r="P175" s="51"/>
      <c r="Q175" s="51"/>
      <c r="R175" s="51"/>
      <c r="S175" s="69"/>
      <c r="T175" s="51"/>
      <c r="U175" s="51"/>
      <c r="V175" s="51"/>
      <c r="W175" s="51"/>
      <c r="X175" s="51"/>
      <c r="Y175" s="109"/>
      <c r="Z175" s="51"/>
      <c r="AA175" s="89">
        <f t="shared" si="34"/>
        <v>0</v>
      </c>
      <c r="AB175" s="51" t="s">
        <v>63</v>
      </c>
      <c r="AC175" s="114" t="e">
        <f>INDEX(Tab_Def_Flows[[Flow_ID]:[CC_DM_source]],MATCH(Tab_Data_Flows[[#This Row],[Name(EN)]],Tab_Def_Flows[Name(EN)],0),16)</f>
        <v>#N/A</v>
      </c>
      <c r="AD175" s="115" t="str">
        <f>IF(J175="Yes",AA175*Tab_Data_Flows[[#This Row],[WC_'[%']]],"N.A.")</f>
        <v>N.A.</v>
      </c>
      <c r="AE175" s="61" t="str">
        <f>Tab_Data_Flows[[#This Row],[UoM_Flow_Py]]</f>
        <v>Mg</v>
      </c>
      <c r="AF175" s="114" t="e">
        <f>INDEX(Tab_Def_Flows[[Flow_ID]:[CC_DM_source]],MATCH(Tab_Data_Flows[[#This Row],[Name(EN)]],Tab_Def_Flows[Name(EN)],0),18)</f>
        <v>#N/A</v>
      </c>
      <c r="AG175" s="115" t="str">
        <f>IF(K175="Yes",AF175*Tab_Data_Flows[[#This Row],[Flow_Py]],"N.A.")</f>
        <v>N.A.</v>
      </c>
      <c r="AH175" s="61" t="str">
        <f>Tab_Data_Flows[[#This Row],[UoM_Flow_Py]]</f>
        <v>Mg</v>
      </c>
      <c r="AI175" s="114" t="e">
        <f>INDEX(Tab_Def_Flows[[Flow_ID]:[CC_DM_source]],MATCH(Tab_Data_Flows[[#This Row],[Name(EN)]],Tab_Def_Flows[Name(EN)],0),20)</f>
        <v>#N/A</v>
      </c>
      <c r="AJ175" s="115" t="str">
        <f>IF(L175="Yes",AI175*Tab_Data_Flows[[#This Row],[Flow_Py]],"N.A.")</f>
        <v>N.A.</v>
      </c>
      <c r="AK175" s="61" t="str">
        <f>Tab_Data_Flows[[#This Row],[UoM_Flow_Py]]</f>
        <v>Mg</v>
      </c>
    </row>
    <row r="176" spans="1:37" x14ac:dyDescent="0.35">
      <c r="A176" s="60">
        <f t="shared" si="33"/>
        <v>175</v>
      </c>
      <c r="B176" s="49" t="str">
        <f>_xlfn.XLOOKUP(C176,Tab_Def_Flows[Name(EN)],Tab_Def_Flows[Flow_ID],,0,)</f>
        <v>F_21_21</v>
      </c>
      <c r="C176" s="51"/>
      <c r="D176" s="49">
        <f>_xlfn.XLOOKUP(C176,Tab_Def_Flows[Name(EN)],Tab_Def_Flows[Type_Biomass],,0,)</f>
        <v>0</v>
      </c>
      <c r="E176" s="49">
        <f>_xlfn.XLOOKUP(C176,Tab_Def_Flows[Name(EN)],Tab_Def_Flows[Output_Process],,0,)</f>
        <v>0</v>
      </c>
      <c r="F176" s="49" t="str">
        <f>_xlfn.XLOOKUP(C176,Tab_Def_Flows[Name(EN)],Tab_Def_Flows[Process_ID_O],,0,)</f>
        <v>21__</v>
      </c>
      <c r="G176" s="49">
        <f>_xlfn.XLOOKUP(C176,Tab_Def_Flows[Name(EN)],Tab_Def_Flows[Input_Process],,0,)</f>
        <v>0</v>
      </c>
      <c r="H176" s="61" t="str">
        <f>_xlfn.XLOOKUP(C176,Tab_Def_Flows[Name(EN)],Tab_Def_Flows[Process_ID_I],,0,)</f>
        <v>21__</v>
      </c>
      <c r="I176" s="49">
        <f>_xlfn.XLOOKUP(C176,Tab_Def_Flows[Name(EN)],Tab_Def_Flows[Value_Source],,0,)</f>
        <v>0</v>
      </c>
      <c r="J176" s="49">
        <f>_xlfn.XLOOKUP(C176,Tab_Def_Flows[Name(EN)],Tab_Def_Flows[WC?],,0,)</f>
        <v>0</v>
      </c>
      <c r="K176" s="49">
        <f>_xlfn.XLOOKUP(C176,Tab_Def_Flows[Name(EN)],Tab_Def_Flows[DM?],,0,)</f>
        <v>0</v>
      </c>
      <c r="L176" s="49">
        <f>_xlfn.XLOOKUP(C176,Tab_Def_Flows[Name(EN)],Tab_Def_Flows[CC?],,0,)</f>
        <v>0</v>
      </c>
      <c r="M176" s="51"/>
      <c r="N176" s="51"/>
      <c r="O176" s="88"/>
      <c r="P176" s="51"/>
      <c r="Q176" s="51"/>
      <c r="R176" s="51"/>
      <c r="S176" s="69"/>
      <c r="T176" s="51"/>
      <c r="U176" s="51"/>
      <c r="V176" s="51"/>
      <c r="W176" s="51"/>
      <c r="X176" s="51"/>
      <c r="Y176" s="109"/>
      <c r="Z176" s="51"/>
      <c r="AA176" s="89">
        <f t="shared" si="34"/>
        <v>0</v>
      </c>
      <c r="AB176" s="51" t="s">
        <v>63</v>
      </c>
      <c r="AC176" s="114" t="e">
        <f>INDEX(Tab_Def_Flows[[Flow_ID]:[CC_DM_source]],MATCH(Tab_Data_Flows[[#This Row],[Name(EN)]],Tab_Def_Flows[Name(EN)],0),16)</f>
        <v>#N/A</v>
      </c>
      <c r="AD176" s="115" t="str">
        <f>IF(J176="Yes",AA176*Tab_Data_Flows[[#This Row],[WC_'[%']]],"N.A.")</f>
        <v>N.A.</v>
      </c>
      <c r="AE176" s="61" t="str">
        <f>Tab_Data_Flows[[#This Row],[UoM_Flow_Py]]</f>
        <v>Mg</v>
      </c>
      <c r="AF176" s="114" t="e">
        <f>INDEX(Tab_Def_Flows[[Flow_ID]:[CC_DM_source]],MATCH(Tab_Data_Flows[[#This Row],[Name(EN)]],Tab_Def_Flows[Name(EN)],0),18)</f>
        <v>#N/A</v>
      </c>
      <c r="AG176" s="115" t="str">
        <f>IF(K176="Yes",AF176*Tab_Data_Flows[[#This Row],[Flow_Py]],"N.A.")</f>
        <v>N.A.</v>
      </c>
      <c r="AH176" s="61" t="str">
        <f>Tab_Data_Flows[[#This Row],[UoM_Flow_Py]]</f>
        <v>Mg</v>
      </c>
      <c r="AI176" s="114" t="e">
        <f>INDEX(Tab_Def_Flows[[Flow_ID]:[CC_DM_source]],MATCH(Tab_Data_Flows[[#This Row],[Name(EN)]],Tab_Def_Flows[Name(EN)],0),20)</f>
        <v>#N/A</v>
      </c>
      <c r="AJ176" s="115" t="str">
        <f>IF(L176="Yes",AI176*Tab_Data_Flows[[#This Row],[Flow_Py]],"N.A.")</f>
        <v>N.A.</v>
      </c>
      <c r="AK176" s="61" t="str">
        <f>Tab_Data_Flows[[#This Row],[UoM_Flow_Py]]</f>
        <v>Mg</v>
      </c>
    </row>
    <row r="177" spans="1:37" x14ac:dyDescent="0.35">
      <c r="A177" s="60">
        <f t="shared" si="33"/>
        <v>176</v>
      </c>
      <c r="B177" s="49" t="str">
        <f>_xlfn.XLOOKUP(C177,Tab_Def_Flows[Name(EN)],Tab_Def_Flows[Flow_ID],,0,)</f>
        <v>F_21_21</v>
      </c>
      <c r="C177" s="51"/>
      <c r="D177" s="49">
        <f>_xlfn.XLOOKUP(C177,Tab_Def_Flows[Name(EN)],Tab_Def_Flows[Type_Biomass],,0,)</f>
        <v>0</v>
      </c>
      <c r="E177" s="49">
        <f>_xlfn.XLOOKUP(C177,Tab_Def_Flows[Name(EN)],Tab_Def_Flows[Output_Process],,0,)</f>
        <v>0</v>
      </c>
      <c r="F177" s="49" t="str">
        <f>_xlfn.XLOOKUP(C177,Tab_Def_Flows[Name(EN)],Tab_Def_Flows[Process_ID_O],,0,)</f>
        <v>21__</v>
      </c>
      <c r="G177" s="49">
        <f>_xlfn.XLOOKUP(C177,Tab_Def_Flows[Name(EN)],Tab_Def_Flows[Input_Process],,0,)</f>
        <v>0</v>
      </c>
      <c r="H177" s="61" t="str">
        <f>_xlfn.XLOOKUP(C177,Tab_Def_Flows[Name(EN)],Tab_Def_Flows[Process_ID_I],,0,)</f>
        <v>21__</v>
      </c>
      <c r="I177" s="49">
        <f>_xlfn.XLOOKUP(C177,Tab_Def_Flows[Name(EN)],Tab_Def_Flows[Value_Source],,0,)</f>
        <v>0</v>
      </c>
      <c r="J177" s="49">
        <f>_xlfn.XLOOKUP(C177,Tab_Def_Flows[Name(EN)],Tab_Def_Flows[WC?],,0,)</f>
        <v>0</v>
      </c>
      <c r="K177" s="49">
        <f>_xlfn.XLOOKUP(C177,Tab_Def_Flows[Name(EN)],Tab_Def_Flows[DM?],,0,)</f>
        <v>0</v>
      </c>
      <c r="L177" s="49">
        <f>_xlfn.XLOOKUP(C177,Tab_Def_Flows[Name(EN)],Tab_Def_Flows[CC?],,0,)</f>
        <v>0</v>
      </c>
      <c r="M177" s="51"/>
      <c r="N177" s="51"/>
      <c r="O177" s="88"/>
      <c r="P177" s="51"/>
      <c r="Q177" s="51"/>
      <c r="R177" s="51"/>
      <c r="S177" s="69"/>
      <c r="T177" s="51"/>
      <c r="U177" s="51"/>
      <c r="V177" s="51"/>
      <c r="W177" s="51"/>
      <c r="X177" s="51"/>
      <c r="Y177" s="109"/>
      <c r="Z177" s="51"/>
      <c r="AA177" s="89">
        <f t="shared" si="34"/>
        <v>0</v>
      </c>
      <c r="AB177" s="51" t="s">
        <v>63</v>
      </c>
      <c r="AC177" s="114" t="e">
        <f>INDEX(Tab_Def_Flows[[Flow_ID]:[CC_DM_source]],MATCH(Tab_Data_Flows[[#This Row],[Name(EN)]],Tab_Def_Flows[Name(EN)],0),16)</f>
        <v>#N/A</v>
      </c>
      <c r="AD177" s="115" t="str">
        <f>IF(J177="Yes",AA177*Tab_Data_Flows[[#This Row],[WC_'[%']]],"N.A.")</f>
        <v>N.A.</v>
      </c>
      <c r="AE177" s="61" t="str">
        <f>Tab_Data_Flows[[#This Row],[UoM_Flow_Py]]</f>
        <v>Mg</v>
      </c>
      <c r="AF177" s="114" t="e">
        <f>INDEX(Tab_Def_Flows[[Flow_ID]:[CC_DM_source]],MATCH(Tab_Data_Flows[[#This Row],[Name(EN)]],Tab_Def_Flows[Name(EN)],0),18)</f>
        <v>#N/A</v>
      </c>
      <c r="AG177" s="115" t="str">
        <f>IF(K177="Yes",AF177*Tab_Data_Flows[[#This Row],[Flow_Py]],"N.A.")</f>
        <v>N.A.</v>
      </c>
      <c r="AH177" s="61" t="str">
        <f>Tab_Data_Flows[[#This Row],[UoM_Flow_Py]]</f>
        <v>Mg</v>
      </c>
      <c r="AI177" s="114" t="e">
        <f>INDEX(Tab_Def_Flows[[Flow_ID]:[CC_DM_source]],MATCH(Tab_Data_Flows[[#This Row],[Name(EN)]],Tab_Def_Flows[Name(EN)],0),20)</f>
        <v>#N/A</v>
      </c>
      <c r="AJ177" s="115" t="str">
        <f>IF(L177="Yes",AI177*Tab_Data_Flows[[#This Row],[Flow_Py]],"N.A.")</f>
        <v>N.A.</v>
      </c>
      <c r="AK177" s="61" t="str">
        <f>Tab_Data_Flows[[#This Row],[UoM_Flow_Py]]</f>
        <v>Mg</v>
      </c>
    </row>
    <row r="178" spans="1:37" x14ac:dyDescent="0.35">
      <c r="A178" s="60">
        <f t="shared" si="33"/>
        <v>177</v>
      </c>
      <c r="B178" s="49" t="str">
        <f>_xlfn.XLOOKUP(C178,Tab_Def_Flows[Name(EN)],Tab_Def_Flows[Flow_ID],,0,)</f>
        <v>F_21_21</v>
      </c>
      <c r="C178" s="51"/>
      <c r="D178" s="49">
        <f>_xlfn.XLOOKUP(C178,Tab_Def_Flows[Name(EN)],Tab_Def_Flows[Type_Biomass],,0,)</f>
        <v>0</v>
      </c>
      <c r="E178" s="49">
        <f>_xlfn.XLOOKUP(C178,Tab_Def_Flows[Name(EN)],Tab_Def_Flows[Output_Process],,0,)</f>
        <v>0</v>
      </c>
      <c r="F178" s="49" t="str">
        <f>_xlfn.XLOOKUP(C178,Tab_Def_Flows[Name(EN)],Tab_Def_Flows[Process_ID_O],,0,)</f>
        <v>21__</v>
      </c>
      <c r="G178" s="49">
        <f>_xlfn.XLOOKUP(C178,Tab_Def_Flows[Name(EN)],Tab_Def_Flows[Input_Process],,0,)</f>
        <v>0</v>
      </c>
      <c r="H178" s="61" t="str">
        <f>_xlfn.XLOOKUP(C178,Tab_Def_Flows[Name(EN)],Tab_Def_Flows[Process_ID_I],,0,)</f>
        <v>21__</v>
      </c>
      <c r="I178" s="49">
        <f>_xlfn.XLOOKUP(C178,Tab_Def_Flows[Name(EN)],Tab_Def_Flows[Value_Source],,0,)</f>
        <v>0</v>
      </c>
      <c r="J178" s="49">
        <f>_xlfn.XLOOKUP(C178,Tab_Def_Flows[Name(EN)],Tab_Def_Flows[WC?],,0,)</f>
        <v>0</v>
      </c>
      <c r="K178" s="49">
        <f>_xlfn.XLOOKUP(C178,Tab_Def_Flows[Name(EN)],Tab_Def_Flows[DM?],,0,)</f>
        <v>0</v>
      </c>
      <c r="L178" s="49">
        <f>_xlfn.XLOOKUP(C178,Tab_Def_Flows[Name(EN)],Tab_Def_Flows[CC?],,0,)</f>
        <v>0</v>
      </c>
      <c r="M178" s="51"/>
      <c r="N178" s="51"/>
      <c r="O178" s="88"/>
      <c r="P178" s="51"/>
      <c r="Q178" s="51"/>
      <c r="R178" s="51"/>
      <c r="S178" s="69"/>
      <c r="T178" s="51"/>
      <c r="U178" s="51"/>
      <c r="V178" s="51"/>
      <c r="W178" s="51"/>
      <c r="X178" s="51"/>
      <c r="Y178" s="109"/>
      <c r="Z178" s="51"/>
      <c r="AA178" s="89">
        <f t="shared" si="34"/>
        <v>0</v>
      </c>
      <c r="AB178" s="51" t="s">
        <v>63</v>
      </c>
      <c r="AC178" s="114" t="e">
        <f>INDEX(Tab_Def_Flows[[Flow_ID]:[CC_DM_source]],MATCH(Tab_Data_Flows[[#This Row],[Name(EN)]],Tab_Def_Flows[Name(EN)],0),16)</f>
        <v>#N/A</v>
      </c>
      <c r="AD178" s="115" t="str">
        <f>IF(J178="Yes",AA178*Tab_Data_Flows[[#This Row],[WC_'[%']]],"N.A.")</f>
        <v>N.A.</v>
      </c>
      <c r="AE178" s="61" t="str">
        <f>Tab_Data_Flows[[#This Row],[UoM_Flow_Py]]</f>
        <v>Mg</v>
      </c>
      <c r="AF178" s="114" t="e">
        <f>INDEX(Tab_Def_Flows[[Flow_ID]:[CC_DM_source]],MATCH(Tab_Data_Flows[[#This Row],[Name(EN)]],Tab_Def_Flows[Name(EN)],0),18)</f>
        <v>#N/A</v>
      </c>
      <c r="AG178" s="115" t="str">
        <f>IF(K178="Yes",AF178*Tab_Data_Flows[[#This Row],[Flow_Py]],"N.A.")</f>
        <v>N.A.</v>
      </c>
      <c r="AH178" s="61" t="str">
        <f>Tab_Data_Flows[[#This Row],[UoM_Flow_Py]]</f>
        <v>Mg</v>
      </c>
      <c r="AI178" s="114" t="e">
        <f>INDEX(Tab_Def_Flows[[Flow_ID]:[CC_DM_source]],MATCH(Tab_Data_Flows[[#This Row],[Name(EN)]],Tab_Def_Flows[Name(EN)],0),20)</f>
        <v>#N/A</v>
      </c>
      <c r="AJ178" s="115" t="str">
        <f>IF(L178="Yes",AI178*Tab_Data_Flows[[#This Row],[Flow_Py]],"N.A.")</f>
        <v>N.A.</v>
      </c>
      <c r="AK178" s="61" t="str">
        <f>Tab_Data_Flows[[#This Row],[UoM_Flow_Py]]</f>
        <v>Mg</v>
      </c>
    </row>
    <row r="179" spans="1:37" x14ac:dyDescent="0.35">
      <c r="A179" s="60">
        <f t="shared" si="33"/>
        <v>178</v>
      </c>
      <c r="B179" s="49" t="str">
        <f>_xlfn.XLOOKUP(C179,Tab_Def_Flows[Name(EN)],Tab_Def_Flows[Flow_ID],,0,)</f>
        <v>F_21_21</v>
      </c>
      <c r="C179" s="51"/>
      <c r="D179" s="49">
        <f>_xlfn.XLOOKUP(C179,Tab_Def_Flows[Name(EN)],Tab_Def_Flows[Type_Biomass],,0,)</f>
        <v>0</v>
      </c>
      <c r="E179" s="49">
        <f>_xlfn.XLOOKUP(C179,Tab_Def_Flows[Name(EN)],Tab_Def_Flows[Output_Process],,0,)</f>
        <v>0</v>
      </c>
      <c r="F179" s="49" t="str">
        <f>_xlfn.XLOOKUP(C179,Tab_Def_Flows[Name(EN)],Tab_Def_Flows[Process_ID_O],,0,)</f>
        <v>21__</v>
      </c>
      <c r="G179" s="49">
        <f>_xlfn.XLOOKUP(C179,Tab_Def_Flows[Name(EN)],Tab_Def_Flows[Input_Process],,0,)</f>
        <v>0</v>
      </c>
      <c r="H179" s="61" t="str">
        <f>_xlfn.XLOOKUP(C179,Tab_Def_Flows[Name(EN)],Tab_Def_Flows[Process_ID_I],,0,)</f>
        <v>21__</v>
      </c>
      <c r="I179" s="49">
        <f>_xlfn.XLOOKUP(C179,Tab_Def_Flows[Name(EN)],Tab_Def_Flows[Value_Source],,0,)</f>
        <v>0</v>
      </c>
      <c r="J179" s="49">
        <f>_xlfn.XLOOKUP(C179,Tab_Def_Flows[Name(EN)],Tab_Def_Flows[WC?],,0,)</f>
        <v>0</v>
      </c>
      <c r="K179" s="49">
        <f>_xlfn.XLOOKUP(C179,Tab_Def_Flows[Name(EN)],Tab_Def_Flows[DM?],,0,)</f>
        <v>0</v>
      </c>
      <c r="L179" s="49">
        <f>_xlfn.XLOOKUP(C179,Tab_Def_Flows[Name(EN)],Tab_Def_Flows[CC?],,0,)</f>
        <v>0</v>
      </c>
      <c r="M179" s="51"/>
      <c r="N179" s="51"/>
      <c r="O179" s="88"/>
      <c r="P179" s="51"/>
      <c r="Q179" s="51"/>
      <c r="R179" s="51"/>
      <c r="S179" s="69"/>
      <c r="T179" s="51"/>
      <c r="U179" s="51"/>
      <c r="V179" s="51"/>
      <c r="W179" s="51"/>
      <c r="X179" s="51"/>
      <c r="Y179" s="109"/>
      <c r="Z179" s="51"/>
      <c r="AA179" s="89">
        <f t="shared" si="34"/>
        <v>0</v>
      </c>
      <c r="AB179" s="51" t="s">
        <v>63</v>
      </c>
      <c r="AC179" s="114" t="e">
        <f>INDEX(Tab_Def_Flows[[Flow_ID]:[CC_DM_source]],MATCH(Tab_Data_Flows[[#This Row],[Name(EN)]],Tab_Def_Flows[Name(EN)],0),16)</f>
        <v>#N/A</v>
      </c>
      <c r="AD179" s="115" t="str">
        <f>IF(J179="Yes",AA179*Tab_Data_Flows[[#This Row],[WC_'[%']]],"N.A.")</f>
        <v>N.A.</v>
      </c>
      <c r="AE179" s="61" t="str">
        <f>Tab_Data_Flows[[#This Row],[UoM_Flow_Py]]</f>
        <v>Mg</v>
      </c>
      <c r="AF179" s="114" t="e">
        <f>INDEX(Tab_Def_Flows[[Flow_ID]:[CC_DM_source]],MATCH(Tab_Data_Flows[[#This Row],[Name(EN)]],Tab_Def_Flows[Name(EN)],0),18)</f>
        <v>#N/A</v>
      </c>
      <c r="AG179" s="115" t="str">
        <f>IF(K179="Yes",AF179*Tab_Data_Flows[[#This Row],[Flow_Py]],"N.A.")</f>
        <v>N.A.</v>
      </c>
      <c r="AH179" s="61" t="str">
        <f>Tab_Data_Flows[[#This Row],[UoM_Flow_Py]]</f>
        <v>Mg</v>
      </c>
      <c r="AI179" s="114" t="e">
        <f>INDEX(Tab_Def_Flows[[Flow_ID]:[CC_DM_source]],MATCH(Tab_Data_Flows[[#This Row],[Name(EN)]],Tab_Def_Flows[Name(EN)],0),20)</f>
        <v>#N/A</v>
      </c>
      <c r="AJ179" s="115" t="str">
        <f>IF(L179="Yes",AI179*Tab_Data_Flows[[#This Row],[Flow_Py]],"N.A.")</f>
        <v>N.A.</v>
      </c>
      <c r="AK179" s="61" t="str">
        <f>Tab_Data_Flows[[#This Row],[UoM_Flow_Py]]</f>
        <v>Mg</v>
      </c>
    </row>
    <row r="180" spans="1:37" x14ac:dyDescent="0.35">
      <c r="A180" s="60">
        <f t="shared" si="33"/>
        <v>179</v>
      </c>
      <c r="B180" s="49" t="str">
        <f>_xlfn.XLOOKUP(C180,Tab_Def_Flows[Name(EN)],Tab_Def_Flows[Flow_ID],,0,)</f>
        <v>F_21_21</v>
      </c>
      <c r="C180" s="51"/>
      <c r="D180" s="49">
        <f>_xlfn.XLOOKUP(C180,Tab_Def_Flows[Name(EN)],Tab_Def_Flows[Type_Biomass],,0,)</f>
        <v>0</v>
      </c>
      <c r="E180" s="49">
        <f>_xlfn.XLOOKUP(C180,Tab_Def_Flows[Name(EN)],Tab_Def_Flows[Output_Process],,0,)</f>
        <v>0</v>
      </c>
      <c r="F180" s="49" t="str">
        <f>_xlfn.XLOOKUP(C180,Tab_Def_Flows[Name(EN)],Tab_Def_Flows[Process_ID_O],,0,)</f>
        <v>21__</v>
      </c>
      <c r="G180" s="49">
        <f>_xlfn.XLOOKUP(C180,Tab_Def_Flows[Name(EN)],Tab_Def_Flows[Input_Process],,0,)</f>
        <v>0</v>
      </c>
      <c r="H180" s="61" t="str">
        <f>_xlfn.XLOOKUP(C180,Tab_Def_Flows[Name(EN)],Tab_Def_Flows[Process_ID_I],,0,)</f>
        <v>21__</v>
      </c>
      <c r="I180" s="49">
        <f>_xlfn.XLOOKUP(C180,Tab_Def_Flows[Name(EN)],Tab_Def_Flows[Value_Source],,0,)</f>
        <v>0</v>
      </c>
      <c r="J180" s="49">
        <f>_xlfn.XLOOKUP(C180,Tab_Def_Flows[Name(EN)],Tab_Def_Flows[WC?],,0,)</f>
        <v>0</v>
      </c>
      <c r="K180" s="49">
        <f>_xlfn.XLOOKUP(C180,Tab_Def_Flows[Name(EN)],Tab_Def_Flows[DM?],,0,)</f>
        <v>0</v>
      </c>
      <c r="L180" s="49">
        <f>_xlfn.XLOOKUP(C180,Tab_Def_Flows[Name(EN)],Tab_Def_Flows[CC?],,0,)</f>
        <v>0</v>
      </c>
      <c r="M180" s="51"/>
      <c r="N180" s="51"/>
      <c r="O180" s="88"/>
      <c r="P180" s="51"/>
      <c r="Q180" s="51"/>
      <c r="R180" s="51"/>
      <c r="S180" s="69"/>
      <c r="T180" s="51"/>
      <c r="U180" s="51"/>
      <c r="V180" s="51"/>
      <c r="W180" s="51"/>
      <c r="X180" s="51"/>
      <c r="Y180" s="109"/>
      <c r="Z180" s="51"/>
      <c r="AA180" s="89">
        <f t="shared" si="34"/>
        <v>0</v>
      </c>
      <c r="AB180" s="51" t="s">
        <v>63</v>
      </c>
      <c r="AC180" s="114" t="e">
        <f>INDEX(Tab_Def_Flows[[Flow_ID]:[CC_DM_source]],MATCH(Tab_Data_Flows[[#This Row],[Name(EN)]],Tab_Def_Flows[Name(EN)],0),16)</f>
        <v>#N/A</v>
      </c>
      <c r="AD180" s="115" t="str">
        <f>IF(J180="Yes",AA180*Tab_Data_Flows[[#This Row],[WC_'[%']]],"N.A.")</f>
        <v>N.A.</v>
      </c>
      <c r="AE180" s="61" t="str">
        <f>Tab_Data_Flows[[#This Row],[UoM_Flow_Py]]</f>
        <v>Mg</v>
      </c>
      <c r="AF180" s="114" t="e">
        <f>INDEX(Tab_Def_Flows[[Flow_ID]:[CC_DM_source]],MATCH(Tab_Data_Flows[[#This Row],[Name(EN)]],Tab_Def_Flows[Name(EN)],0),18)</f>
        <v>#N/A</v>
      </c>
      <c r="AG180" s="115" t="str">
        <f>IF(K180="Yes",AF180*Tab_Data_Flows[[#This Row],[Flow_Py]],"N.A.")</f>
        <v>N.A.</v>
      </c>
      <c r="AH180" s="61" t="str">
        <f>Tab_Data_Flows[[#This Row],[UoM_Flow_Py]]</f>
        <v>Mg</v>
      </c>
      <c r="AI180" s="114" t="e">
        <f>INDEX(Tab_Def_Flows[[Flow_ID]:[CC_DM_source]],MATCH(Tab_Data_Flows[[#This Row],[Name(EN)]],Tab_Def_Flows[Name(EN)],0),20)</f>
        <v>#N/A</v>
      </c>
      <c r="AJ180" s="115" t="str">
        <f>IF(L180="Yes",AI180*Tab_Data_Flows[[#This Row],[Flow_Py]],"N.A.")</f>
        <v>N.A.</v>
      </c>
      <c r="AK180" s="61" t="str">
        <f>Tab_Data_Flows[[#This Row],[UoM_Flow_Py]]</f>
        <v>Mg</v>
      </c>
    </row>
    <row r="181" spans="1:37" x14ac:dyDescent="0.35">
      <c r="A181" s="60">
        <f t="shared" si="33"/>
        <v>180</v>
      </c>
      <c r="B181" s="49" t="str">
        <f>_xlfn.XLOOKUP(C181,Tab_Def_Flows[Name(EN)],Tab_Def_Flows[Flow_ID],,0,)</f>
        <v>F_21_21</v>
      </c>
      <c r="C181" s="51"/>
      <c r="D181" s="49">
        <f>_xlfn.XLOOKUP(C181,Tab_Def_Flows[Name(EN)],Tab_Def_Flows[Type_Biomass],,0,)</f>
        <v>0</v>
      </c>
      <c r="E181" s="49">
        <f>_xlfn.XLOOKUP(C181,Tab_Def_Flows[Name(EN)],Tab_Def_Flows[Output_Process],,0,)</f>
        <v>0</v>
      </c>
      <c r="F181" s="49" t="str">
        <f>_xlfn.XLOOKUP(C181,Tab_Def_Flows[Name(EN)],Tab_Def_Flows[Process_ID_O],,0,)</f>
        <v>21__</v>
      </c>
      <c r="G181" s="49">
        <f>_xlfn.XLOOKUP(C181,Tab_Def_Flows[Name(EN)],Tab_Def_Flows[Input_Process],,0,)</f>
        <v>0</v>
      </c>
      <c r="H181" s="61" t="str">
        <f>_xlfn.XLOOKUP(C181,Tab_Def_Flows[Name(EN)],Tab_Def_Flows[Process_ID_I],,0,)</f>
        <v>21__</v>
      </c>
      <c r="I181" s="49">
        <f>_xlfn.XLOOKUP(C181,Tab_Def_Flows[Name(EN)],Tab_Def_Flows[Value_Source],,0,)</f>
        <v>0</v>
      </c>
      <c r="J181" s="49">
        <f>_xlfn.XLOOKUP(C181,Tab_Def_Flows[Name(EN)],Tab_Def_Flows[WC?],,0,)</f>
        <v>0</v>
      </c>
      <c r="K181" s="49">
        <f>_xlfn.XLOOKUP(C181,Tab_Def_Flows[Name(EN)],Tab_Def_Flows[DM?],,0,)</f>
        <v>0</v>
      </c>
      <c r="L181" s="49">
        <f>_xlfn.XLOOKUP(C181,Tab_Def_Flows[Name(EN)],Tab_Def_Flows[CC?],,0,)</f>
        <v>0</v>
      </c>
      <c r="M181" s="51"/>
      <c r="N181" s="51"/>
      <c r="O181" s="88"/>
      <c r="P181" s="51"/>
      <c r="Q181" s="51"/>
      <c r="R181" s="51"/>
      <c r="S181" s="69"/>
      <c r="T181" s="51"/>
      <c r="U181" s="51"/>
      <c r="V181" s="51"/>
      <c r="W181" s="51"/>
      <c r="X181" s="51"/>
      <c r="Y181" s="109"/>
      <c r="Z181" s="51"/>
      <c r="AA181" s="89">
        <f t="shared" si="34"/>
        <v>0</v>
      </c>
      <c r="AB181" s="51" t="s">
        <v>63</v>
      </c>
      <c r="AC181" s="114" t="e">
        <f>INDEX(Tab_Def_Flows[[Flow_ID]:[CC_DM_source]],MATCH(Tab_Data_Flows[[#This Row],[Name(EN)]],Tab_Def_Flows[Name(EN)],0),16)</f>
        <v>#N/A</v>
      </c>
      <c r="AD181" s="115" t="str">
        <f>IF(J181="Yes",AA181*Tab_Data_Flows[[#This Row],[WC_'[%']]],"N.A.")</f>
        <v>N.A.</v>
      </c>
      <c r="AE181" s="61" t="str">
        <f>Tab_Data_Flows[[#This Row],[UoM_Flow_Py]]</f>
        <v>Mg</v>
      </c>
      <c r="AF181" s="114" t="e">
        <f>INDEX(Tab_Def_Flows[[Flow_ID]:[CC_DM_source]],MATCH(Tab_Data_Flows[[#This Row],[Name(EN)]],Tab_Def_Flows[Name(EN)],0),18)</f>
        <v>#N/A</v>
      </c>
      <c r="AG181" s="115" t="str">
        <f>IF(K181="Yes",AF181*Tab_Data_Flows[[#This Row],[Flow_Py]],"N.A.")</f>
        <v>N.A.</v>
      </c>
      <c r="AH181" s="61" t="str">
        <f>Tab_Data_Flows[[#This Row],[UoM_Flow_Py]]</f>
        <v>Mg</v>
      </c>
      <c r="AI181" s="114" t="e">
        <f>INDEX(Tab_Def_Flows[[Flow_ID]:[CC_DM_source]],MATCH(Tab_Data_Flows[[#This Row],[Name(EN)]],Tab_Def_Flows[Name(EN)],0),20)</f>
        <v>#N/A</v>
      </c>
      <c r="AJ181" s="115" t="str">
        <f>IF(L181="Yes",AI181*Tab_Data_Flows[[#This Row],[Flow_Py]],"N.A.")</f>
        <v>N.A.</v>
      </c>
      <c r="AK181" s="61" t="str">
        <f>Tab_Data_Flows[[#This Row],[UoM_Flow_Py]]</f>
        <v>Mg</v>
      </c>
    </row>
    <row r="182" spans="1:37" x14ac:dyDescent="0.35">
      <c r="A182" s="60">
        <f t="shared" si="33"/>
        <v>181</v>
      </c>
      <c r="B182" s="49" t="str">
        <f>_xlfn.XLOOKUP(C182,Tab_Def_Flows[Name(EN)],Tab_Def_Flows[Flow_ID],,0,)</f>
        <v>F_21_21</v>
      </c>
      <c r="C182" s="51"/>
      <c r="D182" s="49">
        <f>_xlfn.XLOOKUP(C182,Tab_Def_Flows[Name(EN)],Tab_Def_Flows[Type_Biomass],,0,)</f>
        <v>0</v>
      </c>
      <c r="E182" s="49">
        <f>_xlfn.XLOOKUP(C182,Tab_Def_Flows[Name(EN)],Tab_Def_Flows[Output_Process],,0,)</f>
        <v>0</v>
      </c>
      <c r="F182" s="49" t="str">
        <f>_xlfn.XLOOKUP(C182,Tab_Def_Flows[Name(EN)],Tab_Def_Flows[Process_ID_O],,0,)</f>
        <v>21__</v>
      </c>
      <c r="G182" s="49">
        <f>_xlfn.XLOOKUP(C182,Tab_Def_Flows[Name(EN)],Tab_Def_Flows[Input_Process],,0,)</f>
        <v>0</v>
      </c>
      <c r="H182" s="61" t="str">
        <f>_xlfn.XLOOKUP(C182,Tab_Def_Flows[Name(EN)],Tab_Def_Flows[Process_ID_I],,0,)</f>
        <v>21__</v>
      </c>
      <c r="I182" s="49">
        <f>_xlfn.XLOOKUP(C182,Tab_Def_Flows[Name(EN)],Tab_Def_Flows[Value_Source],,0,)</f>
        <v>0</v>
      </c>
      <c r="J182" s="49">
        <f>_xlfn.XLOOKUP(C182,Tab_Def_Flows[Name(EN)],Tab_Def_Flows[WC?],,0,)</f>
        <v>0</v>
      </c>
      <c r="K182" s="49">
        <f>_xlfn.XLOOKUP(C182,Tab_Def_Flows[Name(EN)],Tab_Def_Flows[DM?],,0,)</f>
        <v>0</v>
      </c>
      <c r="L182" s="49">
        <f>_xlfn.XLOOKUP(C182,Tab_Def_Flows[Name(EN)],Tab_Def_Flows[CC?],,0,)</f>
        <v>0</v>
      </c>
      <c r="M182" s="51"/>
      <c r="N182" s="51"/>
      <c r="O182" s="88"/>
      <c r="P182" s="51"/>
      <c r="Q182" s="51"/>
      <c r="R182" s="51"/>
      <c r="S182" s="69"/>
      <c r="T182" s="51"/>
      <c r="U182" s="51"/>
      <c r="V182" s="51"/>
      <c r="W182" s="51"/>
      <c r="X182" s="51"/>
      <c r="Y182" s="109"/>
      <c r="Z182" s="51"/>
      <c r="AA182" s="89">
        <f t="shared" si="34"/>
        <v>0</v>
      </c>
      <c r="AB182" s="51" t="s">
        <v>63</v>
      </c>
      <c r="AC182" s="114" t="e">
        <f>INDEX(Tab_Def_Flows[[Flow_ID]:[CC_DM_source]],MATCH(Tab_Data_Flows[[#This Row],[Name(EN)]],Tab_Def_Flows[Name(EN)],0),16)</f>
        <v>#N/A</v>
      </c>
      <c r="AD182" s="115" t="str">
        <f>IF(J182="Yes",AA182*Tab_Data_Flows[[#This Row],[WC_'[%']]],"N.A.")</f>
        <v>N.A.</v>
      </c>
      <c r="AE182" s="61" t="str">
        <f>Tab_Data_Flows[[#This Row],[UoM_Flow_Py]]</f>
        <v>Mg</v>
      </c>
      <c r="AF182" s="114" t="e">
        <f>INDEX(Tab_Def_Flows[[Flow_ID]:[CC_DM_source]],MATCH(Tab_Data_Flows[[#This Row],[Name(EN)]],Tab_Def_Flows[Name(EN)],0),18)</f>
        <v>#N/A</v>
      </c>
      <c r="AG182" s="115" t="str">
        <f>IF(K182="Yes",AF182*Tab_Data_Flows[[#This Row],[Flow_Py]],"N.A.")</f>
        <v>N.A.</v>
      </c>
      <c r="AH182" s="61" t="str">
        <f>Tab_Data_Flows[[#This Row],[UoM_Flow_Py]]</f>
        <v>Mg</v>
      </c>
      <c r="AI182" s="114" t="e">
        <f>INDEX(Tab_Def_Flows[[Flow_ID]:[CC_DM_source]],MATCH(Tab_Data_Flows[[#This Row],[Name(EN)]],Tab_Def_Flows[Name(EN)],0),20)</f>
        <v>#N/A</v>
      </c>
      <c r="AJ182" s="115" t="str">
        <f>IF(L182="Yes",AI182*Tab_Data_Flows[[#This Row],[Flow_Py]],"N.A.")</f>
        <v>N.A.</v>
      </c>
      <c r="AK182" s="61" t="str">
        <f>Tab_Data_Flows[[#This Row],[UoM_Flow_Py]]</f>
        <v>Mg</v>
      </c>
    </row>
    <row r="183" spans="1:37" x14ac:dyDescent="0.35">
      <c r="A183" s="60">
        <f t="shared" si="33"/>
        <v>182</v>
      </c>
      <c r="B183" s="49" t="str">
        <f>_xlfn.XLOOKUP(C183,Tab_Def_Flows[Name(EN)],Tab_Def_Flows[Flow_ID],,0,)</f>
        <v>F_21_21</v>
      </c>
      <c r="C183" s="51"/>
      <c r="D183" s="49">
        <f>_xlfn.XLOOKUP(C183,Tab_Def_Flows[Name(EN)],Tab_Def_Flows[Type_Biomass],,0,)</f>
        <v>0</v>
      </c>
      <c r="E183" s="49">
        <f>_xlfn.XLOOKUP(C183,Tab_Def_Flows[Name(EN)],Tab_Def_Flows[Output_Process],,0,)</f>
        <v>0</v>
      </c>
      <c r="F183" s="49" t="str">
        <f>_xlfn.XLOOKUP(C183,Tab_Def_Flows[Name(EN)],Tab_Def_Flows[Process_ID_O],,0,)</f>
        <v>21__</v>
      </c>
      <c r="G183" s="49">
        <f>_xlfn.XLOOKUP(C183,Tab_Def_Flows[Name(EN)],Tab_Def_Flows[Input_Process],,0,)</f>
        <v>0</v>
      </c>
      <c r="H183" s="61" t="str">
        <f>_xlfn.XLOOKUP(C183,Tab_Def_Flows[Name(EN)],Tab_Def_Flows[Process_ID_I],,0,)</f>
        <v>21__</v>
      </c>
      <c r="I183" s="49">
        <f>_xlfn.XLOOKUP(C183,Tab_Def_Flows[Name(EN)],Tab_Def_Flows[Value_Source],,0,)</f>
        <v>0</v>
      </c>
      <c r="J183" s="49">
        <f>_xlfn.XLOOKUP(C183,Tab_Def_Flows[Name(EN)],Tab_Def_Flows[WC?],,0,)</f>
        <v>0</v>
      </c>
      <c r="K183" s="49">
        <f>_xlfn.XLOOKUP(C183,Tab_Def_Flows[Name(EN)],Tab_Def_Flows[DM?],,0,)</f>
        <v>0</v>
      </c>
      <c r="L183" s="49">
        <f>_xlfn.XLOOKUP(C183,Tab_Def_Flows[Name(EN)],Tab_Def_Flows[CC?],,0,)</f>
        <v>0</v>
      </c>
      <c r="M183" s="51"/>
      <c r="N183" s="51"/>
      <c r="O183" s="88"/>
      <c r="P183" s="51"/>
      <c r="Q183" s="51"/>
      <c r="R183" s="51"/>
      <c r="S183" s="69"/>
      <c r="T183" s="51"/>
      <c r="U183" s="51"/>
      <c r="V183" s="51"/>
      <c r="W183" s="51"/>
      <c r="X183" s="51"/>
      <c r="Y183" s="109"/>
      <c r="Z183" s="51"/>
      <c r="AA183" s="89">
        <f t="shared" si="34"/>
        <v>0</v>
      </c>
      <c r="AB183" s="51" t="s">
        <v>63</v>
      </c>
      <c r="AC183" s="114" t="e">
        <f>INDEX(Tab_Def_Flows[[Flow_ID]:[CC_DM_source]],MATCH(Tab_Data_Flows[[#This Row],[Name(EN)]],Tab_Def_Flows[Name(EN)],0),16)</f>
        <v>#N/A</v>
      </c>
      <c r="AD183" s="115" t="str">
        <f>IF(J183="Yes",AA183*Tab_Data_Flows[[#This Row],[WC_'[%']]],"N.A.")</f>
        <v>N.A.</v>
      </c>
      <c r="AE183" s="61" t="str">
        <f>Tab_Data_Flows[[#This Row],[UoM_Flow_Py]]</f>
        <v>Mg</v>
      </c>
      <c r="AF183" s="114" t="e">
        <f>INDEX(Tab_Def_Flows[[Flow_ID]:[CC_DM_source]],MATCH(Tab_Data_Flows[[#This Row],[Name(EN)]],Tab_Def_Flows[Name(EN)],0),18)</f>
        <v>#N/A</v>
      </c>
      <c r="AG183" s="115" t="str">
        <f>IF(K183="Yes",AF183*Tab_Data_Flows[[#This Row],[Flow_Py]],"N.A.")</f>
        <v>N.A.</v>
      </c>
      <c r="AH183" s="61" t="str">
        <f>Tab_Data_Flows[[#This Row],[UoM_Flow_Py]]</f>
        <v>Mg</v>
      </c>
      <c r="AI183" s="114" t="e">
        <f>INDEX(Tab_Def_Flows[[Flow_ID]:[CC_DM_source]],MATCH(Tab_Data_Flows[[#This Row],[Name(EN)]],Tab_Def_Flows[Name(EN)],0),20)</f>
        <v>#N/A</v>
      </c>
      <c r="AJ183" s="115" t="str">
        <f>IF(L183="Yes",AI183*Tab_Data_Flows[[#This Row],[Flow_Py]],"N.A.")</f>
        <v>N.A.</v>
      </c>
      <c r="AK183" s="61" t="str">
        <f>Tab_Data_Flows[[#This Row],[UoM_Flow_Py]]</f>
        <v>Mg</v>
      </c>
    </row>
    <row r="184" spans="1:37" x14ac:dyDescent="0.35">
      <c r="A184" s="60">
        <f t="shared" si="33"/>
        <v>183</v>
      </c>
      <c r="B184" s="49" t="str">
        <f>_xlfn.XLOOKUP(C184,Tab_Def_Flows[Name(EN)],Tab_Def_Flows[Flow_ID],,0,)</f>
        <v>F_21_21</v>
      </c>
      <c r="C184" s="51"/>
      <c r="D184" s="49">
        <f>_xlfn.XLOOKUP(C184,Tab_Def_Flows[Name(EN)],Tab_Def_Flows[Type_Biomass],,0,)</f>
        <v>0</v>
      </c>
      <c r="E184" s="49">
        <f>_xlfn.XLOOKUP(C184,Tab_Def_Flows[Name(EN)],Tab_Def_Flows[Output_Process],,0,)</f>
        <v>0</v>
      </c>
      <c r="F184" s="49" t="str">
        <f>_xlfn.XLOOKUP(C184,Tab_Def_Flows[Name(EN)],Tab_Def_Flows[Process_ID_O],,0,)</f>
        <v>21__</v>
      </c>
      <c r="G184" s="49">
        <f>_xlfn.XLOOKUP(C184,Tab_Def_Flows[Name(EN)],Tab_Def_Flows[Input_Process],,0,)</f>
        <v>0</v>
      </c>
      <c r="H184" s="61" t="str">
        <f>_xlfn.XLOOKUP(C184,Tab_Def_Flows[Name(EN)],Tab_Def_Flows[Process_ID_I],,0,)</f>
        <v>21__</v>
      </c>
      <c r="I184" s="49">
        <f>_xlfn.XLOOKUP(C184,Tab_Def_Flows[Name(EN)],Tab_Def_Flows[Value_Source],,0,)</f>
        <v>0</v>
      </c>
      <c r="J184" s="49">
        <f>_xlfn.XLOOKUP(C184,Tab_Def_Flows[Name(EN)],Tab_Def_Flows[WC?],,0,)</f>
        <v>0</v>
      </c>
      <c r="K184" s="49">
        <f>_xlfn.XLOOKUP(C184,Tab_Def_Flows[Name(EN)],Tab_Def_Flows[DM?],,0,)</f>
        <v>0</v>
      </c>
      <c r="L184" s="49">
        <f>_xlfn.XLOOKUP(C184,Tab_Def_Flows[Name(EN)],Tab_Def_Flows[CC?],,0,)</f>
        <v>0</v>
      </c>
      <c r="M184" s="51"/>
      <c r="N184" s="51"/>
      <c r="O184" s="88"/>
      <c r="P184" s="51"/>
      <c r="Q184" s="51"/>
      <c r="R184" s="51"/>
      <c r="S184" s="69"/>
      <c r="T184" s="51"/>
      <c r="U184" s="51"/>
      <c r="V184" s="51"/>
      <c r="W184" s="51"/>
      <c r="X184" s="51"/>
      <c r="Y184" s="109"/>
      <c r="Z184" s="51"/>
      <c r="AA184" s="89">
        <f t="shared" si="34"/>
        <v>0</v>
      </c>
      <c r="AB184" s="51" t="s">
        <v>63</v>
      </c>
      <c r="AC184" s="114" t="e">
        <f>INDEX(Tab_Def_Flows[[Flow_ID]:[CC_DM_source]],MATCH(Tab_Data_Flows[[#This Row],[Name(EN)]],Tab_Def_Flows[Name(EN)],0),16)</f>
        <v>#N/A</v>
      </c>
      <c r="AD184" s="115" t="str">
        <f>IF(J184="Yes",AA184*Tab_Data_Flows[[#This Row],[WC_'[%']]],"N.A.")</f>
        <v>N.A.</v>
      </c>
      <c r="AE184" s="61" t="str">
        <f>Tab_Data_Flows[[#This Row],[UoM_Flow_Py]]</f>
        <v>Mg</v>
      </c>
      <c r="AF184" s="114" t="e">
        <f>INDEX(Tab_Def_Flows[[Flow_ID]:[CC_DM_source]],MATCH(Tab_Data_Flows[[#This Row],[Name(EN)]],Tab_Def_Flows[Name(EN)],0),18)</f>
        <v>#N/A</v>
      </c>
      <c r="AG184" s="115" t="str">
        <f>IF(K184="Yes",AF184*Tab_Data_Flows[[#This Row],[Flow_Py]],"N.A.")</f>
        <v>N.A.</v>
      </c>
      <c r="AH184" s="61" t="str">
        <f>Tab_Data_Flows[[#This Row],[UoM_Flow_Py]]</f>
        <v>Mg</v>
      </c>
      <c r="AI184" s="114" t="e">
        <f>INDEX(Tab_Def_Flows[[Flow_ID]:[CC_DM_source]],MATCH(Tab_Data_Flows[[#This Row],[Name(EN)]],Tab_Def_Flows[Name(EN)],0),20)</f>
        <v>#N/A</v>
      </c>
      <c r="AJ184" s="115" t="str">
        <f>IF(L184="Yes",AI184*Tab_Data_Flows[[#This Row],[Flow_Py]],"N.A.")</f>
        <v>N.A.</v>
      </c>
      <c r="AK184" s="61" t="str">
        <f>Tab_Data_Flows[[#This Row],[UoM_Flow_Py]]</f>
        <v>Mg</v>
      </c>
    </row>
    <row r="185" spans="1:37" x14ac:dyDescent="0.35">
      <c r="A185" s="60">
        <f t="shared" si="33"/>
        <v>184</v>
      </c>
      <c r="B185" s="49" t="str">
        <f>_xlfn.XLOOKUP(C185,Tab_Def_Flows[Name(EN)],Tab_Def_Flows[Flow_ID],,0,)</f>
        <v>F_21_21</v>
      </c>
      <c r="C185" s="51"/>
      <c r="D185" s="49">
        <f>_xlfn.XLOOKUP(C185,Tab_Def_Flows[Name(EN)],Tab_Def_Flows[Type_Biomass],,0,)</f>
        <v>0</v>
      </c>
      <c r="E185" s="49">
        <f>_xlfn.XLOOKUP(C185,Tab_Def_Flows[Name(EN)],Tab_Def_Flows[Output_Process],,0,)</f>
        <v>0</v>
      </c>
      <c r="F185" s="49" t="str">
        <f>_xlfn.XLOOKUP(C185,Tab_Def_Flows[Name(EN)],Tab_Def_Flows[Process_ID_O],,0,)</f>
        <v>21__</v>
      </c>
      <c r="G185" s="49">
        <f>_xlfn.XLOOKUP(C185,Tab_Def_Flows[Name(EN)],Tab_Def_Flows[Input_Process],,0,)</f>
        <v>0</v>
      </c>
      <c r="H185" s="61" t="str">
        <f>_xlfn.XLOOKUP(C185,Tab_Def_Flows[Name(EN)],Tab_Def_Flows[Process_ID_I],,0,)</f>
        <v>21__</v>
      </c>
      <c r="I185" s="49">
        <f>_xlfn.XLOOKUP(C185,Tab_Def_Flows[Name(EN)],Tab_Def_Flows[Value_Source],,0,)</f>
        <v>0</v>
      </c>
      <c r="J185" s="49">
        <f>_xlfn.XLOOKUP(C185,Tab_Def_Flows[Name(EN)],Tab_Def_Flows[WC?],,0,)</f>
        <v>0</v>
      </c>
      <c r="K185" s="49">
        <f>_xlfn.XLOOKUP(C185,Tab_Def_Flows[Name(EN)],Tab_Def_Flows[DM?],,0,)</f>
        <v>0</v>
      </c>
      <c r="L185" s="49">
        <f>_xlfn.XLOOKUP(C185,Tab_Def_Flows[Name(EN)],Tab_Def_Flows[CC?],,0,)</f>
        <v>0</v>
      </c>
      <c r="M185" s="51"/>
      <c r="N185" s="51"/>
      <c r="O185" s="88"/>
      <c r="P185" s="51"/>
      <c r="Q185" s="51"/>
      <c r="R185" s="51"/>
      <c r="S185" s="69"/>
      <c r="T185" s="51"/>
      <c r="U185" s="51"/>
      <c r="V185" s="51"/>
      <c r="W185" s="51"/>
      <c r="X185" s="51"/>
      <c r="Y185" s="109"/>
      <c r="Z185" s="51"/>
      <c r="AA185" s="89">
        <f t="shared" si="34"/>
        <v>0</v>
      </c>
      <c r="AB185" s="51" t="s">
        <v>63</v>
      </c>
      <c r="AC185" s="114" t="e">
        <f>INDEX(Tab_Def_Flows[[Flow_ID]:[CC_DM_source]],MATCH(Tab_Data_Flows[[#This Row],[Name(EN)]],Tab_Def_Flows[Name(EN)],0),16)</f>
        <v>#N/A</v>
      </c>
      <c r="AD185" s="115" t="str">
        <f>IF(J185="Yes",AA185*Tab_Data_Flows[[#This Row],[WC_'[%']]],"N.A.")</f>
        <v>N.A.</v>
      </c>
      <c r="AE185" s="61" t="str">
        <f>Tab_Data_Flows[[#This Row],[UoM_Flow_Py]]</f>
        <v>Mg</v>
      </c>
      <c r="AF185" s="114" t="e">
        <f>INDEX(Tab_Def_Flows[[Flow_ID]:[CC_DM_source]],MATCH(Tab_Data_Flows[[#This Row],[Name(EN)]],Tab_Def_Flows[Name(EN)],0),18)</f>
        <v>#N/A</v>
      </c>
      <c r="AG185" s="115" t="str">
        <f>IF(K185="Yes",AF185*Tab_Data_Flows[[#This Row],[Flow_Py]],"N.A.")</f>
        <v>N.A.</v>
      </c>
      <c r="AH185" s="61" t="str">
        <f>Tab_Data_Flows[[#This Row],[UoM_Flow_Py]]</f>
        <v>Mg</v>
      </c>
      <c r="AI185" s="114" t="e">
        <f>INDEX(Tab_Def_Flows[[Flow_ID]:[CC_DM_source]],MATCH(Tab_Data_Flows[[#This Row],[Name(EN)]],Tab_Def_Flows[Name(EN)],0),20)</f>
        <v>#N/A</v>
      </c>
      <c r="AJ185" s="115" t="str">
        <f>IF(L185="Yes",AI185*Tab_Data_Flows[[#This Row],[Flow_Py]],"N.A.")</f>
        <v>N.A.</v>
      </c>
      <c r="AK185" s="61" t="str">
        <f>Tab_Data_Flows[[#This Row],[UoM_Flow_Py]]</f>
        <v>Mg</v>
      </c>
    </row>
    <row r="186" spans="1:37" x14ac:dyDescent="0.35">
      <c r="A186" s="60">
        <f t="shared" si="33"/>
        <v>185</v>
      </c>
      <c r="B186" s="49" t="str">
        <f>_xlfn.XLOOKUP(C186,Tab_Def_Flows[Name(EN)],Tab_Def_Flows[Flow_ID],,0,)</f>
        <v>F_21_21</v>
      </c>
      <c r="C186" s="51"/>
      <c r="D186" s="49">
        <f>_xlfn.XLOOKUP(C186,Tab_Def_Flows[Name(EN)],Tab_Def_Flows[Type_Biomass],,0,)</f>
        <v>0</v>
      </c>
      <c r="E186" s="49">
        <f>_xlfn.XLOOKUP(C186,Tab_Def_Flows[Name(EN)],Tab_Def_Flows[Output_Process],,0,)</f>
        <v>0</v>
      </c>
      <c r="F186" s="49" t="str">
        <f>_xlfn.XLOOKUP(C186,Tab_Def_Flows[Name(EN)],Tab_Def_Flows[Process_ID_O],,0,)</f>
        <v>21__</v>
      </c>
      <c r="G186" s="49">
        <f>_xlfn.XLOOKUP(C186,Tab_Def_Flows[Name(EN)],Tab_Def_Flows[Input_Process],,0,)</f>
        <v>0</v>
      </c>
      <c r="H186" s="61" t="str">
        <f>_xlfn.XLOOKUP(C186,Tab_Def_Flows[Name(EN)],Tab_Def_Flows[Process_ID_I],,0,)</f>
        <v>21__</v>
      </c>
      <c r="I186" s="49">
        <f>_xlfn.XLOOKUP(C186,Tab_Def_Flows[Name(EN)],Tab_Def_Flows[Value_Source],,0,)</f>
        <v>0</v>
      </c>
      <c r="J186" s="49">
        <f>_xlfn.XLOOKUP(C186,Tab_Def_Flows[Name(EN)],Tab_Def_Flows[WC?],,0,)</f>
        <v>0</v>
      </c>
      <c r="K186" s="49">
        <f>_xlfn.XLOOKUP(C186,Tab_Def_Flows[Name(EN)],Tab_Def_Flows[DM?],,0,)</f>
        <v>0</v>
      </c>
      <c r="L186" s="49">
        <f>_xlfn.XLOOKUP(C186,Tab_Def_Flows[Name(EN)],Tab_Def_Flows[CC?],,0,)</f>
        <v>0</v>
      </c>
      <c r="M186" s="51"/>
      <c r="N186" s="51"/>
      <c r="O186" s="88"/>
      <c r="P186" s="51"/>
      <c r="Q186" s="51"/>
      <c r="R186" s="51"/>
      <c r="S186" s="69"/>
      <c r="T186" s="51"/>
      <c r="U186" s="51"/>
      <c r="V186" s="51"/>
      <c r="W186" s="51"/>
      <c r="X186" s="51"/>
      <c r="Y186" s="109"/>
      <c r="Z186" s="51"/>
      <c r="AA186" s="89">
        <f t="shared" si="34"/>
        <v>0</v>
      </c>
      <c r="AB186" s="51" t="s">
        <v>63</v>
      </c>
      <c r="AC186" s="114" t="e">
        <f>INDEX(Tab_Def_Flows[[Flow_ID]:[CC_DM_source]],MATCH(Tab_Data_Flows[[#This Row],[Name(EN)]],Tab_Def_Flows[Name(EN)],0),16)</f>
        <v>#N/A</v>
      </c>
      <c r="AD186" s="115" t="str">
        <f>IF(J186="Yes",AA186*Tab_Data_Flows[[#This Row],[WC_'[%']]],"N.A.")</f>
        <v>N.A.</v>
      </c>
      <c r="AE186" s="61" t="str">
        <f>Tab_Data_Flows[[#This Row],[UoM_Flow_Py]]</f>
        <v>Mg</v>
      </c>
      <c r="AF186" s="114" t="e">
        <f>INDEX(Tab_Def_Flows[[Flow_ID]:[CC_DM_source]],MATCH(Tab_Data_Flows[[#This Row],[Name(EN)]],Tab_Def_Flows[Name(EN)],0),18)</f>
        <v>#N/A</v>
      </c>
      <c r="AG186" s="115" t="str">
        <f>IF(K186="Yes",AF186*Tab_Data_Flows[[#This Row],[Flow_Py]],"N.A.")</f>
        <v>N.A.</v>
      </c>
      <c r="AH186" s="61" t="str">
        <f>Tab_Data_Flows[[#This Row],[UoM_Flow_Py]]</f>
        <v>Mg</v>
      </c>
      <c r="AI186" s="114" t="e">
        <f>INDEX(Tab_Def_Flows[[Flow_ID]:[CC_DM_source]],MATCH(Tab_Data_Flows[[#This Row],[Name(EN)]],Tab_Def_Flows[Name(EN)],0),20)</f>
        <v>#N/A</v>
      </c>
      <c r="AJ186" s="115" t="str">
        <f>IF(L186="Yes",AI186*Tab_Data_Flows[[#This Row],[Flow_Py]],"N.A.")</f>
        <v>N.A.</v>
      </c>
      <c r="AK186" s="61" t="str">
        <f>Tab_Data_Flows[[#This Row],[UoM_Flow_Py]]</f>
        <v>Mg</v>
      </c>
    </row>
    <row r="187" spans="1:37" x14ac:dyDescent="0.35">
      <c r="A187" s="60">
        <f t="shared" si="33"/>
        <v>186</v>
      </c>
      <c r="B187" s="49" t="str">
        <f>_xlfn.XLOOKUP(C187,Tab_Def_Flows[Name(EN)],Tab_Def_Flows[Flow_ID],,0,)</f>
        <v>F_21_21</v>
      </c>
      <c r="C187" s="51"/>
      <c r="D187" s="49">
        <f>_xlfn.XLOOKUP(C187,Tab_Def_Flows[Name(EN)],Tab_Def_Flows[Type_Biomass],,0,)</f>
        <v>0</v>
      </c>
      <c r="E187" s="49">
        <f>_xlfn.XLOOKUP(C187,Tab_Def_Flows[Name(EN)],Tab_Def_Flows[Output_Process],,0,)</f>
        <v>0</v>
      </c>
      <c r="F187" s="49" t="str">
        <f>_xlfn.XLOOKUP(C187,Tab_Def_Flows[Name(EN)],Tab_Def_Flows[Process_ID_O],,0,)</f>
        <v>21__</v>
      </c>
      <c r="G187" s="49">
        <f>_xlfn.XLOOKUP(C187,Tab_Def_Flows[Name(EN)],Tab_Def_Flows[Input_Process],,0,)</f>
        <v>0</v>
      </c>
      <c r="H187" s="61" t="str">
        <f>_xlfn.XLOOKUP(C187,Tab_Def_Flows[Name(EN)],Tab_Def_Flows[Process_ID_I],,0,)</f>
        <v>21__</v>
      </c>
      <c r="I187" s="49">
        <f>_xlfn.XLOOKUP(C187,Tab_Def_Flows[Name(EN)],Tab_Def_Flows[Value_Source],,0,)</f>
        <v>0</v>
      </c>
      <c r="J187" s="49">
        <f>_xlfn.XLOOKUP(C187,Tab_Def_Flows[Name(EN)],Tab_Def_Flows[WC?],,0,)</f>
        <v>0</v>
      </c>
      <c r="K187" s="49">
        <f>_xlfn.XLOOKUP(C187,Tab_Def_Flows[Name(EN)],Tab_Def_Flows[DM?],,0,)</f>
        <v>0</v>
      </c>
      <c r="L187" s="49">
        <f>_xlfn.XLOOKUP(C187,Tab_Def_Flows[Name(EN)],Tab_Def_Flows[CC?],,0,)</f>
        <v>0</v>
      </c>
      <c r="M187" s="51"/>
      <c r="N187" s="51"/>
      <c r="O187" s="88"/>
      <c r="P187" s="51"/>
      <c r="Q187" s="51"/>
      <c r="R187" s="51"/>
      <c r="S187" s="69"/>
      <c r="T187" s="51"/>
      <c r="U187" s="51"/>
      <c r="V187" s="51"/>
      <c r="W187" s="51"/>
      <c r="X187" s="51"/>
      <c r="Y187" s="109"/>
      <c r="Z187" s="51"/>
      <c r="AA187" s="89">
        <f t="shared" si="34"/>
        <v>0</v>
      </c>
      <c r="AB187" s="51" t="s">
        <v>63</v>
      </c>
      <c r="AC187" s="114" t="e">
        <f>INDEX(Tab_Def_Flows[[Flow_ID]:[CC_DM_source]],MATCH(Tab_Data_Flows[[#This Row],[Name(EN)]],Tab_Def_Flows[Name(EN)],0),16)</f>
        <v>#N/A</v>
      </c>
      <c r="AD187" s="115" t="str">
        <f>IF(J187="Yes",AA187*Tab_Data_Flows[[#This Row],[WC_'[%']]],"N.A.")</f>
        <v>N.A.</v>
      </c>
      <c r="AE187" s="61" t="str">
        <f>Tab_Data_Flows[[#This Row],[UoM_Flow_Py]]</f>
        <v>Mg</v>
      </c>
      <c r="AF187" s="114" t="e">
        <f>INDEX(Tab_Def_Flows[[Flow_ID]:[CC_DM_source]],MATCH(Tab_Data_Flows[[#This Row],[Name(EN)]],Tab_Def_Flows[Name(EN)],0),18)</f>
        <v>#N/A</v>
      </c>
      <c r="AG187" s="115" t="str">
        <f>IF(K187="Yes",AF187*Tab_Data_Flows[[#This Row],[Flow_Py]],"N.A.")</f>
        <v>N.A.</v>
      </c>
      <c r="AH187" s="61" t="str">
        <f>Tab_Data_Flows[[#This Row],[UoM_Flow_Py]]</f>
        <v>Mg</v>
      </c>
      <c r="AI187" s="114" t="e">
        <f>INDEX(Tab_Def_Flows[[Flow_ID]:[CC_DM_source]],MATCH(Tab_Data_Flows[[#This Row],[Name(EN)]],Tab_Def_Flows[Name(EN)],0),20)</f>
        <v>#N/A</v>
      </c>
      <c r="AJ187" s="115" t="str">
        <f>IF(L187="Yes",AI187*Tab_Data_Flows[[#This Row],[Flow_Py]],"N.A.")</f>
        <v>N.A.</v>
      </c>
      <c r="AK187" s="61" t="str">
        <f>Tab_Data_Flows[[#This Row],[UoM_Flow_Py]]</f>
        <v>Mg</v>
      </c>
    </row>
    <row r="188" spans="1:37" x14ac:dyDescent="0.35">
      <c r="A188" s="60">
        <f t="shared" si="33"/>
        <v>187</v>
      </c>
      <c r="B188" s="49" t="str">
        <f>_xlfn.XLOOKUP(C188,Tab_Def_Flows[Name(EN)],Tab_Def_Flows[Flow_ID],,0,)</f>
        <v>F_21_21</v>
      </c>
      <c r="C188" s="51"/>
      <c r="D188" s="49">
        <f>_xlfn.XLOOKUP(C188,Tab_Def_Flows[Name(EN)],Tab_Def_Flows[Type_Biomass],,0,)</f>
        <v>0</v>
      </c>
      <c r="E188" s="49">
        <f>_xlfn.XLOOKUP(C188,Tab_Def_Flows[Name(EN)],Tab_Def_Flows[Output_Process],,0,)</f>
        <v>0</v>
      </c>
      <c r="F188" s="49" t="str">
        <f>_xlfn.XLOOKUP(C188,Tab_Def_Flows[Name(EN)],Tab_Def_Flows[Process_ID_O],,0,)</f>
        <v>21__</v>
      </c>
      <c r="G188" s="49">
        <f>_xlfn.XLOOKUP(C188,Tab_Def_Flows[Name(EN)],Tab_Def_Flows[Input_Process],,0,)</f>
        <v>0</v>
      </c>
      <c r="H188" s="61" t="str">
        <f>_xlfn.XLOOKUP(C188,Tab_Def_Flows[Name(EN)],Tab_Def_Flows[Process_ID_I],,0,)</f>
        <v>21__</v>
      </c>
      <c r="I188" s="49">
        <f>_xlfn.XLOOKUP(C188,Tab_Def_Flows[Name(EN)],Tab_Def_Flows[Value_Source],,0,)</f>
        <v>0</v>
      </c>
      <c r="J188" s="49">
        <f>_xlfn.XLOOKUP(C188,Tab_Def_Flows[Name(EN)],Tab_Def_Flows[WC?],,0,)</f>
        <v>0</v>
      </c>
      <c r="K188" s="49">
        <f>_xlfn.XLOOKUP(C188,Tab_Def_Flows[Name(EN)],Tab_Def_Flows[DM?],,0,)</f>
        <v>0</v>
      </c>
      <c r="L188" s="49">
        <f>_xlfn.XLOOKUP(C188,Tab_Def_Flows[Name(EN)],Tab_Def_Flows[CC?],,0,)</f>
        <v>0</v>
      </c>
      <c r="M188" s="51"/>
      <c r="N188" s="51"/>
      <c r="O188" s="88"/>
      <c r="P188" s="51"/>
      <c r="Q188" s="51"/>
      <c r="R188" s="51"/>
      <c r="S188" s="69"/>
      <c r="T188" s="51"/>
      <c r="U188" s="51"/>
      <c r="V188" s="51"/>
      <c r="W188" s="51"/>
      <c r="X188" s="51"/>
      <c r="Y188" s="109"/>
      <c r="Z188" s="51"/>
      <c r="AA188" s="89">
        <f t="shared" si="34"/>
        <v>0</v>
      </c>
      <c r="AB188" s="51" t="s">
        <v>63</v>
      </c>
      <c r="AC188" s="114" t="e">
        <f>INDEX(Tab_Def_Flows[[Flow_ID]:[CC_DM_source]],MATCH(Tab_Data_Flows[[#This Row],[Name(EN)]],Tab_Def_Flows[Name(EN)],0),16)</f>
        <v>#N/A</v>
      </c>
      <c r="AD188" s="115" t="str">
        <f>IF(J188="Yes",AA188*Tab_Data_Flows[[#This Row],[WC_'[%']]],"N.A.")</f>
        <v>N.A.</v>
      </c>
      <c r="AE188" s="61" t="str">
        <f>Tab_Data_Flows[[#This Row],[UoM_Flow_Py]]</f>
        <v>Mg</v>
      </c>
      <c r="AF188" s="114" t="e">
        <f>INDEX(Tab_Def_Flows[[Flow_ID]:[CC_DM_source]],MATCH(Tab_Data_Flows[[#This Row],[Name(EN)]],Tab_Def_Flows[Name(EN)],0),18)</f>
        <v>#N/A</v>
      </c>
      <c r="AG188" s="115" t="str">
        <f>IF(K188="Yes",AF188*Tab_Data_Flows[[#This Row],[Flow_Py]],"N.A.")</f>
        <v>N.A.</v>
      </c>
      <c r="AH188" s="61" t="str">
        <f>Tab_Data_Flows[[#This Row],[UoM_Flow_Py]]</f>
        <v>Mg</v>
      </c>
      <c r="AI188" s="114" t="e">
        <f>INDEX(Tab_Def_Flows[[Flow_ID]:[CC_DM_source]],MATCH(Tab_Data_Flows[[#This Row],[Name(EN)]],Tab_Def_Flows[Name(EN)],0),20)</f>
        <v>#N/A</v>
      </c>
      <c r="AJ188" s="115" t="str">
        <f>IF(L188="Yes",AI188*Tab_Data_Flows[[#This Row],[Flow_Py]],"N.A.")</f>
        <v>N.A.</v>
      </c>
      <c r="AK188" s="61" t="str">
        <f>Tab_Data_Flows[[#This Row],[UoM_Flow_Py]]</f>
        <v>Mg</v>
      </c>
    </row>
    <row r="189" spans="1:37" x14ac:dyDescent="0.35">
      <c r="A189" s="60">
        <f t="shared" si="33"/>
        <v>188</v>
      </c>
      <c r="B189" s="49" t="str">
        <f>_xlfn.XLOOKUP(C189,Tab_Def_Flows[Name(EN)],Tab_Def_Flows[Flow_ID],,0,)</f>
        <v>F_21_21</v>
      </c>
      <c r="C189" s="51"/>
      <c r="D189" s="49">
        <f>_xlfn.XLOOKUP(C189,Tab_Def_Flows[Name(EN)],Tab_Def_Flows[Type_Biomass],,0,)</f>
        <v>0</v>
      </c>
      <c r="E189" s="49">
        <f>_xlfn.XLOOKUP(C189,Tab_Def_Flows[Name(EN)],Tab_Def_Flows[Output_Process],,0,)</f>
        <v>0</v>
      </c>
      <c r="F189" s="49" t="str">
        <f>_xlfn.XLOOKUP(C189,Tab_Def_Flows[Name(EN)],Tab_Def_Flows[Process_ID_O],,0,)</f>
        <v>21__</v>
      </c>
      <c r="G189" s="49">
        <f>_xlfn.XLOOKUP(C189,Tab_Def_Flows[Name(EN)],Tab_Def_Flows[Input_Process],,0,)</f>
        <v>0</v>
      </c>
      <c r="H189" s="61" t="str">
        <f>_xlfn.XLOOKUP(C189,Tab_Def_Flows[Name(EN)],Tab_Def_Flows[Process_ID_I],,0,)</f>
        <v>21__</v>
      </c>
      <c r="I189" s="49">
        <f>_xlfn.XLOOKUP(C189,Tab_Def_Flows[Name(EN)],Tab_Def_Flows[Value_Source],,0,)</f>
        <v>0</v>
      </c>
      <c r="J189" s="49">
        <f>_xlfn.XLOOKUP(C189,Tab_Def_Flows[Name(EN)],Tab_Def_Flows[WC?],,0,)</f>
        <v>0</v>
      </c>
      <c r="K189" s="49">
        <f>_xlfn.XLOOKUP(C189,Tab_Def_Flows[Name(EN)],Tab_Def_Flows[DM?],,0,)</f>
        <v>0</v>
      </c>
      <c r="L189" s="49">
        <f>_xlfn.XLOOKUP(C189,Tab_Def_Flows[Name(EN)],Tab_Def_Flows[CC?],,0,)</f>
        <v>0</v>
      </c>
      <c r="M189" s="51"/>
      <c r="N189" s="51"/>
      <c r="O189" s="88"/>
      <c r="P189" s="51"/>
      <c r="Q189" s="51"/>
      <c r="R189" s="51"/>
      <c r="S189" s="69"/>
      <c r="T189" s="51"/>
      <c r="U189" s="51"/>
      <c r="V189" s="51"/>
      <c r="W189" s="51"/>
      <c r="X189" s="51"/>
      <c r="Y189" s="109"/>
      <c r="Z189" s="51"/>
      <c r="AA189" s="89">
        <f t="shared" si="34"/>
        <v>0</v>
      </c>
      <c r="AB189" s="51" t="s">
        <v>63</v>
      </c>
      <c r="AC189" s="114" t="e">
        <f>INDEX(Tab_Def_Flows[[Flow_ID]:[CC_DM_source]],MATCH(Tab_Data_Flows[[#This Row],[Name(EN)]],Tab_Def_Flows[Name(EN)],0),16)</f>
        <v>#N/A</v>
      </c>
      <c r="AD189" s="115" t="str">
        <f>IF(J189="Yes",AA189*Tab_Data_Flows[[#This Row],[WC_'[%']]],"N.A.")</f>
        <v>N.A.</v>
      </c>
      <c r="AE189" s="61" t="str">
        <f>Tab_Data_Flows[[#This Row],[UoM_Flow_Py]]</f>
        <v>Mg</v>
      </c>
      <c r="AF189" s="114" t="e">
        <f>INDEX(Tab_Def_Flows[[Flow_ID]:[CC_DM_source]],MATCH(Tab_Data_Flows[[#This Row],[Name(EN)]],Tab_Def_Flows[Name(EN)],0),18)</f>
        <v>#N/A</v>
      </c>
      <c r="AG189" s="115" t="str">
        <f>IF(K189="Yes",AF189*Tab_Data_Flows[[#This Row],[Flow_Py]],"N.A.")</f>
        <v>N.A.</v>
      </c>
      <c r="AH189" s="61" t="str">
        <f>Tab_Data_Flows[[#This Row],[UoM_Flow_Py]]</f>
        <v>Mg</v>
      </c>
      <c r="AI189" s="114" t="e">
        <f>INDEX(Tab_Def_Flows[[Flow_ID]:[CC_DM_source]],MATCH(Tab_Data_Flows[[#This Row],[Name(EN)]],Tab_Def_Flows[Name(EN)],0),20)</f>
        <v>#N/A</v>
      </c>
      <c r="AJ189" s="115" t="str">
        <f>IF(L189="Yes",AI189*Tab_Data_Flows[[#This Row],[Flow_Py]],"N.A.")</f>
        <v>N.A.</v>
      </c>
      <c r="AK189" s="61" t="str">
        <f>Tab_Data_Flows[[#This Row],[UoM_Flow_Py]]</f>
        <v>Mg</v>
      </c>
    </row>
    <row r="190" spans="1:37" x14ac:dyDescent="0.35">
      <c r="A190" s="60">
        <f t="shared" si="33"/>
        <v>189</v>
      </c>
      <c r="B190" s="49" t="str">
        <f>_xlfn.XLOOKUP(C190,Tab_Def_Flows[Name(EN)],Tab_Def_Flows[Flow_ID],,0,)</f>
        <v>F_21_21</v>
      </c>
      <c r="C190" s="51"/>
      <c r="D190" s="49">
        <f>_xlfn.XLOOKUP(C190,Tab_Def_Flows[Name(EN)],Tab_Def_Flows[Type_Biomass],,0,)</f>
        <v>0</v>
      </c>
      <c r="E190" s="49">
        <f>_xlfn.XLOOKUP(C190,Tab_Def_Flows[Name(EN)],Tab_Def_Flows[Output_Process],,0,)</f>
        <v>0</v>
      </c>
      <c r="F190" s="49" t="str">
        <f>_xlfn.XLOOKUP(C190,Tab_Def_Flows[Name(EN)],Tab_Def_Flows[Process_ID_O],,0,)</f>
        <v>21__</v>
      </c>
      <c r="G190" s="49">
        <f>_xlfn.XLOOKUP(C190,Tab_Def_Flows[Name(EN)],Tab_Def_Flows[Input_Process],,0,)</f>
        <v>0</v>
      </c>
      <c r="H190" s="61" t="str">
        <f>_xlfn.XLOOKUP(C190,Tab_Def_Flows[Name(EN)],Tab_Def_Flows[Process_ID_I],,0,)</f>
        <v>21__</v>
      </c>
      <c r="I190" s="49">
        <f>_xlfn.XLOOKUP(C190,Tab_Def_Flows[Name(EN)],Tab_Def_Flows[Value_Source],,0,)</f>
        <v>0</v>
      </c>
      <c r="J190" s="49">
        <f>_xlfn.XLOOKUP(C190,Tab_Def_Flows[Name(EN)],Tab_Def_Flows[WC?],,0,)</f>
        <v>0</v>
      </c>
      <c r="K190" s="49">
        <f>_xlfn.XLOOKUP(C190,Tab_Def_Flows[Name(EN)],Tab_Def_Flows[DM?],,0,)</f>
        <v>0</v>
      </c>
      <c r="L190" s="49">
        <f>_xlfn.XLOOKUP(C190,Tab_Def_Flows[Name(EN)],Tab_Def_Flows[CC?],,0,)</f>
        <v>0</v>
      </c>
      <c r="M190" s="51"/>
      <c r="N190" s="51"/>
      <c r="O190" s="88"/>
      <c r="P190" s="51"/>
      <c r="Q190" s="51"/>
      <c r="R190" s="51"/>
      <c r="S190" s="69"/>
      <c r="T190" s="51"/>
      <c r="U190" s="51"/>
      <c r="V190" s="51"/>
      <c r="W190" s="51"/>
      <c r="X190" s="51"/>
      <c r="Y190" s="109"/>
      <c r="Z190" s="51"/>
      <c r="AA190" s="89">
        <f t="shared" si="34"/>
        <v>0</v>
      </c>
      <c r="AB190" s="51" t="s">
        <v>63</v>
      </c>
      <c r="AC190" s="114" t="e">
        <f>INDEX(Tab_Def_Flows[[Flow_ID]:[CC_DM_source]],MATCH(Tab_Data_Flows[[#This Row],[Name(EN)]],Tab_Def_Flows[Name(EN)],0),16)</f>
        <v>#N/A</v>
      </c>
      <c r="AD190" s="115" t="str">
        <f>IF(J190="Yes",AA190*Tab_Data_Flows[[#This Row],[WC_'[%']]],"N.A.")</f>
        <v>N.A.</v>
      </c>
      <c r="AE190" s="61" t="str">
        <f>Tab_Data_Flows[[#This Row],[UoM_Flow_Py]]</f>
        <v>Mg</v>
      </c>
      <c r="AF190" s="114" t="e">
        <f>INDEX(Tab_Def_Flows[[Flow_ID]:[CC_DM_source]],MATCH(Tab_Data_Flows[[#This Row],[Name(EN)]],Tab_Def_Flows[Name(EN)],0),18)</f>
        <v>#N/A</v>
      </c>
      <c r="AG190" s="115" t="str">
        <f>IF(K190="Yes",AF190*Tab_Data_Flows[[#This Row],[Flow_Py]],"N.A.")</f>
        <v>N.A.</v>
      </c>
      <c r="AH190" s="61" t="str">
        <f>Tab_Data_Flows[[#This Row],[UoM_Flow_Py]]</f>
        <v>Mg</v>
      </c>
      <c r="AI190" s="114" t="e">
        <f>INDEX(Tab_Def_Flows[[Flow_ID]:[CC_DM_source]],MATCH(Tab_Data_Flows[[#This Row],[Name(EN)]],Tab_Def_Flows[Name(EN)],0),20)</f>
        <v>#N/A</v>
      </c>
      <c r="AJ190" s="115" t="str">
        <f>IF(L190="Yes",AI190*Tab_Data_Flows[[#This Row],[Flow_Py]],"N.A.")</f>
        <v>N.A.</v>
      </c>
      <c r="AK190" s="61" t="str">
        <f>Tab_Data_Flows[[#This Row],[UoM_Flow_Py]]</f>
        <v>Mg</v>
      </c>
    </row>
    <row r="191" spans="1:37" x14ac:dyDescent="0.35">
      <c r="A191" s="60">
        <f t="shared" si="33"/>
        <v>190</v>
      </c>
      <c r="B191" s="49" t="str">
        <f>_xlfn.XLOOKUP(C191,Tab_Def_Flows[Name(EN)],Tab_Def_Flows[Flow_ID],,0,)</f>
        <v>F_21_21</v>
      </c>
      <c r="C191" s="51"/>
      <c r="D191" s="49">
        <f>_xlfn.XLOOKUP(C191,Tab_Def_Flows[Name(EN)],Tab_Def_Flows[Type_Biomass],,0,)</f>
        <v>0</v>
      </c>
      <c r="E191" s="49">
        <f>_xlfn.XLOOKUP(C191,Tab_Def_Flows[Name(EN)],Tab_Def_Flows[Output_Process],,0,)</f>
        <v>0</v>
      </c>
      <c r="F191" s="49" t="str">
        <f>_xlfn.XLOOKUP(C191,Tab_Def_Flows[Name(EN)],Tab_Def_Flows[Process_ID_O],,0,)</f>
        <v>21__</v>
      </c>
      <c r="G191" s="49">
        <f>_xlfn.XLOOKUP(C191,Tab_Def_Flows[Name(EN)],Tab_Def_Flows[Input_Process],,0,)</f>
        <v>0</v>
      </c>
      <c r="H191" s="61" t="str">
        <f>_xlfn.XLOOKUP(C191,Tab_Def_Flows[Name(EN)],Tab_Def_Flows[Process_ID_I],,0,)</f>
        <v>21__</v>
      </c>
      <c r="I191" s="49">
        <f>_xlfn.XLOOKUP(C191,Tab_Def_Flows[Name(EN)],Tab_Def_Flows[Value_Source],,0,)</f>
        <v>0</v>
      </c>
      <c r="J191" s="49">
        <f>_xlfn.XLOOKUP(C191,Tab_Def_Flows[Name(EN)],Tab_Def_Flows[WC?],,0,)</f>
        <v>0</v>
      </c>
      <c r="K191" s="49">
        <f>_xlfn.XLOOKUP(C191,Tab_Def_Flows[Name(EN)],Tab_Def_Flows[DM?],,0,)</f>
        <v>0</v>
      </c>
      <c r="L191" s="49">
        <f>_xlfn.XLOOKUP(C191,Tab_Def_Flows[Name(EN)],Tab_Def_Flows[CC?],,0,)</f>
        <v>0</v>
      </c>
      <c r="M191" s="51"/>
      <c r="N191" s="51"/>
      <c r="O191" s="88"/>
      <c r="P191" s="51"/>
      <c r="Q191" s="51"/>
      <c r="R191" s="51"/>
      <c r="S191" s="69"/>
      <c r="T191" s="51"/>
      <c r="U191" s="51"/>
      <c r="V191" s="51"/>
      <c r="W191" s="51"/>
      <c r="X191" s="51"/>
      <c r="Y191" s="109"/>
      <c r="Z191" s="51"/>
      <c r="AA191" s="89">
        <f t="shared" si="34"/>
        <v>0</v>
      </c>
      <c r="AB191" s="51" t="s">
        <v>63</v>
      </c>
      <c r="AC191" s="114" t="e">
        <f>INDEX(Tab_Def_Flows[[Flow_ID]:[CC_DM_source]],MATCH(Tab_Data_Flows[[#This Row],[Name(EN)]],Tab_Def_Flows[Name(EN)],0),16)</f>
        <v>#N/A</v>
      </c>
      <c r="AD191" s="115" t="str">
        <f>IF(J191="Yes",AA191*Tab_Data_Flows[[#This Row],[WC_'[%']]],"N.A.")</f>
        <v>N.A.</v>
      </c>
      <c r="AE191" s="61" t="str">
        <f>Tab_Data_Flows[[#This Row],[UoM_Flow_Py]]</f>
        <v>Mg</v>
      </c>
      <c r="AF191" s="114" t="e">
        <f>INDEX(Tab_Def_Flows[[Flow_ID]:[CC_DM_source]],MATCH(Tab_Data_Flows[[#This Row],[Name(EN)]],Tab_Def_Flows[Name(EN)],0),18)</f>
        <v>#N/A</v>
      </c>
      <c r="AG191" s="115" t="str">
        <f>IF(K191="Yes",AF191*Tab_Data_Flows[[#This Row],[Flow_Py]],"N.A.")</f>
        <v>N.A.</v>
      </c>
      <c r="AH191" s="61" t="str">
        <f>Tab_Data_Flows[[#This Row],[UoM_Flow_Py]]</f>
        <v>Mg</v>
      </c>
      <c r="AI191" s="114" t="e">
        <f>INDEX(Tab_Def_Flows[[Flow_ID]:[CC_DM_source]],MATCH(Tab_Data_Flows[[#This Row],[Name(EN)]],Tab_Def_Flows[Name(EN)],0),20)</f>
        <v>#N/A</v>
      </c>
      <c r="AJ191" s="115" t="str">
        <f>IF(L191="Yes",AI191*Tab_Data_Flows[[#This Row],[Flow_Py]],"N.A.")</f>
        <v>N.A.</v>
      </c>
      <c r="AK191" s="61" t="str">
        <f>Tab_Data_Flows[[#This Row],[UoM_Flow_Py]]</f>
        <v>Mg</v>
      </c>
    </row>
    <row r="192" spans="1:37" x14ac:dyDescent="0.35">
      <c r="A192" s="60">
        <f t="shared" si="33"/>
        <v>191</v>
      </c>
      <c r="B192" s="49" t="str">
        <f>_xlfn.XLOOKUP(C192,Tab_Def_Flows[Name(EN)],Tab_Def_Flows[Flow_ID],,0,)</f>
        <v>F_21_21</v>
      </c>
      <c r="C192" s="51"/>
      <c r="D192" s="49">
        <f>_xlfn.XLOOKUP(C192,Tab_Def_Flows[Name(EN)],Tab_Def_Flows[Type_Biomass],,0,)</f>
        <v>0</v>
      </c>
      <c r="E192" s="49">
        <f>_xlfn.XLOOKUP(C192,Tab_Def_Flows[Name(EN)],Tab_Def_Flows[Output_Process],,0,)</f>
        <v>0</v>
      </c>
      <c r="F192" s="49" t="str">
        <f>_xlfn.XLOOKUP(C192,Tab_Def_Flows[Name(EN)],Tab_Def_Flows[Process_ID_O],,0,)</f>
        <v>21__</v>
      </c>
      <c r="G192" s="49">
        <f>_xlfn.XLOOKUP(C192,Tab_Def_Flows[Name(EN)],Tab_Def_Flows[Input_Process],,0,)</f>
        <v>0</v>
      </c>
      <c r="H192" s="61" t="str">
        <f>_xlfn.XLOOKUP(C192,Tab_Def_Flows[Name(EN)],Tab_Def_Flows[Process_ID_I],,0,)</f>
        <v>21__</v>
      </c>
      <c r="I192" s="49">
        <f>_xlfn.XLOOKUP(C192,Tab_Def_Flows[Name(EN)],Tab_Def_Flows[Value_Source],,0,)</f>
        <v>0</v>
      </c>
      <c r="J192" s="49">
        <f>_xlfn.XLOOKUP(C192,Tab_Def_Flows[Name(EN)],Tab_Def_Flows[WC?],,0,)</f>
        <v>0</v>
      </c>
      <c r="K192" s="49">
        <f>_xlfn.XLOOKUP(C192,Tab_Def_Flows[Name(EN)],Tab_Def_Flows[DM?],,0,)</f>
        <v>0</v>
      </c>
      <c r="L192" s="49">
        <f>_xlfn.XLOOKUP(C192,Tab_Def_Flows[Name(EN)],Tab_Def_Flows[CC?],,0,)</f>
        <v>0</v>
      </c>
      <c r="M192" s="51"/>
      <c r="N192" s="51"/>
      <c r="O192" s="88"/>
      <c r="P192" s="51"/>
      <c r="Q192" s="51"/>
      <c r="R192" s="51"/>
      <c r="S192" s="69"/>
      <c r="T192" s="51"/>
      <c r="U192" s="51"/>
      <c r="V192" s="51"/>
      <c r="W192" s="51"/>
      <c r="X192" s="51"/>
      <c r="Y192" s="109"/>
      <c r="Z192" s="51"/>
      <c r="AA192" s="89">
        <f t="shared" si="34"/>
        <v>0</v>
      </c>
      <c r="AB192" s="51" t="s">
        <v>63</v>
      </c>
      <c r="AC192" s="114" t="e">
        <f>INDEX(Tab_Def_Flows[[Flow_ID]:[CC_DM_source]],MATCH(Tab_Data_Flows[[#This Row],[Name(EN)]],Tab_Def_Flows[Name(EN)],0),16)</f>
        <v>#N/A</v>
      </c>
      <c r="AD192" s="115" t="str">
        <f>IF(J192="Yes",AA192*Tab_Data_Flows[[#This Row],[WC_'[%']]],"N.A.")</f>
        <v>N.A.</v>
      </c>
      <c r="AE192" s="61" t="str">
        <f>Tab_Data_Flows[[#This Row],[UoM_Flow_Py]]</f>
        <v>Mg</v>
      </c>
      <c r="AF192" s="114" t="e">
        <f>INDEX(Tab_Def_Flows[[Flow_ID]:[CC_DM_source]],MATCH(Tab_Data_Flows[[#This Row],[Name(EN)]],Tab_Def_Flows[Name(EN)],0),18)</f>
        <v>#N/A</v>
      </c>
      <c r="AG192" s="115" t="str">
        <f>IF(K192="Yes",AF192*Tab_Data_Flows[[#This Row],[Flow_Py]],"N.A.")</f>
        <v>N.A.</v>
      </c>
      <c r="AH192" s="61" t="str">
        <f>Tab_Data_Flows[[#This Row],[UoM_Flow_Py]]</f>
        <v>Mg</v>
      </c>
      <c r="AI192" s="114" t="e">
        <f>INDEX(Tab_Def_Flows[[Flow_ID]:[CC_DM_source]],MATCH(Tab_Data_Flows[[#This Row],[Name(EN)]],Tab_Def_Flows[Name(EN)],0),20)</f>
        <v>#N/A</v>
      </c>
      <c r="AJ192" s="115" t="str">
        <f>IF(L192="Yes",AI192*Tab_Data_Flows[[#This Row],[Flow_Py]],"N.A.")</f>
        <v>N.A.</v>
      </c>
      <c r="AK192" s="61" t="str">
        <f>Tab_Data_Flows[[#This Row],[UoM_Flow_Py]]</f>
        <v>Mg</v>
      </c>
    </row>
    <row r="193" spans="1:37" x14ac:dyDescent="0.35">
      <c r="A193" s="60">
        <f t="shared" si="33"/>
        <v>192</v>
      </c>
      <c r="B193" s="49" t="str">
        <f>_xlfn.XLOOKUP(C193,Tab_Def_Flows[Name(EN)],Tab_Def_Flows[Flow_ID],,0,)</f>
        <v>F_21_21</v>
      </c>
      <c r="C193" s="51"/>
      <c r="D193" s="49">
        <f>_xlfn.XLOOKUP(C193,Tab_Def_Flows[Name(EN)],Tab_Def_Flows[Type_Biomass],,0,)</f>
        <v>0</v>
      </c>
      <c r="E193" s="49">
        <f>_xlfn.XLOOKUP(C193,Tab_Def_Flows[Name(EN)],Tab_Def_Flows[Output_Process],,0,)</f>
        <v>0</v>
      </c>
      <c r="F193" s="49" t="str">
        <f>_xlfn.XLOOKUP(C193,Tab_Def_Flows[Name(EN)],Tab_Def_Flows[Process_ID_O],,0,)</f>
        <v>21__</v>
      </c>
      <c r="G193" s="49">
        <f>_xlfn.XLOOKUP(C193,Tab_Def_Flows[Name(EN)],Tab_Def_Flows[Input_Process],,0,)</f>
        <v>0</v>
      </c>
      <c r="H193" s="61" t="str">
        <f>_xlfn.XLOOKUP(C193,Tab_Def_Flows[Name(EN)],Tab_Def_Flows[Process_ID_I],,0,)</f>
        <v>21__</v>
      </c>
      <c r="I193" s="49">
        <f>_xlfn.XLOOKUP(C193,Tab_Def_Flows[Name(EN)],Tab_Def_Flows[Value_Source],,0,)</f>
        <v>0</v>
      </c>
      <c r="J193" s="49">
        <f>_xlfn.XLOOKUP(C193,Tab_Def_Flows[Name(EN)],Tab_Def_Flows[WC?],,0,)</f>
        <v>0</v>
      </c>
      <c r="K193" s="49">
        <f>_xlfn.XLOOKUP(C193,Tab_Def_Flows[Name(EN)],Tab_Def_Flows[DM?],,0,)</f>
        <v>0</v>
      </c>
      <c r="L193" s="49">
        <f>_xlfn.XLOOKUP(C193,Tab_Def_Flows[Name(EN)],Tab_Def_Flows[CC?],,0,)</f>
        <v>0</v>
      </c>
      <c r="M193" s="51"/>
      <c r="N193" s="51"/>
      <c r="O193" s="88"/>
      <c r="P193" s="51"/>
      <c r="Q193" s="51"/>
      <c r="R193" s="51"/>
      <c r="S193" s="69"/>
      <c r="T193" s="51"/>
      <c r="U193" s="51"/>
      <c r="V193" s="51"/>
      <c r="W193" s="51"/>
      <c r="X193" s="51"/>
      <c r="Y193" s="109"/>
      <c r="Z193" s="51"/>
      <c r="AA193" s="89">
        <f t="shared" si="34"/>
        <v>0</v>
      </c>
      <c r="AB193" s="51" t="s">
        <v>63</v>
      </c>
      <c r="AC193" s="114" t="e">
        <f>INDEX(Tab_Def_Flows[[Flow_ID]:[CC_DM_source]],MATCH(Tab_Data_Flows[[#This Row],[Name(EN)]],Tab_Def_Flows[Name(EN)],0),16)</f>
        <v>#N/A</v>
      </c>
      <c r="AD193" s="115" t="str">
        <f>IF(J193="Yes",AA193*Tab_Data_Flows[[#This Row],[WC_'[%']]],"N.A.")</f>
        <v>N.A.</v>
      </c>
      <c r="AE193" s="61" t="str">
        <f>Tab_Data_Flows[[#This Row],[UoM_Flow_Py]]</f>
        <v>Mg</v>
      </c>
      <c r="AF193" s="114" t="e">
        <f>INDEX(Tab_Def_Flows[[Flow_ID]:[CC_DM_source]],MATCH(Tab_Data_Flows[[#This Row],[Name(EN)]],Tab_Def_Flows[Name(EN)],0),18)</f>
        <v>#N/A</v>
      </c>
      <c r="AG193" s="115" t="str">
        <f>IF(K193="Yes",AF193*Tab_Data_Flows[[#This Row],[Flow_Py]],"N.A.")</f>
        <v>N.A.</v>
      </c>
      <c r="AH193" s="61" t="str">
        <f>Tab_Data_Flows[[#This Row],[UoM_Flow_Py]]</f>
        <v>Mg</v>
      </c>
      <c r="AI193" s="114" t="e">
        <f>INDEX(Tab_Def_Flows[[Flow_ID]:[CC_DM_source]],MATCH(Tab_Data_Flows[[#This Row],[Name(EN)]],Tab_Def_Flows[Name(EN)],0),20)</f>
        <v>#N/A</v>
      </c>
      <c r="AJ193" s="115" t="str">
        <f>IF(L193="Yes",AI193*Tab_Data_Flows[[#This Row],[Flow_Py]],"N.A.")</f>
        <v>N.A.</v>
      </c>
      <c r="AK193" s="61" t="str">
        <f>Tab_Data_Flows[[#This Row],[UoM_Flow_Py]]</f>
        <v>Mg</v>
      </c>
    </row>
    <row r="194" spans="1:37" x14ac:dyDescent="0.35">
      <c r="A194" s="60">
        <f t="shared" si="33"/>
        <v>193</v>
      </c>
      <c r="B194" s="49" t="str">
        <f>_xlfn.XLOOKUP(C194,Tab_Def_Flows[Name(EN)],Tab_Def_Flows[Flow_ID],,0,)</f>
        <v>F_21_21</v>
      </c>
      <c r="C194" s="51"/>
      <c r="D194" s="49">
        <f>_xlfn.XLOOKUP(C194,Tab_Def_Flows[Name(EN)],Tab_Def_Flows[Type_Biomass],,0,)</f>
        <v>0</v>
      </c>
      <c r="E194" s="49">
        <f>_xlfn.XLOOKUP(C194,Tab_Def_Flows[Name(EN)],Tab_Def_Flows[Output_Process],,0,)</f>
        <v>0</v>
      </c>
      <c r="F194" s="49" t="str">
        <f>_xlfn.XLOOKUP(C194,Tab_Def_Flows[Name(EN)],Tab_Def_Flows[Process_ID_O],,0,)</f>
        <v>21__</v>
      </c>
      <c r="G194" s="49">
        <f>_xlfn.XLOOKUP(C194,Tab_Def_Flows[Name(EN)],Tab_Def_Flows[Input_Process],,0,)</f>
        <v>0</v>
      </c>
      <c r="H194" s="61" t="str">
        <f>_xlfn.XLOOKUP(C194,Tab_Def_Flows[Name(EN)],Tab_Def_Flows[Process_ID_I],,0,)</f>
        <v>21__</v>
      </c>
      <c r="I194" s="49">
        <f>_xlfn.XLOOKUP(C194,Tab_Def_Flows[Name(EN)],Tab_Def_Flows[Value_Source],,0,)</f>
        <v>0</v>
      </c>
      <c r="J194" s="49">
        <f>_xlfn.XLOOKUP(C194,Tab_Def_Flows[Name(EN)],Tab_Def_Flows[WC?],,0,)</f>
        <v>0</v>
      </c>
      <c r="K194" s="49">
        <f>_xlfn.XLOOKUP(C194,Tab_Def_Flows[Name(EN)],Tab_Def_Flows[DM?],,0,)</f>
        <v>0</v>
      </c>
      <c r="L194" s="49">
        <f>_xlfn.XLOOKUP(C194,Tab_Def_Flows[Name(EN)],Tab_Def_Flows[CC?],,0,)</f>
        <v>0</v>
      </c>
      <c r="M194" s="51"/>
      <c r="N194" s="51"/>
      <c r="O194" s="88"/>
      <c r="P194" s="51"/>
      <c r="Q194" s="51"/>
      <c r="R194" s="51"/>
      <c r="S194" s="69"/>
      <c r="T194" s="51"/>
      <c r="U194" s="51"/>
      <c r="V194" s="51"/>
      <c r="W194" s="51"/>
      <c r="X194" s="51"/>
      <c r="Y194" s="109"/>
      <c r="Z194" s="51"/>
      <c r="AA194" s="89">
        <f t="shared" si="34"/>
        <v>0</v>
      </c>
      <c r="AB194" s="51" t="s">
        <v>63</v>
      </c>
      <c r="AC194" s="114" t="e">
        <f>INDEX(Tab_Def_Flows[[Flow_ID]:[CC_DM_source]],MATCH(Tab_Data_Flows[[#This Row],[Name(EN)]],Tab_Def_Flows[Name(EN)],0),16)</f>
        <v>#N/A</v>
      </c>
      <c r="AD194" s="115" t="str">
        <f>IF(J194="Yes",AA194*Tab_Data_Flows[[#This Row],[WC_'[%']]],"N.A.")</f>
        <v>N.A.</v>
      </c>
      <c r="AE194" s="61" t="str">
        <f>Tab_Data_Flows[[#This Row],[UoM_Flow_Py]]</f>
        <v>Mg</v>
      </c>
      <c r="AF194" s="114" t="e">
        <f>INDEX(Tab_Def_Flows[[Flow_ID]:[CC_DM_source]],MATCH(Tab_Data_Flows[[#This Row],[Name(EN)]],Tab_Def_Flows[Name(EN)],0),18)</f>
        <v>#N/A</v>
      </c>
      <c r="AG194" s="115" t="str">
        <f>IF(K194="Yes",AF194*Tab_Data_Flows[[#This Row],[Flow_Py]],"N.A.")</f>
        <v>N.A.</v>
      </c>
      <c r="AH194" s="61" t="str">
        <f>Tab_Data_Flows[[#This Row],[UoM_Flow_Py]]</f>
        <v>Mg</v>
      </c>
      <c r="AI194" s="114" t="e">
        <f>INDEX(Tab_Def_Flows[[Flow_ID]:[CC_DM_source]],MATCH(Tab_Data_Flows[[#This Row],[Name(EN)]],Tab_Def_Flows[Name(EN)],0),20)</f>
        <v>#N/A</v>
      </c>
      <c r="AJ194" s="115" t="str">
        <f>IF(L194="Yes",AI194*Tab_Data_Flows[[#This Row],[Flow_Py]],"N.A.")</f>
        <v>N.A.</v>
      </c>
      <c r="AK194" s="61" t="str">
        <f>Tab_Data_Flows[[#This Row],[UoM_Flow_Py]]</f>
        <v>Mg</v>
      </c>
    </row>
    <row r="195" spans="1:37" x14ac:dyDescent="0.35">
      <c r="A195" s="60">
        <f t="shared" si="33"/>
        <v>194</v>
      </c>
      <c r="B195" s="49" t="str">
        <f>_xlfn.XLOOKUP(C195,Tab_Def_Flows[Name(EN)],Tab_Def_Flows[Flow_ID],,0,)</f>
        <v>F_21_21</v>
      </c>
      <c r="C195" s="51"/>
      <c r="D195" s="49">
        <f>_xlfn.XLOOKUP(C195,Tab_Def_Flows[Name(EN)],Tab_Def_Flows[Type_Biomass],,0,)</f>
        <v>0</v>
      </c>
      <c r="E195" s="49">
        <f>_xlfn.XLOOKUP(C195,Tab_Def_Flows[Name(EN)],Tab_Def_Flows[Output_Process],,0,)</f>
        <v>0</v>
      </c>
      <c r="F195" s="49" t="str">
        <f>_xlfn.XLOOKUP(C195,Tab_Def_Flows[Name(EN)],Tab_Def_Flows[Process_ID_O],,0,)</f>
        <v>21__</v>
      </c>
      <c r="G195" s="49">
        <f>_xlfn.XLOOKUP(C195,Tab_Def_Flows[Name(EN)],Tab_Def_Flows[Input_Process],,0,)</f>
        <v>0</v>
      </c>
      <c r="H195" s="61" t="str">
        <f>_xlfn.XLOOKUP(C195,Tab_Def_Flows[Name(EN)],Tab_Def_Flows[Process_ID_I],,0,)</f>
        <v>21__</v>
      </c>
      <c r="I195" s="49">
        <f>_xlfn.XLOOKUP(C195,Tab_Def_Flows[Name(EN)],Tab_Def_Flows[Value_Source],,0,)</f>
        <v>0</v>
      </c>
      <c r="J195" s="49">
        <f>_xlfn.XLOOKUP(C195,Tab_Def_Flows[Name(EN)],Tab_Def_Flows[WC?],,0,)</f>
        <v>0</v>
      </c>
      <c r="K195" s="49">
        <f>_xlfn.XLOOKUP(C195,Tab_Def_Flows[Name(EN)],Tab_Def_Flows[DM?],,0,)</f>
        <v>0</v>
      </c>
      <c r="L195" s="49">
        <f>_xlfn.XLOOKUP(C195,Tab_Def_Flows[Name(EN)],Tab_Def_Flows[CC?],,0,)</f>
        <v>0</v>
      </c>
      <c r="M195" s="51"/>
      <c r="N195" s="51"/>
      <c r="O195" s="88"/>
      <c r="P195" s="51"/>
      <c r="Q195" s="51"/>
      <c r="R195" s="51"/>
      <c r="S195" s="69"/>
      <c r="T195" s="51"/>
      <c r="U195" s="51"/>
      <c r="V195" s="51"/>
      <c r="W195" s="51"/>
      <c r="X195" s="51"/>
      <c r="Y195" s="109"/>
      <c r="Z195" s="51"/>
      <c r="AA195" s="89">
        <f t="shared" si="34"/>
        <v>0</v>
      </c>
      <c r="AB195" s="51" t="s">
        <v>63</v>
      </c>
      <c r="AC195" s="114" t="e">
        <f>INDEX(Tab_Def_Flows[[Flow_ID]:[CC_DM_source]],MATCH(Tab_Data_Flows[[#This Row],[Name(EN)]],Tab_Def_Flows[Name(EN)],0),16)</f>
        <v>#N/A</v>
      </c>
      <c r="AD195" s="115" t="str">
        <f>IF(J195="Yes",AA195*Tab_Data_Flows[[#This Row],[WC_'[%']]],"N.A.")</f>
        <v>N.A.</v>
      </c>
      <c r="AE195" s="61" t="str">
        <f>Tab_Data_Flows[[#This Row],[UoM_Flow_Py]]</f>
        <v>Mg</v>
      </c>
      <c r="AF195" s="114" t="e">
        <f>INDEX(Tab_Def_Flows[[Flow_ID]:[CC_DM_source]],MATCH(Tab_Data_Flows[[#This Row],[Name(EN)]],Tab_Def_Flows[Name(EN)],0),18)</f>
        <v>#N/A</v>
      </c>
      <c r="AG195" s="115" t="str">
        <f>IF(K195="Yes",AF195*Tab_Data_Flows[[#This Row],[Flow_Py]],"N.A.")</f>
        <v>N.A.</v>
      </c>
      <c r="AH195" s="61" t="str">
        <f>Tab_Data_Flows[[#This Row],[UoM_Flow_Py]]</f>
        <v>Mg</v>
      </c>
      <c r="AI195" s="114" t="e">
        <f>INDEX(Tab_Def_Flows[[Flow_ID]:[CC_DM_source]],MATCH(Tab_Data_Flows[[#This Row],[Name(EN)]],Tab_Def_Flows[Name(EN)],0),20)</f>
        <v>#N/A</v>
      </c>
      <c r="AJ195" s="115" t="str">
        <f>IF(L195="Yes",AI195*Tab_Data_Flows[[#This Row],[Flow_Py]],"N.A.")</f>
        <v>N.A.</v>
      </c>
      <c r="AK195" s="61" t="str">
        <f>Tab_Data_Flows[[#This Row],[UoM_Flow_Py]]</f>
        <v>Mg</v>
      </c>
    </row>
    <row r="196" spans="1:37" x14ac:dyDescent="0.35">
      <c r="A196" s="60">
        <f t="shared" si="33"/>
        <v>195</v>
      </c>
      <c r="B196" s="49" t="str">
        <f>_xlfn.XLOOKUP(C196,Tab_Def_Flows[Name(EN)],Tab_Def_Flows[Flow_ID],,0,)</f>
        <v>F_21_21</v>
      </c>
      <c r="C196" s="51"/>
      <c r="D196" s="49">
        <f>_xlfn.XLOOKUP(C196,Tab_Def_Flows[Name(EN)],Tab_Def_Flows[Type_Biomass],,0,)</f>
        <v>0</v>
      </c>
      <c r="E196" s="49">
        <f>_xlfn.XLOOKUP(C196,Tab_Def_Flows[Name(EN)],Tab_Def_Flows[Output_Process],,0,)</f>
        <v>0</v>
      </c>
      <c r="F196" s="49" t="str">
        <f>_xlfn.XLOOKUP(C196,Tab_Def_Flows[Name(EN)],Tab_Def_Flows[Process_ID_O],,0,)</f>
        <v>21__</v>
      </c>
      <c r="G196" s="49">
        <f>_xlfn.XLOOKUP(C196,Tab_Def_Flows[Name(EN)],Tab_Def_Flows[Input_Process],,0,)</f>
        <v>0</v>
      </c>
      <c r="H196" s="61" t="str">
        <f>_xlfn.XLOOKUP(C196,Tab_Def_Flows[Name(EN)],Tab_Def_Flows[Process_ID_I],,0,)</f>
        <v>21__</v>
      </c>
      <c r="I196" s="49">
        <f>_xlfn.XLOOKUP(C196,Tab_Def_Flows[Name(EN)],Tab_Def_Flows[Value_Source],,0,)</f>
        <v>0</v>
      </c>
      <c r="J196" s="49">
        <f>_xlfn.XLOOKUP(C196,Tab_Def_Flows[Name(EN)],Tab_Def_Flows[WC?],,0,)</f>
        <v>0</v>
      </c>
      <c r="K196" s="49">
        <f>_xlfn.XLOOKUP(C196,Tab_Def_Flows[Name(EN)],Tab_Def_Flows[DM?],,0,)</f>
        <v>0</v>
      </c>
      <c r="L196" s="49">
        <f>_xlfn.XLOOKUP(C196,Tab_Def_Flows[Name(EN)],Tab_Def_Flows[CC?],,0,)</f>
        <v>0</v>
      </c>
      <c r="M196" s="51"/>
      <c r="N196" s="51"/>
      <c r="O196" s="88"/>
      <c r="P196" s="51"/>
      <c r="Q196" s="51"/>
      <c r="R196" s="51"/>
      <c r="S196" s="69"/>
      <c r="T196" s="51"/>
      <c r="U196" s="51"/>
      <c r="V196" s="51"/>
      <c r="W196" s="51"/>
      <c r="X196" s="51"/>
      <c r="Y196" s="109"/>
      <c r="Z196" s="51"/>
      <c r="AA196" s="89">
        <f t="shared" si="34"/>
        <v>0</v>
      </c>
      <c r="AB196" s="51" t="s">
        <v>63</v>
      </c>
      <c r="AC196" s="114" t="e">
        <f>INDEX(Tab_Def_Flows[[Flow_ID]:[CC_DM_source]],MATCH(Tab_Data_Flows[[#This Row],[Name(EN)]],Tab_Def_Flows[Name(EN)],0),16)</f>
        <v>#N/A</v>
      </c>
      <c r="AD196" s="115" t="str">
        <f>IF(J196="Yes",AA196*Tab_Data_Flows[[#This Row],[WC_'[%']]],"N.A.")</f>
        <v>N.A.</v>
      </c>
      <c r="AE196" s="61" t="str">
        <f>Tab_Data_Flows[[#This Row],[UoM_Flow_Py]]</f>
        <v>Mg</v>
      </c>
      <c r="AF196" s="114" t="e">
        <f>INDEX(Tab_Def_Flows[[Flow_ID]:[CC_DM_source]],MATCH(Tab_Data_Flows[[#This Row],[Name(EN)]],Tab_Def_Flows[Name(EN)],0),18)</f>
        <v>#N/A</v>
      </c>
      <c r="AG196" s="115" t="str">
        <f>IF(K196="Yes",AF196*Tab_Data_Flows[[#This Row],[Flow_Py]],"N.A.")</f>
        <v>N.A.</v>
      </c>
      <c r="AH196" s="61" t="str">
        <f>Tab_Data_Flows[[#This Row],[UoM_Flow_Py]]</f>
        <v>Mg</v>
      </c>
      <c r="AI196" s="114" t="e">
        <f>INDEX(Tab_Def_Flows[[Flow_ID]:[CC_DM_source]],MATCH(Tab_Data_Flows[[#This Row],[Name(EN)]],Tab_Def_Flows[Name(EN)],0),20)</f>
        <v>#N/A</v>
      </c>
      <c r="AJ196" s="115" t="str">
        <f>IF(L196="Yes",AI196*Tab_Data_Flows[[#This Row],[Flow_Py]],"N.A.")</f>
        <v>N.A.</v>
      </c>
      <c r="AK196" s="61" t="str">
        <f>Tab_Data_Flows[[#This Row],[UoM_Flow_Py]]</f>
        <v>Mg</v>
      </c>
    </row>
    <row r="197" spans="1:37" x14ac:dyDescent="0.35">
      <c r="A197" s="60">
        <f t="shared" si="33"/>
        <v>196</v>
      </c>
      <c r="B197" s="49" t="str">
        <f>_xlfn.XLOOKUP(C197,Tab_Def_Flows[Name(EN)],Tab_Def_Flows[Flow_ID],,0,)</f>
        <v>F_21_21</v>
      </c>
      <c r="C197" s="51"/>
      <c r="D197" s="49">
        <f>_xlfn.XLOOKUP(C197,Tab_Def_Flows[Name(EN)],Tab_Def_Flows[Type_Biomass],,0,)</f>
        <v>0</v>
      </c>
      <c r="E197" s="49">
        <f>_xlfn.XLOOKUP(C197,Tab_Def_Flows[Name(EN)],Tab_Def_Flows[Output_Process],,0,)</f>
        <v>0</v>
      </c>
      <c r="F197" s="49" t="str">
        <f>_xlfn.XLOOKUP(C197,Tab_Def_Flows[Name(EN)],Tab_Def_Flows[Process_ID_O],,0,)</f>
        <v>21__</v>
      </c>
      <c r="G197" s="49">
        <f>_xlfn.XLOOKUP(C197,Tab_Def_Flows[Name(EN)],Tab_Def_Flows[Input_Process],,0,)</f>
        <v>0</v>
      </c>
      <c r="H197" s="61" t="str">
        <f>_xlfn.XLOOKUP(C197,Tab_Def_Flows[Name(EN)],Tab_Def_Flows[Process_ID_I],,0,)</f>
        <v>21__</v>
      </c>
      <c r="I197" s="49">
        <f>_xlfn.XLOOKUP(C197,Tab_Def_Flows[Name(EN)],Tab_Def_Flows[Value_Source],,0,)</f>
        <v>0</v>
      </c>
      <c r="J197" s="49">
        <f>_xlfn.XLOOKUP(C197,Tab_Def_Flows[Name(EN)],Tab_Def_Flows[WC?],,0,)</f>
        <v>0</v>
      </c>
      <c r="K197" s="49">
        <f>_xlfn.XLOOKUP(C197,Tab_Def_Flows[Name(EN)],Tab_Def_Flows[DM?],,0,)</f>
        <v>0</v>
      </c>
      <c r="L197" s="49">
        <f>_xlfn.XLOOKUP(C197,Tab_Def_Flows[Name(EN)],Tab_Def_Flows[CC?],,0,)</f>
        <v>0</v>
      </c>
      <c r="M197" s="51"/>
      <c r="N197" s="51"/>
      <c r="O197" s="88"/>
      <c r="P197" s="51"/>
      <c r="Q197" s="51"/>
      <c r="R197" s="51"/>
      <c r="S197" s="69"/>
      <c r="T197" s="51"/>
      <c r="U197" s="51"/>
      <c r="V197" s="51"/>
      <c r="W197" s="51"/>
      <c r="X197" s="51"/>
      <c r="Y197" s="109"/>
      <c r="Z197" s="51"/>
      <c r="AA197" s="89">
        <f t="shared" si="34"/>
        <v>0</v>
      </c>
      <c r="AB197" s="51" t="s">
        <v>63</v>
      </c>
      <c r="AC197" s="114" t="e">
        <f>INDEX(Tab_Def_Flows[[Flow_ID]:[CC_DM_source]],MATCH(Tab_Data_Flows[[#This Row],[Name(EN)]],Tab_Def_Flows[Name(EN)],0),16)</f>
        <v>#N/A</v>
      </c>
      <c r="AD197" s="115" t="str">
        <f>IF(J197="Yes",AA197*Tab_Data_Flows[[#This Row],[WC_'[%']]],"N.A.")</f>
        <v>N.A.</v>
      </c>
      <c r="AE197" s="61" t="str">
        <f>Tab_Data_Flows[[#This Row],[UoM_Flow_Py]]</f>
        <v>Mg</v>
      </c>
      <c r="AF197" s="114" t="e">
        <f>INDEX(Tab_Def_Flows[[Flow_ID]:[CC_DM_source]],MATCH(Tab_Data_Flows[[#This Row],[Name(EN)]],Tab_Def_Flows[Name(EN)],0),18)</f>
        <v>#N/A</v>
      </c>
      <c r="AG197" s="115" t="str">
        <f>IF(K197="Yes",AF197*Tab_Data_Flows[[#This Row],[Flow_Py]],"N.A.")</f>
        <v>N.A.</v>
      </c>
      <c r="AH197" s="61" t="str">
        <f>Tab_Data_Flows[[#This Row],[UoM_Flow_Py]]</f>
        <v>Mg</v>
      </c>
      <c r="AI197" s="114" t="e">
        <f>INDEX(Tab_Def_Flows[[Flow_ID]:[CC_DM_source]],MATCH(Tab_Data_Flows[[#This Row],[Name(EN)]],Tab_Def_Flows[Name(EN)],0),20)</f>
        <v>#N/A</v>
      </c>
      <c r="AJ197" s="115" t="str">
        <f>IF(L197="Yes",AI197*Tab_Data_Flows[[#This Row],[Flow_Py]],"N.A.")</f>
        <v>N.A.</v>
      </c>
      <c r="AK197" s="61" t="str">
        <f>Tab_Data_Flows[[#This Row],[UoM_Flow_Py]]</f>
        <v>Mg</v>
      </c>
    </row>
    <row r="198" spans="1:37" x14ac:dyDescent="0.35">
      <c r="A198" s="60">
        <f t="shared" si="33"/>
        <v>197</v>
      </c>
      <c r="B198" s="49" t="str">
        <f>_xlfn.XLOOKUP(C198,Tab_Def_Flows[Name(EN)],Tab_Def_Flows[Flow_ID],,0,)</f>
        <v>F_21_21</v>
      </c>
      <c r="C198" s="51"/>
      <c r="D198" s="49">
        <f>_xlfn.XLOOKUP(C198,Tab_Def_Flows[Name(EN)],Tab_Def_Flows[Type_Biomass],,0,)</f>
        <v>0</v>
      </c>
      <c r="E198" s="49">
        <f>_xlfn.XLOOKUP(C198,Tab_Def_Flows[Name(EN)],Tab_Def_Flows[Output_Process],,0,)</f>
        <v>0</v>
      </c>
      <c r="F198" s="49" t="str">
        <f>_xlfn.XLOOKUP(C198,Tab_Def_Flows[Name(EN)],Tab_Def_Flows[Process_ID_O],,0,)</f>
        <v>21__</v>
      </c>
      <c r="G198" s="49">
        <f>_xlfn.XLOOKUP(C198,Tab_Def_Flows[Name(EN)],Tab_Def_Flows[Input_Process],,0,)</f>
        <v>0</v>
      </c>
      <c r="H198" s="61" t="str">
        <f>_xlfn.XLOOKUP(C198,Tab_Def_Flows[Name(EN)],Tab_Def_Flows[Process_ID_I],,0,)</f>
        <v>21__</v>
      </c>
      <c r="I198" s="49">
        <f>_xlfn.XLOOKUP(C198,Tab_Def_Flows[Name(EN)],Tab_Def_Flows[Value_Source],,0,)</f>
        <v>0</v>
      </c>
      <c r="J198" s="49">
        <f>_xlfn.XLOOKUP(C198,Tab_Def_Flows[Name(EN)],Tab_Def_Flows[WC?],,0,)</f>
        <v>0</v>
      </c>
      <c r="K198" s="49">
        <f>_xlfn.XLOOKUP(C198,Tab_Def_Flows[Name(EN)],Tab_Def_Flows[DM?],,0,)</f>
        <v>0</v>
      </c>
      <c r="L198" s="49">
        <f>_xlfn.XLOOKUP(C198,Tab_Def_Flows[Name(EN)],Tab_Def_Flows[CC?],,0,)</f>
        <v>0</v>
      </c>
      <c r="M198" s="51"/>
      <c r="N198" s="51"/>
      <c r="O198" s="88"/>
      <c r="P198" s="51"/>
      <c r="Q198" s="51"/>
      <c r="R198" s="51"/>
      <c r="S198" s="69"/>
      <c r="T198" s="51"/>
      <c r="U198" s="51"/>
      <c r="V198" s="51"/>
      <c r="W198" s="51"/>
      <c r="X198" s="51"/>
      <c r="Y198" s="109"/>
      <c r="Z198" s="51"/>
      <c r="AA198" s="89">
        <f t="shared" si="34"/>
        <v>0</v>
      </c>
      <c r="AB198" s="51" t="s">
        <v>63</v>
      </c>
      <c r="AC198" s="114" t="e">
        <f>INDEX(Tab_Def_Flows[[Flow_ID]:[CC_DM_source]],MATCH(Tab_Data_Flows[[#This Row],[Name(EN)]],Tab_Def_Flows[Name(EN)],0),16)</f>
        <v>#N/A</v>
      </c>
      <c r="AD198" s="115" t="str">
        <f>IF(J198="Yes",AA198*Tab_Data_Flows[[#This Row],[WC_'[%']]],"N.A.")</f>
        <v>N.A.</v>
      </c>
      <c r="AE198" s="61" t="str">
        <f>Tab_Data_Flows[[#This Row],[UoM_Flow_Py]]</f>
        <v>Mg</v>
      </c>
      <c r="AF198" s="114" t="e">
        <f>INDEX(Tab_Def_Flows[[Flow_ID]:[CC_DM_source]],MATCH(Tab_Data_Flows[[#This Row],[Name(EN)]],Tab_Def_Flows[Name(EN)],0),18)</f>
        <v>#N/A</v>
      </c>
      <c r="AG198" s="115" t="str">
        <f>IF(K198="Yes",AF198*Tab_Data_Flows[[#This Row],[Flow_Py]],"N.A.")</f>
        <v>N.A.</v>
      </c>
      <c r="AH198" s="61" t="str">
        <f>Tab_Data_Flows[[#This Row],[UoM_Flow_Py]]</f>
        <v>Mg</v>
      </c>
      <c r="AI198" s="114" t="e">
        <f>INDEX(Tab_Def_Flows[[Flow_ID]:[CC_DM_source]],MATCH(Tab_Data_Flows[[#This Row],[Name(EN)]],Tab_Def_Flows[Name(EN)],0),20)</f>
        <v>#N/A</v>
      </c>
      <c r="AJ198" s="115" t="str">
        <f>IF(L198="Yes",AI198*Tab_Data_Flows[[#This Row],[Flow_Py]],"N.A.")</f>
        <v>N.A.</v>
      </c>
      <c r="AK198" s="61" t="str">
        <f>Tab_Data_Flows[[#This Row],[UoM_Flow_Py]]</f>
        <v>Mg</v>
      </c>
    </row>
    <row r="199" spans="1:37" x14ac:dyDescent="0.35">
      <c r="A199" s="60">
        <f t="shared" si="33"/>
        <v>198</v>
      </c>
      <c r="B199" s="49" t="str">
        <f>_xlfn.XLOOKUP(C199,Tab_Def_Flows[Name(EN)],Tab_Def_Flows[Flow_ID],,0,)</f>
        <v>F_21_21</v>
      </c>
      <c r="C199" s="51"/>
      <c r="D199" s="49">
        <f>_xlfn.XLOOKUP(C199,Tab_Def_Flows[Name(EN)],Tab_Def_Flows[Type_Biomass],,0,)</f>
        <v>0</v>
      </c>
      <c r="E199" s="49">
        <f>_xlfn.XLOOKUP(C199,Tab_Def_Flows[Name(EN)],Tab_Def_Flows[Output_Process],,0,)</f>
        <v>0</v>
      </c>
      <c r="F199" s="49" t="str">
        <f>_xlfn.XLOOKUP(C199,Tab_Def_Flows[Name(EN)],Tab_Def_Flows[Process_ID_O],,0,)</f>
        <v>21__</v>
      </c>
      <c r="G199" s="49">
        <f>_xlfn.XLOOKUP(C199,Tab_Def_Flows[Name(EN)],Tab_Def_Flows[Input_Process],,0,)</f>
        <v>0</v>
      </c>
      <c r="H199" s="61" t="str">
        <f>_xlfn.XLOOKUP(C199,Tab_Def_Flows[Name(EN)],Tab_Def_Flows[Process_ID_I],,0,)</f>
        <v>21__</v>
      </c>
      <c r="I199" s="49">
        <f>_xlfn.XLOOKUP(C199,Tab_Def_Flows[Name(EN)],Tab_Def_Flows[Value_Source],,0,)</f>
        <v>0</v>
      </c>
      <c r="J199" s="49">
        <f>_xlfn.XLOOKUP(C199,Tab_Def_Flows[Name(EN)],Tab_Def_Flows[WC?],,0,)</f>
        <v>0</v>
      </c>
      <c r="K199" s="49">
        <f>_xlfn.XLOOKUP(C199,Tab_Def_Flows[Name(EN)],Tab_Def_Flows[DM?],,0,)</f>
        <v>0</v>
      </c>
      <c r="L199" s="49">
        <f>_xlfn.XLOOKUP(C199,Tab_Def_Flows[Name(EN)],Tab_Def_Flows[CC?],,0,)</f>
        <v>0</v>
      </c>
      <c r="M199" s="51"/>
      <c r="N199" s="51"/>
      <c r="O199" s="88"/>
      <c r="P199" s="51"/>
      <c r="Q199" s="51"/>
      <c r="R199" s="51"/>
      <c r="S199" s="69"/>
      <c r="T199" s="51"/>
      <c r="U199" s="51"/>
      <c r="V199" s="51"/>
      <c r="W199" s="51"/>
      <c r="X199" s="51"/>
      <c r="Y199" s="109"/>
      <c r="Z199" s="51"/>
      <c r="AA199" s="89">
        <f t="shared" si="34"/>
        <v>0</v>
      </c>
      <c r="AB199" s="51" t="s">
        <v>63</v>
      </c>
      <c r="AC199" s="114" t="e">
        <f>INDEX(Tab_Def_Flows[[Flow_ID]:[CC_DM_source]],MATCH(Tab_Data_Flows[[#This Row],[Name(EN)]],Tab_Def_Flows[Name(EN)],0),16)</f>
        <v>#N/A</v>
      </c>
      <c r="AD199" s="115" t="str">
        <f>IF(J199="Yes",AA199*Tab_Data_Flows[[#This Row],[WC_'[%']]],"N.A.")</f>
        <v>N.A.</v>
      </c>
      <c r="AE199" s="61" t="str">
        <f>Tab_Data_Flows[[#This Row],[UoM_Flow_Py]]</f>
        <v>Mg</v>
      </c>
      <c r="AF199" s="114" t="e">
        <f>INDEX(Tab_Def_Flows[[Flow_ID]:[CC_DM_source]],MATCH(Tab_Data_Flows[[#This Row],[Name(EN)]],Tab_Def_Flows[Name(EN)],0),18)</f>
        <v>#N/A</v>
      </c>
      <c r="AG199" s="115" t="str">
        <f>IF(K199="Yes",AF199*Tab_Data_Flows[[#This Row],[Flow_Py]],"N.A.")</f>
        <v>N.A.</v>
      </c>
      <c r="AH199" s="61" t="str">
        <f>Tab_Data_Flows[[#This Row],[UoM_Flow_Py]]</f>
        <v>Mg</v>
      </c>
      <c r="AI199" s="114" t="e">
        <f>INDEX(Tab_Def_Flows[[Flow_ID]:[CC_DM_source]],MATCH(Tab_Data_Flows[[#This Row],[Name(EN)]],Tab_Def_Flows[Name(EN)],0),20)</f>
        <v>#N/A</v>
      </c>
      <c r="AJ199" s="115" t="str">
        <f>IF(L199="Yes",AI199*Tab_Data_Flows[[#This Row],[Flow_Py]],"N.A.")</f>
        <v>N.A.</v>
      </c>
      <c r="AK199" s="61" t="str">
        <f>Tab_Data_Flows[[#This Row],[UoM_Flow_Py]]</f>
        <v>Mg</v>
      </c>
    </row>
    <row r="200" spans="1:37" x14ac:dyDescent="0.35">
      <c r="A200" s="60">
        <f t="shared" si="33"/>
        <v>199</v>
      </c>
      <c r="B200" s="49" t="str">
        <f>_xlfn.XLOOKUP(C200,Tab_Def_Flows[Name(EN)],Tab_Def_Flows[Flow_ID],,0,)</f>
        <v>F_21_21</v>
      </c>
      <c r="C200" s="51"/>
      <c r="D200" s="49">
        <f>_xlfn.XLOOKUP(C200,Tab_Def_Flows[Name(EN)],Tab_Def_Flows[Type_Biomass],,0,)</f>
        <v>0</v>
      </c>
      <c r="E200" s="49">
        <f>_xlfn.XLOOKUP(C200,Tab_Def_Flows[Name(EN)],Tab_Def_Flows[Output_Process],,0,)</f>
        <v>0</v>
      </c>
      <c r="F200" s="49" t="str">
        <f>_xlfn.XLOOKUP(C200,Tab_Def_Flows[Name(EN)],Tab_Def_Flows[Process_ID_O],,0,)</f>
        <v>21__</v>
      </c>
      <c r="G200" s="49">
        <f>_xlfn.XLOOKUP(C200,Tab_Def_Flows[Name(EN)],Tab_Def_Flows[Input_Process],,0,)</f>
        <v>0</v>
      </c>
      <c r="H200" s="61" t="str">
        <f>_xlfn.XLOOKUP(C200,Tab_Def_Flows[Name(EN)],Tab_Def_Flows[Process_ID_I],,0,)</f>
        <v>21__</v>
      </c>
      <c r="I200" s="49">
        <f>_xlfn.XLOOKUP(C200,Tab_Def_Flows[Name(EN)],Tab_Def_Flows[Value_Source],,0,)</f>
        <v>0</v>
      </c>
      <c r="J200" s="49">
        <f>_xlfn.XLOOKUP(C200,Tab_Def_Flows[Name(EN)],Tab_Def_Flows[WC?],,0,)</f>
        <v>0</v>
      </c>
      <c r="K200" s="49">
        <f>_xlfn.XLOOKUP(C200,Tab_Def_Flows[Name(EN)],Tab_Def_Flows[DM?],,0,)</f>
        <v>0</v>
      </c>
      <c r="L200" s="49">
        <f>_xlfn.XLOOKUP(C200,Tab_Def_Flows[Name(EN)],Tab_Def_Flows[CC?],,0,)</f>
        <v>0</v>
      </c>
      <c r="M200" s="51"/>
      <c r="N200" s="51"/>
      <c r="O200" s="88"/>
      <c r="P200" s="51"/>
      <c r="Q200" s="51"/>
      <c r="R200" s="51"/>
      <c r="S200" s="69"/>
      <c r="T200" s="51"/>
      <c r="U200" s="51"/>
      <c r="V200" s="51"/>
      <c r="W200" s="51"/>
      <c r="X200" s="51"/>
      <c r="Y200" s="109"/>
      <c r="Z200" s="51"/>
      <c r="AA200" s="89">
        <f t="shared" si="34"/>
        <v>0</v>
      </c>
      <c r="AB200" s="51" t="s">
        <v>63</v>
      </c>
      <c r="AC200" s="114" t="e">
        <f>INDEX(Tab_Def_Flows[[Flow_ID]:[CC_DM_source]],MATCH(Tab_Data_Flows[[#This Row],[Name(EN)]],Tab_Def_Flows[Name(EN)],0),16)</f>
        <v>#N/A</v>
      </c>
      <c r="AD200" s="115" t="str">
        <f>IF(J200="Yes",AA200*Tab_Data_Flows[[#This Row],[WC_'[%']]],"N.A.")</f>
        <v>N.A.</v>
      </c>
      <c r="AE200" s="61" t="str">
        <f>Tab_Data_Flows[[#This Row],[UoM_Flow_Py]]</f>
        <v>Mg</v>
      </c>
      <c r="AF200" s="114" t="e">
        <f>INDEX(Tab_Def_Flows[[Flow_ID]:[CC_DM_source]],MATCH(Tab_Data_Flows[[#This Row],[Name(EN)]],Tab_Def_Flows[Name(EN)],0),18)</f>
        <v>#N/A</v>
      </c>
      <c r="AG200" s="115" t="str">
        <f>IF(K200="Yes",AF200*Tab_Data_Flows[[#This Row],[Flow_Py]],"N.A.")</f>
        <v>N.A.</v>
      </c>
      <c r="AH200" s="61" t="str">
        <f>Tab_Data_Flows[[#This Row],[UoM_Flow_Py]]</f>
        <v>Mg</v>
      </c>
      <c r="AI200" s="114" t="e">
        <f>INDEX(Tab_Def_Flows[[Flow_ID]:[CC_DM_source]],MATCH(Tab_Data_Flows[[#This Row],[Name(EN)]],Tab_Def_Flows[Name(EN)],0),20)</f>
        <v>#N/A</v>
      </c>
      <c r="AJ200" s="115" t="str">
        <f>IF(L200="Yes",AI200*Tab_Data_Flows[[#This Row],[Flow_Py]],"N.A.")</f>
        <v>N.A.</v>
      </c>
      <c r="AK200" s="61" t="str">
        <f>Tab_Data_Flows[[#This Row],[UoM_Flow_Py]]</f>
        <v>Mg</v>
      </c>
    </row>
    <row r="201" spans="1:37" x14ac:dyDescent="0.35">
      <c r="A201" s="60">
        <f t="shared" si="33"/>
        <v>200</v>
      </c>
      <c r="B201" s="49" t="str">
        <f>_xlfn.XLOOKUP(C201,Tab_Def_Flows[Name(EN)],Tab_Def_Flows[Flow_ID],,0,)</f>
        <v>F_21_21</v>
      </c>
      <c r="C201" s="51"/>
      <c r="D201" s="49">
        <f>_xlfn.XLOOKUP(C201,Tab_Def_Flows[Name(EN)],Tab_Def_Flows[Type_Biomass],,0,)</f>
        <v>0</v>
      </c>
      <c r="E201" s="49">
        <f>_xlfn.XLOOKUP(C201,Tab_Def_Flows[Name(EN)],Tab_Def_Flows[Output_Process],,0,)</f>
        <v>0</v>
      </c>
      <c r="F201" s="49" t="str">
        <f>_xlfn.XLOOKUP(C201,Tab_Def_Flows[Name(EN)],Tab_Def_Flows[Process_ID_O],,0,)</f>
        <v>21__</v>
      </c>
      <c r="G201" s="49">
        <f>_xlfn.XLOOKUP(C201,Tab_Def_Flows[Name(EN)],Tab_Def_Flows[Input_Process],,0,)</f>
        <v>0</v>
      </c>
      <c r="H201" s="61" t="str">
        <f>_xlfn.XLOOKUP(C201,Tab_Def_Flows[Name(EN)],Tab_Def_Flows[Process_ID_I],,0,)</f>
        <v>21__</v>
      </c>
      <c r="I201" s="49">
        <f>_xlfn.XLOOKUP(C201,Tab_Def_Flows[Name(EN)],Tab_Def_Flows[Value_Source],,0,)</f>
        <v>0</v>
      </c>
      <c r="J201" s="49">
        <f>_xlfn.XLOOKUP(C201,Tab_Def_Flows[Name(EN)],Tab_Def_Flows[WC?],,0,)</f>
        <v>0</v>
      </c>
      <c r="K201" s="49">
        <f>_xlfn.XLOOKUP(C201,Tab_Def_Flows[Name(EN)],Tab_Def_Flows[DM?],,0,)</f>
        <v>0</v>
      </c>
      <c r="L201" s="49">
        <f>_xlfn.XLOOKUP(C201,Tab_Def_Flows[Name(EN)],Tab_Def_Flows[CC?],,0,)</f>
        <v>0</v>
      </c>
      <c r="M201" s="51"/>
      <c r="N201" s="51"/>
      <c r="O201" s="88"/>
      <c r="P201" s="51"/>
      <c r="Q201" s="51"/>
      <c r="R201" s="51"/>
      <c r="S201" s="69"/>
      <c r="T201" s="51"/>
      <c r="U201" s="51"/>
      <c r="V201" s="51"/>
      <c r="W201" s="51"/>
      <c r="X201" s="51"/>
      <c r="Y201" s="109"/>
      <c r="Z201" s="51"/>
      <c r="AA201" s="89">
        <f t="shared" si="34"/>
        <v>0</v>
      </c>
      <c r="AB201" s="51" t="s">
        <v>63</v>
      </c>
      <c r="AC201" s="114" t="e">
        <f>INDEX(Tab_Def_Flows[[Flow_ID]:[CC_DM_source]],MATCH(Tab_Data_Flows[[#This Row],[Name(EN)]],Tab_Def_Flows[Name(EN)],0),16)</f>
        <v>#N/A</v>
      </c>
      <c r="AD201" s="115" t="str">
        <f>IF(J201="Yes",AA201*Tab_Data_Flows[[#This Row],[WC_'[%']]],"N.A.")</f>
        <v>N.A.</v>
      </c>
      <c r="AE201" s="61" t="str">
        <f>Tab_Data_Flows[[#This Row],[UoM_Flow_Py]]</f>
        <v>Mg</v>
      </c>
      <c r="AF201" s="114" t="e">
        <f>INDEX(Tab_Def_Flows[[Flow_ID]:[CC_DM_source]],MATCH(Tab_Data_Flows[[#This Row],[Name(EN)]],Tab_Def_Flows[Name(EN)],0),18)</f>
        <v>#N/A</v>
      </c>
      <c r="AG201" s="115" t="str">
        <f>IF(K201="Yes",AF201*Tab_Data_Flows[[#This Row],[Flow_Py]],"N.A.")</f>
        <v>N.A.</v>
      </c>
      <c r="AH201" s="61" t="str">
        <f>Tab_Data_Flows[[#This Row],[UoM_Flow_Py]]</f>
        <v>Mg</v>
      </c>
      <c r="AI201" s="114" t="e">
        <f>INDEX(Tab_Def_Flows[[Flow_ID]:[CC_DM_source]],MATCH(Tab_Data_Flows[[#This Row],[Name(EN)]],Tab_Def_Flows[Name(EN)],0),20)</f>
        <v>#N/A</v>
      </c>
      <c r="AJ201" s="115" t="str">
        <f>IF(L201="Yes",AI201*Tab_Data_Flows[[#This Row],[Flow_Py]],"N.A.")</f>
        <v>N.A.</v>
      </c>
      <c r="AK201" s="61" t="str">
        <f>Tab_Data_Flows[[#This Row],[UoM_Flow_Py]]</f>
        <v>Mg</v>
      </c>
    </row>
    <row r="202" spans="1:37" x14ac:dyDescent="0.35">
      <c r="A202" s="60">
        <f t="shared" si="33"/>
        <v>201</v>
      </c>
      <c r="B202" s="49" t="str">
        <f>_xlfn.XLOOKUP(C202,Tab_Def_Flows[Name(EN)],Tab_Def_Flows[Flow_ID],,0,)</f>
        <v>F_21_21</v>
      </c>
      <c r="C202" s="51"/>
      <c r="D202" s="49">
        <f>_xlfn.XLOOKUP(C202,Tab_Def_Flows[Name(EN)],Tab_Def_Flows[Type_Biomass],,0,)</f>
        <v>0</v>
      </c>
      <c r="E202" s="49">
        <f>_xlfn.XLOOKUP(C202,Tab_Def_Flows[Name(EN)],Tab_Def_Flows[Output_Process],,0,)</f>
        <v>0</v>
      </c>
      <c r="F202" s="49" t="str">
        <f>_xlfn.XLOOKUP(C202,Tab_Def_Flows[Name(EN)],Tab_Def_Flows[Process_ID_O],,0,)</f>
        <v>21__</v>
      </c>
      <c r="G202" s="49">
        <f>_xlfn.XLOOKUP(C202,Tab_Def_Flows[Name(EN)],Tab_Def_Flows[Input_Process],,0,)</f>
        <v>0</v>
      </c>
      <c r="H202" s="61" t="str">
        <f>_xlfn.XLOOKUP(C202,Tab_Def_Flows[Name(EN)],Tab_Def_Flows[Process_ID_I],,0,)</f>
        <v>21__</v>
      </c>
      <c r="I202" s="49">
        <f>_xlfn.XLOOKUP(C202,Tab_Def_Flows[Name(EN)],Tab_Def_Flows[Value_Source],,0,)</f>
        <v>0</v>
      </c>
      <c r="J202" s="49">
        <f>_xlfn.XLOOKUP(C202,Tab_Def_Flows[Name(EN)],Tab_Def_Flows[WC?],,0,)</f>
        <v>0</v>
      </c>
      <c r="K202" s="49">
        <f>_xlfn.XLOOKUP(C202,Tab_Def_Flows[Name(EN)],Tab_Def_Flows[DM?],,0,)</f>
        <v>0</v>
      </c>
      <c r="L202" s="49">
        <f>_xlfn.XLOOKUP(C202,Tab_Def_Flows[Name(EN)],Tab_Def_Flows[CC?],,0,)</f>
        <v>0</v>
      </c>
      <c r="M202" s="51"/>
      <c r="N202" s="51"/>
      <c r="O202" s="88"/>
      <c r="P202" s="51"/>
      <c r="Q202" s="51"/>
      <c r="R202" s="51"/>
      <c r="S202" s="69"/>
      <c r="T202" s="51"/>
      <c r="U202" s="51"/>
      <c r="V202" s="51"/>
      <c r="W202" s="51"/>
      <c r="X202" s="51"/>
      <c r="Y202" s="109"/>
      <c r="Z202" s="51"/>
      <c r="AA202" s="89">
        <f t="shared" si="34"/>
        <v>0</v>
      </c>
      <c r="AB202" s="51" t="s">
        <v>63</v>
      </c>
      <c r="AC202" s="114" t="e">
        <f>INDEX(Tab_Def_Flows[[Flow_ID]:[CC_DM_source]],MATCH(Tab_Data_Flows[[#This Row],[Name(EN)]],Tab_Def_Flows[Name(EN)],0),16)</f>
        <v>#N/A</v>
      </c>
      <c r="AD202" s="115" t="str">
        <f>IF(J202="Yes",AA202*Tab_Data_Flows[[#This Row],[WC_'[%']]],"N.A.")</f>
        <v>N.A.</v>
      </c>
      <c r="AE202" s="61" t="str">
        <f>Tab_Data_Flows[[#This Row],[UoM_Flow_Py]]</f>
        <v>Mg</v>
      </c>
      <c r="AF202" s="114" t="e">
        <f>INDEX(Tab_Def_Flows[[Flow_ID]:[CC_DM_source]],MATCH(Tab_Data_Flows[[#This Row],[Name(EN)]],Tab_Def_Flows[Name(EN)],0),18)</f>
        <v>#N/A</v>
      </c>
      <c r="AG202" s="115" t="str">
        <f>IF(K202="Yes",AF202*Tab_Data_Flows[[#This Row],[Flow_Py]],"N.A.")</f>
        <v>N.A.</v>
      </c>
      <c r="AH202" s="61" t="str">
        <f>Tab_Data_Flows[[#This Row],[UoM_Flow_Py]]</f>
        <v>Mg</v>
      </c>
      <c r="AI202" s="114" t="e">
        <f>INDEX(Tab_Def_Flows[[Flow_ID]:[CC_DM_source]],MATCH(Tab_Data_Flows[[#This Row],[Name(EN)]],Tab_Def_Flows[Name(EN)],0),20)</f>
        <v>#N/A</v>
      </c>
      <c r="AJ202" s="115" t="str">
        <f>IF(L202="Yes",AI202*Tab_Data_Flows[[#This Row],[Flow_Py]],"N.A.")</f>
        <v>N.A.</v>
      </c>
      <c r="AK202" s="61" t="str">
        <f>Tab_Data_Flows[[#This Row],[UoM_Flow_Py]]</f>
        <v>Mg</v>
      </c>
    </row>
    <row r="203" spans="1:37" x14ac:dyDescent="0.35">
      <c r="A203" s="60">
        <f t="shared" si="33"/>
        <v>202</v>
      </c>
      <c r="B203" s="49" t="str">
        <f>_xlfn.XLOOKUP(C203,Tab_Def_Flows[Name(EN)],Tab_Def_Flows[Flow_ID],,0,)</f>
        <v>F_21_21</v>
      </c>
      <c r="C203" s="51"/>
      <c r="D203" s="49">
        <f>_xlfn.XLOOKUP(C203,Tab_Def_Flows[Name(EN)],Tab_Def_Flows[Type_Biomass],,0,)</f>
        <v>0</v>
      </c>
      <c r="E203" s="49">
        <f>_xlfn.XLOOKUP(C203,Tab_Def_Flows[Name(EN)],Tab_Def_Flows[Output_Process],,0,)</f>
        <v>0</v>
      </c>
      <c r="F203" s="49" t="str">
        <f>_xlfn.XLOOKUP(C203,Tab_Def_Flows[Name(EN)],Tab_Def_Flows[Process_ID_O],,0,)</f>
        <v>21__</v>
      </c>
      <c r="G203" s="49">
        <f>_xlfn.XLOOKUP(C203,Tab_Def_Flows[Name(EN)],Tab_Def_Flows[Input_Process],,0,)</f>
        <v>0</v>
      </c>
      <c r="H203" s="61" t="str">
        <f>_xlfn.XLOOKUP(C203,Tab_Def_Flows[Name(EN)],Tab_Def_Flows[Process_ID_I],,0,)</f>
        <v>21__</v>
      </c>
      <c r="I203" s="49">
        <f>_xlfn.XLOOKUP(C203,Tab_Def_Flows[Name(EN)],Tab_Def_Flows[Value_Source],,0,)</f>
        <v>0</v>
      </c>
      <c r="J203" s="49">
        <f>_xlfn.XLOOKUP(C203,Tab_Def_Flows[Name(EN)],Tab_Def_Flows[WC?],,0,)</f>
        <v>0</v>
      </c>
      <c r="K203" s="49">
        <f>_xlfn.XLOOKUP(C203,Tab_Def_Flows[Name(EN)],Tab_Def_Flows[DM?],,0,)</f>
        <v>0</v>
      </c>
      <c r="L203" s="49">
        <f>_xlfn.XLOOKUP(C203,Tab_Def_Flows[Name(EN)],Tab_Def_Flows[CC?],,0,)</f>
        <v>0</v>
      </c>
      <c r="M203" s="51"/>
      <c r="N203" s="51"/>
      <c r="O203" s="88"/>
      <c r="P203" s="51"/>
      <c r="Q203" s="51"/>
      <c r="R203" s="51"/>
      <c r="S203" s="69"/>
      <c r="T203" s="51"/>
      <c r="U203" s="51"/>
      <c r="V203" s="51"/>
      <c r="W203" s="51"/>
      <c r="X203" s="51"/>
      <c r="Y203" s="109"/>
      <c r="Z203" s="51"/>
      <c r="AA203" s="89">
        <f t="shared" si="34"/>
        <v>0</v>
      </c>
      <c r="AB203" s="51" t="s">
        <v>63</v>
      </c>
      <c r="AC203" s="114" t="e">
        <f>INDEX(Tab_Def_Flows[[Flow_ID]:[CC_DM_source]],MATCH(Tab_Data_Flows[[#This Row],[Name(EN)]],Tab_Def_Flows[Name(EN)],0),16)</f>
        <v>#N/A</v>
      </c>
      <c r="AD203" s="115" t="str">
        <f>IF(J203="Yes",AA203*Tab_Data_Flows[[#This Row],[WC_'[%']]],"N.A.")</f>
        <v>N.A.</v>
      </c>
      <c r="AE203" s="61" t="str">
        <f>Tab_Data_Flows[[#This Row],[UoM_Flow_Py]]</f>
        <v>Mg</v>
      </c>
      <c r="AF203" s="114" t="e">
        <f>INDEX(Tab_Def_Flows[[Flow_ID]:[CC_DM_source]],MATCH(Tab_Data_Flows[[#This Row],[Name(EN)]],Tab_Def_Flows[Name(EN)],0),18)</f>
        <v>#N/A</v>
      </c>
      <c r="AG203" s="115" t="str">
        <f>IF(K203="Yes",AF203*Tab_Data_Flows[[#This Row],[Flow_Py]],"N.A.")</f>
        <v>N.A.</v>
      </c>
      <c r="AH203" s="61" t="str">
        <f>Tab_Data_Flows[[#This Row],[UoM_Flow_Py]]</f>
        <v>Mg</v>
      </c>
      <c r="AI203" s="114" t="e">
        <f>INDEX(Tab_Def_Flows[[Flow_ID]:[CC_DM_source]],MATCH(Tab_Data_Flows[[#This Row],[Name(EN)]],Tab_Def_Flows[Name(EN)],0),20)</f>
        <v>#N/A</v>
      </c>
      <c r="AJ203" s="115" t="str">
        <f>IF(L203="Yes",AI203*Tab_Data_Flows[[#This Row],[Flow_Py]],"N.A.")</f>
        <v>N.A.</v>
      </c>
      <c r="AK203" s="61" t="str">
        <f>Tab_Data_Flows[[#This Row],[UoM_Flow_Py]]</f>
        <v>Mg</v>
      </c>
    </row>
    <row r="204" spans="1:37" x14ac:dyDescent="0.35">
      <c r="A204" s="60">
        <f t="shared" si="33"/>
        <v>203</v>
      </c>
      <c r="B204" s="49" t="str">
        <f>_xlfn.XLOOKUP(C204,Tab_Def_Flows[Name(EN)],Tab_Def_Flows[Flow_ID],,0,)</f>
        <v>F_21_21</v>
      </c>
      <c r="C204" s="51"/>
      <c r="D204" s="49">
        <f>_xlfn.XLOOKUP(C204,Tab_Def_Flows[Name(EN)],Tab_Def_Flows[Type_Biomass],,0,)</f>
        <v>0</v>
      </c>
      <c r="E204" s="49">
        <f>_xlfn.XLOOKUP(C204,Tab_Def_Flows[Name(EN)],Tab_Def_Flows[Output_Process],,0,)</f>
        <v>0</v>
      </c>
      <c r="F204" s="49" t="str">
        <f>_xlfn.XLOOKUP(C204,Tab_Def_Flows[Name(EN)],Tab_Def_Flows[Process_ID_O],,0,)</f>
        <v>21__</v>
      </c>
      <c r="G204" s="49">
        <f>_xlfn.XLOOKUP(C204,Tab_Def_Flows[Name(EN)],Tab_Def_Flows[Input_Process],,0,)</f>
        <v>0</v>
      </c>
      <c r="H204" s="61" t="str">
        <f>_xlfn.XLOOKUP(C204,Tab_Def_Flows[Name(EN)],Tab_Def_Flows[Process_ID_I],,0,)</f>
        <v>21__</v>
      </c>
      <c r="I204" s="49">
        <f>_xlfn.XLOOKUP(C204,Tab_Def_Flows[Name(EN)],Tab_Def_Flows[Value_Source],,0,)</f>
        <v>0</v>
      </c>
      <c r="J204" s="49">
        <f>_xlfn.XLOOKUP(C204,Tab_Def_Flows[Name(EN)],Tab_Def_Flows[WC?],,0,)</f>
        <v>0</v>
      </c>
      <c r="K204" s="49">
        <f>_xlfn.XLOOKUP(C204,Tab_Def_Flows[Name(EN)],Tab_Def_Flows[DM?],,0,)</f>
        <v>0</v>
      </c>
      <c r="L204" s="49">
        <f>_xlfn.XLOOKUP(C204,Tab_Def_Flows[Name(EN)],Tab_Def_Flows[CC?],,0,)</f>
        <v>0</v>
      </c>
      <c r="M204" s="51"/>
      <c r="N204" s="51"/>
      <c r="O204" s="88"/>
      <c r="P204" s="51"/>
      <c r="Q204" s="51"/>
      <c r="R204" s="51"/>
      <c r="S204" s="69"/>
      <c r="T204" s="51"/>
      <c r="U204" s="51"/>
      <c r="V204" s="51"/>
      <c r="W204" s="51"/>
      <c r="X204" s="51"/>
      <c r="Y204" s="109"/>
      <c r="Z204" s="51"/>
      <c r="AA204" s="89">
        <f t="shared" si="34"/>
        <v>0</v>
      </c>
      <c r="AB204" s="51" t="s">
        <v>63</v>
      </c>
      <c r="AC204" s="114" t="e">
        <f>INDEX(Tab_Def_Flows[[Flow_ID]:[CC_DM_source]],MATCH(Tab_Data_Flows[[#This Row],[Name(EN)]],Tab_Def_Flows[Name(EN)],0),16)</f>
        <v>#N/A</v>
      </c>
      <c r="AD204" s="115" t="str">
        <f>IF(J204="Yes",AA204*Tab_Data_Flows[[#This Row],[WC_'[%']]],"N.A.")</f>
        <v>N.A.</v>
      </c>
      <c r="AE204" s="61" t="str">
        <f>Tab_Data_Flows[[#This Row],[UoM_Flow_Py]]</f>
        <v>Mg</v>
      </c>
      <c r="AF204" s="114" t="e">
        <f>INDEX(Tab_Def_Flows[[Flow_ID]:[CC_DM_source]],MATCH(Tab_Data_Flows[[#This Row],[Name(EN)]],Tab_Def_Flows[Name(EN)],0),18)</f>
        <v>#N/A</v>
      </c>
      <c r="AG204" s="115" t="str">
        <f>IF(K204="Yes",AF204*Tab_Data_Flows[[#This Row],[Flow_Py]],"N.A.")</f>
        <v>N.A.</v>
      </c>
      <c r="AH204" s="61" t="str">
        <f>Tab_Data_Flows[[#This Row],[UoM_Flow_Py]]</f>
        <v>Mg</v>
      </c>
      <c r="AI204" s="114" t="e">
        <f>INDEX(Tab_Def_Flows[[Flow_ID]:[CC_DM_source]],MATCH(Tab_Data_Flows[[#This Row],[Name(EN)]],Tab_Def_Flows[Name(EN)],0),20)</f>
        <v>#N/A</v>
      </c>
      <c r="AJ204" s="115" t="str">
        <f>IF(L204="Yes",AI204*Tab_Data_Flows[[#This Row],[Flow_Py]],"N.A.")</f>
        <v>N.A.</v>
      </c>
      <c r="AK204" s="61" t="str">
        <f>Tab_Data_Flows[[#This Row],[UoM_Flow_Py]]</f>
        <v>Mg</v>
      </c>
    </row>
    <row r="205" spans="1:37" x14ac:dyDescent="0.35">
      <c r="A205" s="60">
        <f t="shared" si="33"/>
        <v>204</v>
      </c>
      <c r="B205" s="49" t="str">
        <f>_xlfn.XLOOKUP(C205,Tab_Def_Flows[Name(EN)],Tab_Def_Flows[Flow_ID],,0,)</f>
        <v>F_21_21</v>
      </c>
      <c r="C205" s="51"/>
      <c r="D205" s="49">
        <f>_xlfn.XLOOKUP(C205,Tab_Def_Flows[Name(EN)],Tab_Def_Flows[Type_Biomass],,0,)</f>
        <v>0</v>
      </c>
      <c r="E205" s="49">
        <f>_xlfn.XLOOKUP(C205,Tab_Def_Flows[Name(EN)],Tab_Def_Flows[Output_Process],,0,)</f>
        <v>0</v>
      </c>
      <c r="F205" s="49" t="str">
        <f>_xlfn.XLOOKUP(C205,Tab_Def_Flows[Name(EN)],Tab_Def_Flows[Process_ID_O],,0,)</f>
        <v>21__</v>
      </c>
      <c r="G205" s="49">
        <f>_xlfn.XLOOKUP(C205,Tab_Def_Flows[Name(EN)],Tab_Def_Flows[Input_Process],,0,)</f>
        <v>0</v>
      </c>
      <c r="H205" s="61" t="str">
        <f>_xlfn.XLOOKUP(C205,Tab_Def_Flows[Name(EN)],Tab_Def_Flows[Process_ID_I],,0,)</f>
        <v>21__</v>
      </c>
      <c r="I205" s="49">
        <f>_xlfn.XLOOKUP(C205,Tab_Def_Flows[Name(EN)],Tab_Def_Flows[Value_Source],,0,)</f>
        <v>0</v>
      </c>
      <c r="J205" s="49">
        <f>_xlfn.XLOOKUP(C205,Tab_Def_Flows[Name(EN)],Tab_Def_Flows[WC?],,0,)</f>
        <v>0</v>
      </c>
      <c r="K205" s="49">
        <f>_xlfn.XLOOKUP(C205,Tab_Def_Flows[Name(EN)],Tab_Def_Flows[DM?],,0,)</f>
        <v>0</v>
      </c>
      <c r="L205" s="49">
        <f>_xlfn.XLOOKUP(C205,Tab_Def_Flows[Name(EN)],Tab_Def_Flows[CC?],,0,)</f>
        <v>0</v>
      </c>
      <c r="M205" s="51"/>
      <c r="N205" s="51"/>
      <c r="O205" s="88"/>
      <c r="P205" s="51"/>
      <c r="Q205" s="51"/>
      <c r="R205" s="51"/>
      <c r="S205" s="69"/>
      <c r="T205" s="51"/>
      <c r="U205" s="51"/>
      <c r="V205" s="51"/>
      <c r="W205" s="51"/>
      <c r="X205" s="51"/>
      <c r="Y205" s="109"/>
      <c r="Z205" s="51"/>
      <c r="AA205" s="89">
        <f t="shared" si="34"/>
        <v>0</v>
      </c>
      <c r="AB205" s="51" t="s">
        <v>63</v>
      </c>
      <c r="AC205" s="114" t="e">
        <f>INDEX(Tab_Def_Flows[[Flow_ID]:[CC_DM_source]],MATCH(Tab_Data_Flows[[#This Row],[Name(EN)]],Tab_Def_Flows[Name(EN)],0),16)</f>
        <v>#N/A</v>
      </c>
      <c r="AD205" s="115" t="str">
        <f>IF(J205="Yes",AA205*Tab_Data_Flows[[#This Row],[WC_'[%']]],"N.A.")</f>
        <v>N.A.</v>
      </c>
      <c r="AE205" s="61" t="str">
        <f>Tab_Data_Flows[[#This Row],[UoM_Flow_Py]]</f>
        <v>Mg</v>
      </c>
      <c r="AF205" s="114" t="e">
        <f>INDEX(Tab_Def_Flows[[Flow_ID]:[CC_DM_source]],MATCH(Tab_Data_Flows[[#This Row],[Name(EN)]],Tab_Def_Flows[Name(EN)],0),18)</f>
        <v>#N/A</v>
      </c>
      <c r="AG205" s="115" t="str">
        <f>IF(K205="Yes",AF205*Tab_Data_Flows[[#This Row],[Flow_Py]],"N.A.")</f>
        <v>N.A.</v>
      </c>
      <c r="AH205" s="61" t="str">
        <f>Tab_Data_Flows[[#This Row],[UoM_Flow_Py]]</f>
        <v>Mg</v>
      </c>
      <c r="AI205" s="114" t="e">
        <f>INDEX(Tab_Def_Flows[[Flow_ID]:[CC_DM_source]],MATCH(Tab_Data_Flows[[#This Row],[Name(EN)]],Tab_Def_Flows[Name(EN)],0),20)</f>
        <v>#N/A</v>
      </c>
      <c r="AJ205" s="115" t="str">
        <f>IF(L205="Yes",AI205*Tab_Data_Flows[[#This Row],[Flow_Py]],"N.A.")</f>
        <v>N.A.</v>
      </c>
      <c r="AK205" s="61" t="str">
        <f>Tab_Data_Flows[[#This Row],[UoM_Flow_Py]]</f>
        <v>Mg</v>
      </c>
    </row>
    <row r="206" spans="1:37" x14ac:dyDescent="0.35">
      <c r="A206" s="60">
        <f t="shared" si="33"/>
        <v>205</v>
      </c>
      <c r="B206" s="49" t="str">
        <f>_xlfn.XLOOKUP(C206,Tab_Def_Flows[Name(EN)],Tab_Def_Flows[Flow_ID],,0,)</f>
        <v>F_21_21</v>
      </c>
      <c r="C206" s="51"/>
      <c r="D206" s="49">
        <f>_xlfn.XLOOKUP(C206,Tab_Def_Flows[Name(EN)],Tab_Def_Flows[Type_Biomass],,0,)</f>
        <v>0</v>
      </c>
      <c r="E206" s="49">
        <f>_xlfn.XLOOKUP(C206,Tab_Def_Flows[Name(EN)],Tab_Def_Flows[Output_Process],,0,)</f>
        <v>0</v>
      </c>
      <c r="F206" s="49" t="str">
        <f>_xlfn.XLOOKUP(C206,Tab_Def_Flows[Name(EN)],Tab_Def_Flows[Process_ID_O],,0,)</f>
        <v>21__</v>
      </c>
      <c r="G206" s="49">
        <f>_xlfn.XLOOKUP(C206,Tab_Def_Flows[Name(EN)],Tab_Def_Flows[Input_Process],,0,)</f>
        <v>0</v>
      </c>
      <c r="H206" s="61" t="str">
        <f>_xlfn.XLOOKUP(C206,Tab_Def_Flows[Name(EN)],Tab_Def_Flows[Process_ID_I],,0,)</f>
        <v>21__</v>
      </c>
      <c r="I206" s="49">
        <f>_xlfn.XLOOKUP(C206,Tab_Def_Flows[Name(EN)],Tab_Def_Flows[Value_Source],,0,)</f>
        <v>0</v>
      </c>
      <c r="J206" s="49">
        <f>_xlfn.XLOOKUP(C206,Tab_Def_Flows[Name(EN)],Tab_Def_Flows[WC?],,0,)</f>
        <v>0</v>
      </c>
      <c r="K206" s="49">
        <f>_xlfn.XLOOKUP(C206,Tab_Def_Flows[Name(EN)],Tab_Def_Flows[DM?],,0,)</f>
        <v>0</v>
      </c>
      <c r="L206" s="49">
        <f>_xlfn.XLOOKUP(C206,Tab_Def_Flows[Name(EN)],Tab_Def_Flows[CC?],,0,)</f>
        <v>0</v>
      </c>
      <c r="M206" s="51"/>
      <c r="N206" s="51"/>
      <c r="O206" s="88"/>
      <c r="P206" s="51"/>
      <c r="Q206" s="51"/>
      <c r="R206" s="51"/>
      <c r="S206" s="69"/>
      <c r="T206" s="51"/>
      <c r="U206" s="51"/>
      <c r="V206" s="51"/>
      <c r="W206" s="51"/>
      <c r="X206" s="51"/>
      <c r="Y206" s="109"/>
      <c r="Z206" s="51"/>
      <c r="AA206" s="89">
        <f t="shared" si="34"/>
        <v>0</v>
      </c>
      <c r="AB206" s="51" t="s">
        <v>63</v>
      </c>
      <c r="AC206" s="114" t="e">
        <f>INDEX(Tab_Def_Flows[[Flow_ID]:[CC_DM_source]],MATCH(Tab_Data_Flows[[#This Row],[Name(EN)]],Tab_Def_Flows[Name(EN)],0),16)</f>
        <v>#N/A</v>
      </c>
      <c r="AD206" s="115" t="str">
        <f>IF(J206="Yes",AA206*Tab_Data_Flows[[#This Row],[WC_'[%']]],"N.A.")</f>
        <v>N.A.</v>
      </c>
      <c r="AE206" s="61" t="str">
        <f>Tab_Data_Flows[[#This Row],[UoM_Flow_Py]]</f>
        <v>Mg</v>
      </c>
      <c r="AF206" s="114" t="e">
        <f>INDEX(Tab_Def_Flows[[Flow_ID]:[CC_DM_source]],MATCH(Tab_Data_Flows[[#This Row],[Name(EN)]],Tab_Def_Flows[Name(EN)],0),18)</f>
        <v>#N/A</v>
      </c>
      <c r="AG206" s="115" t="str">
        <f>IF(K206="Yes",AF206*Tab_Data_Flows[[#This Row],[Flow_Py]],"N.A.")</f>
        <v>N.A.</v>
      </c>
      <c r="AH206" s="61" t="str">
        <f>Tab_Data_Flows[[#This Row],[UoM_Flow_Py]]</f>
        <v>Mg</v>
      </c>
      <c r="AI206" s="114" t="e">
        <f>INDEX(Tab_Def_Flows[[Flow_ID]:[CC_DM_source]],MATCH(Tab_Data_Flows[[#This Row],[Name(EN)]],Tab_Def_Flows[Name(EN)],0),20)</f>
        <v>#N/A</v>
      </c>
      <c r="AJ206" s="115" t="str">
        <f>IF(L206="Yes",AI206*Tab_Data_Flows[[#This Row],[Flow_Py]],"N.A.")</f>
        <v>N.A.</v>
      </c>
      <c r="AK206" s="61" t="str">
        <f>Tab_Data_Flows[[#This Row],[UoM_Flow_Py]]</f>
        <v>Mg</v>
      </c>
    </row>
    <row r="207" spans="1:37" x14ac:dyDescent="0.35">
      <c r="A207" s="60">
        <f t="shared" si="33"/>
        <v>206</v>
      </c>
      <c r="B207" s="49" t="str">
        <f>_xlfn.XLOOKUP(C207,Tab_Def_Flows[Name(EN)],Tab_Def_Flows[Flow_ID],,0,)</f>
        <v>F_21_21</v>
      </c>
      <c r="C207" s="51"/>
      <c r="D207" s="49">
        <f>_xlfn.XLOOKUP(C207,Tab_Def_Flows[Name(EN)],Tab_Def_Flows[Type_Biomass],,0,)</f>
        <v>0</v>
      </c>
      <c r="E207" s="49">
        <f>_xlfn.XLOOKUP(C207,Tab_Def_Flows[Name(EN)],Tab_Def_Flows[Output_Process],,0,)</f>
        <v>0</v>
      </c>
      <c r="F207" s="49" t="str">
        <f>_xlfn.XLOOKUP(C207,Tab_Def_Flows[Name(EN)],Tab_Def_Flows[Process_ID_O],,0,)</f>
        <v>21__</v>
      </c>
      <c r="G207" s="49">
        <f>_xlfn.XLOOKUP(C207,Tab_Def_Flows[Name(EN)],Tab_Def_Flows[Input_Process],,0,)</f>
        <v>0</v>
      </c>
      <c r="H207" s="61" t="str">
        <f>_xlfn.XLOOKUP(C207,Tab_Def_Flows[Name(EN)],Tab_Def_Flows[Process_ID_I],,0,)</f>
        <v>21__</v>
      </c>
      <c r="I207" s="49">
        <f>_xlfn.XLOOKUP(C207,Tab_Def_Flows[Name(EN)],Tab_Def_Flows[Value_Source],,0,)</f>
        <v>0</v>
      </c>
      <c r="J207" s="49">
        <f>_xlfn.XLOOKUP(C207,Tab_Def_Flows[Name(EN)],Tab_Def_Flows[WC?],,0,)</f>
        <v>0</v>
      </c>
      <c r="K207" s="49">
        <f>_xlfn.XLOOKUP(C207,Tab_Def_Flows[Name(EN)],Tab_Def_Flows[DM?],,0,)</f>
        <v>0</v>
      </c>
      <c r="L207" s="49">
        <f>_xlfn.XLOOKUP(C207,Tab_Def_Flows[Name(EN)],Tab_Def_Flows[CC?],,0,)</f>
        <v>0</v>
      </c>
      <c r="M207" s="51"/>
      <c r="N207" s="51"/>
      <c r="O207" s="88"/>
      <c r="P207" s="51"/>
      <c r="Q207" s="51"/>
      <c r="R207" s="51"/>
      <c r="S207" s="69"/>
      <c r="T207" s="51"/>
      <c r="U207" s="51"/>
      <c r="V207" s="51"/>
      <c r="W207" s="51"/>
      <c r="X207" s="51"/>
      <c r="Y207" s="109"/>
      <c r="Z207" s="51"/>
      <c r="AA207" s="89">
        <f t="shared" si="34"/>
        <v>0</v>
      </c>
      <c r="AB207" s="51" t="s">
        <v>63</v>
      </c>
      <c r="AC207" s="114" t="e">
        <f>INDEX(Tab_Def_Flows[[Flow_ID]:[CC_DM_source]],MATCH(Tab_Data_Flows[[#This Row],[Name(EN)]],Tab_Def_Flows[Name(EN)],0),16)</f>
        <v>#N/A</v>
      </c>
      <c r="AD207" s="115" t="str">
        <f>IF(J207="Yes",AA207*Tab_Data_Flows[[#This Row],[WC_'[%']]],"N.A.")</f>
        <v>N.A.</v>
      </c>
      <c r="AE207" s="61" t="str">
        <f>Tab_Data_Flows[[#This Row],[UoM_Flow_Py]]</f>
        <v>Mg</v>
      </c>
      <c r="AF207" s="114" t="e">
        <f>INDEX(Tab_Def_Flows[[Flow_ID]:[CC_DM_source]],MATCH(Tab_Data_Flows[[#This Row],[Name(EN)]],Tab_Def_Flows[Name(EN)],0),18)</f>
        <v>#N/A</v>
      </c>
      <c r="AG207" s="115" t="str">
        <f>IF(K207="Yes",AF207*Tab_Data_Flows[[#This Row],[Flow_Py]],"N.A.")</f>
        <v>N.A.</v>
      </c>
      <c r="AH207" s="61" t="str">
        <f>Tab_Data_Flows[[#This Row],[UoM_Flow_Py]]</f>
        <v>Mg</v>
      </c>
      <c r="AI207" s="114" t="e">
        <f>INDEX(Tab_Def_Flows[[Flow_ID]:[CC_DM_source]],MATCH(Tab_Data_Flows[[#This Row],[Name(EN)]],Tab_Def_Flows[Name(EN)],0),20)</f>
        <v>#N/A</v>
      </c>
      <c r="AJ207" s="115" t="str">
        <f>IF(L207="Yes",AI207*Tab_Data_Flows[[#This Row],[Flow_Py]],"N.A.")</f>
        <v>N.A.</v>
      </c>
      <c r="AK207" s="61" t="str">
        <f>Tab_Data_Flows[[#This Row],[UoM_Flow_Py]]</f>
        <v>Mg</v>
      </c>
    </row>
    <row r="208" spans="1:37" x14ac:dyDescent="0.35">
      <c r="A208" s="60">
        <f t="shared" si="33"/>
        <v>207</v>
      </c>
      <c r="B208" s="49" t="str">
        <f>_xlfn.XLOOKUP(C208,Tab_Def_Flows[Name(EN)],Tab_Def_Flows[Flow_ID],,0,)</f>
        <v>F_21_21</v>
      </c>
      <c r="C208" s="51"/>
      <c r="D208" s="49">
        <f>_xlfn.XLOOKUP(C208,Tab_Def_Flows[Name(EN)],Tab_Def_Flows[Type_Biomass],,0,)</f>
        <v>0</v>
      </c>
      <c r="E208" s="49">
        <f>_xlfn.XLOOKUP(C208,Tab_Def_Flows[Name(EN)],Tab_Def_Flows[Output_Process],,0,)</f>
        <v>0</v>
      </c>
      <c r="F208" s="49" t="str">
        <f>_xlfn.XLOOKUP(C208,Tab_Def_Flows[Name(EN)],Tab_Def_Flows[Process_ID_O],,0,)</f>
        <v>21__</v>
      </c>
      <c r="G208" s="49">
        <f>_xlfn.XLOOKUP(C208,Tab_Def_Flows[Name(EN)],Tab_Def_Flows[Input_Process],,0,)</f>
        <v>0</v>
      </c>
      <c r="H208" s="61" t="str">
        <f>_xlfn.XLOOKUP(C208,Tab_Def_Flows[Name(EN)],Tab_Def_Flows[Process_ID_I],,0,)</f>
        <v>21__</v>
      </c>
      <c r="I208" s="49">
        <f>_xlfn.XLOOKUP(C208,Tab_Def_Flows[Name(EN)],Tab_Def_Flows[Value_Source],,0,)</f>
        <v>0</v>
      </c>
      <c r="J208" s="49">
        <f>_xlfn.XLOOKUP(C208,Tab_Def_Flows[Name(EN)],Tab_Def_Flows[WC?],,0,)</f>
        <v>0</v>
      </c>
      <c r="K208" s="49">
        <f>_xlfn.XLOOKUP(C208,Tab_Def_Flows[Name(EN)],Tab_Def_Flows[DM?],,0,)</f>
        <v>0</v>
      </c>
      <c r="L208" s="49">
        <f>_xlfn.XLOOKUP(C208,Tab_Def_Flows[Name(EN)],Tab_Def_Flows[CC?],,0,)</f>
        <v>0</v>
      </c>
      <c r="M208" s="51"/>
      <c r="N208" s="51"/>
      <c r="O208" s="88"/>
      <c r="P208" s="51"/>
      <c r="Q208" s="51"/>
      <c r="R208" s="51"/>
      <c r="S208" s="69"/>
      <c r="T208" s="51"/>
      <c r="U208" s="51"/>
      <c r="V208" s="51"/>
      <c r="W208" s="51"/>
      <c r="X208" s="51"/>
      <c r="Y208" s="109"/>
      <c r="Z208" s="51"/>
      <c r="AA208" s="89">
        <f t="shared" si="34"/>
        <v>0</v>
      </c>
      <c r="AB208" s="51" t="s">
        <v>63</v>
      </c>
      <c r="AC208" s="114" t="e">
        <f>INDEX(Tab_Def_Flows[[Flow_ID]:[CC_DM_source]],MATCH(Tab_Data_Flows[[#This Row],[Name(EN)]],Tab_Def_Flows[Name(EN)],0),16)</f>
        <v>#N/A</v>
      </c>
      <c r="AD208" s="115" t="str">
        <f>IF(J208="Yes",AA208*Tab_Data_Flows[[#This Row],[WC_'[%']]],"N.A.")</f>
        <v>N.A.</v>
      </c>
      <c r="AE208" s="61" t="str">
        <f>Tab_Data_Flows[[#This Row],[UoM_Flow_Py]]</f>
        <v>Mg</v>
      </c>
      <c r="AF208" s="114" t="e">
        <f>INDEX(Tab_Def_Flows[[Flow_ID]:[CC_DM_source]],MATCH(Tab_Data_Flows[[#This Row],[Name(EN)]],Tab_Def_Flows[Name(EN)],0),18)</f>
        <v>#N/A</v>
      </c>
      <c r="AG208" s="115" t="str">
        <f>IF(K208="Yes",AF208*Tab_Data_Flows[[#This Row],[Flow_Py]],"N.A.")</f>
        <v>N.A.</v>
      </c>
      <c r="AH208" s="61" t="str">
        <f>Tab_Data_Flows[[#This Row],[UoM_Flow_Py]]</f>
        <v>Mg</v>
      </c>
      <c r="AI208" s="114" t="e">
        <f>INDEX(Tab_Def_Flows[[Flow_ID]:[CC_DM_source]],MATCH(Tab_Data_Flows[[#This Row],[Name(EN)]],Tab_Def_Flows[Name(EN)],0),20)</f>
        <v>#N/A</v>
      </c>
      <c r="AJ208" s="115" t="str">
        <f>IF(L208="Yes",AI208*Tab_Data_Flows[[#This Row],[Flow_Py]],"N.A.")</f>
        <v>N.A.</v>
      </c>
      <c r="AK208" s="61" t="str">
        <f>Tab_Data_Flows[[#This Row],[UoM_Flow_Py]]</f>
        <v>Mg</v>
      </c>
    </row>
    <row r="209" spans="1:37" x14ac:dyDescent="0.35">
      <c r="A209" s="60">
        <f t="shared" si="33"/>
        <v>208</v>
      </c>
      <c r="B209" s="49" t="str">
        <f>_xlfn.XLOOKUP(C209,Tab_Def_Flows[Name(EN)],Tab_Def_Flows[Flow_ID],,0,)</f>
        <v>F_21_21</v>
      </c>
      <c r="C209" s="51"/>
      <c r="D209" s="49">
        <f>_xlfn.XLOOKUP(C209,Tab_Def_Flows[Name(EN)],Tab_Def_Flows[Type_Biomass],,0,)</f>
        <v>0</v>
      </c>
      <c r="E209" s="49">
        <f>_xlfn.XLOOKUP(C209,Tab_Def_Flows[Name(EN)],Tab_Def_Flows[Output_Process],,0,)</f>
        <v>0</v>
      </c>
      <c r="F209" s="49" t="str">
        <f>_xlfn.XLOOKUP(C209,Tab_Def_Flows[Name(EN)],Tab_Def_Flows[Process_ID_O],,0,)</f>
        <v>21__</v>
      </c>
      <c r="G209" s="49">
        <f>_xlfn.XLOOKUP(C209,Tab_Def_Flows[Name(EN)],Tab_Def_Flows[Input_Process],,0,)</f>
        <v>0</v>
      </c>
      <c r="H209" s="61" t="str">
        <f>_xlfn.XLOOKUP(C209,Tab_Def_Flows[Name(EN)],Tab_Def_Flows[Process_ID_I],,0,)</f>
        <v>21__</v>
      </c>
      <c r="I209" s="49">
        <f>_xlfn.XLOOKUP(C209,Tab_Def_Flows[Name(EN)],Tab_Def_Flows[Value_Source],,0,)</f>
        <v>0</v>
      </c>
      <c r="J209" s="49">
        <f>_xlfn.XLOOKUP(C209,Tab_Def_Flows[Name(EN)],Tab_Def_Flows[WC?],,0,)</f>
        <v>0</v>
      </c>
      <c r="K209" s="49">
        <f>_xlfn.XLOOKUP(C209,Tab_Def_Flows[Name(EN)],Tab_Def_Flows[DM?],,0,)</f>
        <v>0</v>
      </c>
      <c r="L209" s="49">
        <f>_xlfn.XLOOKUP(C209,Tab_Def_Flows[Name(EN)],Tab_Def_Flows[CC?],,0,)</f>
        <v>0</v>
      </c>
      <c r="M209" s="51"/>
      <c r="N209" s="51"/>
      <c r="O209" s="88"/>
      <c r="P209" s="51"/>
      <c r="Q209" s="51"/>
      <c r="R209" s="51"/>
      <c r="S209" s="69"/>
      <c r="T209" s="51"/>
      <c r="U209" s="51"/>
      <c r="V209" s="51"/>
      <c r="W209" s="51"/>
      <c r="X209" s="51"/>
      <c r="Y209" s="109"/>
      <c r="Z209" s="51"/>
      <c r="AA209" s="89">
        <f t="shared" si="34"/>
        <v>0</v>
      </c>
      <c r="AB209" s="51" t="s">
        <v>63</v>
      </c>
      <c r="AC209" s="114" t="e">
        <f>INDEX(Tab_Def_Flows[[Flow_ID]:[CC_DM_source]],MATCH(Tab_Data_Flows[[#This Row],[Name(EN)]],Tab_Def_Flows[Name(EN)],0),16)</f>
        <v>#N/A</v>
      </c>
      <c r="AD209" s="115" t="str">
        <f>IF(J209="Yes",AA209*Tab_Data_Flows[[#This Row],[WC_'[%']]],"N.A.")</f>
        <v>N.A.</v>
      </c>
      <c r="AE209" s="61" t="str">
        <f>Tab_Data_Flows[[#This Row],[UoM_Flow_Py]]</f>
        <v>Mg</v>
      </c>
      <c r="AF209" s="114" t="e">
        <f>INDEX(Tab_Def_Flows[[Flow_ID]:[CC_DM_source]],MATCH(Tab_Data_Flows[[#This Row],[Name(EN)]],Tab_Def_Flows[Name(EN)],0),18)</f>
        <v>#N/A</v>
      </c>
      <c r="AG209" s="115" t="str">
        <f>IF(K209="Yes",AF209*Tab_Data_Flows[[#This Row],[Flow_Py]],"N.A.")</f>
        <v>N.A.</v>
      </c>
      <c r="AH209" s="61" t="str">
        <f>Tab_Data_Flows[[#This Row],[UoM_Flow_Py]]</f>
        <v>Mg</v>
      </c>
      <c r="AI209" s="114" t="e">
        <f>INDEX(Tab_Def_Flows[[Flow_ID]:[CC_DM_source]],MATCH(Tab_Data_Flows[[#This Row],[Name(EN)]],Tab_Def_Flows[Name(EN)],0),20)</f>
        <v>#N/A</v>
      </c>
      <c r="AJ209" s="115" t="str">
        <f>IF(L209="Yes",AI209*Tab_Data_Flows[[#This Row],[Flow_Py]],"N.A.")</f>
        <v>N.A.</v>
      </c>
      <c r="AK209" s="61" t="str">
        <f>Tab_Data_Flows[[#This Row],[UoM_Flow_Py]]</f>
        <v>Mg</v>
      </c>
    </row>
    <row r="210" spans="1:37" x14ac:dyDescent="0.35">
      <c r="A210" s="60">
        <f t="shared" si="33"/>
        <v>209</v>
      </c>
      <c r="B210" s="49" t="str">
        <f>_xlfn.XLOOKUP(C210,Tab_Def_Flows[Name(EN)],Tab_Def_Flows[Flow_ID],,0,)</f>
        <v>F_21_21</v>
      </c>
      <c r="C210" s="51"/>
      <c r="D210" s="49">
        <f>_xlfn.XLOOKUP(C210,Tab_Def_Flows[Name(EN)],Tab_Def_Flows[Type_Biomass],,0,)</f>
        <v>0</v>
      </c>
      <c r="E210" s="49">
        <f>_xlfn.XLOOKUP(C210,Tab_Def_Flows[Name(EN)],Tab_Def_Flows[Output_Process],,0,)</f>
        <v>0</v>
      </c>
      <c r="F210" s="49" t="str">
        <f>_xlfn.XLOOKUP(C210,Tab_Def_Flows[Name(EN)],Tab_Def_Flows[Process_ID_O],,0,)</f>
        <v>21__</v>
      </c>
      <c r="G210" s="49">
        <f>_xlfn.XLOOKUP(C210,Tab_Def_Flows[Name(EN)],Tab_Def_Flows[Input_Process],,0,)</f>
        <v>0</v>
      </c>
      <c r="H210" s="61" t="str">
        <f>_xlfn.XLOOKUP(C210,Tab_Def_Flows[Name(EN)],Tab_Def_Flows[Process_ID_I],,0,)</f>
        <v>21__</v>
      </c>
      <c r="I210" s="49">
        <f>_xlfn.XLOOKUP(C210,Tab_Def_Flows[Name(EN)],Tab_Def_Flows[Value_Source],,0,)</f>
        <v>0</v>
      </c>
      <c r="J210" s="49">
        <f>_xlfn.XLOOKUP(C210,Tab_Def_Flows[Name(EN)],Tab_Def_Flows[WC?],,0,)</f>
        <v>0</v>
      </c>
      <c r="K210" s="49">
        <f>_xlfn.XLOOKUP(C210,Tab_Def_Flows[Name(EN)],Tab_Def_Flows[DM?],,0,)</f>
        <v>0</v>
      </c>
      <c r="L210" s="49">
        <f>_xlfn.XLOOKUP(C210,Tab_Def_Flows[Name(EN)],Tab_Def_Flows[CC?],,0,)</f>
        <v>0</v>
      </c>
      <c r="M210" s="51"/>
      <c r="N210" s="51"/>
      <c r="O210" s="88"/>
      <c r="P210" s="51"/>
      <c r="Q210" s="51"/>
      <c r="R210" s="51"/>
      <c r="S210" s="69"/>
      <c r="T210" s="51"/>
      <c r="U210" s="51"/>
      <c r="V210" s="51"/>
      <c r="W210" s="51"/>
      <c r="X210" s="51"/>
      <c r="Y210" s="109"/>
      <c r="Z210" s="51"/>
      <c r="AA210" s="89">
        <f t="shared" si="34"/>
        <v>0</v>
      </c>
      <c r="AB210" s="51" t="s">
        <v>63</v>
      </c>
      <c r="AC210" s="114" t="e">
        <f>INDEX(Tab_Def_Flows[[Flow_ID]:[CC_DM_source]],MATCH(Tab_Data_Flows[[#This Row],[Name(EN)]],Tab_Def_Flows[Name(EN)],0),16)</f>
        <v>#N/A</v>
      </c>
      <c r="AD210" s="115" t="str">
        <f>IF(J210="Yes",AA210*Tab_Data_Flows[[#This Row],[WC_'[%']]],"N.A.")</f>
        <v>N.A.</v>
      </c>
      <c r="AE210" s="61" t="str">
        <f>Tab_Data_Flows[[#This Row],[UoM_Flow_Py]]</f>
        <v>Mg</v>
      </c>
      <c r="AF210" s="114" t="e">
        <f>INDEX(Tab_Def_Flows[[Flow_ID]:[CC_DM_source]],MATCH(Tab_Data_Flows[[#This Row],[Name(EN)]],Tab_Def_Flows[Name(EN)],0),18)</f>
        <v>#N/A</v>
      </c>
      <c r="AG210" s="115" t="str">
        <f>IF(K210="Yes",AF210*Tab_Data_Flows[[#This Row],[Flow_Py]],"N.A.")</f>
        <v>N.A.</v>
      </c>
      <c r="AH210" s="61" t="str">
        <f>Tab_Data_Flows[[#This Row],[UoM_Flow_Py]]</f>
        <v>Mg</v>
      </c>
      <c r="AI210" s="114" t="e">
        <f>INDEX(Tab_Def_Flows[[Flow_ID]:[CC_DM_source]],MATCH(Tab_Data_Flows[[#This Row],[Name(EN)]],Tab_Def_Flows[Name(EN)],0),20)</f>
        <v>#N/A</v>
      </c>
      <c r="AJ210" s="115" t="str">
        <f>IF(L210="Yes",AI210*Tab_Data_Flows[[#This Row],[Flow_Py]],"N.A.")</f>
        <v>N.A.</v>
      </c>
      <c r="AK210" s="61" t="str">
        <f>Tab_Data_Flows[[#This Row],[UoM_Flow_Py]]</f>
        <v>Mg</v>
      </c>
    </row>
    <row r="211" spans="1:37" x14ac:dyDescent="0.35">
      <c r="A211" s="60">
        <f t="shared" si="33"/>
        <v>210</v>
      </c>
      <c r="B211" s="49" t="str">
        <f>_xlfn.XLOOKUP(C211,Tab_Def_Flows[Name(EN)],Tab_Def_Flows[Flow_ID],,0,)</f>
        <v>F_21_21</v>
      </c>
      <c r="C211" s="51"/>
      <c r="D211" s="49">
        <f>_xlfn.XLOOKUP(C211,Tab_Def_Flows[Name(EN)],Tab_Def_Flows[Type_Biomass],,0,)</f>
        <v>0</v>
      </c>
      <c r="E211" s="49">
        <f>_xlfn.XLOOKUP(C211,Tab_Def_Flows[Name(EN)],Tab_Def_Flows[Output_Process],,0,)</f>
        <v>0</v>
      </c>
      <c r="F211" s="49" t="str">
        <f>_xlfn.XLOOKUP(C211,Tab_Def_Flows[Name(EN)],Tab_Def_Flows[Process_ID_O],,0,)</f>
        <v>21__</v>
      </c>
      <c r="G211" s="49">
        <f>_xlfn.XLOOKUP(C211,Tab_Def_Flows[Name(EN)],Tab_Def_Flows[Input_Process],,0,)</f>
        <v>0</v>
      </c>
      <c r="H211" s="61" t="str">
        <f>_xlfn.XLOOKUP(C211,Tab_Def_Flows[Name(EN)],Tab_Def_Flows[Process_ID_I],,0,)</f>
        <v>21__</v>
      </c>
      <c r="I211" s="49">
        <f>_xlfn.XLOOKUP(C211,Tab_Def_Flows[Name(EN)],Tab_Def_Flows[Value_Source],,0,)</f>
        <v>0</v>
      </c>
      <c r="J211" s="49">
        <f>_xlfn.XLOOKUP(C211,Tab_Def_Flows[Name(EN)],Tab_Def_Flows[WC?],,0,)</f>
        <v>0</v>
      </c>
      <c r="K211" s="49">
        <f>_xlfn.XLOOKUP(C211,Tab_Def_Flows[Name(EN)],Tab_Def_Flows[DM?],,0,)</f>
        <v>0</v>
      </c>
      <c r="L211" s="49">
        <f>_xlfn.XLOOKUP(C211,Tab_Def_Flows[Name(EN)],Tab_Def_Flows[CC?],,0,)</f>
        <v>0</v>
      </c>
      <c r="M211" s="51"/>
      <c r="N211" s="51"/>
      <c r="O211" s="88"/>
      <c r="P211" s="51"/>
      <c r="Q211" s="51"/>
      <c r="R211" s="51"/>
      <c r="S211" s="69"/>
      <c r="T211" s="51"/>
      <c r="U211" s="51"/>
      <c r="V211" s="51"/>
      <c r="W211" s="51"/>
      <c r="X211" s="51"/>
      <c r="Y211" s="109"/>
      <c r="Z211" s="51"/>
      <c r="AA211" s="89">
        <f t="shared" si="34"/>
        <v>0</v>
      </c>
      <c r="AB211" s="51" t="s">
        <v>63</v>
      </c>
      <c r="AC211" s="114" t="e">
        <f>INDEX(Tab_Def_Flows[[Flow_ID]:[CC_DM_source]],MATCH(Tab_Data_Flows[[#This Row],[Name(EN)]],Tab_Def_Flows[Name(EN)],0),16)</f>
        <v>#N/A</v>
      </c>
      <c r="AD211" s="115" t="str">
        <f>IF(J211="Yes",AA211*Tab_Data_Flows[[#This Row],[WC_'[%']]],"N.A.")</f>
        <v>N.A.</v>
      </c>
      <c r="AE211" s="61" t="str">
        <f>Tab_Data_Flows[[#This Row],[UoM_Flow_Py]]</f>
        <v>Mg</v>
      </c>
      <c r="AF211" s="114" t="e">
        <f>INDEX(Tab_Def_Flows[[Flow_ID]:[CC_DM_source]],MATCH(Tab_Data_Flows[[#This Row],[Name(EN)]],Tab_Def_Flows[Name(EN)],0),18)</f>
        <v>#N/A</v>
      </c>
      <c r="AG211" s="115" t="str">
        <f>IF(K211="Yes",AF211*Tab_Data_Flows[[#This Row],[Flow_Py]],"N.A.")</f>
        <v>N.A.</v>
      </c>
      <c r="AH211" s="61" t="str">
        <f>Tab_Data_Flows[[#This Row],[UoM_Flow_Py]]</f>
        <v>Mg</v>
      </c>
      <c r="AI211" s="114" t="e">
        <f>INDEX(Tab_Def_Flows[[Flow_ID]:[CC_DM_source]],MATCH(Tab_Data_Flows[[#This Row],[Name(EN)]],Tab_Def_Flows[Name(EN)],0),20)</f>
        <v>#N/A</v>
      </c>
      <c r="AJ211" s="115" t="str">
        <f>IF(L211="Yes",AI211*Tab_Data_Flows[[#This Row],[Flow_Py]],"N.A.")</f>
        <v>N.A.</v>
      </c>
      <c r="AK211" s="61" t="str">
        <f>Tab_Data_Flows[[#This Row],[UoM_Flow_Py]]</f>
        <v>Mg</v>
      </c>
    </row>
    <row r="212" spans="1:37" x14ac:dyDescent="0.35">
      <c r="A212" s="60">
        <f t="shared" si="33"/>
        <v>211</v>
      </c>
      <c r="B212" s="49" t="str">
        <f>_xlfn.XLOOKUP(C212,Tab_Def_Flows[Name(EN)],Tab_Def_Flows[Flow_ID],,0,)</f>
        <v>F_21_21</v>
      </c>
      <c r="C212" s="51"/>
      <c r="D212" s="49">
        <f>_xlfn.XLOOKUP(C212,Tab_Def_Flows[Name(EN)],Tab_Def_Flows[Type_Biomass],,0,)</f>
        <v>0</v>
      </c>
      <c r="E212" s="49">
        <f>_xlfn.XLOOKUP(C212,Tab_Def_Flows[Name(EN)],Tab_Def_Flows[Output_Process],,0,)</f>
        <v>0</v>
      </c>
      <c r="F212" s="49" t="str">
        <f>_xlfn.XLOOKUP(C212,Tab_Def_Flows[Name(EN)],Tab_Def_Flows[Process_ID_O],,0,)</f>
        <v>21__</v>
      </c>
      <c r="G212" s="49">
        <f>_xlfn.XLOOKUP(C212,Tab_Def_Flows[Name(EN)],Tab_Def_Flows[Input_Process],,0,)</f>
        <v>0</v>
      </c>
      <c r="H212" s="61" t="str">
        <f>_xlfn.XLOOKUP(C212,Tab_Def_Flows[Name(EN)],Tab_Def_Flows[Process_ID_I],,0,)</f>
        <v>21__</v>
      </c>
      <c r="I212" s="49">
        <f>_xlfn.XLOOKUP(C212,Tab_Def_Flows[Name(EN)],Tab_Def_Flows[Value_Source],,0,)</f>
        <v>0</v>
      </c>
      <c r="J212" s="49">
        <f>_xlfn.XLOOKUP(C212,Tab_Def_Flows[Name(EN)],Tab_Def_Flows[WC?],,0,)</f>
        <v>0</v>
      </c>
      <c r="K212" s="49">
        <f>_xlfn.XLOOKUP(C212,Tab_Def_Flows[Name(EN)],Tab_Def_Flows[DM?],,0,)</f>
        <v>0</v>
      </c>
      <c r="L212" s="49">
        <f>_xlfn.XLOOKUP(C212,Tab_Def_Flows[Name(EN)],Tab_Def_Flows[CC?],,0,)</f>
        <v>0</v>
      </c>
      <c r="M212" s="51"/>
      <c r="N212" s="51"/>
      <c r="O212" s="88"/>
      <c r="P212" s="51"/>
      <c r="Q212" s="51"/>
      <c r="R212" s="51"/>
      <c r="S212" s="69"/>
      <c r="T212" s="51"/>
      <c r="U212" s="51"/>
      <c r="V212" s="51"/>
      <c r="W212" s="51"/>
      <c r="X212" s="51"/>
      <c r="Y212" s="109"/>
      <c r="Z212" s="51"/>
      <c r="AA212" s="89">
        <f t="shared" si="34"/>
        <v>0</v>
      </c>
      <c r="AB212" s="51" t="s">
        <v>63</v>
      </c>
      <c r="AC212" s="114" t="e">
        <f>INDEX(Tab_Def_Flows[[Flow_ID]:[CC_DM_source]],MATCH(Tab_Data_Flows[[#This Row],[Name(EN)]],Tab_Def_Flows[Name(EN)],0),16)</f>
        <v>#N/A</v>
      </c>
      <c r="AD212" s="115" t="str">
        <f>IF(J212="Yes",AA212*Tab_Data_Flows[[#This Row],[WC_'[%']]],"N.A.")</f>
        <v>N.A.</v>
      </c>
      <c r="AE212" s="61" t="str">
        <f>Tab_Data_Flows[[#This Row],[UoM_Flow_Py]]</f>
        <v>Mg</v>
      </c>
      <c r="AF212" s="114" t="e">
        <f>INDEX(Tab_Def_Flows[[Flow_ID]:[CC_DM_source]],MATCH(Tab_Data_Flows[[#This Row],[Name(EN)]],Tab_Def_Flows[Name(EN)],0),18)</f>
        <v>#N/A</v>
      </c>
      <c r="AG212" s="115" t="str">
        <f>IF(K212="Yes",AF212*Tab_Data_Flows[[#This Row],[Flow_Py]],"N.A.")</f>
        <v>N.A.</v>
      </c>
      <c r="AH212" s="61" t="str">
        <f>Tab_Data_Flows[[#This Row],[UoM_Flow_Py]]</f>
        <v>Mg</v>
      </c>
      <c r="AI212" s="114" t="e">
        <f>INDEX(Tab_Def_Flows[[Flow_ID]:[CC_DM_source]],MATCH(Tab_Data_Flows[[#This Row],[Name(EN)]],Tab_Def_Flows[Name(EN)],0),20)</f>
        <v>#N/A</v>
      </c>
      <c r="AJ212" s="115" t="str">
        <f>IF(L212="Yes",AI212*Tab_Data_Flows[[#This Row],[Flow_Py]],"N.A.")</f>
        <v>N.A.</v>
      </c>
      <c r="AK212" s="61" t="str">
        <f>Tab_Data_Flows[[#This Row],[UoM_Flow_Py]]</f>
        <v>Mg</v>
      </c>
    </row>
    <row r="213" spans="1:37" x14ac:dyDescent="0.35">
      <c r="A213" s="60">
        <f t="shared" si="33"/>
        <v>212</v>
      </c>
      <c r="B213" s="49" t="str">
        <f>_xlfn.XLOOKUP(C213,Tab_Def_Flows[Name(EN)],Tab_Def_Flows[Flow_ID],,0,)</f>
        <v>F_21_21</v>
      </c>
      <c r="C213" s="51"/>
      <c r="D213" s="49">
        <f>_xlfn.XLOOKUP(C213,Tab_Def_Flows[Name(EN)],Tab_Def_Flows[Type_Biomass],,0,)</f>
        <v>0</v>
      </c>
      <c r="E213" s="49">
        <f>_xlfn.XLOOKUP(C213,Tab_Def_Flows[Name(EN)],Tab_Def_Flows[Output_Process],,0,)</f>
        <v>0</v>
      </c>
      <c r="F213" s="49" t="str">
        <f>_xlfn.XLOOKUP(C213,Tab_Def_Flows[Name(EN)],Tab_Def_Flows[Process_ID_O],,0,)</f>
        <v>21__</v>
      </c>
      <c r="G213" s="49">
        <f>_xlfn.XLOOKUP(C213,Tab_Def_Flows[Name(EN)],Tab_Def_Flows[Input_Process],,0,)</f>
        <v>0</v>
      </c>
      <c r="H213" s="61" t="str">
        <f>_xlfn.XLOOKUP(C213,Tab_Def_Flows[Name(EN)],Tab_Def_Flows[Process_ID_I],,0,)</f>
        <v>21__</v>
      </c>
      <c r="I213" s="49">
        <f>_xlfn.XLOOKUP(C213,Tab_Def_Flows[Name(EN)],Tab_Def_Flows[Value_Source],,0,)</f>
        <v>0</v>
      </c>
      <c r="J213" s="49">
        <f>_xlfn.XLOOKUP(C213,Tab_Def_Flows[Name(EN)],Tab_Def_Flows[WC?],,0,)</f>
        <v>0</v>
      </c>
      <c r="K213" s="49">
        <f>_xlfn.XLOOKUP(C213,Tab_Def_Flows[Name(EN)],Tab_Def_Flows[DM?],,0,)</f>
        <v>0</v>
      </c>
      <c r="L213" s="49">
        <f>_xlfn.XLOOKUP(C213,Tab_Def_Flows[Name(EN)],Tab_Def_Flows[CC?],,0,)</f>
        <v>0</v>
      </c>
      <c r="M213" s="51"/>
      <c r="N213" s="51"/>
      <c r="O213" s="88"/>
      <c r="P213" s="51"/>
      <c r="Q213" s="51"/>
      <c r="R213" s="51"/>
      <c r="S213" s="69"/>
      <c r="T213" s="51"/>
      <c r="U213" s="51"/>
      <c r="V213" s="51"/>
      <c r="W213" s="51"/>
      <c r="X213" s="51"/>
      <c r="Y213" s="109"/>
      <c r="Z213" s="51"/>
      <c r="AA213" s="89">
        <f t="shared" si="34"/>
        <v>0</v>
      </c>
      <c r="AB213" s="51" t="s">
        <v>63</v>
      </c>
      <c r="AC213" s="114" t="e">
        <f>INDEX(Tab_Def_Flows[[Flow_ID]:[CC_DM_source]],MATCH(Tab_Data_Flows[[#This Row],[Name(EN)]],Tab_Def_Flows[Name(EN)],0),16)</f>
        <v>#N/A</v>
      </c>
      <c r="AD213" s="115" t="str">
        <f>IF(J213="Yes",AA213*Tab_Data_Flows[[#This Row],[WC_'[%']]],"N.A.")</f>
        <v>N.A.</v>
      </c>
      <c r="AE213" s="61" t="str">
        <f>Tab_Data_Flows[[#This Row],[UoM_Flow_Py]]</f>
        <v>Mg</v>
      </c>
      <c r="AF213" s="114" t="e">
        <f>INDEX(Tab_Def_Flows[[Flow_ID]:[CC_DM_source]],MATCH(Tab_Data_Flows[[#This Row],[Name(EN)]],Tab_Def_Flows[Name(EN)],0),18)</f>
        <v>#N/A</v>
      </c>
      <c r="AG213" s="115" t="str">
        <f>IF(K213="Yes",AF213*Tab_Data_Flows[[#This Row],[Flow_Py]],"N.A.")</f>
        <v>N.A.</v>
      </c>
      <c r="AH213" s="61" t="str">
        <f>Tab_Data_Flows[[#This Row],[UoM_Flow_Py]]</f>
        <v>Mg</v>
      </c>
      <c r="AI213" s="114" t="e">
        <f>INDEX(Tab_Def_Flows[[Flow_ID]:[CC_DM_source]],MATCH(Tab_Data_Flows[[#This Row],[Name(EN)]],Tab_Def_Flows[Name(EN)],0),20)</f>
        <v>#N/A</v>
      </c>
      <c r="AJ213" s="115" t="str">
        <f>IF(L213="Yes",AI213*Tab_Data_Flows[[#This Row],[Flow_Py]],"N.A.")</f>
        <v>N.A.</v>
      </c>
      <c r="AK213" s="61" t="str">
        <f>Tab_Data_Flows[[#This Row],[UoM_Flow_Py]]</f>
        <v>Mg</v>
      </c>
    </row>
    <row r="214" spans="1:37" x14ac:dyDescent="0.35">
      <c r="A214" s="60">
        <f t="shared" si="33"/>
        <v>213</v>
      </c>
      <c r="B214" s="49" t="str">
        <f>_xlfn.XLOOKUP(C214,Tab_Def_Flows[Name(EN)],Tab_Def_Flows[Flow_ID],,0,)</f>
        <v>F_21_21</v>
      </c>
      <c r="C214" s="51"/>
      <c r="D214" s="49">
        <f>_xlfn.XLOOKUP(C214,Tab_Def_Flows[Name(EN)],Tab_Def_Flows[Type_Biomass],,0,)</f>
        <v>0</v>
      </c>
      <c r="E214" s="49">
        <f>_xlfn.XLOOKUP(C214,Tab_Def_Flows[Name(EN)],Tab_Def_Flows[Output_Process],,0,)</f>
        <v>0</v>
      </c>
      <c r="F214" s="49" t="str">
        <f>_xlfn.XLOOKUP(C214,Tab_Def_Flows[Name(EN)],Tab_Def_Flows[Process_ID_O],,0,)</f>
        <v>21__</v>
      </c>
      <c r="G214" s="49">
        <f>_xlfn.XLOOKUP(C214,Tab_Def_Flows[Name(EN)],Tab_Def_Flows[Input_Process],,0,)</f>
        <v>0</v>
      </c>
      <c r="H214" s="61" t="str">
        <f>_xlfn.XLOOKUP(C214,Tab_Def_Flows[Name(EN)],Tab_Def_Flows[Process_ID_I],,0,)</f>
        <v>21__</v>
      </c>
      <c r="I214" s="49">
        <f>_xlfn.XLOOKUP(C214,Tab_Def_Flows[Name(EN)],Tab_Def_Flows[Value_Source],,0,)</f>
        <v>0</v>
      </c>
      <c r="J214" s="49">
        <f>_xlfn.XLOOKUP(C214,Tab_Def_Flows[Name(EN)],Tab_Def_Flows[WC?],,0,)</f>
        <v>0</v>
      </c>
      <c r="K214" s="49">
        <f>_xlfn.XLOOKUP(C214,Tab_Def_Flows[Name(EN)],Tab_Def_Flows[DM?],,0,)</f>
        <v>0</v>
      </c>
      <c r="L214" s="49">
        <f>_xlfn.XLOOKUP(C214,Tab_Def_Flows[Name(EN)],Tab_Def_Flows[CC?],,0,)</f>
        <v>0</v>
      </c>
      <c r="M214" s="51"/>
      <c r="N214" s="51"/>
      <c r="O214" s="88"/>
      <c r="P214" s="51"/>
      <c r="Q214" s="51"/>
      <c r="R214" s="51"/>
      <c r="S214" s="69"/>
      <c r="T214" s="51"/>
      <c r="U214" s="51"/>
      <c r="V214" s="51"/>
      <c r="W214" s="51"/>
      <c r="X214" s="51"/>
      <c r="Y214" s="109"/>
      <c r="Z214" s="51"/>
      <c r="AA214" s="89">
        <f t="shared" si="34"/>
        <v>0</v>
      </c>
      <c r="AB214" s="51" t="s">
        <v>63</v>
      </c>
      <c r="AC214" s="114" t="e">
        <f>INDEX(Tab_Def_Flows[[Flow_ID]:[CC_DM_source]],MATCH(Tab_Data_Flows[[#This Row],[Name(EN)]],Tab_Def_Flows[Name(EN)],0),16)</f>
        <v>#N/A</v>
      </c>
      <c r="AD214" s="115" t="str">
        <f>IF(J214="Yes",AA214*Tab_Data_Flows[[#This Row],[WC_'[%']]],"N.A.")</f>
        <v>N.A.</v>
      </c>
      <c r="AE214" s="61" t="str">
        <f>Tab_Data_Flows[[#This Row],[UoM_Flow_Py]]</f>
        <v>Mg</v>
      </c>
      <c r="AF214" s="114" t="e">
        <f>INDEX(Tab_Def_Flows[[Flow_ID]:[CC_DM_source]],MATCH(Tab_Data_Flows[[#This Row],[Name(EN)]],Tab_Def_Flows[Name(EN)],0),18)</f>
        <v>#N/A</v>
      </c>
      <c r="AG214" s="115" t="str">
        <f>IF(K214="Yes",AF214*Tab_Data_Flows[[#This Row],[Flow_Py]],"N.A.")</f>
        <v>N.A.</v>
      </c>
      <c r="AH214" s="61" t="str">
        <f>Tab_Data_Flows[[#This Row],[UoM_Flow_Py]]</f>
        <v>Mg</v>
      </c>
      <c r="AI214" s="114" t="e">
        <f>INDEX(Tab_Def_Flows[[Flow_ID]:[CC_DM_source]],MATCH(Tab_Data_Flows[[#This Row],[Name(EN)]],Tab_Def_Flows[Name(EN)],0),20)</f>
        <v>#N/A</v>
      </c>
      <c r="AJ214" s="115" t="str">
        <f>IF(L214="Yes",AI214*Tab_Data_Flows[[#This Row],[Flow_Py]],"N.A.")</f>
        <v>N.A.</v>
      </c>
      <c r="AK214" s="61" t="str">
        <f>Tab_Data_Flows[[#This Row],[UoM_Flow_Py]]</f>
        <v>Mg</v>
      </c>
    </row>
    <row r="215" spans="1:37" x14ac:dyDescent="0.35">
      <c r="A215" s="60">
        <f t="shared" si="33"/>
        <v>214</v>
      </c>
      <c r="B215" s="49" t="str">
        <f>_xlfn.XLOOKUP(C215,Tab_Def_Flows[Name(EN)],Tab_Def_Flows[Flow_ID],,0,)</f>
        <v>F_21_21</v>
      </c>
      <c r="C215" s="51"/>
      <c r="D215" s="49">
        <f>_xlfn.XLOOKUP(C215,Tab_Def_Flows[Name(EN)],Tab_Def_Flows[Type_Biomass],,0,)</f>
        <v>0</v>
      </c>
      <c r="E215" s="49">
        <f>_xlfn.XLOOKUP(C215,Tab_Def_Flows[Name(EN)],Tab_Def_Flows[Output_Process],,0,)</f>
        <v>0</v>
      </c>
      <c r="F215" s="49" t="str">
        <f>_xlfn.XLOOKUP(C215,Tab_Def_Flows[Name(EN)],Tab_Def_Flows[Process_ID_O],,0,)</f>
        <v>21__</v>
      </c>
      <c r="G215" s="49">
        <f>_xlfn.XLOOKUP(C215,Tab_Def_Flows[Name(EN)],Tab_Def_Flows[Input_Process],,0,)</f>
        <v>0</v>
      </c>
      <c r="H215" s="61" t="str">
        <f>_xlfn.XLOOKUP(C215,Tab_Def_Flows[Name(EN)],Tab_Def_Flows[Process_ID_I],,0,)</f>
        <v>21__</v>
      </c>
      <c r="I215" s="49">
        <f>_xlfn.XLOOKUP(C215,Tab_Def_Flows[Name(EN)],Tab_Def_Flows[Value_Source],,0,)</f>
        <v>0</v>
      </c>
      <c r="J215" s="49">
        <f>_xlfn.XLOOKUP(C215,Tab_Def_Flows[Name(EN)],Tab_Def_Flows[WC?],,0,)</f>
        <v>0</v>
      </c>
      <c r="K215" s="49">
        <f>_xlfn.XLOOKUP(C215,Tab_Def_Flows[Name(EN)],Tab_Def_Flows[DM?],,0,)</f>
        <v>0</v>
      </c>
      <c r="L215" s="49">
        <f>_xlfn.XLOOKUP(C215,Tab_Def_Flows[Name(EN)],Tab_Def_Flows[CC?],,0,)</f>
        <v>0</v>
      </c>
      <c r="M215" s="51"/>
      <c r="N215" s="51"/>
      <c r="O215" s="88"/>
      <c r="P215" s="51"/>
      <c r="Q215" s="51"/>
      <c r="R215" s="51"/>
      <c r="S215" s="69"/>
      <c r="T215" s="51"/>
      <c r="U215" s="51"/>
      <c r="V215" s="51"/>
      <c r="W215" s="51"/>
      <c r="X215" s="51"/>
      <c r="Y215" s="109"/>
      <c r="Z215" s="51"/>
      <c r="AA215" s="89">
        <f t="shared" si="34"/>
        <v>0</v>
      </c>
      <c r="AB215" s="51" t="s">
        <v>63</v>
      </c>
      <c r="AC215" s="114" t="e">
        <f>INDEX(Tab_Def_Flows[[Flow_ID]:[CC_DM_source]],MATCH(Tab_Data_Flows[[#This Row],[Name(EN)]],Tab_Def_Flows[Name(EN)],0),16)</f>
        <v>#N/A</v>
      </c>
      <c r="AD215" s="115" t="str">
        <f>IF(J215="Yes",AA215*Tab_Data_Flows[[#This Row],[WC_'[%']]],"N.A.")</f>
        <v>N.A.</v>
      </c>
      <c r="AE215" s="61" t="str">
        <f>Tab_Data_Flows[[#This Row],[UoM_Flow_Py]]</f>
        <v>Mg</v>
      </c>
      <c r="AF215" s="114" t="e">
        <f>INDEX(Tab_Def_Flows[[Flow_ID]:[CC_DM_source]],MATCH(Tab_Data_Flows[[#This Row],[Name(EN)]],Tab_Def_Flows[Name(EN)],0),18)</f>
        <v>#N/A</v>
      </c>
      <c r="AG215" s="115" t="str">
        <f>IF(K215="Yes",AF215*Tab_Data_Flows[[#This Row],[Flow_Py]],"N.A.")</f>
        <v>N.A.</v>
      </c>
      <c r="AH215" s="61" t="str">
        <f>Tab_Data_Flows[[#This Row],[UoM_Flow_Py]]</f>
        <v>Mg</v>
      </c>
      <c r="AI215" s="114" t="e">
        <f>INDEX(Tab_Def_Flows[[Flow_ID]:[CC_DM_source]],MATCH(Tab_Data_Flows[[#This Row],[Name(EN)]],Tab_Def_Flows[Name(EN)],0),20)</f>
        <v>#N/A</v>
      </c>
      <c r="AJ215" s="115" t="str">
        <f>IF(L215="Yes",AI215*Tab_Data_Flows[[#This Row],[Flow_Py]],"N.A.")</f>
        <v>N.A.</v>
      </c>
      <c r="AK215" s="61" t="str">
        <f>Tab_Data_Flows[[#This Row],[UoM_Flow_Py]]</f>
        <v>Mg</v>
      </c>
    </row>
    <row r="216" spans="1:37" x14ac:dyDescent="0.35">
      <c r="A216" s="60">
        <f t="shared" si="33"/>
        <v>215</v>
      </c>
      <c r="B216" s="49" t="str">
        <f>_xlfn.XLOOKUP(C216,Tab_Def_Flows[Name(EN)],Tab_Def_Flows[Flow_ID],,0,)</f>
        <v>F_21_21</v>
      </c>
      <c r="C216" s="51"/>
      <c r="D216" s="49">
        <f>_xlfn.XLOOKUP(C216,Tab_Def_Flows[Name(EN)],Tab_Def_Flows[Type_Biomass],,0,)</f>
        <v>0</v>
      </c>
      <c r="E216" s="49">
        <f>_xlfn.XLOOKUP(C216,Tab_Def_Flows[Name(EN)],Tab_Def_Flows[Output_Process],,0,)</f>
        <v>0</v>
      </c>
      <c r="F216" s="49" t="str">
        <f>_xlfn.XLOOKUP(C216,Tab_Def_Flows[Name(EN)],Tab_Def_Flows[Process_ID_O],,0,)</f>
        <v>21__</v>
      </c>
      <c r="G216" s="49">
        <f>_xlfn.XLOOKUP(C216,Tab_Def_Flows[Name(EN)],Tab_Def_Flows[Input_Process],,0,)</f>
        <v>0</v>
      </c>
      <c r="H216" s="61" t="str">
        <f>_xlfn.XLOOKUP(C216,Tab_Def_Flows[Name(EN)],Tab_Def_Flows[Process_ID_I],,0,)</f>
        <v>21__</v>
      </c>
      <c r="I216" s="49">
        <f>_xlfn.XLOOKUP(C216,Tab_Def_Flows[Name(EN)],Tab_Def_Flows[Value_Source],,0,)</f>
        <v>0</v>
      </c>
      <c r="J216" s="49">
        <f>_xlfn.XLOOKUP(C216,Tab_Def_Flows[Name(EN)],Tab_Def_Flows[WC?],,0,)</f>
        <v>0</v>
      </c>
      <c r="K216" s="49">
        <f>_xlfn.XLOOKUP(C216,Tab_Def_Flows[Name(EN)],Tab_Def_Flows[DM?],,0,)</f>
        <v>0</v>
      </c>
      <c r="L216" s="49">
        <f>_xlfn.XLOOKUP(C216,Tab_Def_Flows[Name(EN)],Tab_Def_Flows[CC?],,0,)</f>
        <v>0</v>
      </c>
      <c r="M216" s="51"/>
      <c r="N216" s="51"/>
      <c r="O216" s="88"/>
      <c r="P216" s="51"/>
      <c r="Q216" s="51"/>
      <c r="R216" s="51"/>
      <c r="S216" s="69"/>
      <c r="T216" s="51"/>
      <c r="U216" s="51"/>
      <c r="V216" s="51"/>
      <c r="W216" s="51"/>
      <c r="X216" s="51"/>
      <c r="Y216" s="109"/>
      <c r="Z216" s="51"/>
      <c r="AA216" s="89">
        <f t="shared" si="34"/>
        <v>0</v>
      </c>
      <c r="AB216" s="51" t="s">
        <v>63</v>
      </c>
      <c r="AC216" s="114" t="e">
        <f>INDEX(Tab_Def_Flows[[Flow_ID]:[CC_DM_source]],MATCH(Tab_Data_Flows[[#This Row],[Name(EN)]],Tab_Def_Flows[Name(EN)],0),16)</f>
        <v>#N/A</v>
      </c>
      <c r="AD216" s="115" t="str">
        <f>IF(J216="Yes",AA216*Tab_Data_Flows[[#This Row],[WC_'[%']]],"N.A.")</f>
        <v>N.A.</v>
      </c>
      <c r="AE216" s="61" t="str">
        <f>Tab_Data_Flows[[#This Row],[UoM_Flow_Py]]</f>
        <v>Mg</v>
      </c>
      <c r="AF216" s="114" t="e">
        <f>INDEX(Tab_Def_Flows[[Flow_ID]:[CC_DM_source]],MATCH(Tab_Data_Flows[[#This Row],[Name(EN)]],Tab_Def_Flows[Name(EN)],0),18)</f>
        <v>#N/A</v>
      </c>
      <c r="AG216" s="115" t="str">
        <f>IF(K216="Yes",AF216*Tab_Data_Flows[[#This Row],[Flow_Py]],"N.A.")</f>
        <v>N.A.</v>
      </c>
      <c r="AH216" s="61" t="str">
        <f>Tab_Data_Flows[[#This Row],[UoM_Flow_Py]]</f>
        <v>Mg</v>
      </c>
      <c r="AI216" s="114" t="e">
        <f>INDEX(Tab_Def_Flows[[Flow_ID]:[CC_DM_source]],MATCH(Tab_Data_Flows[[#This Row],[Name(EN)]],Tab_Def_Flows[Name(EN)],0),20)</f>
        <v>#N/A</v>
      </c>
      <c r="AJ216" s="115" t="str">
        <f>IF(L216="Yes",AI216*Tab_Data_Flows[[#This Row],[Flow_Py]],"N.A.")</f>
        <v>N.A.</v>
      </c>
      <c r="AK216" s="61" t="str">
        <f>Tab_Data_Flows[[#This Row],[UoM_Flow_Py]]</f>
        <v>Mg</v>
      </c>
    </row>
    <row r="217" spans="1:37" x14ac:dyDescent="0.35">
      <c r="A217" s="60">
        <f t="shared" si="33"/>
        <v>216</v>
      </c>
      <c r="B217" s="49" t="str">
        <f>_xlfn.XLOOKUP(C217,Tab_Def_Flows[Name(EN)],Tab_Def_Flows[Flow_ID],,0,)</f>
        <v>F_21_21</v>
      </c>
      <c r="C217" s="51"/>
      <c r="D217" s="49">
        <f>_xlfn.XLOOKUP(C217,Tab_Def_Flows[Name(EN)],Tab_Def_Flows[Type_Biomass],,0,)</f>
        <v>0</v>
      </c>
      <c r="E217" s="49">
        <f>_xlfn.XLOOKUP(C217,Tab_Def_Flows[Name(EN)],Tab_Def_Flows[Output_Process],,0,)</f>
        <v>0</v>
      </c>
      <c r="F217" s="49" t="str">
        <f>_xlfn.XLOOKUP(C217,Tab_Def_Flows[Name(EN)],Tab_Def_Flows[Process_ID_O],,0,)</f>
        <v>21__</v>
      </c>
      <c r="G217" s="49">
        <f>_xlfn.XLOOKUP(C217,Tab_Def_Flows[Name(EN)],Tab_Def_Flows[Input_Process],,0,)</f>
        <v>0</v>
      </c>
      <c r="H217" s="61" t="str">
        <f>_xlfn.XLOOKUP(C217,Tab_Def_Flows[Name(EN)],Tab_Def_Flows[Process_ID_I],,0,)</f>
        <v>21__</v>
      </c>
      <c r="I217" s="49">
        <f>_xlfn.XLOOKUP(C217,Tab_Def_Flows[Name(EN)],Tab_Def_Flows[Value_Source],,0,)</f>
        <v>0</v>
      </c>
      <c r="J217" s="49">
        <f>_xlfn.XLOOKUP(C217,Tab_Def_Flows[Name(EN)],Tab_Def_Flows[WC?],,0,)</f>
        <v>0</v>
      </c>
      <c r="K217" s="49">
        <f>_xlfn.XLOOKUP(C217,Tab_Def_Flows[Name(EN)],Tab_Def_Flows[DM?],,0,)</f>
        <v>0</v>
      </c>
      <c r="L217" s="49">
        <f>_xlfn.XLOOKUP(C217,Tab_Def_Flows[Name(EN)],Tab_Def_Flows[CC?],,0,)</f>
        <v>0</v>
      </c>
      <c r="M217" s="51"/>
      <c r="N217" s="51"/>
      <c r="O217" s="88"/>
      <c r="P217" s="51"/>
      <c r="Q217" s="51"/>
      <c r="R217" s="51"/>
      <c r="S217" s="69"/>
      <c r="T217" s="51"/>
      <c r="U217" s="51"/>
      <c r="V217" s="51"/>
      <c r="W217" s="51"/>
      <c r="X217" s="51"/>
      <c r="Y217" s="109"/>
      <c r="Z217" s="51"/>
      <c r="AA217" s="89">
        <f t="shared" si="34"/>
        <v>0</v>
      </c>
      <c r="AB217" s="51" t="s">
        <v>63</v>
      </c>
      <c r="AC217" s="114" t="e">
        <f>INDEX(Tab_Def_Flows[[Flow_ID]:[CC_DM_source]],MATCH(Tab_Data_Flows[[#This Row],[Name(EN)]],Tab_Def_Flows[Name(EN)],0),16)</f>
        <v>#N/A</v>
      </c>
      <c r="AD217" s="115" t="str">
        <f>IF(J217="Yes",AA217*Tab_Data_Flows[[#This Row],[WC_'[%']]],"N.A.")</f>
        <v>N.A.</v>
      </c>
      <c r="AE217" s="61" t="str">
        <f>Tab_Data_Flows[[#This Row],[UoM_Flow_Py]]</f>
        <v>Mg</v>
      </c>
      <c r="AF217" s="114" t="e">
        <f>INDEX(Tab_Def_Flows[[Flow_ID]:[CC_DM_source]],MATCH(Tab_Data_Flows[[#This Row],[Name(EN)]],Tab_Def_Flows[Name(EN)],0),18)</f>
        <v>#N/A</v>
      </c>
      <c r="AG217" s="115" t="str">
        <f>IF(K217="Yes",AF217*Tab_Data_Flows[[#This Row],[Flow_Py]],"N.A.")</f>
        <v>N.A.</v>
      </c>
      <c r="AH217" s="61" t="str">
        <f>Tab_Data_Flows[[#This Row],[UoM_Flow_Py]]</f>
        <v>Mg</v>
      </c>
      <c r="AI217" s="114" t="e">
        <f>INDEX(Tab_Def_Flows[[Flow_ID]:[CC_DM_source]],MATCH(Tab_Data_Flows[[#This Row],[Name(EN)]],Tab_Def_Flows[Name(EN)],0),20)</f>
        <v>#N/A</v>
      </c>
      <c r="AJ217" s="115" t="str">
        <f>IF(L217="Yes",AI217*Tab_Data_Flows[[#This Row],[Flow_Py]],"N.A.")</f>
        <v>N.A.</v>
      </c>
      <c r="AK217" s="61" t="str">
        <f>Tab_Data_Flows[[#This Row],[UoM_Flow_Py]]</f>
        <v>Mg</v>
      </c>
    </row>
    <row r="218" spans="1:37" x14ac:dyDescent="0.35">
      <c r="A218" s="60">
        <f t="shared" si="33"/>
        <v>217</v>
      </c>
      <c r="B218" s="49" t="str">
        <f>_xlfn.XLOOKUP(C218,Tab_Def_Flows[Name(EN)],Tab_Def_Flows[Flow_ID],,0,)</f>
        <v>F_21_21</v>
      </c>
      <c r="C218" s="51"/>
      <c r="D218" s="49">
        <f>_xlfn.XLOOKUP(C218,Tab_Def_Flows[Name(EN)],Tab_Def_Flows[Type_Biomass],,0,)</f>
        <v>0</v>
      </c>
      <c r="E218" s="49">
        <f>_xlfn.XLOOKUP(C218,Tab_Def_Flows[Name(EN)],Tab_Def_Flows[Output_Process],,0,)</f>
        <v>0</v>
      </c>
      <c r="F218" s="49" t="str">
        <f>_xlfn.XLOOKUP(C218,Tab_Def_Flows[Name(EN)],Tab_Def_Flows[Process_ID_O],,0,)</f>
        <v>21__</v>
      </c>
      <c r="G218" s="49">
        <f>_xlfn.XLOOKUP(C218,Tab_Def_Flows[Name(EN)],Tab_Def_Flows[Input_Process],,0,)</f>
        <v>0</v>
      </c>
      <c r="H218" s="61" t="str">
        <f>_xlfn.XLOOKUP(C218,Tab_Def_Flows[Name(EN)],Tab_Def_Flows[Process_ID_I],,0,)</f>
        <v>21__</v>
      </c>
      <c r="I218" s="49">
        <f>_xlfn.XLOOKUP(C218,Tab_Def_Flows[Name(EN)],Tab_Def_Flows[Value_Source],,0,)</f>
        <v>0</v>
      </c>
      <c r="J218" s="49">
        <f>_xlfn.XLOOKUP(C218,Tab_Def_Flows[Name(EN)],Tab_Def_Flows[WC?],,0,)</f>
        <v>0</v>
      </c>
      <c r="K218" s="49">
        <f>_xlfn.XLOOKUP(C218,Tab_Def_Flows[Name(EN)],Tab_Def_Flows[DM?],,0,)</f>
        <v>0</v>
      </c>
      <c r="L218" s="49">
        <f>_xlfn.XLOOKUP(C218,Tab_Def_Flows[Name(EN)],Tab_Def_Flows[CC?],,0,)</f>
        <v>0</v>
      </c>
      <c r="M218" s="51"/>
      <c r="N218" s="51"/>
      <c r="O218" s="88"/>
      <c r="P218" s="51"/>
      <c r="Q218" s="51"/>
      <c r="R218" s="51"/>
      <c r="S218" s="69"/>
      <c r="T218" s="51"/>
      <c r="U218" s="51"/>
      <c r="V218" s="51"/>
      <c r="W218" s="51"/>
      <c r="X218" s="51"/>
      <c r="Y218" s="109"/>
      <c r="Z218" s="51"/>
      <c r="AA218" s="89">
        <f t="shared" si="34"/>
        <v>0</v>
      </c>
      <c r="AB218" s="51" t="s">
        <v>63</v>
      </c>
      <c r="AC218" s="114" t="e">
        <f>INDEX(Tab_Def_Flows[[Flow_ID]:[CC_DM_source]],MATCH(Tab_Data_Flows[[#This Row],[Name(EN)]],Tab_Def_Flows[Name(EN)],0),16)</f>
        <v>#N/A</v>
      </c>
      <c r="AD218" s="115" t="str">
        <f>IF(J218="Yes",AA218*Tab_Data_Flows[[#This Row],[WC_'[%']]],"N.A.")</f>
        <v>N.A.</v>
      </c>
      <c r="AE218" s="61" t="str">
        <f>Tab_Data_Flows[[#This Row],[UoM_Flow_Py]]</f>
        <v>Mg</v>
      </c>
      <c r="AF218" s="114" t="e">
        <f>INDEX(Tab_Def_Flows[[Flow_ID]:[CC_DM_source]],MATCH(Tab_Data_Flows[[#This Row],[Name(EN)]],Tab_Def_Flows[Name(EN)],0),18)</f>
        <v>#N/A</v>
      </c>
      <c r="AG218" s="115" t="str">
        <f>IF(K218="Yes",AF218*Tab_Data_Flows[[#This Row],[Flow_Py]],"N.A.")</f>
        <v>N.A.</v>
      </c>
      <c r="AH218" s="61" t="str">
        <f>Tab_Data_Flows[[#This Row],[UoM_Flow_Py]]</f>
        <v>Mg</v>
      </c>
      <c r="AI218" s="114" t="e">
        <f>INDEX(Tab_Def_Flows[[Flow_ID]:[CC_DM_source]],MATCH(Tab_Data_Flows[[#This Row],[Name(EN)]],Tab_Def_Flows[Name(EN)],0),20)</f>
        <v>#N/A</v>
      </c>
      <c r="AJ218" s="115" t="str">
        <f>IF(L218="Yes",AI218*Tab_Data_Flows[[#This Row],[Flow_Py]],"N.A.")</f>
        <v>N.A.</v>
      </c>
      <c r="AK218" s="61" t="str">
        <f>Tab_Data_Flows[[#This Row],[UoM_Flow_Py]]</f>
        <v>Mg</v>
      </c>
    </row>
    <row r="219" spans="1:37" x14ac:dyDescent="0.35">
      <c r="A219" s="60">
        <f t="shared" si="33"/>
        <v>218</v>
      </c>
      <c r="B219" s="49" t="str">
        <f>_xlfn.XLOOKUP(C219,Tab_Def_Flows[Name(EN)],Tab_Def_Flows[Flow_ID],,0,)</f>
        <v>F_21_21</v>
      </c>
      <c r="C219" s="51"/>
      <c r="D219" s="49">
        <f>_xlfn.XLOOKUP(C219,Tab_Def_Flows[Name(EN)],Tab_Def_Flows[Type_Biomass],,0,)</f>
        <v>0</v>
      </c>
      <c r="E219" s="49">
        <f>_xlfn.XLOOKUP(C219,Tab_Def_Flows[Name(EN)],Tab_Def_Flows[Output_Process],,0,)</f>
        <v>0</v>
      </c>
      <c r="F219" s="49" t="str">
        <f>_xlfn.XLOOKUP(C219,Tab_Def_Flows[Name(EN)],Tab_Def_Flows[Process_ID_O],,0,)</f>
        <v>21__</v>
      </c>
      <c r="G219" s="49">
        <f>_xlfn.XLOOKUP(C219,Tab_Def_Flows[Name(EN)],Tab_Def_Flows[Input_Process],,0,)</f>
        <v>0</v>
      </c>
      <c r="H219" s="61" t="str">
        <f>_xlfn.XLOOKUP(C219,Tab_Def_Flows[Name(EN)],Tab_Def_Flows[Process_ID_I],,0,)</f>
        <v>21__</v>
      </c>
      <c r="I219" s="49">
        <f>_xlfn.XLOOKUP(C219,Tab_Def_Flows[Name(EN)],Tab_Def_Flows[Value_Source],,0,)</f>
        <v>0</v>
      </c>
      <c r="J219" s="49">
        <f>_xlfn.XLOOKUP(C219,Tab_Def_Flows[Name(EN)],Tab_Def_Flows[WC?],,0,)</f>
        <v>0</v>
      </c>
      <c r="K219" s="49">
        <f>_xlfn.XLOOKUP(C219,Tab_Def_Flows[Name(EN)],Tab_Def_Flows[DM?],,0,)</f>
        <v>0</v>
      </c>
      <c r="L219" s="49">
        <f>_xlfn.XLOOKUP(C219,Tab_Def_Flows[Name(EN)],Tab_Def_Flows[CC?],,0,)</f>
        <v>0</v>
      </c>
      <c r="M219" s="51"/>
      <c r="N219" s="51"/>
      <c r="O219" s="88"/>
      <c r="P219" s="51"/>
      <c r="Q219" s="51"/>
      <c r="R219" s="51"/>
      <c r="S219" s="69"/>
      <c r="T219" s="51"/>
      <c r="U219" s="51"/>
      <c r="V219" s="51"/>
      <c r="W219" s="51"/>
      <c r="X219" s="51"/>
      <c r="Y219" s="109"/>
      <c r="Z219" s="51"/>
      <c r="AA219" s="89">
        <f t="shared" si="34"/>
        <v>0</v>
      </c>
      <c r="AB219" s="51" t="s">
        <v>63</v>
      </c>
      <c r="AC219" s="114" t="e">
        <f>INDEX(Tab_Def_Flows[[Flow_ID]:[CC_DM_source]],MATCH(Tab_Data_Flows[[#This Row],[Name(EN)]],Tab_Def_Flows[Name(EN)],0),16)</f>
        <v>#N/A</v>
      </c>
      <c r="AD219" s="115" t="str">
        <f>IF(J219="Yes",AA219*Tab_Data_Flows[[#This Row],[WC_'[%']]],"N.A.")</f>
        <v>N.A.</v>
      </c>
      <c r="AE219" s="61" t="str">
        <f>Tab_Data_Flows[[#This Row],[UoM_Flow_Py]]</f>
        <v>Mg</v>
      </c>
      <c r="AF219" s="114" t="e">
        <f>INDEX(Tab_Def_Flows[[Flow_ID]:[CC_DM_source]],MATCH(Tab_Data_Flows[[#This Row],[Name(EN)]],Tab_Def_Flows[Name(EN)],0),18)</f>
        <v>#N/A</v>
      </c>
      <c r="AG219" s="115" t="str">
        <f>IF(K219="Yes",AF219*Tab_Data_Flows[[#This Row],[Flow_Py]],"N.A.")</f>
        <v>N.A.</v>
      </c>
      <c r="AH219" s="61" t="str">
        <f>Tab_Data_Flows[[#This Row],[UoM_Flow_Py]]</f>
        <v>Mg</v>
      </c>
      <c r="AI219" s="114" t="e">
        <f>INDEX(Tab_Def_Flows[[Flow_ID]:[CC_DM_source]],MATCH(Tab_Data_Flows[[#This Row],[Name(EN)]],Tab_Def_Flows[Name(EN)],0),20)</f>
        <v>#N/A</v>
      </c>
      <c r="AJ219" s="115" t="str">
        <f>IF(L219="Yes",AI219*Tab_Data_Flows[[#This Row],[Flow_Py]],"N.A.")</f>
        <v>N.A.</v>
      </c>
      <c r="AK219" s="61" t="str">
        <f>Tab_Data_Flows[[#This Row],[UoM_Flow_Py]]</f>
        <v>Mg</v>
      </c>
    </row>
    <row r="220" spans="1:37" x14ac:dyDescent="0.35">
      <c r="A220" s="60">
        <f t="shared" si="33"/>
        <v>219</v>
      </c>
      <c r="B220" s="49" t="str">
        <f>_xlfn.XLOOKUP(C220,Tab_Def_Flows[Name(EN)],Tab_Def_Flows[Flow_ID],,0,)</f>
        <v>F_21_21</v>
      </c>
      <c r="C220" s="51"/>
      <c r="D220" s="49">
        <f>_xlfn.XLOOKUP(C220,Tab_Def_Flows[Name(EN)],Tab_Def_Flows[Type_Biomass],,0,)</f>
        <v>0</v>
      </c>
      <c r="E220" s="49">
        <f>_xlfn.XLOOKUP(C220,Tab_Def_Flows[Name(EN)],Tab_Def_Flows[Output_Process],,0,)</f>
        <v>0</v>
      </c>
      <c r="F220" s="49" t="str">
        <f>_xlfn.XLOOKUP(C220,Tab_Def_Flows[Name(EN)],Tab_Def_Flows[Process_ID_O],,0,)</f>
        <v>21__</v>
      </c>
      <c r="G220" s="49">
        <f>_xlfn.XLOOKUP(C220,Tab_Def_Flows[Name(EN)],Tab_Def_Flows[Input_Process],,0,)</f>
        <v>0</v>
      </c>
      <c r="H220" s="61" t="str">
        <f>_xlfn.XLOOKUP(C220,Tab_Def_Flows[Name(EN)],Tab_Def_Flows[Process_ID_I],,0,)</f>
        <v>21__</v>
      </c>
      <c r="I220" s="49">
        <f>_xlfn.XLOOKUP(C220,Tab_Def_Flows[Name(EN)],Tab_Def_Flows[Value_Source],,0,)</f>
        <v>0</v>
      </c>
      <c r="J220" s="49">
        <f>_xlfn.XLOOKUP(C220,Tab_Def_Flows[Name(EN)],Tab_Def_Flows[WC?],,0,)</f>
        <v>0</v>
      </c>
      <c r="K220" s="49">
        <f>_xlfn.XLOOKUP(C220,Tab_Def_Flows[Name(EN)],Tab_Def_Flows[DM?],,0,)</f>
        <v>0</v>
      </c>
      <c r="L220" s="49">
        <f>_xlfn.XLOOKUP(C220,Tab_Def_Flows[Name(EN)],Tab_Def_Flows[CC?],,0,)</f>
        <v>0</v>
      </c>
      <c r="M220" s="51"/>
      <c r="N220" s="51"/>
      <c r="O220" s="88"/>
      <c r="P220" s="51"/>
      <c r="Q220" s="51"/>
      <c r="R220" s="51"/>
      <c r="S220" s="69"/>
      <c r="T220" s="51"/>
      <c r="U220" s="51"/>
      <c r="V220" s="51"/>
      <c r="W220" s="51"/>
      <c r="X220" s="51"/>
      <c r="Y220" s="109"/>
      <c r="Z220" s="51"/>
      <c r="AA220" s="89">
        <f t="shared" si="34"/>
        <v>0</v>
      </c>
      <c r="AB220" s="51" t="s">
        <v>63</v>
      </c>
      <c r="AC220" s="114" t="e">
        <f>INDEX(Tab_Def_Flows[[Flow_ID]:[CC_DM_source]],MATCH(Tab_Data_Flows[[#This Row],[Name(EN)]],Tab_Def_Flows[Name(EN)],0),16)</f>
        <v>#N/A</v>
      </c>
      <c r="AD220" s="115" t="str">
        <f>IF(J220="Yes",AA220*Tab_Data_Flows[[#This Row],[WC_'[%']]],"N.A.")</f>
        <v>N.A.</v>
      </c>
      <c r="AE220" s="61" t="str">
        <f>Tab_Data_Flows[[#This Row],[UoM_Flow_Py]]</f>
        <v>Mg</v>
      </c>
      <c r="AF220" s="114" t="e">
        <f>INDEX(Tab_Def_Flows[[Flow_ID]:[CC_DM_source]],MATCH(Tab_Data_Flows[[#This Row],[Name(EN)]],Tab_Def_Flows[Name(EN)],0),18)</f>
        <v>#N/A</v>
      </c>
      <c r="AG220" s="115" t="str">
        <f>IF(K220="Yes",AF220*Tab_Data_Flows[[#This Row],[Flow_Py]],"N.A.")</f>
        <v>N.A.</v>
      </c>
      <c r="AH220" s="61" t="str">
        <f>Tab_Data_Flows[[#This Row],[UoM_Flow_Py]]</f>
        <v>Mg</v>
      </c>
      <c r="AI220" s="114" t="e">
        <f>INDEX(Tab_Def_Flows[[Flow_ID]:[CC_DM_source]],MATCH(Tab_Data_Flows[[#This Row],[Name(EN)]],Tab_Def_Flows[Name(EN)],0),20)</f>
        <v>#N/A</v>
      </c>
      <c r="AJ220" s="115" t="str">
        <f>IF(L220="Yes",AI220*Tab_Data_Flows[[#This Row],[Flow_Py]],"N.A.")</f>
        <v>N.A.</v>
      </c>
      <c r="AK220" s="61" t="str">
        <f>Tab_Data_Flows[[#This Row],[UoM_Flow_Py]]</f>
        <v>Mg</v>
      </c>
    </row>
    <row r="221" spans="1:37" x14ac:dyDescent="0.35">
      <c r="A221" s="60">
        <f t="shared" si="33"/>
        <v>220</v>
      </c>
      <c r="B221" s="49" t="str">
        <f>_xlfn.XLOOKUP(C221,Tab_Def_Flows[Name(EN)],Tab_Def_Flows[Flow_ID],,0,)</f>
        <v>F_21_21</v>
      </c>
      <c r="C221" s="51"/>
      <c r="D221" s="49">
        <f>_xlfn.XLOOKUP(C221,Tab_Def_Flows[Name(EN)],Tab_Def_Flows[Type_Biomass],,0,)</f>
        <v>0</v>
      </c>
      <c r="E221" s="49">
        <f>_xlfn.XLOOKUP(C221,Tab_Def_Flows[Name(EN)],Tab_Def_Flows[Output_Process],,0,)</f>
        <v>0</v>
      </c>
      <c r="F221" s="49" t="str">
        <f>_xlfn.XLOOKUP(C221,Tab_Def_Flows[Name(EN)],Tab_Def_Flows[Process_ID_O],,0,)</f>
        <v>21__</v>
      </c>
      <c r="G221" s="49">
        <f>_xlfn.XLOOKUP(C221,Tab_Def_Flows[Name(EN)],Tab_Def_Flows[Input_Process],,0,)</f>
        <v>0</v>
      </c>
      <c r="H221" s="61" t="str">
        <f>_xlfn.XLOOKUP(C221,Tab_Def_Flows[Name(EN)],Tab_Def_Flows[Process_ID_I],,0,)</f>
        <v>21__</v>
      </c>
      <c r="I221" s="49">
        <f>_xlfn.XLOOKUP(C221,Tab_Def_Flows[Name(EN)],Tab_Def_Flows[Value_Source],,0,)</f>
        <v>0</v>
      </c>
      <c r="J221" s="49">
        <f>_xlfn.XLOOKUP(C221,Tab_Def_Flows[Name(EN)],Tab_Def_Flows[WC?],,0,)</f>
        <v>0</v>
      </c>
      <c r="K221" s="49">
        <f>_xlfn.XLOOKUP(C221,Tab_Def_Flows[Name(EN)],Tab_Def_Flows[DM?],,0,)</f>
        <v>0</v>
      </c>
      <c r="L221" s="49">
        <f>_xlfn.XLOOKUP(C221,Tab_Def_Flows[Name(EN)],Tab_Def_Flows[CC?],,0,)</f>
        <v>0</v>
      </c>
      <c r="M221" s="51"/>
      <c r="N221" s="51"/>
      <c r="O221" s="88"/>
      <c r="P221" s="51"/>
      <c r="Q221" s="51"/>
      <c r="R221" s="51"/>
      <c r="S221" s="69"/>
      <c r="T221" s="51"/>
      <c r="U221" s="51"/>
      <c r="V221" s="51"/>
      <c r="W221" s="51"/>
      <c r="X221" s="51"/>
      <c r="Y221" s="109"/>
      <c r="Z221" s="51"/>
      <c r="AA221" s="89">
        <f t="shared" si="34"/>
        <v>0</v>
      </c>
      <c r="AB221" s="51" t="s">
        <v>63</v>
      </c>
      <c r="AC221" s="114" t="e">
        <f>INDEX(Tab_Def_Flows[[Flow_ID]:[CC_DM_source]],MATCH(Tab_Data_Flows[[#This Row],[Name(EN)]],Tab_Def_Flows[Name(EN)],0),16)</f>
        <v>#N/A</v>
      </c>
      <c r="AD221" s="115" t="str">
        <f>IF(J221="Yes",AA221*Tab_Data_Flows[[#This Row],[WC_'[%']]],"N.A.")</f>
        <v>N.A.</v>
      </c>
      <c r="AE221" s="61" t="str">
        <f>Tab_Data_Flows[[#This Row],[UoM_Flow_Py]]</f>
        <v>Mg</v>
      </c>
      <c r="AF221" s="114" t="e">
        <f>INDEX(Tab_Def_Flows[[Flow_ID]:[CC_DM_source]],MATCH(Tab_Data_Flows[[#This Row],[Name(EN)]],Tab_Def_Flows[Name(EN)],0),18)</f>
        <v>#N/A</v>
      </c>
      <c r="AG221" s="115" t="str">
        <f>IF(K221="Yes",AF221*Tab_Data_Flows[[#This Row],[Flow_Py]],"N.A.")</f>
        <v>N.A.</v>
      </c>
      <c r="AH221" s="61" t="str">
        <f>Tab_Data_Flows[[#This Row],[UoM_Flow_Py]]</f>
        <v>Mg</v>
      </c>
      <c r="AI221" s="114" t="e">
        <f>INDEX(Tab_Def_Flows[[Flow_ID]:[CC_DM_source]],MATCH(Tab_Data_Flows[[#This Row],[Name(EN)]],Tab_Def_Flows[Name(EN)],0),20)</f>
        <v>#N/A</v>
      </c>
      <c r="AJ221" s="115" t="str">
        <f>IF(L221="Yes",AI221*Tab_Data_Flows[[#This Row],[Flow_Py]],"N.A.")</f>
        <v>N.A.</v>
      </c>
      <c r="AK221" s="61" t="str">
        <f>Tab_Data_Flows[[#This Row],[UoM_Flow_Py]]</f>
        <v>Mg</v>
      </c>
    </row>
    <row r="222" spans="1:37" x14ac:dyDescent="0.35">
      <c r="A222" s="60">
        <f t="shared" si="33"/>
        <v>221</v>
      </c>
      <c r="B222" s="49" t="str">
        <f>_xlfn.XLOOKUP(C222,Tab_Def_Flows[Name(EN)],Tab_Def_Flows[Flow_ID],,0,)</f>
        <v>F_21_21</v>
      </c>
      <c r="C222" s="51"/>
      <c r="D222" s="49">
        <f>_xlfn.XLOOKUP(C222,Tab_Def_Flows[Name(EN)],Tab_Def_Flows[Type_Biomass],,0,)</f>
        <v>0</v>
      </c>
      <c r="E222" s="49">
        <f>_xlfn.XLOOKUP(C222,Tab_Def_Flows[Name(EN)],Tab_Def_Flows[Output_Process],,0,)</f>
        <v>0</v>
      </c>
      <c r="F222" s="49" t="str">
        <f>_xlfn.XLOOKUP(C222,Tab_Def_Flows[Name(EN)],Tab_Def_Flows[Process_ID_O],,0,)</f>
        <v>21__</v>
      </c>
      <c r="G222" s="49">
        <f>_xlfn.XLOOKUP(C222,Tab_Def_Flows[Name(EN)],Tab_Def_Flows[Input_Process],,0,)</f>
        <v>0</v>
      </c>
      <c r="H222" s="61" t="str">
        <f>_xlfn.XLOOKUP(C222,Tab_Def_Flows[Name(EN)],Tab_Def_Flows[Process_ID_I],,0,)</f>
        <v>21__</v>
      </c>
      <c r="I222" s="49">
        <f>_xlfn.XLOOKUP(C222,Tab_Def_Flows[Name(EN)],Tab_Def_Flows[Value_Source],,0,)</f>
        <v>0</v>
      </c>
      <c r="J222" s="49">
        <f>_xlfn.XLOOKUP(C222,Tab_Def_Flows[Name(EN)],Tab_Def_Flows[WC?],,0,)</f>
        <v>0</v>
      </c>
      <c r="K222" s="49">
        <f>_xlfn.XLOOKUP(C222,Tab_Def_Flows[Name(EN)],Tab_Def_Flows[DM?],,0,)</f>
        <v>0</v>
      </c>
      <c r="L222" s="49">
        <f>_xlfn.XLOOKUP(C222,Tab_Def_Flows[Name(EN)],Tab_Def_Flows[CC?],,0,)</f>
        <v>0</v>
      </c>
      <c r="M222" s="51"/>
      <c r="N222" s="51"/>
      <c r="O222" s="88"/>
      <c r="P222" s="51"/>
      <c r="Q222" s="51"/>
      <c r="R222" s="51"/>
      <c r="S222" s="69"/>
      <c r="T222" s="51"/>
      <c r="U222" s="51"/>
      <c r="V222" s="51"/>
      <c r="W222" s="51"/>
      <c r="X222" s="51"/>
      <c r="Y222" s="109"/>
      <c r="Z222" s="51"/>
      <c r="AA222" s="89">
        <f t="shared" si="34"/>
        <v>0</v>
      </c>
      <c r="AB222" s="51" t="s">
        <v>63</v>
      </c>
      <c r="AC222" s="114" t="e">
        <f>INDEX(Tab_Def_Flows[[Flow_ID]:[CC_DM_source]],MATCH(Tab_Data_Flows[[#This Row],[Name(EN)]],Tab_Def_Flows[Name(EN)],0),16)</f>
        <v>#N/A</v>
      </c>
      <c r="AD222" s="115" t="str">
        <f>IF(J222="Yes",AA222*Tab_Data_Flows[[#This Row],[WC_'[%']]],"N.A.")</f>
        <v>N.A.</v>
      </c>
      <c r="AE222" s="61" t="str">
        <f>Tab_Data_Flows[[#This Row],[UoM_Flow_Py]]</f>
        <v>Mg</v>
      </c>
      <c r="AF222" s="114" t="e">
        <f>INDEX(Tab_Def_Flows[[Flow_ID]:[CC_DM_source]],MATCH(Tab_Data_Flows[[#This Row],[Name(EN)]],Tab_Def_Flows[Name(EN)],0),18)</f>
        <v>#N/A</v>
      </c>
      <c r="AG222" s="115" t="str">
        <f>IF(K222="Yes",AF222*Tab_Data_Flows[[#This Row],[Flow_Py]],"N.A.")</f>
        <v>N.A.</v>
      </c>
      <c r="AH222" s="61" t="str">
        <f>Tab_Data_Flows[[#This Row],[UoM_Flow_Py]]</f>
        <v>Mg</v>
      </c>
      <c r="AI222" s="114" t="e">
        <f>INDEX(Tab_Def_Flows[[Flow_ID]:[CC_DM_source]],MATCH(Tab_Data_Flows[[#This Row],[Name(EN)]],Tab_Def_Flows[Name(EN)],0),20)</f>
        <v>#N/A</v>
      </c>
      <c r="AJ222" s="115" t="str">
        <f>IF(L222="Yes",AI222*Tab_Data_Flows[[#This Row],[Flow_Py]],"N.A.")</f>
        <v>N.A.</v>
      </c>
      <c r="AK222" s="61" t="str">
        <f>Tab_Data_Flows[[#This Row],[UoM_Flow_Py]]</f>
        <v>Mg</v>
      </c>
    </row>
    <row r="223" spans="1:37" x14ac:dyDescent="0.35">
      <c r="A223" s="60">
        <f t="shared" si="33"/>
        <v>222</v>
      </c>
      <c r="B223" s="49" t="str">
        <f>_xlfn.XLOOKUP(C223,Tab_Def_Flows[Name(EN)],Tab_Def_Flows[Flow_ID],,0,)</f>
        <v>F_21_21</v>
      </c>
      <c r="C223" s="51"/>
      <c r="D223" s="49">
        <f>_xlfn.XLOOKUP(C223,Tab_Def_Flows[Name(EN)],Tab_Def_Flows[Type_Biomass],,0,)</f>
        <v>0</v>
      </c>
      <c r="E223" s="49">
        <f>_xlfn.XLOOKUP(C223,Tab_Def_Flows[Name(EN)],Tab_Def_Flows[Output_Process],,0,)</f>
        <v>0</v>
      </c>
      <c r="F223" s="49" t="str">
        <f>_xlfn.XLOOKUP(C223,Tab_Def_Flows[Name(EN)],Tab_Def_Flows[Process_ID_O],,0,)</f>
        <v>21__</v>
      </c>
      <c r="G223" s="49">
        <f>_xlfn.XLOOKUP(C223,Tab_Def_Flows[Name(EN)],Tab_Def_Flows[Input_Process],,0,)</f>
        <v>0</v>
      </c>
      <c r="H223" s="61" t="str">
        <f>_xlfn.XLOOKUP(C223,Tab_Def_Flows[Name(EN)],Tab_Def_Flows[Process_ID_I],,0,)</f>
        <v>21__</v>
      </c>
      <c r="I223" s="49">
        <f>_xlfn.XLOOKUP(C223,Tab_Def_Flows[Name(EN)],Tab_Def_Flows[Value_Source],,0,)</f>
        <v>0</v>
      </c>
      <c r="J223" s="49">
        <f>_xlfn.XLOOKUP(C223,Tab_Def_Flows[Name(EN)],Tab_Def_Flows[WC?],,0,)</f>
        <v>0</v>
      </c>
      <c r="K223" s="49">
        <f>_xlfn.XLOOKUP(C223,Tab_Def_Flows[Name(EN)],Tab_Def_Flows[DM?],,0,)</f>
        <v>0</v>
      </c>
      <c r="L223" s="49">
        <f>_xlfn.XLOOKUP(C223,Tab_Def_Flows[Name(EN)],Tab_Def_Flows[CC?],,0,)</f>
        <v>0</v>
      </c>
      <c r="M223" s="51"/>
      <c r="N223" s="51"/>
      <c r="O223" s="88"/>
      <c r="P223" s="51"/>
      <c r="Q223" s="51"/>
      <c r="R223" s="51"/>
      <c r="S223" s="69"/>
      <c r="T223" s="51"/>
      <c r="U223" s="51"/>
      <c r="V223" s="51"/>
      <c r="W223" s="51"/>
      <c r="X223" s="51"/>
      <c r="Y223" s="109"/>
      <c r="Z223" s="51"/>
      <c r="AA223" s="89">
        <f t="shared" si="34"/>
        <v>0</v>
      </c>
      <c r="AB223" s="51" t="s">
        <v>63</v>
      </c>
      <c r="AC223" s="114" t="e">
        <f>INDEX(Tab_Def_Flows[[Flow_ID]:[CC_DM_source]],MATCH(Tab_Data_Flows[[#This Row],[Name(EN)]],Tab_Def_Flows[Name(EN)],0),16)</f>
        <v>#N/A</v>
      </c>
      <c r="AD223" s="115" t="str">
        <f>IF(J223="Yes",AA223*Tab_Data_Flows[[#This Row],[WC_'[%']]],"N.A.")</f>
        <v>N.A.</v>
      </c>
      <c r="AE223" s="61" t="str">
        <f>Tab_Data_Flows[[#This Row],[UoM_Flow_Py]]</f>
        <v>Mg</v>
      </c>
      <c r="AF223" s="114" t="e">
        <f>INDEX(Tab_Def_Flows[[Flow_ID]:[CC_DM_source]],MATCH(Tab_Data_Flows[[#This Row],[Name(EN)]],Tab_Def_Flows[Name(EN)],0),18)</f>
        <v>#N/A</v>
      </c>
      <c r="AG223" s="115" t="str">
        <f>IF(K223="Yes",AF223*Tab_Data_Flows[[#This Row],[Flow_Py]],"N.A.")</f>
        <v>N.A.</v>
      </c>
      <c r="AH223" s="61" t="str">
        <f>Tab_Data_Flows[[#This Row],[UoM_Flow_Py]]</f>
        <v>Mg</v>
      </c>
      <c r="AI223" s="114" t="e">
        <f>INDEX(Tab_Def_Flows[[Flow_ID]:[CC_DM_source]],MATCH(Tab_Data_Flows[[#This Row],[Name(EN)]],Tab_Def_Flows[Name(EN)],0),20)</f>
        <v>#N/A</v>
      </c>
      <c r="AJ223" s="115" t="str">
        <f>IF(L223="Yes",AI223*Tab_Data_Flows[[#This Row],[Flow_Py]],"N.A.")</f>
        <v>N.A.</v>
      </c>
      <c r="AK223" s="61" t="str">
        <f>Tab_Data_Flows[[#This Row],[UoM_Flow_Py]]</f>
        <v>Mg</v>
      </c>
    </row>
    <row r="224" spans="1:37" x14ac:dyDescent="0.35">
      <c r="A224" s="60">
        <f t="shared" si="33"/>
        <v>223</v>
      </c>
      <c r="B224" s="49" t="str">
        <f>_xlfn.XLOOKUP(C224,Tab_Def_Flows[Name(EN)],Tab_Def_Flows[Flow_ID],,0,)</f>
        <v>F_21_21</v>
      </c>
      <c r="C224" s="51"/>
      <c r="D224" s="49">
        <f>_xlfn.XLOOKUP(C224,Tab_Def_Flows[Name(EN)],Tab_Def_Flows[Type_Biomass],,0,)</f>
        <v>0</v>
      </c>
      <c r="E224" s="49">
        <f>_xlfn.XLOOKUP(C224,Tab_Def_Flows[Name(EN)],Tab_Def_Flows[Output_Process],,0,)</f>
        <v>0</v>
      </c>
      <c r="F224" s="49" t="str">
        <f>_xlfn.XLOOKUP(C224,Tab_Def_Flows[Name(EN)],Tab_Def_Flows[Process_ID_O],,0,)</f>
        <v>21__</v>
      </c>
      <c r="G224" s="49">
        <f>_xlfn.XLOOKUP(C224,Tab_Def_Flows[Name(EN)],Tab_Def_Flows[Input_Process],,0,)</f>
        <v>0</v>
      </c>
      <c r="H224" s="61" t="str">
        <f>_xlfn.XLOOKUP(C224,Tab_Def_Flows[Name(EN)],Tab_Def_Flows[Process_ID_I],,0,)</f>
        <v>21__</v>
      </c>
      <c r="I224" s="49">
        <f>_xlfn.XLOOKUP(C224,Tab_Def_Flows[Name(EN)],Tab_Def_Flows[Value_Source],,0,)</f>
        <v>0</v>
      </c>
      <c r="J224" s="49">
        <f>_xlfn.XLOOKUP(C224,Tab_Def_Flows[Name(EN)],Tab_Def_Flows[WC?],,0,)</f>
        <v>0</v>
      </c>
      <c r="K224" s="49">
        <f>_xlfn.XLOOKUP(C224,Tab_Def_Flows[Name(EN)],Tab_Def_Flows[DM?],,0,)</f>
        <v>0</v>
      </c>
      <c r="L224" s="49">
        <f>_xlfn.XLOOKUP(C224,Tab_Def_Flows[Name(EN)],Tab_Def_Flows[CC?],,0,)</f>
        <v>0</v>
      </c>
      <c r="M224" s="51"/>
      <c r="N224" s="51"/>
      <c r="O224" s="88"/>
      <c r="P224" s="51"/>
      <c r="Q224" s="51"/>
      <c r="R224" s="51"/>
      <c r="S224" s="69"/>
      <c r="T224" s="51"/>
      <c r="U224" s="51"/>
      <c r="V224" s="51"/>
      <c r="W224" s="51"/>
      <c r="X224" s="51"/>
      <c r="Y224" s="109"/>
      <c r="Z224" s="51"/>
      <c r="AA224" s="89">
        <f t="shared" si="34"/>
        <v>0</v>
      </c>
      <c r="AB224" s="51" t="s">
        <v>63</v>
      </c>
      <c r="AC224" s="114" t="e">
        <f>INDEX(Tab_Def_Flows[[Flow_ID]:[CC_DM_source]],MATCH(Tab_Data_Flows[[#This Row],[Name(EN)]],Tab_Def_Flows[Name(EN)],0),16)</f>
        <v>#N/A</v>
      </c>
      <c r="AD224" s="115" t="str">
        <f>IF(J224="Yes",AA224*Tab_Data_Flows[[#This Row],[WC_'[%']]],"N.A.")</f>
        <v>N.A.</v>
      </c>
      <c r="AE224" s="61" t="str">
        <f>Tab_Data_Flows[[#This Row],[UoM_Flow_Py]]</f>
        <v>Mg</v>
      </c>
      <c r="AF224" s="114" t="e">
        <f>INDEX(Tab_Def_Flows[[Flow_ID]:[CC_DM_source]],MATCH(Tab_Data_Flows[[#This Row],[Name(EN)]],Tab_Def_Flows[Name(EN)],0),18)</f>
        <v>#N/A</v>
      </c>
      <c r="AG224" s="115" t="str">
        <f>IF(K224="Yes",AF224*Tab_Data_Flows[[#This Row],[Flow_Py]],"N.A.")</f>
        <v>N.A.</v>
      </c>
      <c r="AH224" s="61" t="str">
        <f>Tab_Data_Flows[[#This Row],[UoM_Flow_Py]]</f>
        <v>Mg</v>
      </c>
      <c r="AI224" s="114" t="e">
        <f>INDEX(Tab_Def_Flows[[Flow_ID]:[CC_DM_source]],MATCH(Tab_Data_Flows[[#This Row],[Name(EN)]],Tab_Def_Flows[Name(EN)],0),20)</f>
        <v>#N/A</v>
      </c>
      <c r="AJ224" s="115" t="str">
        <f>IF(L224="Yes",AI224*Tab_Data_Flows[[#This Row],[Flow_Py]],"N.A.")</f>
        <v>N.A.</v>
      </c>
      <c r="AK224" s="61" t="str">
        <f>Tab_Data_Flows[[#This Row],[UoM_Flow_Py]]</f>
        <v>Mg</v>
      </c>
    </row>
    <row r="225" spans="1:37" x14ac:dyDescent="0.35">
      <c r="A225" s="60">
        <f t="shared" ref="A225:A288" si="35">ROW()-1</f>
        <v>224</v>
      </c>
      <c r="B225" s="49" t="str">
        <f>_xlfn.XLOOKUP(C225,Tab_Def_Flows[Name(EN)],Tab_Def_Flows[Flow_ID],,0,)</f>
        <v>F_21_21</v>
      </c>
      <c r="C225" s="51"/>
      <c r="D225" s="49">
        <f>_xlfn.XLOOKUP(C225,Tab_Def_Flows[Name(EN)],Tab_Def_Flows[Type_Biomass],,0,)</f>
        <v>0</v>
      </c>
      <c r="E225" s="49">
        <f>_xlfn.XLOOKUP(C225,Tab_Def_Flows[Name(EN)],Tab_Def_Flows[Output_Process],,0,)</f>
        <v>0</v>
      </c>
      <c r="F225" s="49" t="str">
        <f>_xlfn.XLOOKUP(C225,Tab_Def_Flows[Name(EN)],Tab_Def_Flows[Process_ID_O],,0,)</f>
        <v>21__</v>
      </c>
      <c r="G225" s="49">
        <f>_xlfn.XLOOKUP(C225,Tab_Def_Flows[Name(EN)],Tab_Def_Flows[Input_Process],,0,)</f>
        <v>0</v>
      </c>
      <c r="H225" s="61" t="str">
        <f>_xlfn.XLOOKUP(C225,Tab_Def_Flows[Name(EN)],Tab_Def_Flows[Process_ID_I],,0,)</f>
        <v>21__</v>
      </c>
      <c r="I225" s="49">
        <f>_xlfn.XLOOKUP(C225,Tab_Def_Flows[Name(EN)],Tab_Def_Flows[Value_Source],,0,)</f>
        <v>0</v>
      </c>
      <c r="J225" s="49">
        <f>_xlfn.XLOOKUP(C225,Tab_Def_Flows[Name(EN)],Tab_Def_Flows[WC?],,0,)</f>
        <v>0</v>
      </c>
      <c r="K225" s="49">
        <f>_xlfn.XLOOKUP(C225,Tab_Def_Flows[Name(EN)],Tab_Def_Flows[DM?],,0,)</f>
        <v>0</v>
      </c>
      <c r="L225" s="49">
        <f>_xlfn.XLOOKUP(C225,Tab_Def_Flows[Name(EN)],Tab_Def_Flows[CC?],,0,)</f>
        <v>0</v>
      </c>
      <c r="M225" s="51"/>
      <c r="N225" s="51"/>
      <c r="O225" s="88"/>
      <c r="P225" s="51"/>
      <c r="Q225" s="51"/>
      <c r="R225" s="51"/>
      <c r="S225" s="69"/>
      <c r="T225" s="51"/>
      <c r="U225" s="51"/>
      <c r="V225" s="51"/>
      <c r="W225" s="51"/>
      <c r="X225" s="51"/>
      <c r="Y225" s="109"/>
      <c r="Z225" s="51"/>
      <c r="AA225" s="89">
        <f t="shared" ref="AA225:AA247" si="36">IF(X225="no",O225,O225*Y225)</f>
        <v>0</v>
      </c>
      <c r="AB225" s="51" t="s">
        <v>63</v>
      </c>
      <c r="AC225" s="114" t="e">
        <f>INDEX(Tab_Def_Flows[[Flow_ID]:[CC_DM_source]],MATCH(Tab_Data_Flows[[#This Row],[Name(EN)]],Tab_Def_Flows[Name(EN)],0),16)</f>
        <v>#N/A</v>
      </c>
      <c r="AD225" s="115" t="str">
        <f>IF(J225="Yes",AA225*Tab_Data_Flows[[#This Row],[WC_'[%']]],"N.A.")</f>
        <v>N.A.</v>
      </c>
      <c r="AE225" s="61" t="str">
        <f>Tab_Data_Flows[[#This Row],[UoM_Flow_Py]]</f>
        <v>Mg</v>
      </c>
      <c r="AF225" s="114" t="e">
        <f>INDEX(Tab_Def_Flows[[Flow_ID]:[CC_DM_source]],MATCH(Tab_Data_Flows[[#This Row],[Name(EN)]],Tab_Def_Flows[Name(EN)],0),18)</f>
        <v>#N/A</v>
      </c>
      <c r="AG225" s="115" t="str">
        <f>IF(K225="Yes",AF225*Tab_Data_Flows[[#This Row],[Flow_Py]],"N.A.")</f>
        <v>N.A.</v>
      </c>
      <c r="AH225" s="61" t="str">
        <f>Tab_Data_Flows[[#This Row],[UoM_Flow_Py]]</f>
        <v>Mg</v>
      </c>
      <c r="AI225" s="114" t="e">
        <f>INDEX(Tab_Def_Flows[[Flow_ID]:[CC_DM_source]],MATCH(Tab_Data_Flows[[#This Row],[Name(EN)]],Tab_Def_Flows[Name(EN)],0),20)</f>
        <v>#N/A</v>
      </c>
      <c r="AJ225" s="115" t="str">
        <f>IF(L225="Yes",AI225*Tab_Data_Flows[[#This Row],[Flow_Py]],"N.A.")</f>
        <v>N.A.</v>
      </c>
      <c r="AK225" s="61" t="str">
        <f>Tab_Data_Flows[[#This Row],[UoM_Flow_Py]]</f>
        <v>Mg</v>
      </c>
    </row>
    <row r="226" spans="1:37" x14ac:dyDescent="0.35">
      <c r="A226" s="60">
        <f t="shared" si="35"/>
        <v>225</v>
      </c>
      <c r="B226" s="49" t="str">
        <f>_xlfn.XLOOKUP(C226,Tab_Def_Flows[Name(EN)],Tab_Def_Flows[Flow_ID],,0,)</f>
        <v>F_21_21</v>
      </c>
      <c r="C226" s="51"/>
      <c r="D226" s="49">
        <f>_xlfn.XLOOKUP(C226,Tab_Def_Flows[Name(EN)],Tab_Def_Flows[Type_Biomass],,0,)</f>
        <v>0</v>
      </c>
      <c r="E226" s="49">
        <f>_xlfn.XLOOKUP(C226,Tab_Def_Flows[Name(EN)],Tab_Def_Flows[Output_Process],,0,)</f>
        <v>0</v>
      </c>
      <c r="F226" s="49" t="str">
        <f>_xlfn.XLOOKUP(C226,Tab_Def_Flows[Name(EN)],Tab_Def_Flows[Process_ID_O],,0,)</f>
        <v>21__</v>
      </c>
      <c r="G226" s="49">
        <f>_xlfn.XLOOKUP(C226,Tab_Def_Flows[Name(EN)],Tab_Def_Flows[Input_Process],,0,)</f>
        <v>0</v>
      </c>
      <c r="H226" s="61" t="str">
        <f>_xlfn.XLOOKUP(C226,Tab_Def_Flows[Name(EN)],Tab_Def_Flows[Process_ID_I],,0,)</f>
        <v>21__</v>
      </c>
      <c r="I226" s="49">
        <f>_xlfn.XLOOKUP(C226,Tab_Def_Flows[Name(EN)],Tab_Def_Flows[Value_Source],,0,)</f>
        <v>0</v>
      </c>
      <c r="J226" s="49">
        <f>_xlfn.XLOOKUP(C226,Tab_Def_Flows[Name(EN)],Tab_Def_Flows[WC?],,0,)</f>
        <v>0</v>
      </c>
      <c r="K226" s="49">
        <f>_xlfn.XLOOKUP(C226,Tab_Def_Flows[Name(EN)],Tab_Def_Flows[DM?],,0,)</f>
        <v>0</v>
      </c>
      <c r="L226" s="49">
        <f>_xlfn.XLOOKUP(C226,Tab_Def_Flows[Name(EN)],Tab_Def_Flows[CC?],,0,)</f>
        <v>0</v>
      </c>
      <c r="M226" s="51"/>
      <c r="N226" s="51"/>
      <c r="O226" s="88"/>
      <c r="P226" s="51"/>
      <c r="Q226" s="51"/>
      <c r="R226" s="51"/>
      <c r="S226" s="69"/>
      <c r="T226" s="51"/>
      <c r="U226" s="51"/>
      <c r="V226" s="51"/>
      <c r="W226" s="51"/>
      <c r="X226" s="51"/>
      <c r="Y226" s="109"/>
      <c r="Z226" s="51"/>
      <c r="AA226" s="89">
        <f t="shared" si="36"/>
        <v>0</v>
      </c>
      <c r="AB226" s="51" t="s">
        <v>63</v>
      </c>
      <c r="AC226" s="114" t="e">
        <f>INDEX(Tab_Def_Flows[[Flow_ID]:[CC_DM_source]],MATCH(Tab_Data_Flows[[#This Row],[Name(EN)]],Tab_Def_Flows[Name(EN)],0),16)</f>
        <v>#N/A</v>
      </c>
      <c r="AD226" s="115" t="str">
        <f>IF(J226="Yes",AA226*Tab_Data_Flows[[#This Row],[WC_'[%']]],"N.A.")</f>
        <v>N.A.</v>
      </c>
      <c r="AE226" s="61" t="str">
        <f>Tab_Data_Flows[[#This Row],[UoM_Flow_Py]]</f>
        <v>Mg</v>
      </c>
      <c r="AF226" s="114" t="e">
        <f>INDEX(Tab_Def_Flows[[Flow_ID]:[CC_DM_source]],MATCH(Tab_Data_Flows[[#This Row],[Name(EN)]],Tab_Def_Flows[Name(EN)],0),18)</f>
        <v>#N/A</v>
      </c>
      <c r="AG226" s="115" t="str">
        <f>IF(K226="Yes",AF226*Tab_Data_Flows[[#This Row],[Flow_Py]],"N.A.")</f>
        <v>N.A.</v>
      </c>
      <c r="AH226" s="61" t="str">
        <f>Tab_Data_Flows[[#This Row],[UoM_Flow_Py]]</f>
        <v>Mg</v>
      </c>
      <c r="AI226" s="114" t="e">
        <f>INDEX(Tab_Def_Flows[[Flow_ID]:[CC_DM_source]],MATCH(Tab_Data_Flows[[#This Row],[Name(EN)]],Tab_Def_Flows[Name(EN)],0),20)</f>
        <v>#N/A</v>
      </c>
      <c r="AJ226" s="115" t="str">
        <f>IF(L226="Yes",AI226*Tab_Data_Flows[[#This Row],[Flow_Py]],"N.A.")</f>
        <v>N.A.</v>
      </c>
      <c r="AK226" s="61" t="str">
        <f>Tab_Data_Flows[[#This Row],[UoM_Flow_Py]]</f>
        <v>Mg</v>
      </c>
    </row>
    <row r="227" spans="1:37" x14ac:dyDescent="0.35">
      <c r="A227" s="60">
        <f t="shared" si="35"/>
        <v>226</v>
      </c>
      <c r="B227" s="49" t="str">
        <f>_xlfn.XLOOKUP(C227,Tab_Def_Flows[Name(EN)],Tab_Def_Flows[Flow_ID],,0,)</f>
        <v>F_21_21</v>
      </c>
      <c r="C227" s="51"/>
      <c r="D227" s="49">
        <f>_xlfn.XLOOKUP(C227,Tab_Def_Flows[Name(EN)],Tab_Def_Flows[Type_Biomass],,0,)</f>
        <v>0</v>
      </c>
      <c r="E227" s="49">
        <f>_xlfn.XLOOKUP(C227,Tab_Def_Flows[Name(EN)],Tab_Def_Flows[Output_Process],,0,)</f>
        <v>0</v>
      </c>
      <c r="F227" s="49" t="str">
        <f>_xlfn.XLOOKUP(C227,Tab_Def_Flows[Name(EN)],Tab_Def_Flows[Process_ID_O],,0,)</f>
        <v>21__</v>
      </c>
      <c r="G227" s="49">
        <f>_xlfn.XLOOKUP(C227,Tab_Def_Flows[Name(EN)],Tab_Def_Flows[Input_Process],,0,)</f>
        <v>0</v>
      </c>
      <c r="H227" s="61" t="str">
        <f>_xlfn.XLOOKUP(C227,Tab_Def_Flows[Name(EN)],Tab_Def_Flows[Process_ID_I],,0,)</f>
        <v>21__</v>
      </c>
      <c r="I227" s="49">
        <f>_xlfn.XLOOKUP(C227,Tab_Def_Flows[Name(EN)],Tab_Def_Flows[Value_Source],,0,)</f>
        <v>0</v>
      </c>
      <c r="J227" s="49">
        <f>_xlfn.XLOOKUP(C227,Tab_Def_Flows[Name(EN)],Tab_Def_Flows[WC?],,0,)</f>
        <v>0</v>
      </c>
      <c r="K227" s="49">
        <f>_xlfn.XLOOKUP(C227,Tab_Def_Flows[Name(EN)],Tab_Def_Flows[DM?],,0,)</f>
        <v>0</v>
      </c>
      <c r="L227" s="49">
        <f>_xlfn.XLOOKUP(C227,Tab_Def_Flows[Name(EN)],Tab_Def_Flows[CC?],,0,)</f>
        <v>0</v>
      </c>
      <c r="M227" s="51"/>
      <c r="N227" s="51"/>
      <c r="O227" s="88"/>
      <c r="P227" s="51"/>
      <c r="Q227" s="51"/>
      <c r="R227" s="51"/>
      <c r="S227" s="69"/>
      <c r="T227" s="51"/>
      <c r="U227" s="51"/>
      <c r="V227" s="51"/>
      <c r="W227" s="51"/>
      <c r="X227" s="51"/>
      <c r="Y227" s="109"/>
      <c r="Z227" s="51"/>
      <c r="AA227" s="89">
        <f t="shared" si="36"/>
        <v>0</v>
      </c>
      <c r="AB227" s="51" t="s">
        <v>63</v>
      </c>
      <c r="AC227" s="114" t="e">
        <f>INDEX(Tab_Def_Flows[[Flow_ID]:[CC_DM_source]],MATCH(Tab_Data_Flows[[#This Row],[Name(EN)]],Tab_Def_Flows[Name(EN)],0),16)</f>
        <v>#N/A</v>
      </c>
      <c r="AD227" s="115" t="str">
        <f>IF(J227="Yes",AA227*Tab_Data_Flows[[#This Row],[WC_'[%']]],"N.A.")</f>
        <v>N.A.</v>
      </c>
      <c r="AE227" s="61" t="str">
        <f>Tab_Data_Flows[[#This Row],[UoM_Flow_Py]]</f>
        <v>Mg</v>
      </c>
      <c r="AF227" s="114" t="e">
        <f>INDEX(Tab_Def_Flows[[Flow_ID]:[CC_DM_source]],MATCH(Tab_Data_Flows[[#This Row],[Name(EN)]],Tab_Def_Flows[Name(EN)],0),18)</f>
        <v>#N/A</v>
      </c>
      <c r="AG227" s="115" t="str">
        <f>IF(K227="Yes",AF227*Tab_Data_Flows[[#This Row],[Flow_Py]],"N.A.")</f>
        <v>N.A.</v>
      </c>
      <c r="AH227" s="61" t="str">
        <f>Tab_Data_Flows[[#This Row],[UoM_Flow_Py]]</f>
        <v>Mg</v>
      </c>
      <c r="AI227" s="114" t="e">
        <f>INDEX(Tab_Def_Flows[[Flow_ID]:[CC_DM_source]],MATCH(Tab_Data_Flows[[#This Row],[Name(EN)]],Tab_Def_Flows[Name(EN)],0),20)</f>
        <v>#N/A</v>
      </c>
      <c r="AJ227" s="115" t="str">
        <f>IF(L227="Yes",AI227*Tab_Data_Flows[[#This Row],[Flow_Py]],"N.A.")</f>
        <v>N.A.</v>
      </c>
      <c r="AK227" s="61" t="str">
        <f>Tab_Data_Flows[[#This Row],[UoM_Flow_Py]]</f>
        <v>Mg</v>
      </c>
    </row>
    <row r="228" spans="1:37" x14ac:dyDescent="0.35">
      <c r="A228" s="60">
        <f t="shared" si="35"/>
        <v>227</v>
      </c>
      <c r="B228" s="49" t="str">
        <f>_xlfn.XLOOKUP(C228,Tab_Def_Flows[Name(EN)],Tab_Def_Flows[Flow_ID],,0,)</f>
        <v>F_21_21</v>
      </c>
      <c r="C228" s="51"/>
      <c r="D228" s="49">
        <f>_xlfn.XLOOKUP(C228,Tab_Def_Flows[Name(EN)],Tab_Def_Flows[Type_Biomass],,0,)</f>
        <v>0</v>
      </c>
      <c r="E228" s="49">
        <f>_xlfn.XLOOKUP(C228,Tab_Def_Flows[Name(EN)],Tab_Def_Flows[Output_Process],,0,)</f>
        <v>0</v>
      </c>
      <c r="F228" s="49" t="str">
        <f>_xlfn.XLOOKUP(C228,Tab_Def_Flows[Name(EN)],Tab_Def_Flows[Process_ID_O],,0,)</f>
        <v>21__</v>
      </c>
      <c r="G228" s="49">
        <f>_xlfn.XLOOKUP(C228,Tab_Def_Flows[Name(EN)],Tab_Def_Flows[Input_Process],,0,)</f>
        <v>0</v>
      </c>
      <c r="H228" s="61" t="str">
        <f>_xlfn.XLOOKUP(C228,Tab_Def_Flows[Name(EN)],Tab_Def_Flows[Process_ID_I],,0,)</f>
        <v>21__</v>
      </c>
      <c r="I228" s="49">
        <f>_xlfn.XLOOKUP(C228,Tab_Def_Flows[Name(EN)],Tab_Def_Flows[Value_Source],,0,)</f>
        <v>0</v>
      </c>
      <c r="J228" s="49">
        <f>_xlfn.XLOOKUP(C228,Tab_Def_Flows[Name(EN)],Tab_Def_Flows[WC?],,0,)</f>
        <v>0</v>
      </c>
      <c r="K228" s="49">
        <f>_xlfn.XLOOKUP(C228,Tab_Def_Flows[Name(EN)],Tab_Def_Flows[DM?],,0,)</f>
        <v>0</v>
      </c>
      <c r="L228" s="49">
        <f>_xlfn.XLOOKUP(C228,Tab_Def_Flows[Name(EN)],Tab_Def_Flows[CC?],,0,)</f>
        <v>0</v>
      </c>
      <c r="M228" s="51"/>
      <c r="N228" s="51"/>
      <c r="O228" s="88"/>
      <c r="P228" s="51"/>
      <c r="Q228" s="51"/>
      <c r="R228" s="51"/>
      <c r="S228" s="69"/>
      <c r="T228" s="51"/>
      <c r="U228" s="51"/>
      <c r="V228" s="51"/>
      <c r="W228" s="51"/>
      <c r="X228" s="51"/>
      <c r="Y228" s="109"/>
      <c r="Z228" s="51"/>
      <c r="AA228" s="89">
        <f t="shared" si="36"/>
        <v>0</v>
      </c>
      <c r="AB228" s="51" t="s">
        <v>63</v>
      </c>
      <c r="AC228" s="114" t="e">
        <f>INDEX(Tab_Def_Flows[[Flow_ID]:[CC_DM_source]],MATCH(Tab_Data_Flows[[#This Row],[Name(EN)]],Tab_Def_Flows[Name(EN)],0),16)</f>
        <v>#N/A</v>
      </c>
      <c r="AD228" s="115" t="str">
        <f>IF(J228="Yes",AA228*Tab_Data_Flows[[#This Row],[WC_'[%']]],"N.A.")</f>
        <v>N.A.</v>
      </c>
      <c r="AE228" s="61" t="str">
        <f>Tab_Data_Flows[[#This Row],[UoM_Flow_Py]]</f>
        <v>Mg</v>
      </c>
      <c r="AF228" s="114" t="e">
        <f>INDEX(Tab_Def_Flows[[Flow_ID]:[CC_DM_source]],MATCH(Tab_Data_Flows[[#This Row],[Name(EN)]],Tab_Def_Flows[Name(EN)],0),18)</f>
        <v>#N/A</v>
      </c>
      <c r="AG228" s="115" t="str">
        <f>IF(K228="Yes",AF228*Tab_Data_Flows[[#This Row],[Flow_Py]],"N.A.")</f>
        <v>N.A.</v>
      </c>
      <c r="AH228" s="61" t="str">
        <f>Tab_Data_Flows[[#This Row],[UoM_Flow_Py]]</f>
        <v>Mg</v>
      </c>
      <c r="AI228" s="114" t="e">
        <f>INDEX(Tab_Def_Flows[[Flow_ID]:[CC_DM_source]],MATCH(Tab_Data_Flows[[#This Row],[Name(EN)]],Tab_Def_Flows[Name(EN)],0),20)</f>
        <v>#N/A</v>
      </c>
      <c r="AJ228" s="115" t="str">
        <f>IF(L228="Yes",AI228*Tab_Data_Flows[[#This Row],[Flow_Py]],"N.A.")</f>
        <v>N.A.</v>
      </c>
      <c r="AK228" s="61" t="str">
        <f>Tab_Data_Flows[[#This Row],[UoM_Flow_Py]]</f>
        <v>Mg</v>
      </c>
    </row>
    <row r="229" spans="1:37" x14ac:dyDescent="0.35">
      <c r="A229" s="60">
        <f t="shared" si="35"/>
        <v>228</v>
      </c>
      <c r="B229" s="49" t="str">
        <f>_xlfn.XLOOKUP(C229,Tab_Def_Flows[Name(EN)],Tab_Def_Flows[Flow_ID],,0,)</f>
        <v>F_21_21</v>
      </c>
      <c r="C229" s="51"/>
      <c r="D229" s="49">
        <f>_xlfn.XLOOKUP(C229,Tab_Def_Flows[Name(EN)],Tab_Def_Flows[Type_Biomass],,0,)</f>
        <v>0</v>
      </c>
      <c r="E229" s="49">
        <f>_xlfn.XLOOKUP(C229,Tab_Def_Flows[Name(EN)],Tab_Def_Flows[Output_Process],,0,)</f>
        <v>0</v>
      </c>
      <c r="F229" s="49" t="str">
        <f>_xlfn.XLOOKUP(C229,Tab_Def_Flows[Name(EN)],Tab_Def_Flows[Process_ID_O],,0,)</f>
        <v>21__</v>
      </c>
      <c r="G229" s="49">
        <f>_xlfn.XLOOKUP(C229,Tab_Def_Flows[Name(EN)],Tab_Def_Flows[Input_Process],,0,)</f>
        <v>0</v>
      </c>
      <c r="H229" s="61" t="str">
        <f>_xlfn.XLOOKUP(C229,Tab_Def_Flows[Name(EN)],Tab_Def_Flows[Process_ID_I],,0,)</f>
        <v>21__</v>
      </c>
      <c r="I229" s="49">
        <f>_xlfn.XLOOKUP(C229,Tab_Def_Flows[Name(EN)],Tab_Def_Flows[Value_Source],,0,)</f>
        <v>0</v>
      </c>
      <c r="J229" s="49">
        <f>_xlfn.XLOOKUP(C229,Tab_Def_Flows[Name(EN)],Tab_Def_Flows[WC?],,0,)</f>
        <v>0</v>
      </c>
      <c r="K229" s="49">
        <f>_xlfn.XLOOKUP(C229,Tab_Def_Flows[Name(EN)],Tab_Def_Flows[DM?],,0,)</f>
        <v>0</v>
      </c>
      <c r="L229" s="49">
        <f>_xlfn.XLOOKUP(C229,Tab_Def_Flows[Name(EN)],Tab_Def_Flows[CC?],,0,)</f>
        <v>0</v>
      </c>
      <c r="M229" s="51"/>
      <c r="N229" s="51"/>
      <c r="O229" s="88"/>
      <c r="P229" s="51"/>
      <c r="Q229" s="51"/>
      <c r="R229" s="51"/>
      <c r="S229" s="69"/>
      <c r="T229" s="51"/>
      <c r="U229" s="51"/>
      <c r="V229" s="51"/>
      <c r="W229" s="51"/>
      <c r="X229" s="51"/>
      <c r="Y229" s="109"/>
      <c r="Z229" s="51"/>
      <c r="AA229" s="89">
        <f t="shared" si="36"/>
        <v>0</v>
      </c>
      <c r="AB229" s="51" t="s">
        <v>63</v>
      </c>
      <c r="AC229" s="114" t="e">
        <f>INDEX(Tab_Def_Flows[[Flow_ID]:[CC_DM_source]],MATCH(Tab_Data_Flows[[#This Row],[Name(EN)]],Tab_Def_Flows[Name(EN)],0),16)</f>
        <v>#N/A</v>
      </c>
      <c r="AD229" s="115" t="str">
        <f>IF(J229="Yes",AA229*Tab_Data_Flows[[#This Row],[WC_'[%']]],"N.A.")</f>
        <v>N.A.</v>
      </c>
      <c r="AE229" s="61" t="str">
        <f>Tab_Data_Flows[[#This Row],[UoM_Flow_Py]]</f>
        <v>Mg</v>
      </c>
      <c r="AF229" s="114" t="e">
        <f>INDEX(Tab_Def_Flows[[Flow_ID]:[CC_DM_source]],MATCH(Tab_Data_Flows[[#This Row],[Name(EN)]],Tab_Def_Flows[Name(EN)],0),18)</f>
        <v>#N/A</v>
      </c>
      <c r="AG229" s="115" t="str">
        <f>IF(K229="Yes",AF229*Tab_Data_Flows[[#This Row],[Flow_Py]],"N.A.")</f>
        <v>N.A.</v>
      </c>
      <c r="AH229" s="61" t="str">
        <f>Tab_Data_Flows[[#This Row],[UoM_Flow_Py]]</f>
        <v>Mg</v>
      </c>
      <c r="AI229" s="114" t="e">
        <f>INDEX(Tab_Def_Flows[[Flow_ID]:[CC_DM_source]],MATCH(Tab_Data_Flows[[#This Row],[Name(EN)]],Tab_Def_Flows[Name(EN)],0),20)</f>
        <v>#N/A</v>
      </c>
      <c r="AJ229" s="115" t="str">
        <f>IF(L229="Yes",AI229*Tab_Data_Flows[[#This Row],[Flow_Py]],"N.A.")</f>
        <v>N.A.</v>
      </c>
      <c r="AK229" s="61" t="str">
        <f>Tab_Data_Flows[[#This Row],[UoM_Flow_Py]]</f>
        <v>Mg</v>
      </c>
    </row>
    <row r="230" spans="1:37" x14ac:dyDescent="0.35">
      <c r="A230" s="60">
        <f t="shared" si="35"/>
        <v>229</v>
      </c>
      <c r="B230" s="49" t="str">
        <f>_xlfn.XLOOKUP(C230,Tab_Def_Flows[Name(EN)],Tab_Def_Flows[Flow_ID],,0,)</f>
        <v>F_21_21</v>
      </c>
      <c r="C230" s="51"/>
      <c r="D230" s="49">
        <f>_xlfn.XLOOKUP(C230,Tab_Def_Flows[Name(EN)],Tab_Def_Flows[Type_Biomass],,0,)</f>
        <v>0</v>
      </c>
      <c r="E230" s="49">
        <f>_xlfn.XLOOKUP(C230,Tab_Def_Flows[Name(EN)],Tab_Def_Flows[Output_Process],,0,)</f>
        <v>0</v>
      </c>
      <c r="F230" s="49" t="str">
        <f>_xlfn.XLOOKUP(C230,Tab_Def_Flows[Name(EN)],Tab_Def_Flows[Process_ID_O],,0,)</f>
        <v>21__</v>
      </c>
      <c r="G230" s="49">
        <f>_xlfn.XLOOKUP(C230,Tab_Def_Flows[Name(EN)],Tab_Def_Flows[Input_Process],,0,)</f>
        <v>0</v>
      </c>
      <c r="H230" s="61" t="str">
        <f>_xlfn.XLOOKUP(C230,Tab_Def_Flows[Name(EN)],Tab_Def_Flows[Process_ID_I],,0,)</f>
        <v>21__</v>
      </c>
      <c r="I230" s="49">
        <f>_xlfn.XLOOKUP(C230,Tab_Def_Flows[Name(EN)],Tab_Def_Flows[Value_Source],,0,)</f>
        <v>0</v>
      </c>
      <c r="J230" s="49">
        <f>_xlfn.XLOOKUP(C230,Tab_Def_Flows[Name(EN)],Tab_Def_Flows[WC?],,0,)</f>
        <v>0</v>
      </c>
      <c r="K230" s="49">
        <f>_xlfn.XLOOKUP(C230,Tab_Def_Flows[Name(EN)],Tab_Def_Flows[DM?],,0,)</f>
        <v>0</v>
      </c>
      <c r="L230" s="49">
        <f>_xlfn.XLOOKUP(C230,Tab_Def_Flows[Name(EN)],Tab_Def_Flows[CC?],,0,)</f>
        <v>0</v>
      </c>
      <c r="M230" s="51"/>
      <c r="N230" s="51"/>
      <c r="O230" s="88"/>
      <c r="P230" s="51"/>
      <c r="Q230" s="51"/>
      <c r="R230" s="51"/>
      <c r="S230" s="69"/>
      <c r="T230" s="51"/>
      <c r="U230" s="51"/>
      <c r="V230" s="51"/>
      <c r="W230" s="51"/>
      <c r="X230" s="51"/>
      <c r="Y230" s="109"/>
      <c r="Z230" s="51"/>
      <c r="AA230" s="89">
        <f t="shared" si="36"/>
        <v>0</v>
      </c>
      <c r="AB230" s="51" t="s">
        <v>63</v>
      </c>
      <c r="AC230" s="114" t="e">
        <f>INDEX(Tab_Def_Flows[[Flow_ID]:[CC_DM_source]],MATCH(Tab_Data_Flows[[#This Row],[Name(EN)]],Tab_Def_Flows[Name(EN)],0),16)</f>
        <v>#N/A</v>
      </c>
      <c r="AD230" s="115" t="str">
        <f>IF(J230="Yes",AA230*Tab_Data_Flows[[#This Row],[WC_'[%']]],"N.A.")</f>
        <v>N.A.</v>
      </c>
      <c r="AE230" s="61" t="str">
        <f>Tab_Data_Flows[[#This Row],[UoM_Flow_Py]]</f>
        <v>Mg</v>
      </c>
      <c r="AF230" s="114" t="e">
        <f>INDEX(Tab_Def_Flows[[Flow_ID]:[CC_DM_source]],MATCH(Tab_Data_Flows[[#This Row],[Name(EN)]],Tab_Def_Flows[Name(EN)],0),18)</f>
        <v>#N/A</v>
      </c>
      <c r="AG230" s="115" t="str">
        <f>IF(K230="Yes",AF230*Tab_Data_Flows[[#This Row],[Flow_Py]],"N.A.")</f>
        <v>N.A.</v>
      </c>
      <c r="AH230" s="61" t="str">
        <f>Tab_Data_Flows[[#This Row],[UoM_Flow_Py]]</f>
        <v>Mg</v>
      </c>
      <c r="AI230" s="114" t="e">
        <f>INDEX(Tab_Def_Flows[[Flow_ID]:[CC_DM_source]],MATCH(Tab_Data_Flows[[#This Row],[Name(EN)]],Tab_Def_Flows[Name(EN)],0),20)</f>
        <v>#N/A</v>
      </c>
      <c r="AJ230" s="115" t="str">
        <f>IF(L230="Yes",AI230*Tab_Data_Flows[[#This Row],[Flow_Py]],"N.A.")</f>
        <v>N.A.</v>
      </c>
      <c r="AK230" s="61" t="str">
        <f>Tab_Data_Flows[[#This Row],[UoM_Flow_Py]]</f>
        <v>Mg</v>
      </c>
    </row>
    <row r="231" spans="1:37" x14ac:dyDescent="0.35">
      <c r="A231" s="60">
        <f t="shared" si="35"/>
        <v>230</v>
      </c>
      <c r="B231" s="49" t="str">
        <f>_xlfn.XLOOKUP(C231,Tab_Def_Flows[Name(EN)],Tab_Def_Flows[Flow_ID],,0,)</f>
        <v>F_21_21</v>
      </c>
      <c r="C231" s="51"/>
      <c r="D231" s="49">
        <f>_xlfn.XLOOKUP(C231,Tab_Def_Flows[Name(EN)],Tab_Def_Flows[Type_Biomass],,0,)</f>
        <v>0</v>
      </c>
      <c r="E231" s="49">
        <f>_xlfn.XLOOKUP(C231,Tab_Def_Flows[Name(EN)],Tab_Def_Flows[Output_Process],,0,)</f>
        <v>0</v>
      </c>
      <c r="F231" s="49" t="str">
        <f>_xlfn.XLOOKUP(C231,Tab_Def_Flows[Name(EN)],Tab_Def_Flows[Process_ID_O],,0,)</f>
        <v>21__</v>
      </c>
      <c r="G231" s="49">
        <f>_xlfn.XLOOKUP(C231,Tab_Def_Flows[Name(EN)],Tab_Def_Flows[Input_Process],,0,)</f>
        <v>0</v>
      </c>
      <c r="H231" s="61" t="str">
        <f>_xlfn.XLOOKUP(C231,Tab_Def_Flows[Name(EN)],Tab_Def_Flows[Process_ID_I],,0,)</f>
        <v>21__</v>
      </c>
      <c r="I231" s="49">
        <f>_xlfn.XLOOKUP(C231,Tab_Def_Flows[Name(EN)],Tab_Def_Flows[Value_Source],,0,)</f>
        <v>0</v>
      </c>
      <c r="J231" s="49">
        <f>_xlfn.XLOOKUP(C231,Tab_Def_Flows[Name(EN)],Tab_Def_Flows[WC?],,0,)</f>
        <v>0</v>
      </c>
      <c r="K231" s="49">
        <f>_xlfn.XLOOKUP(C231,Tab_Def_Flows[Name(EN)],Tab_Def_Flows[DM?],,0,)</f>
        <v>0</v>
      </c>
      <c r="L231" s="49">
        <f>_xlfn.XLOOKUP(C231,Tab_Def_Flows[Name(EN)],Tab_Def_Flows[CC?],,0,)</f>
        <v>0</v>
      </c>
      <c r="M231" s="51"/>
      <c r="N231" s="51"/>
      <c r="O231" s="88"/>
      <c r="P231" s="51"/>
      <c r="Q231" s="51"/>
      <c r="R231" s="51"/>
      <c r="S231" s="69"/>
      <c r="T231" s="51"/>
      <c r="U231" s="51"/>
      <c r="V231" s="51"/>
      <c r="W231" s="51"/>
      <c r="X231" s="51"/>
      <c r="Y231" s="109"/>
      <c r="Z231" s="51"/>
      <c r="AA231" s="89">
        <f t="shared" si="36"/>
        <v>0</v>
      </c>
      <c r="AB231" s="51" t="s">
        <v>63</v>
      </c>
      <c r="AC231" s="114" t="e">
        <f>INDEX(Tab_Def_Flows[[Flow_ID]:[CC_DM_source]],MATCH(Tab_Data_Flows[[#This Row],[Name(EN)]],Tab_Def_Flows[Name(EN)],0),16)</f>
        <v>#N/A</v>
      </c>
      <c r="AD231" s="115" t="str">
        <f>IF(J231="Yes",AA231*Tab_Data_Flows[[#This Row],[WC_'[%']]],"N.A.")</f>
        <v>N.A.</v>
      </c>
      <c r="AE231" s="61" t="str">
        <f>Tab_Data_Flows[[#This Row],[UoM_Flow_Py]]</f>
        <v>Mg</v>
      </c>
      <c r="AF231" s="114" t="e">
        <f>INDEX(Tab_Def_Flows[[Flow_ID]:[CC_DM_source]],MATCH(Tab_Data_Flows[[#This Row],[Name(EN)]],Tab_Def_Flows[Name(EN)],0),18)</f>
        <v>#N/A</v>
      </c>
      <c r="AG231" s="115" t="str">
        <f>IF(K231="Yes",AF231*Tab_Data_Flows[[#This Row],[Flow_Py]],"N.A.")</f>
        <v>N.A.</v>
      </c>
      <c r="AH231" s="61" t="str">
        <f>Tab_Data_Flows[[#This Row],[UoM_Flow_Py]]</f>
        <v>Mg</v>
      </c>
      <c r="AI231" s="114" t="e">
        <f>INDEX(Tab_Def_Flows[[Flow_ID]:[CC_DM_source]],MATCH(Tab_Data_Flows[[#This Row],[Name(EN)]],Tab_Def_Flows[Name(EN)],0),20)</f>
        <v>#N/A</v>
      </c>
      <c r="AJ231" s="115" t="str">
        <f>IF(L231="Yes",AI231*Tab_Data_Flows[[#This Row],[Flow_Py]],"N.A.")</f>
        <v>N.A.</v>
      </c>
      <c r="AK231" s="61" t="str">
        <f>Tab_Data_Flows[[#This Row],[UoM_Flow_Py]]</f>
        <v>Mg</v>
      </c>
    </row>
    <row r="232" spans="1:37" x14ac:dyDescent="0.35">
      <c r="A232" s="60">
        <f t="shared" si="35"/>
        <v>231</v>
      </c>
      <c r="B232" s="49" t="str">
        <f>_xlfn.XLOOKUP(C232,Tab_Def_Flows[Name(EN)],Tab_Def_Flows[Flow_ID],,0,)</f>
        <v>F_21_21</v>
      </c>
      <c r="C232" s="51"/>
      <c r="D232" s="49">
        <f>_xlfn.XLOOKUP(C232,Tab_Def_Flows[Name(EN)],Tab_Def_Flows[Type_Biomass],,0,)</f>
        <v>0</v>
      </c>
      <c r="E232" s="49">
        <f>_xlfn.XLOOKUP(C232,Tab_Def_Flows[Name(EN)],Tab_Def_Flows[Output_Process],,0,)</f>
        <v>0</v>
      </c>
      <c r="F232" s="49" t="str">
        <f>_xlfn.XLOOKUP(C232,Tab_Def_Flows[Name(EN)],Tab_Def_Flows[Process_ID_O],,0,)</f>
        <v>21__</v>
      </c>
      <c r="G232" s="49">
        <f>_xlfn.XLOOKUP(C232,Tab_Def_Flows[Name(EN)],Tab_Def_Flows[Input_Process],,0,)</f>
        <v>0</v>
      </c>
      <c r="H232" s="61" t="str">
        <f>_xlfn.XLOOKUP(C232,Tab_Def_Flows[Name(EN)],Tab_Def_Flows[Process_ID_I],,0,)</f>
        <v>21__</v>
      </c>
      <c r="I232" s="49">
        <f>_xlfn.XLOOKUP(C232,Tab_Def_Flows[Name(EN)],Tab_Def_Flows[Value_Source],,0,)</f>
        <v>0</v>
      </c>
      <c r="J232" s="49">
        <f>_xlfn.XLOOKUP(C232,Tab_Def_Flows[Name(EN)],Tab_Def_Flows[WC?],,0,)</f>
        <v>0</v>
      </c>
      <c r="K232" s="49">
        <f>_xlfn.XLOOKUP(C232,Tab_Def_Flows[Name(EN)],Tab_Def_Flows[DM?],,0,)</f>
        <v>0</v>
      </c>
      <c r="L232" s="49">
        <f>_xlfn.XLOOKUP(C232,Tab_Def_Flows[Name(EN)],Tab_Def_Flows[CC?],,0,)</f>
        <v>0</v>
      </c>
      <c r="M232" s="51"/>
      <c r="N232" s="51"/>
      <c r="O232" s="88"/>
      <c r="P232" s="51"/>
      <c r="Q232" s="51"/>
      <c r="R232" s="51"/>
      <c r="S232" s="69"/>
      <c r="T232" s="51"/>
      <c r="U232" s="51"/>
      <c r="V232" s="51"/>
      <c r="W232" s="51"/>
      <c r="X232" s="51"/>
      <c r="Y232" s="109"/>
      <c r="Z232" s="51"/>
      <c r="AA232" s="89">
        <f t="shared" si="36"/>
        <v>0</v>
      </c>
      <c r="AB232" s="51" t="s">
        <v>63</v>
      </c>
      <c r="AC232" s="114" t="e">
        <f>INDEX(Tab_Def_Flows[[Flow_ID]:[CC_DM_source]],MATCH(Tab_Data_Flows[[#This Row],[Name(EN)]],Tab_Def_Flows[Name(EN)],0),16)</f>
        <v>#N/A</v>
      </c>
      <c r="AD232" s="115" t="str">
        <f>IF(J232="Yes",AA232*Tab_Data_Flows[[#This Row],[WC_'[%']]],"N.A.")</f>
        <v>N.A.</v>
      </c>
      <c r="AE232" s="61" t="str">
        <f>Tab_Data_Flows[[#This Row],[UoM_Flow_Py]]</f>
        <v>Mg</v>
      </c>
      <c r="AF232" s="114" t="e">
        <f>INDEX(Tab_Def_Flows[[Flow_ID]:[CC_DM_source]],MATCH(Tab_Data_Flows[[#This Row],[Name(EN)]],Tab_Def_Flows[Name(EN)],0),18)</f>
        <v>#N/A</v>
      </c>
      <c r="AG232" s="115" t="str">
        <f>IF(K232="Yes",AF232*Tab_Data_Flows[[#This Row],[Flow_Py]],"N.A.")</f>
        <v>N.A.</v>
      </c>
      <c r="AH232" s="61" t="str">
        <f>Tab_Data_Flows[[#This Row],[UoM_Flow_Py]]</f>
        <v>Mg</v>
      </c>
      <c r="AI232" s="114" t="e">
        <f>INDEX(Tab_Def_Flows[[Flow_ID]:[CC_DM_source]],MATCH(Tab_Data_Flows[[#This Row],[Name(EN)]],Tab_Def_Flows[Name(EN)],0),20)</f>
        <v>#N/A</v>
      </c>
      <c r="AJ232" s="115" t="str">
        <f>IF(L232="Yes",AI232*Tab_Data_Flows[[#This Row],[Flow_Py]],"N.A.")</f>
        <v>N.A.</v>
      </c>
      <c r="AK232" s="61" t="str">
        <f>Tab_Data_Flows[[#This Row],[UoM_Flow_Py]]</f>
        <v>Mg</v>
      </c>
    </row>
    <row r="233" spans="1:37" x14ac:dyDescent="0.35">
      <c r="A233" s="60">
        <f t="shared" si="35"/>
        <v>232</v>
      </c>
      <c r="B233" s="49" t="str">
        <f>_xlfn.XLOOKUP(C233,Tab_Def_Flows[Name(EN)],Tab_Def_Flows[Flow_ID],,0,)</f>
        <v>F_21_21</v>
      </c>
      <c r="C233" s="51"/>
      <c r="D233" s="49">
        <f>_xlfn.XLOOKUP(C233,Tab_Def_Flows[Name(EN)],Tab_Def_Flows[Type_Biomass],,0,)</f>
        <v>0</v>
      </c>
      <c r="E233" s="49">
        <f>_xlfn.XLOOKUP(C233,Tab_Def_Flows[Name(EN)],Tab_Def_Flows[Output_Process],,0,)</f>
        <v>0</v>
      </c>
      <c r="F233" s="49" t="str">
        <f>_xlfn.XLOOKUP(C233,Tab_Def_Flows[Name(EN)],Tab_Def_Flows[Process_ID_O],,0,)</f>
        <v>21__</v>
      </c>
      <c r="G233" s="49">
        <f>_xlfn.XLOOKUP(C233,Tab_Def_Flows[Name(EN)],Tab_Def_Flows[Input_Process],,0,)</f>
        <v>0</v>
      </c>
      <c r="H233" s="61" t="str">
        <f>_xlfn.XLOOKUP(C233,Tab_Def_Flows[Name(EN)],Tab_Def_Flows[Process_ID_I],,0,)</f>
        <v>21__</v>
      </c>
      <c r="I233" s="49">
        <f>_xlfn.XLOOKUP(C233,Tab_Def_Flows[Name(EN)],Tab_Def_Flows[Value_Source],,0,)</f>
        <v>0</v>
      </c>
      <c r="J233" s="49">
        <f>_xlfn.XLOOKUP(C233,Tab_Def_Flows[Name(EN)],Tab_Def_Flows[WC?],,0,)</f>
        <v>0</v>
      </c>
      <c r="K233" s="49">
        <f>_xlfn.XLOOKUP(C233,Tab_Def_Flows[Name(EN)],Tab_Def_Flows[DM?],,0,)</f>
        <v>0</v>
      </c>
      <c r="L233" s="49">
        <f>_xlfn.XLOOKUP(C233,Tab_Def_Flows[Name(EN)],Tab_Def_Flows[CC?],,0,)</f>
        <v>0</v>
      </c>
      <c r="M233" s="51"/>
      <c r="N233" s="51"/>
      <c r="O233" s="88"/>
      <c r="P233" s="51"/>
      <c r="Q233" s="51"/>
      <c r="R233" s="51"/>
      <c r="S233" s="69"/>
      <c r="T233" s="51"/>
      <c r="U233" s="51"/>
      <c r="V233" s="51"/>
      <c r="W233" s="51"/>
      <c r="X233" s="51"/>
      <c r="Y233" s="109"/>
      <c r="Z233" s="51"/>
      <c r="AA233" s="89">
        <f t="shared" si="36"/>
        <v>0</v>
      </c>
      <c r="AB233" s="51" t="s">
        <v>63</v>
      </c>
      <c r="AC233" s="114" t="e">
        <f>INDEX(Tab_Def_Flows[[Flow_ID]:[CC_DM_source]],MATCH(Tab_Data_Flows[[#This Row],[Name(EN)]],Tab_Def_Flows[Name(EN)],0),16)</f>
        <v>#N/A</v>
      </c>
      <c r="AD233" s="115" t="str">
        <f>IF(J233="Yes",AA233*Tab_Data_Flows[[#This Row],[WC_'[%']]],"N.A.")</f>
        <v>N.A.</v>
      </c>
      <c r="AE233" s="61" t="str">
        <f>Tab_Data_Flows[[#This Row],[UoM_Flow_Py]]</f>
        <v>Mg</v>
      </c>
      <c r="AF233" s="114" t="e">
        <f>INDEX(Tab_Def_Flows[[Flow_ID]:[CC_DM_source]],MATCH(Tab_Data_Flows[[#This Row],[Name(EN)]],Tab_Def_Flows[Name(EN)],0),18)</f>
        <v>#N/A</v>
      </c>
      <c r="AG233" s="115" t="str">
        <f>IF(K233="Yes",AF233*Tab_Data_Flows[[#This Row],[Flow_Py]],"N.A.")</f>
        <v>N.A.</v>
      </c>
      <c r="AH233" s="61" t="str">
        <f>Tab_Data_Flows[[#This Row],[UoM_Flow_Py]]</f>
        <v>Mg</v>
      </c>
      <c r="AI233" s="114" t="e">
        <f>INDEX(Tab_Def_Flows[[Flow_ID]:[CC_DM_source]],MATCH(Tab_Data_Flows[[#This Row],[Name(EN)]],Tab_Def_Flows[Name(EN)],0),20)</f>
        <v>#N/A</v>
      </c>
      <c r="AJ233" s="115" t="str">
        <f>IF(L233="Yes",AI233*Tab_Data_Flows[[#This Row],[Flow_Py]],"N.A.")</f>
        <v>N.A.</v>
      </c>
      <c r="AK233" s="61" t="str">
        <f>Tab_Data_Flows[[#This Row],[UoM_Flow_Py]]</f>
        <v>Mg</v>
      </c>
    </row>
    <row r="234" spans="1:37" x14ac:dyDescent="0.35">
      <c r="A234" s="60">
        <f t="shared" si="35"/>
        <v>233</v>
      </c>
      <c r="B234" s="49" t="str">
        <f>_xlfn.XLOOKUP(C234,Tab_Def_Flows[Name(EN)],Tab_Def_Flows[Flow_ID],,0,)</f>
        <v>F_21_21</v>
      </c>
      <c r="C234" s="51"/>
      <c r="D234" s="49">
        <f>_xlfn.XLOOKUP(C234,Tab_Def_Flows[Name(EN)],Tab_Def_Flows[Type_Biomass],,0,)</f>
        <v>0</v>
      </c>
      <c r="E234" s="49">
        <f>_xlfn.XLOOKUP(C234,Tab_Def_Flows[Name(EN)],Tab_Def_Flows[Output_Process],,0,)</f>
        <v>0</v>
      </c>
      <c r="F234" s="49" t="str">
        <f>_xlfn.XLOOKUP(C234,Tab_Def_Flows[Name(EN)],Tab_Def_Flows[Process_ID_O],,0,)</f>
        <v>21__</v>
      </c>
      <c r="G234" s="49">
        <f>_xlfn.XLOOKUP(C234,Tab_Def_Flows[Name(EN)],Tab_Def_Flows[Input_Process],,0,)</f>
        <v>0</v>
      </c>
      <c r="H234" s="61" t="str">
        <f>_xlfn.XLOOKUP(C234,Tab_Def_Flows[Name(EN)],Tab_Def_Flows[Process_ID_I],,0,)</f>
        <v>21__</v>
      </c>
      <c r="I234" s="49">
        <f>_xlfn.XLOOKUP(C234,Tab_Def_Flows[Name(EN)],Tab_Def_Flows[Value_Source],,0,)</f>
        <v>0</v>
      </c>
      <c r="J234" s="49">
        <f>_xlfn.XLOOKUP(C234,Tab_Def_Flows[Name(EN)],Tab_Def_Flows[WC?],,0,)</f>
        <v>0</v>
      </c>
      <c r="K234" s="49">
        <f>_xlfn.XLOOKUP(C234,Tab_Def_Flows[Name(EN)],Tab_Def_Flows[DM?],,0,)</f>
        <v>0</v>
      </c>
      <c r="L234" s="49">
        <f>_xlfn.XLOOKUP(C234,Tab_Def_Flows[Name(EN)],Tab_Def_Flows[CC?],,0,)</f>
        <v>0</v>
      </c>
      <c r="M234" s="51"/>
      <c r="N234" s="51"/>
      <c r="O234" s="88"/>
      <c r="P234" s="51"/>
      <c r="Q234" s="51"/>
      <c r="R234" s="51"/>
      <c r="S234" s="69"/>
      <c r="T234" s="51"/>
      <c r="U234" s="51"/>
      <c r="V234" s="51"/>
      <c r="W234" s="51"/>
      <c r="X234" s="51"/>
      <c r="Y234" s="109"/>
      <c r="Z234" s="51"/>
      <c r="AA234" s="89">
        <f t="shared" si="36"/>
        <v>0</v>
      </c>
      <c r="AB234" s="51" t="s">
        <v>63</v>
      </c>
      <c r="AC234" s="114" t="e">
        <f>INDEX(Tab_Def_Flows[[Flow_ID]:[CC_DM_source]],MATCH(Tab_Data_Flows[[#This Row],[Name(EN)]],Tab_Def_Flows[Name(EN)],0),16)</f>
        <v>#N/A</v>
      </c>
      <c r="AD234" s="115" t="str">
        <f>IF(J234="Yes",AA234*Tab_Data_Flows[[#This Row],[WC_'[%']]],"N.A.")</f>
        <v>N.A.</v>
      </c>
      <c r="AE234" s="61" t="str">
        <f>Tab_Data_Flows[[#This Row],[UoM_Flow_Py]]</f>
        <v>Mg</v>
      </c>
      <c r="AF234" s="114" t="e">
        <f>INDEX(Tab_Def_Flows[[Flow_ID]:[CC_DM_source]],MATCH(Tab_Data_Flows[[#This Row],[Name(EN)]],Tab_Def_Flows[Name(EN)],0),18)</f>
        <v>#N/A</v>
      </c>
      <c r="AG234" s="115" t="str">
        <f>IF(K234="Yes",AF234*Tab_Data_Flows[[#This Row],[Flow_Py]],"N.A.")</f>
        <v>N.A.</v>
      </c>
      <c r="AH234" s="61" t="str">
        <f>Tab_Data_Flows[[#This Row],[UoM_Flow_Py]]</f>
        <v>Mg</v>
      </c>
      <c r="AI234" s="114" t="e">
        <f>INDEX(Tab_Def_Flows[[Flow_ID]:[CC_DM_source]],MATCH(Tab_Data_Flows[[#This Row],[Name(EN)]],Tab_Def_Flows[Name(EN)],0),20)</f>
        <v>#N/A</v>
      </c>
      <c r="AJ234" s="115" t="str">
        <f>IF(L234="Yes",AI234*Tab_Data_Flows[[#This Row],[Flow_Py]],"N.A.")</f>
        <v>N.A.</v>
      </c>
      <c r="AK234" s="61" t="str">
        <f>Tab_Data_Flows[[#This Row],[UoM_Flow_Py]]</f>
        <v>Mg</v>
      </c>
    </row>
    <row r="235" spans="1:37" x14ac:dyDescent="0.35">
      <c r="A235" s="60">
        <f t="shared" si="35"/>
        <v>234</v>
      </c>
      <c r="B235" s="49" t="str">
        <f>_xlfn.XLOOKUP(C235,Tab_Def_Flows[Name(EN)],Tab_Def_Flows[Flow_ID],,0,)</f>
        <v>F_21_21</v>
      </c>
      <c r="C235" s="51"/>
      <c r="D235" s="49">
        <f>_xlfn.XLOOKUP(C235,Tab_Def_Flows[Name(EN)],Tab_Def_Flows[Type_Biomass],,0,)</f>
        <v>0</v>
      </c>
      <c r="E235" s="49">
        <f>_xlfn.XLOOKUP(C235,Tab_Def_Flows[Name(EN)],Tab_Def_Flows[Output_Process],,0,)</f>
        <v>0</v>
      </c>
      <c r="F235" s="49" t="str">
        <f>_xlfn.XLOOKUP(C235,Tab_Def_Flows[Name(EN)],Tab_Def_Flows[Process_ID_O],,0,)</f>
        <v>21__</v>
      </c>
      <c r="G235" s="49">
        <f>_xlfn.XLOOKUP(C235,Tab_Def_Flows[Name(EN)],Tab_Def_Flows[Input_Process],,0,)</f>
        <v>0</v>
      </c>
      <c r="H235" s="61" t="str">
        <f>_xlfn.XLOOKUP(C235,Tab_Def_Flows[Name(EN)],Tab_Def_Flows[Process_ID_I],,0,)</f>
        <v>21__</v>
      </c>
      <c r="I235" s="49">
        <f>_xlfn.XLOOKUP(C235,Tab_Def_Flows[Name(EN)],Tab_Def_Flows[Value_Source],,0,)</f>
        <v>0</v>
      </c>
      <c r="J235" s="49">
        <f>_xlfn.XLOOKUP(C235,Tab_Def_Flows[Name(EN)],Tab_Def_Flows[WC?],,0,)</f>
        <v>0</v>
      </c>
      <c r="K235" s="49">
        <f>_xlfn.XLOOKUP(C235,Tab_Def_Flows[Name(EN)],Tab_Def_Flows[DM?],,0,)</f>
        <v>0</v>
      </c>
      <c r="L235" s="49">
        <f>_xlfn.XLOOKUP(C235,Tab_Def_Flows[Name(EN)],Tab_Def_Flows[CC?],,0,)</f>
        <v>0</v>
      </c>
      <c r="M235" s="51"/>
      <c r="N235" s="51"/>
      <c r="O235" s="88"/>
      <c r="P235" s="51"/>
      <c r="Q235" s="51"/>
      <c r="R235" s="51"/>
      <c r="S235" s="69"/>
      <c r="T235" s="51"/>
      <c r="U235" s="51"/>
      <c r="V235" s="51"/>
      <c r="W235" s="51"/>
      <c r="X235" s="51"/>
      <c r="Y235" s="109"/>
      <c r="Z235" s="51"/>
      <c r="AA235" s="89">
        <f t="shared" si="36"/>
        <v>0</v>
      </c>
      <c r="AB235" s="51" t="s">
        <v>63</v>
      </c>
      <c r="AC235" s="114" t="e">
        <f>INDEX(Tab_Def_Flows[[Flow_ID]:[CC_DM_source]],MATCH(Tab_Data_Flows[[#This Row],[Name(EN)]],Tab_Def_Flows[Name(EN)],0),16)</f>
        <v>#N/A</v>
      </c>
      <c r="AD235" s="115" t="str">
        <f>IF(J235="Yes",AA235*Tab_Data_Flows[[#This Row],[WC_'[%']]],"N.A.")</f>
        <v>N.A.</v>
      </c>
      <c r="AE235" s="61" t="str">
        <f>Tab_Data_Flows[[#This Row],[UoM_Flow_Py]]</f>
        <v>Mg</v>
      </c>
      <c r="AF235" s="114" t="e">
        <f>INDEX(Tab_Def_Flows[[Flow_ID]:[CC_DM_source]],MATCH(Tab_Data_Flows[[#This Row],[Name(EN)]],Tab_Def_Flows[Name(EN)],0),18)</f>
        <v>#N/A</v>
      </c>
      <c r="AG235" s="115" t="str">
        <f>IF(K235="Yes",AF235*Tab_Data_Flows[[#This Row],[Flow_Py]],"N.A.")</f>
        <v>N.A.</v>
      </c>
      <c r="AH235" s="61" t="str">
        <f>Tab_Data_Flows[[#This Row],[UoM_Flow_Py]]</f>
        <v>Mg</v>
      </c>
      <c r="AI235" s="114" t="e">
        <f>INDEX(Tab_Def_Flows[[Flow_ID]:[CC_DM_source]],MATCH(Tab_Data_Flows[[#This Row],[Name(EN)]],Tab_Def_Flows[Name(EN)],0),20)</f>
        <v>#N/A</v>
      </c>
      <c r="AJ235" s="115" t="str">
        <f>IF(L235="Yes",AI235*Tab_Data_Flows[[#This Row],[Flow_Py]],"N.A.")</f>
        <v>N.A.</v>
      </c>
      <c r="AK235" s="61" t="str">
        <f>Tab_Data_Flows[[#This Row],[UoM_Flow_Py]]</f>
        <v>Mg</v>
      </c>
    </row>
    <row r="236" spans="1:37" x14ac:dyDescent="0.35">
      <c r="A236" s="60">
        <f t="shared" si="35"/>
        <v>235</v>
      </c>
      <c r="B236" s="49" t="str">
        <f>_xlfn.XLOOKUP(C236,Tab_Def_Flows[Name(EN)],Tab_Def_Flows[Flow_ID],,0,)</f>
        <v>F_21_21</v>
      </c>
      <c r="C236" s="51"/>
      <c r="D236" s="49">
        <f>_xlfn.XLOOKUP(C236,Tab_Def_Flows[Name(EN)],Tab_Def_Flows[Type_Biomass],,0,)</f>
        <v>0</v>
      </c>
      <c r="E236" s="49">
        <f>_xlfn.XLOOKUP(C236,Tab_Def_Flows[Name(EN)],Tab_Def_Flows[Output_Process],,0,)</f>
        <v>0</v>
      </c>
      <c r="F236" s="49" t="str">
        <f>_xlfn.XLOOKUP(C236,Tab_Def_Flows[Name(EN)],Tab_Def_Flows[Process_ID_O],,0,)</f>
        <v>21__</v>
      </c>
      <c r="G236" s="49">
        <f>_xlfn.XLOOKUP(C236,Tab_Def_Flows[Name(EN)],Tab_Def_Flows[Input_Process],,0,)</f>
        <v>0</v>
      </c>
      <c r="H236" s="61" t="str">
        <f>_xlfn.XLOOKUP(C236,Tab_Def_Flows[Name(EN)],Tab_Def_Flows[Process_ID_I],,0,)</f>
        <v>21__</v>
      </c>
      <c r="I236" s="49">
        <f>_xlfn.XLOOKUP(C236,Tab_Def_Flows[Name(EN)],Tab_Def_Flows[Value_Source],,0,)</f>
        <v>0</v>
      </c>
      <c r="J236" s="49">
        <f>_xlfn.XLOOKUP(C236,Tab_Def_Flows[Name(EN)],Tab_Def_Flows[WC?],,0,)</f>
        <v>0</v>
      </c>
      <c r="K236" s="49">
        <f>_xlfn.XLOOKUP(C236,Tab_Def_Flows[Name(EN)],Tab_Def_Flows[DM?],,0,)</f>
        <v>0</v>
      </c>
      <c r="L236" s="49">
        <f>_xlfn.XLOOKUP(C236,Tab_Def_Flows[Name(EN)],Tab_Def_Flows[CC?],,0,)</f>
        <v>0</v>
      </c>
      <c r="M236" s="51"/>
      <c r="N236" s="51"/>
      <c r="O236" s="88"/>
      <c r="P236" s="51"/>
      <c r="Q236" s="51"/>
      <c r="R236" s="51"/>
      <c r="S236" s="51"/>
      <c r="T236" s="51"/>
      <c r="U236" s="51"/>
      <c r="V236" s="51"/>
      <c r="W236" s="51"/>
      <c r="X236" s="51"/>
      <c r="Y236" s="51"/>
      <c r="Z236" s="51"/>
      <c r="AA236" s="89">
        <f t="shared" si="36"/>
        <v>0</v>
      </c>
      <c r="AB236" s="51" t="s">
        <v>63</v>
      </c>
      <c r="AC236" s="114" t="e">
        <f>INDEX(Tab_Def_Flows[[Flow_ID]:[CC_DM_source]],MATCH(Tab_Data_Flows[[#This Row],[Name(EN)]],Tab_Def_Flows[Name(EN)],0),16)</f>
        <v>#N/A</v>
      </c>
      <c r="AD236" s="115" t="str">
        <f>IF(J236="Yes",AA236*Tab_Data_Flows[[#This Row],[WC_'[%']]],"N.A.")</f>
        <v>N.A.</v>
      </c>
      <c r="AE236" s="61" t="str">
        <f>Tab_Data_Flows[[#This Row],[UoM_Flow_Py]]</f>
        <v>Mg</v>
      </c>
      <c r="AF236" s="114" t="e">
        <f>INDEX(Tab_Def_Flows[[Flow_ID]:[CC_DM_source]],MATCH(Tab_Data_Flows[[#This Row],[Name(EN)]],Tab_Def_Flows[Name(EN)],0),18)</f>
        <v>#N/A</v>
      </c>
      <c r="AG236" s="115" t="str">
        <f>IF(K236="Yes",AF236*Tab_Data_Flows[[#This Row],[Flow_Py]],"N.A.")</f>
        <v>N.A.</v>
      </c>
      <c r="AH236" s="61" t="str">
        <f>Tab_Data_Flows[[#This Row],[UoM_Flow_Py]]</f>
        <v>Mg</v>
      </c>
      <c r="AI236" s="114" t="e">
        <f>INDEX(Tab_Def_Flows[[Flow_ID]:[CC_DM_source]],MATCH(Tab_Data_Flows[[#This Row],[Name(EN)]],Tab_Def_Flows[Name(EN)],0),20)</f>
        <v>#N/A</v>
      </c>
      <c r="AJ236" s="115" t="str">
        <f>IF(L236="Yes",AI236*Tab_Data_Flows[[#This Row],[Flow_Py]],"N.A.")</f>
        <v>N.A.</v>
      </c>
      <c r="AK236" s="61" t="str">
        <f>Tab_Data_Flows[[#This Row],[UoM_Flow_Py]]</f>
        <v>Mg</v>
      </c>
    </row>
    <row r="237" spans="1:37" x14ac:dyDescent="0.35">
      <c r="A237" s="60">
        <f t="shared" si="35"/>
        <v>236</v>
      </c>
      <c r="B237" s="49" t="str">
        <f>_xlfn.XLOOKUP(C237,Tab_Def_Flows[Name(EN)],Tab_Def_Flows[Flow_ID],,0,)</f>
        <v>F_21_21</v>
      </c>
      <c r="C237" s="51"/>
      <c r="D237" s="49">
        <f>_xlfn.XLOOKUP(C237,Tab_Def_Flows[Name(EN)],Tab_Def_Flows[Type_Biomass],,0,)</f>
        <v>0</v>
      </c>
      <c r="E237" s="49">
        <f>_xlfn.XLOOKUP(C237,Tab_Def_Flows[Name(EN)],Tab_Def_Flows[Output_Process],,0,)</f>
        <v>0</v>
      </c>
      <c r="F237" s="49" t="str">
        <f>_xlfn.XLOOKUP(C237,Tab_Def_Flows[Name(EN)],Tab_Def_Flows[Process_ID_O],,0,)</f>
        <v>21__</v>
      </c>
      <c r="G237" s="49">
        <f>_xlfn.XLOOKUP(C237,Tab_Def_Flows[Name(EN)],Tab_Def_Flows[Input_Process],,0,)</f>
        <v>0</v>
      </c>
      <c r="H237" s="61" t="str">
        <f>_xlfn.XLOOKUP(C237,Tab_Def_Flows[Name(EN)],Tab_Def_Flows[Process_ID_I],,0,)</f>
        <v>21__</v>
      </c>
      <c r="I237" s="49">
        <f>_xlfn.XLOOKUP(C237,Tab_Def_Flows[Name(EN)],Tab_Def_Flows[Value_Source],,0,)</f>
        <v>0</v>
      </c>
      <c r="J237" s="49">
        <f>_xlfn.XLOOKUP(C237,Tab_Def_Flows[Name(EN)],Tab_Def_Flows[WC?],,0,)</f>
        <v>0</v>
      </c>
      <c r="K237" s="49">
        <f>_xlfn.XLOOKUP(C237,Tab_Def_Flows[Name(EN)],Tab_Def_Flows[DM?],,0,)</f>
        <v>0</v>
      </c>
      <c r="L237" s="49">
        <f>_xlfn.XLOOKUP(C237,Tab_Def_Flows[Name(EN)],Tab_Def_Flows[CC?],,0,)</f>
        <v>0</v>
      </c>
      <c r="M237" s="51"/>
      <c r="N237" s="51"/>
      <c r="O237" s="88"/>
      <c r="P237" s="51"/>
      <c r="Q237" s="51"/>
      <c r="R237" s="51"/>
      <c r="S237" s="51"/>
      <c r="T237" s="51"/>
      <c r="U237" s="51"/>
      <c r="V237" s="51"/>
      <c r="W237" s="51"/>
      <c r="X237" s="51"/>
      <c r="Y237" s="51"/>
      <c r="Z237" s="51"/>
      <c r="AA237" s="89">
        <f t="shared" si="36"/>
        <v>0</v>
      </c>
      <c r="AB237" s="51" t="s">
        <v>63</v>
      </c>
      <c r="AC237" s="114" t="e">
        <f>INDEX(Tab_Def_Flows[[Flow_ID]:[CC_DM_source]],MATCH(Tab_Data_Flows[[#This Row],[Name(EN)]],Tab_Def_Flows[Name(EN)],0),16)</f>
        <v>#N/A</v>
      </c>
      <c r="AD237" s="115" t="str">
        <f>IF(J237="Yes",AA237*Tab_Data_Flows[[#This Row],[WC_'[%']]],"N.A.")</f>
        <v>N.A.</v>
      </c>
      <c r="AE237" s="61" t="str">
        <f>Tab_Data_Flows[[#This Row],[UoM_Flow_Py]]</f>
        <v>Mg</v>
      </c>
      <c r="AF237" s="114" t="e">
        <f>INDEX(Tab_Def_Flows[[Flow_ID]:[CC_DM_source]],MATCH(Tab_Data_Flows[[#This Row],[Name(EN)]],Tab_Def_Flows[Name(EN)],0),18)</f>
        <v>#N/A</v>
      </c>
      <c r="AG237" s="115" t="str">
        <f>IF(K237="Yes",AF237*Tab_Data_Flows[[#This Row],[Flow_Py]],"N.A.")</f>
        <v>N.A.</v>
      </c>
      <c r="AH237" s="61" t="str">
        <f>Tab_Data_Flows[[#This Row],[UoM_Flow_Py]]</f>
        <v>Mg</v>
      </c>
      <c r="AI237" s="114" t="e">
        <f>INDEX(Tab_Def_Flows[[Flow_ID]:[CC_DM_source]],MATCH(Tab_Data_Flows[[#This Row],[Name(EN)]],Tab_Def_Flows[Name(EN)],0),20)</f>
        <v>#N/A</v>
      </c>
      <c r="AJ237" s="115" t="str">
        <f>IF(L237="Yes",AI237*Tab_Data_Flows[[#This Row],[Flow_Py]],"N.A.")</f>
        <v>N.A.</v>
      </c>
      <c r="AK237" s="61" t="str">
        <f>Tab_Data_Flows[[#This Row],[UoM_Flow_Py]]</f>
        <v>Mg</v>
      </c>
    </row>
    <row r="238" spans="1:37" x14ac:dyDescent="0.35">
      <c r="A238" s="60">
        <f t="shared" si="35"/>
        <v>237</v>
      </c>
      <c r="B238" s="49" t="str">
        <f>_xlfn.XLOOKUP(C238,Tab_Def_Flows[Name(EN)],Tab_Def_Flows[Flow_ID],,0,)</f>
        <v>F_21_21</v>
      </c>
      <c r="C238" s="51"/>
      <c r="D238" s="49">
        <f>_xlfn.XLOOKUP(C238,Tab_Def_Flows[Name(EN)],Tab_Def_Flows[Type_Biomass],,0,)</f>
        <v>0</v>
      </c>
      <c r="E238" s="49">
        <f>_xlfn.XLOOKUP(C238,Tab_Def_Flows[Name(EN)],Tab_Def_Flows[Output_Process],,0,)</f>
        <v>0</v>
      </c>
      <c r="F238" s="49" t="str">
        <f>_xlfn.XLOOKUP(C238,Tab_Def_Flows[Name(EN)],Tab_Def_Flows[Process_ID_O],,0,)</f>
        <v>21__</v>
      </c>
      <c r="G238" s="49">
        <f>_xlfn.XLOOKUP(C238,Tab_Def_Flows[Name(EN)],Tab_Def_Flows[Input_Process],,0,)</f>
        <v>0</v>
      </c>
      <c r="H238" s="61" t="str">
        <f>_xlfn.XLOOKUP(C238,Tab_Def_Flows[Name(EN)],Tab_Def_Flows[Process_ID_I],,0,)</f>
        <v>21__</v>
      </c>
      <c r="I238" s="49">
        <f>_xlfn.XLOOKUP(C238,Tab_Def_Flows[Name(EN)],Tab_Def_Flows[Value_Source],,0,)</f>
        <v>0</v>
      </c>
      <c r="J238" s="49">
        <f>_xlfn.XLOOKUP(C238,Tab_Def_Flows[Name(EN)],Tab_Def_Flows[WC?],,0,)</f>
        <v>0</v>
      </c>
      <c r="K238" s="49">
        <f>_xlfn.XLOOKUP(C238,Tab_Def_Flows[Name(EN)],Tab_Def_Flows[DM?],,0,)</f>
        <v>0</v>
      </c>
      <c r="L238" s="49">
        <f>_xlfn.XLOOKUP(C238,Tab_Def_Flows[Name(EN)],Tab_Def_Flows[CC?],,0,)</f>
        <v>0</v>
      </c>
      <c r="M238" s="51"/>
      <c r="N238" s="51"/>
      <c r="O238" s="88"/>
      <c r="P238" s="51"/>
      <c r="Q238" s="51"/>
      <c r="R238" s="51"/>
      <c r="S238" s="51"/>
      <c r="T238" s="51"/>
      <c r="U238" s="51"/>
      <c r="V238" s="51"/>
      <c r="W238" s="51"/>
      <c r="X238" s="51"/>
      <c r="Y238" s="51"/>
      <c r="Z238" s="51"/>
      <c r="AA238" s="89">
        <f t="shared" si="36"/>
        <v>0</v>
      </c>
      <c r="AB238" s="51" t="s">
        <v>63</v>
      </c>
      <c r="AC238" s="114" t="e">
        <f>INDEX(Tab_Def_Flows[[Flow_ID]:[CC_DM_source]],MATCH(Tab_Data_Flows[[#This Row],[Name(EN)]],Tab_Def_Flows[Name(EN)],0),16)</f>
        <v>#N/A</v>
      </c>
      <c r="AD238" s="115" t="str">
        <f>IF(J238="Yes",AA238*Tab_Data_Flows[[#This Row],[WC_'[%']]],"N.A.")</f>
        <v>N.A.</v>
      </c>
      <c r="AE238" s="61" t="str">
        <f>Tab_Data_Flows[[#This Row],[UoM_Flow_Py]]</f>
        <v>Mg</v>
      </c>
      <c r="AF238" s="114" t="e">
        <f>INDEX(Tab_Def_Flows[[Flow_ID]:[CC_DM_source]],MATCH(Tab_Data_Flows[[#This Row],[Name(EN)]],Tab_Def_Flows[Name(EN)],0),18)</f>
        <v>#N/A</v>
      </c>
      <c r="AG238" s="115" t="str">
        <f>IF(K238="Yes",AF238*Tab_Data_Flows[[#This Row],[Flow_Py]],"N.A.")</f>
        <v>N.A.</v>
      </c>
      <c r="AH238" s="61" t="str">
        <f>Tab_Data_Flows[[#This Row],[UoM_Flow_Py]]</f>
        <v>Mg</v>
      </c>
      <c r="AI238" s="114" t="e">
        <f>INDEX(Tab_Def_Flows[[Flow_ID]:[CC_DM_source]],MATCH(Tab_Data_Flows[[#This Row],[Name(EN)]],Tab_Def_Flows[Name(EN)],0),20)</f>
        <v>#N/A</v>
      </c>
      <c r="AJ238" s="115" t="str">
        <f>IF(L238="Yes",AI238*Tab_Data_Flows[[#This Row],[Flow_Py]],"N.A.")</f>
        <v>N.A.</v>
      </c>
      <c r="AK238" s="61" t="str">
        <f>Tab_Data_Flows[[#This Row],[UoM_Flow_Py]]</f>
        <v>Mg</v>
      </c>
    </row>
    <row r="239" spans="1:37" x14ac:dyDescent="0.35">
      <c r="A239" s="60">
        <f t="shared" si="35"/>
        <v>238</v>
      </c>
      <c r="B239" s="49" t="str">
        <f>_xlfn.XLOOKUP(C239,Tab_Def_Flows[Name(EN)],Tab_Def_Flows[Flow_ID],,0,)</f>
        <v>F_21_21</v>
      </c>
      <c r="C239" s="51"/>
      <c r="D239" s="49">
        <f>_xlfn.XLOOKUP(C239,Tab_Def_Flows[Name(EN)],Tab_Def_Flows[Type_Biomass],,0,)</f>
        <v>0</v>
      </c>
      <c r="E239" s="49">
        <f>_xlfn.XLOOKUP(C239,Tab_Def_Flows[Name(EN)],Tab_Def_Flows[Output_Process],,0,)</f>
        <v>0</v>
      </c>
      <c r="F239" s="49" t="str">
        <f>_xlfn.XLOOKUP(C239,Tab_Def_Flows[Name(EN)],Tab_Def_Flows[Process_ID_O],,0,)</f>
        <v>21__</v>
      </c>
      <c r="G239" s="49">
        <f>_xlfn.XLOOKUP(C239,Tab_Def_Flows[Name(EN)],Tab_Def_Flows[Input_Process],,0,)</f>
        <v>0</v>
      </c>
      <c r="H239" s="61" t="str">
        <f>_xlfn.XLOOKUP(C239,Tab_Def_Flows[Name(EN)],Tab_Def_Flows[Process_ID_I],,0,)</f>
        <v>21__</v>
      </c>
      <c r="I239" s="49">
        <f>_xlfn.XLOOKUP(C239,Tab_Def_Flows[Name(EN)],Tab_Def_Flows[Value_Source],,0,)</f>
        <v>0</v>
      </c>
      <c r="J239" s="49">
        <f>_xlfn.XLOOKUP(C239,Tab_Def_Flows[Name(EN)],Tab_Def_Flows[WC?],,0,)</f>
        <v>0</v>
      </c>
      <c r="K239" s="49">
        <f>_xlfn.XLOOKUP(C239,Tab_Def_Flows[Name(EN)],Tab_Def_Flows[DM?],,0,)</f>
        <v>0</v>
      </c>
      <c r="L239" s="49">
        <f>_xlfn.XLOOKUP(C239,Tab_Def_Flows[Name(EN)],Tab_Def_Flows[CC?],,0,)</f>
        <v>0</v>
      </c>
      <c r="M239" s="51"/>
      <c r="N239" s="51"/>
      <c r="O239" s="88"/>
      <c r="P239" s="51"/>
      <c r="Q239" s="51"/>
      <c r="R239" s="51"/>
      <c r="S239" s="51"/>
      <c r="T239" s="51"/>
      <c r="U239" s="51"/>
      <c r="V239" s="51"/>
      <c r="W239" s="51"/>
      <c r="X239" s="51"/>
      <c r="Y239" s="51"/>
      <c r="Z239" s="51"/>
      <c r="AA239" s="89">
        <f t="shared" si="36"/>
        <v>0</v>
      </c>
      <c r="AB239" s="51" t="s">
        <v>63</v>
      </c>
      <c r="AC239" s="114" t="e">
        <f>INDEX(Tab_Def_Flows[[Flow_ID]:[CC_DM_source]],MATCH(Tab_Data_Flows[[#This Row],[Name(EN)]],Tab_Def_Flows[Name(EN)],0),16)</f>
        <v>#N/A</v>
      </c>
      <c r="AD239" s="115" t="str">
        <f>IF(J239="Yes",AA239*Tab_Data_Flows[[#This Row],[WC_'[%']]],"N.A.")</f>
        <v>N.A.</v>
      </c>
      <c r="AE239" s="61" t="str">
        <f>Tab_Data_Flows[[#This Row],[UoM_Flow_Py]]</f>
        <v>Mg</v>
      </c>
      <c r="AF239" s="114" t="e">
        <f>INDEX(Tab_Def_Flows[[Flow_ID]:[CC_DM_source]],MATCH(Tab_Data_Flows[[#This Row],[Name(EN)]],Tab_Def_Flows[Name(EN)],0),18)</f>
        <v>#N/A</v>
      </c>
      <c r="AG239" s="115" t="str">
        <f>IF(K239="Yes",AF239*Tab_Data_Flows[[#This Row],[Flow_Py]],"N.A.")</f>
        <v>N.A.</v>
      </c>
      <c r="AH239" s="61" t="str">
        <f>Tab_Data_Flows[[#This Row],[UoM_Flow_Py]]</f>
        <v>Mg</v>
      </c>
      <c r="AI239" s="114" t="e">
        <f>INDEX(Tab_Def_Flows[[Flow_ID]:[CC_DM_source]],MATCH(Tab_Data_Flows[[#This Row],[Name(EN)]],Tab_Def_Flows[Name(EN)],0),20)</f>
        <v>#N/A</v>
      </c>
      <c r="AJ239" s="115" t="str">
        <f>IF(L239="Yes",AI239*Tab_Data_Flows[[#This Row],[Flow_Py]],"N.A.")</f>
        <v>N.A.</v>
      </c>
      <c r="AK239" s="61" t="str">
        <f>Tab_Data_Flows[[#This Row],[UoM_Flow_Py]]</f>
        <v>Mg</v>
      </c>
    </row>
    <row r="240" spans="1:37" x14ac:dyDescent="0.35">
      <c r="A240" s="60">
        <f t="shared" si="35"/>
        <v>239</v>
      </c>
      <c r="B240" s="49" t="str">
        <f>_xlfn.XLOOKUP(C240,Tab_Def_Flows[Name(EN)],Tab_Def_Flows[Flow_ID],,0,)</f>
        <v>F_21_21</v>
      </c>
      <c r="C240" s="51"/>
      <c r="D240" s="49">
        <f>_xlfn.XLOOKUP(C240,Tab_Def_Flows[Name(EN)],Tab_Def_Flows[Type_Biomass],,0,)</f>
        <v>0</v>
      </c>
      <c r="E240" s="49">
        <f>_xlfn.XLOOKUP(C240,Tab_Def_Flows[Name(EN)],Tab_Def_Flows[Output_Process],,0,)</f>
        <v>0</v>
      </c>
      <c r="F240" s="49" t="str">
        <f>_xlfn.XLOOKUP(C240,Tab_Def_Flows[Name(EN)],Tab_Def_Flows[Process_ID_O],,0,)</f>
        <v>21__</v>
      </c>
      <c r="G240" s="49">
        <f>_xlfn.XLOOKUP(C240,Tab_Def_Flows[Name(EN)],Tab_Def_Flows[Input_Process],,0,)</f>
        <v>0</v>
      </c>
      <c r="H240" s="61" t="str">
        <f>_xlfn.XLOOKUP(C240,Tab_Def_Flows[Name(EN)],Tab_Def_Flows[Process_ID_I],,0,)</f>
        <v>21__</v>
      </c>
      <c r="I240" s="49">
        <f>_xlfn.XLOOKUP(C240,Tab_Def_Flows[Name(EN)],Tab_Def_Flows[Value_Source],,0,)</f>
        <v>0</v>
      </c>
      <c r="J240" s="49">
        <f>_xlfn.XLOOKUP(C240,Tab_Def_Flows[Name(EN)],Tab_Def_Flows[WC?],,0,)</f>
        <v>0</v>
      </c>
      <c r="K240" s="49">
        <f>_xlfn.XLOOKUP(C240,Tab_Def_Flows[Name(EN)],Tab_Def_Flows[DM?],,0,)</f>
        <v>0</v>
      </c>
      <c r="L240" s="49">
        <f>_xlfn.XLOOKUP(C240,Tab_Def_Flows[Name(EN)],Tab_Def_Flows[CC?],,0,)</f>
        <v>0</v>
      </c>
      <c r="M240" s="51"/>
      <c r="N240" s="51"/>
      <c r="O240" s="88"/>
      <c r="P240" s="51"/>
      <c r="Q240" s="51"/>
      <c r="R240" s="51"/>
      <c r="S240" s="51"/>
      <c r="T240" s="51"/>
      <c r="U240" s="51"/>
      <c r="V240" s="51"/>
      <c r="W240" s="51"/>
      <c r="X240" s="51"/>
      <c r="Y240" s="51"/>
      <c r="Z240" s="51"/>
      <c r="AA240" s="89">
        <f t="shared" si="36"/>
        <v>0</v>
      </c>
      <c r="AB240" s="51"/>
      <c r="AC240" s="114" t="e">
        <f>INDEX(Tab_Def_Flows[[Flow_ID]:[CC_DM_source]],MATCH(Tab_Data_Flows[[#This Row],[Name(EN)]],Tab_Def_Flows[Name(EN)],0),16)</f>
        <v>#N/A</v>
      </c>
      <c r="AD240" s="115" t="str">
        <f>IF(J240="Yes",AA240*Tab_Data_Flows[[#This Row],[WC_'[%']]],"N.A.")</f>
        <v>N.A.</v>
      </c>
      <c r="AE240" s="61">
        <f>Tab_Data_Flows[[#This Row],[UoM_Flow_Py]]</f>
        <v>0</v>
      </c>
      <c r="AF240" s="114" t="e">
        <f>INDEX(Tab_Def_Flows[[Flow_ID]:[CC_DM_source]],MATCH(Tab_Data_Flows[[#This Row],[Name(EN)]],Tab_Def_Flows[Name(EN)],0),18)</f>
        <v>#N/A</v>
      </c>
      <c r="AG240" s="115" t="str">
        <f>IF(K240="Yes",AF240*Tab_Data_Flows[[#This Row],[Flow_Py]],"N.A.")</f>
        <v>N.A.</v>
      </c>
      <c r="AH240" s="61">
        <f>Tab_Data_Flows[[#This Row],[UoM_Flow_Py]]</f>
        <v>0</v>
      </c>
      <c r="AI240" s="114" t="e">
        <f>INDEX(Tab_Def_Flows[[Flow_ID]:[CC_DM_source]],MATCH(Tab_Data_Flows[[#This Row],[Name(EN)]],Tab_Def_Flows[Name(EN)],0),20)</f>
        <v>#N/A</v>
      </c>
      <c r="AJ240" s="115" t="str">
        <f>IF(L240="Yes",AI240*Tab_Data_Flows[[#This Row],[Flow_Py]],"N.A.")</f>
        <v>N.A.</v>
      </c>
      <c r="AK240" s="61">
        <f>Tab_Data_Flows[[#This Row],[UoM_Flow_Py]]</f>
        <v>0</v>
      </c>
    </row>
    <row r="241" spans="1:37" x14ac:dyDescent="0.35">
      <c r="A241" s="60">
        <f t="shared" si="35"/>
        <v>240</v>
      </c>
      <c r="B241" s="49" t="str">
        <f>_xlfn.XLOOKUP(C241,Tab_Def_Flows[Name(EN)],Tab_Def_Flows[Flow_ID],,0,)</f>
        <v>F_21_21</v>
      </c>
      <c r="C241" s="51"/>
      <c r="D241" s="49">
        <f>_xlfn.XLOOKUP(C241,Tab_Def_Flows[Name(EN)],Tab_Def_Flows[Type_Biomass],,0,)</f>
        <v>0</v>
      </c>
      <c r="E241" s="49">
        <f>_xlfn.XLOOKUP(C241,Tab_Def_Flows[Name(EN)],Tab_Def_Flows[Output_Process],,0,)</f>
        <v>0</v>
      </c>
      <c r="F241" s="49" t="str">
        <f>_xlfn.XLOOKUP(C241,Tab_Def_Flows[Name(EN)],Tab_Def_Flows[Process_ID_O],,0,)</f>
        <v>21__</v>
      </c>
      <c r="G241" s="49">
        <f>_xlfn.XLOOKUP(C241,Tab_Def_Flows[Name(EN)],Tab_Def_Flows[Input_Process],,0,)</f>
        <v>0</v>
      </c>
      <c r="H241" s="61" t="str">
        <f>_xlfn.XLOOKUP(C241,Tab_Def_Flows[Name(EN)],Tab_Def_Flows[Process_ID_I],,0,)</f>
        <v>21__</v>
      </c>
      <c r="I241" s="49">
        <f>_xlfn.XLOOKUP(C241,Tab_Def_Flows[Name(EN)],Tab_Def_Flows[Value_Source],,0,)</f>
        <v>0</v>
      </c>
      <c r="J241" s="49">
        <f>_xlfn.XLOOKUP(C241,Tab_Def_Flows[Name(EN)],Tab_Def_Flows[WC?],,0,)</f>
        <v>0</v>
      </c>
      <c r="K241" s="49">
        <f>_xlfn.XLOOKUP(C241,Tab_Def_Flows[Name(EN)],Tab_Def_Flows[DM?],,0,)</f>
        <v>0</v>
      </c>
      <c r="L241" s="49">
        <f>_xlfn.XLOOKUP(C241,Tab_Def_Flows[Name(EN)],Tab_Def_Flows[CC?],,0,)</f>
        <v>0</v>
      </c>
      <c r="M241" s="51"/>
      <c r="N241" s="51"/>
      <c r="O241" s="88"/>
      <c r="P241" s="51"/>
      <c r="Q241" s="51"/>
      <c r="R241" s="51"/>
      <c r="S241" s="51"/>
      <c r="T241" s="51"/>
      <c r="U241" s="51"/>
      <c r="V241" s="51"/>
      <c r="W241" s="51"/>
      <c r="X241" s="51"/>
      <c r="Y241" s="51"/>
      <c r="Z241" s="51"/>
      <c r="AA241" s="89">
        <f t="shared" si="36"/>
        <v>0</v>
      </c>
      <c r="AB241" s="51"/>
      <c r="AC241" s="114" t="e">
        <f>INDEX(Tab_Def_Flows[[Flow_ID]:[CC_DM_source]],MATCH(Tab_Data_Flows[[#This Row],[Name(EN)]],Tab_Def_Flows[Name(EN)],0),16)</f>
        <v>#N/A</v>
      </c>
      <c r="AD241" s="115" t="str">
        <f>IF(J241="Yes",AA241*Tab_Data_Flows[[#This Row],[WC_'[%']]],"N.A.")</f>
        <v>N.A.</v>
      </c>
      <c r="AE241" s="61">
        <f>Tab_Data_Flows[[#This Row],[UoM_Flow_Py]]</f>
        <v>0</v>
      </c>
      <c r="AF241" s="114" t="e">
        <f>INDEX(Tab_Def_Flows[[Flow_ID]:[CC_DM_source]],MATCH(Tab_Data_Flows[[#This Row],[Name(EN)]],Tab_Def_Flows[Name(EN)],0),18)</f>
        <v>#N/A</v>
      </c>
      <c r="AG241" s="115" t="str">
        <f>IF(K241="Yes",AF241*Tab_Data_Flows[[#This Row],[Flow_Py]],"N.A.")</f>
        <v>N.A.</v>
      </c>
      <c r="AH241" s="61">
        <f>Tab_Data_Flows[[#This Row],[UoM_Flow_Py]]</f>
        <v>0</v>
      </c>
      <c r="AI241" s="114" t="e">
        <f>INDEX(Tab_Def_Flows[[Flow_ID]:[CC_DM_source]],MATCH(Tab_Data_Flows[[#This Row],[Name(EN)]],Tab_Def_Flows[Name(EN)],0),20)</f>
        <v>#N/A</v>
      </c>
      <c r="AJ241" s="115" t="str">
        <f>IF(L241="Yes",AI241*Tab_Data_Flows[[#This Row],[Flow_Py]],"N.A.")</f>
        <v>N.A.</v>
      </c>
      <c r="AK241" s="61">
        <f>Tab_Data_Flows[[#This Row],[UoM_Flow_Py]]</f>
        <v>0</v>
      </c>
    </row>
    <row r="242" spans="1:37" x14ac:dyDescent="0.35">
      <c r="A242" s="60">
        <f t="shared" si="35"/>
        <v>241</v>
      </c>
      <c r="B242" s="49" t="str">
        <f>_xlfn.XLOOKUP(C242,Tab_Def_Flows[Name(EN)],Tab_Def_Flows[Flow_ID],,0,)</f>
        <v>F_21_21</v>
      </c>
      <c r="C242" s="51"/>
      <c r="D242" s="49">
        <f>_xlfn.XLOOKUP(C242,Tab_Def_Flows[Name(EN)],Tab_Def_Flows[Type_Biomass],,0,)</f>
        <v>0</v>
      </c>
      <c r="E242" s="49">
        <f>_xlfn.XLOOKUP(C242,Tab_Def_Flows[Name(EN)],Tab_Def_Flows[Output_Process],,0,)</f>
        <v>0</v>
      </c>
      <c r="F242" s="49" t="str">
        <f>_xlfn.XLOOKUP(C242,Tab_Def_Flows[Name(EN)],Tab_Def_Flows[Process_ID_O],,0,)</f>
        <v>21__</v>
      </c>
      <c r="G242" s="49">
        <f>_xlfn.XLOOKUP(C242,Tab_Def_Flows[Name(EN)],Tab_Def_Flows[Input_Process],,0,)</f>
        <v>0</v>
      </c>
      <c r="H242" s="61" t="str">
        <f>_xlfn.XLOOKUP(C242,Tab_Def_Flows[Name(EN)],Tab_Def_Flows[Process_ID_I],,0,)</f>
        <v>21__</v>
      </c>
      <c r="I242" s="49">
        <f>_xlfn.XLOOKUP(C242,Tab_Def_Flows[Name(EN)],Tab_Def_Flows[Value_Source],,0,)</f>
        <v>0</v>
      </c>
      <c r="J242" s="49">
        <f>_xlfn.XLOOKUP(C242,Tab_Def_Flows[Name(EN)],Tab_Def_Flows[WC?],,0,)</f>
        <v>0</v>
      </c>
      <c r="K242" s="49">
        <f>_xlfn.XLOOKUP(C242,Tab_Def_Flows[Name(EN)],Tab_Def_Flows[DM?],,0,)</f>
        <v>0</v>
      </c>
      <c r="L242" s="49">
        <f>_xlfn.XLOOKUP(C242,Tab_Def_Flows[Name(EN)],Tab_Def_Flows[CC?],,0,)</f>
        <v>0</v>
      </c>
      <c r="M242" s="51"/>
      <c r="N242" s="51"/>
      <c r="O242" s="88"/>
      <c r="P242" s="51"/>
      <c r="Q242" s="51"/>
      <c r="R242" s="51"/>
      <c r="S242" s="51"/>
      <c r="T242" s="51"/>
      <c r="U242" s="51"/>
      <c r="V242" s="51"/>
      <c r="W242" s="51"/>
      <c r="X242" s="51"/>
      <c r="Y242" s="51"/>
      <c r="Z242" s="51"/>
      <c r="AA242" s="89">
        <f t="shared" si="36"/>
        <v>0</v>
      </c>
      <c r="AB242" s="51"/>
      <c r="AC242" s="114" t="e">
        <f>INDEX(Tab_Def_Flows[[Flow_ID]:[CC_DM_source]],MATCH(Tab_Data_Flows[[#This Row],[Name(EN)]],Tab_Def_Flows[Name(EN)],0),16)</f>
        <v>#N/A</v>
      </c>
      <c r="AD242" s="115" t="str">
        <f>IF(J242="Yes",AA242*Tab_Data_Flows[[#This Row],[WC_'[%']]],"N.A.")</f>
        <v>N.A.</v>
      </c>
      <c r="AE242" s="61">
        <f>Tab_Data_Flows[[#This Row],[UoM_Flow_Py]]</f>
        <v>0</v>
      </c>
      <c r="AF242" s="114" t="e">
        <f>INDEX(Tab_Def_Flows[[Flow_ID]:[CC_DM_source]],MATCH(Tab_Data_Flows[[#This Row],[Name(EN)]],Tab_Def_Flows[Name(EN)],0),18)</f>
        <v>#N/A</v>
      </c>
      <c r="AG242" s="115" t="str">
        <f>IF(K242="Yes",AF242*Tab_Data_Flows[[#This Row],[Flow_Py]],"N.A.")</f>
        <v>N.A.</v>
      </c>
      <c r="AH242" s="61">
        <f>Tab_Data_Flows[[#This Row],[UoM_Flow_Py]]</f>
        <v>0</v>
      </c>
      <c r="AI242" s="114" t="e">
        <f>INDEX(Tab_Def_Flows[[Flow_ID]:[CC_DM_source]],MATCH(Tab_Data_Flows[[#This Row],[Name(EN)]],Tab_Def_Flows[Name(EN)],0),20)</f>
        <v>#N/A</v>
      </c>
      <c r="AJ242" s="115" t="str">
        <f>IF(L242="Yes",AI242*Tab_Data_Flows[[#This Row],[Flow_Py]],"N.A.")</f>
        <v>N.A.</v>
      </c>
      <c r="AK242" s="61">
        <f>Tab_Data_Flows[[#This Row],[UoM_Flow_Py]]</f>
        <v>0</v>
      </c>
    </row>
    <row r="243" spans="1:37" x14ac:dyDescent="0.35">
      <c r="A243" s="60">
        <f t="shared" si="35"/>
        <v>242</v>
      </c>
      <c r="B243" s="49" t="str">
        <f>_xlfn.XLOOKUP(C243,Tab_Def_Flows[Name(EN)],Tab_Def_Flows[Flow_ID],,0,)</f>
        <v>F_21_21</v>
      </c>
      <c r="C243" s="51"/>
      <c r="D243" s="49">
        <f>_xlfn.XLOOKUP(C243,Tab_Def_Flows[Name(EN)],Tab_Def_Flows[Type_Biomass],,0,)</f>
        <v>0</v>
      </c>
      <c r="E243" s="49">
        <f>_xlfn.XLOOKUP(C243,Tab_Def_Flows[Name(EN)],Tab_Def_Flows[Output_Process],,0,)</f>
        <v>0</v>
      </c>
      <c r="F243" s="49" t="str">
        <f>_xlfn.XLOOKUP(C243,Tab_Def_Flows[Name(EN)],Tab_Def_Flows[Process_ID_O],,0,)</f>
        <v>21__</v>
      </c>
      <c r="G243" s="49">
        <f>_xlfn.XLOOKUP(C243,Tab_Def_Flows[Name(EN)],Tab_Def_Flows[Input_Process],,0,)</f>
        <v>0</v>
      </c>
      <c r="H243" s="61" t="str">
        <f>_xlfn.XLOOKUP(C243,Tab_Def_Flows[Name(EN)],Tab_Def_Flows[Process_ID_I],,0,)</f>
        <v>21__</v>
      </c>
      <c r="I243" s="49">
        <f>_xlfn.XLOOKUP(C243,Tab_Def_Flows[Name(EN)],Tab_Def_Flows[Value_Source],,0,)</f>
        <v>0</v>
      </c>
      <c r="J243" s="49">
        <f>_xlfn.XLOOKUP(C243,Tab_Def_Flows[Name(EN)],Tab_Def_Flows[WC?],,0,)</f>
        <v>0</v>
      </c>
      <c r="K243" s="49">
        <f>_xlfn.XLOOKUP(C243,Tab_Def_Flows[Name(EN)],Tab_Def_Flows[DM?],,0,)</f>
        <v>0</v>
      </c>
      <c r="L243" s="49">
        <f>_xlfn.XLOOKUP(C243,Tab_Def_Flows[Name(EN)],Tab_Def_Flows[CC?],,0,)</f>
        <v>0</v>
      </c>
      <c r="M243" s="51"/>
      <c r="N243" s="51"/>
      <c r="O243" s="88"/>
      <c r="P243" s="51"/>
      <c r="Q243" s="51"/>
      <c r="R243" s="51"/>
      <c r="S243" s="51"/>
      <c r="T243" s="51"/>
      <c r="U243" s="51"/>
      <c r="V243" s="51"/>
      <c r="W243" s="51"/>
      <c r="X243" s="51"/>
      <c r="Y243" s="51"/>
      <c r="Z243" s="51"/>
      <c r="AA243" s="89">
        <f t="shared" si="36"/>
        <v>0</v>
      </c>
      <c r="AB243" s="51"/>
      <c r="AC243" s="114" t="e">
        <f>INDEX(Tab_Def_Flows[[Flow_ID]:[CC_DM_source]],MATCH(Tab_Data_Flows[[#This Row],[Name(EN)]],Tab_Def_Flows[Name(EN)],0),16)</f>
        <v>#N/A</v>
      </c>
      <c r="AD243" s="115" t="str">
        <f>IF(J243="Yes",AA243*Tab_Data_Flows[[#This Row],[WC_'[%']]],"N.A.")</f>
        <v>N.A.</v>
      </c>
      <c r="AE243" s="61">
        <f>Tab_Data_Flows[[#This Row],[UoM_Flow_Py]]</f>
        <v>0</v>
      </c>
      <c r="AF243" s="114" t="e">
        <f>INDEX(Tab_Def_Flows[[Flow_ID]:[CC_DM_source]],MATCH(Tab_Data_Flows[[#This Row],[Name(EN)]],Tab_Def_Flows[Name(EN)],0),18)</f>
        <v>#N/A</v>
      </c>
      <c r="AG243" s="115" t="str">
        <f>IF(K243="Yes",AF243*Tab_Data_Flows[[#This Row],[Flow_Py]],"N.A.")</f>
        <v>N.A.</v>
      </c>
      <c r="AH243" s="61">
        <f>Tab_Data_Flows[[#This Row],[UoM_Flow_Py]]</f>
        <v>0</v>
      </c>
      <c r="AI243" s="114" t="e">
        <f>INDEX(Tab_Def_Flows[[Flow_ID]:[CC_DM_source]],MATCH(Tab_Data_Flows[[#This Row],[Name(EN)]],Tab_Def_Flows[Name(EN)],0),20)</f>
        <v>#N/A</v>
      </c>
      <c r="AJ243" s="115" t="str">
        <f>IF(L243="Yes",AI243*Tab_Data_Flows[[#This Row],[Flow_Py]],"N.A.")</f>
        <v>N.A.</v>
      </c>
      <c r="AK243" s="61">
        <f>Tab_Data_Flows[[#This Row],[UoM_Flow_Py]]</f>
        <v>0</v>
      </c>
    </row>
    <row r="244" spans="1:37" x14ac:dyDescent="0.35">
      <c r="A244" s="60">
        <f t="shared" si="35"/>
        <v>243</v>
      </c>
      <c r="B244" s="49" t="str">
        <f>_xlfn.XLOOKUP(C244,Tab_Def_Flows[Name(EN)],Tab_Def_Flows[Flow_ID],,0,)</f>
        <v>F_21_21</v>
      </c>
      <c r="C244" s="51"/>
      <c r="D244" s="49">
        <f>_xlfn.XLOOKUP(C244,Tab_Def_Flows[Name(EN)],Tab_Def_Flows[Type_Biomass],,0,)</f>
        <v>0</v>
      </c>
      <c r="E244" s="49">
        <f>_xlfn.XLOOKUP(C244,Tab_Def_Flows[Name(EN)],Tab_Def_Flows[Output_Process],,0,)</f>
        <v>0</v>
      </c>
      <c r="F244" s="49" t="str">
        <f>_xlfn.XLOOKUP(C244,Tab_Def_Flows[Name(EN)],Tab_Def_Flows[Process_ID_O],,0,)</f>
        <v>21__</v>
      </c>
      <c r="G244" s="49">
        <f>_xlfn.XLOOKUP(C244,Tab_Def_Flows[Name(EN)],Tab_Def_Flows[Input_Process],,0,)</f>
        <v>0</v>
      </c>
      <c r="H244" s="61" t="str">
        <f>_xlfn.XLOOKUP(C244,Tab_Def_Flows[Name(EN)],Tab_Def_Flows[Process_ID_I],,0,)</f>
        <v>21__</v>
      </c>
      <c r="I244" s="49">
        <f>_xlfn.XLOOKUP(C244,Tab_Def_Flows[Name(EN)],Tab_Def_Flows[Value_Source],,0,)</f>
        <v>0</v>
      </c>
      <c r="J244" s="49">
        <f>_xlfn.XLOOKUP(C244,Tab_Def_Flows[Name(EN)],Tab_Def_Flows[WC?],,0,)</f>
        <v>0</v>
      </c>
      <c r="K244" s="49">
        <f>_xlfn.XLOOKUP(C244,Tab_Def_Flows[Name(EN)],Tab_Def_Flows[DM?],,0,)</f>
        <v>0</v>
      </c>
      <c r="L244" s="49">
        <f>_xlfn.XLOOKUP(C244,Tab_Def_Flows[Name(EN)],Tab_Def_Flows[CC?],,0,)</f>
        <v>0</v>
      </c>
      <c r="M244" s="51"/>
      <c r="N244" s="51"/>
      <c r="O244" s="88"/>
      <c r="P244" s="51"/>
      <c r="Q244" s="51"/>
      <c r="R244" s="51"/>
      <c r="S244" s="51"/>
      <c r="T244" s="51"/>
      <c r="U244" s="51"/>
      <c r="V244" s="51"/>
      <c r="W244" s="51"/>
      <c r="X244" s="51"/>
      <c r="Y244" s="51"/>
      <c r="Z244" s="51"/>
      <c r="AA244" s="89">
        <f t="shared" si="36"/>
        <v>0</v>
      </c>
      <c r="AB244" s="51"/>
      <c r="AC244" s="114" t="e">
        <f>INDEX(Tab_Def_Flows[[Flow_ID]:[CC_DM_source]],MATCH(Tab_Data_Flows[[#This Row],[Name(EN)]],Tab_Def_Flows[Name(EN)],0),16)</f>
        <v>#N/A</v>
      </c>
      <c r="AD244" s="115" t="str">
        <f>IF(J244="Yes",AA244*Tab_Data_Flows[[#This Row],[WC_'[%']]],"N.A.")</f>
        <v>N.A.</v>
      </c>
      <c r="AE244" s="61">
        <f>Tab_Data_Flows[[#This Row],[UoM_Flow_Py]]</f>
        <v>0</v>
      </c>
      <c r="AF244" s="114" t="e">
        <f>INDEX(Tab_Def_Flows[[Flow_ID]:[CC_DM_source]],MATCH(Tab_Data_Flows[[#This Row],[Name(EN)]],Tab_Def_Flows[Name(EN)],0),18)</f>
        <v>#N/A</v>
      </c>
      <c r="AG244" s="115" t="str">
        <f>IF(K244="Yes",AF244*Tab_Data_Flows[[#This Row],[Flow_Py]],"N.A.")</f>
        <v>N.A.</v>
      </c>
      <c r="AH244" s="61">
        <f>Tab_Data_Flows[[#This Row],[UoM_Flow_Py]]</f>
        <v>0</v>
      </c>
      <c r="AI244" s="114" t="e">
        <f>INDEX(Tab_Def_Flows[[Flow_ID]:[CC_DM_source]],MATCH(Tab_Data_Flows[[#This Row],[Name(EN)]],Tab_Def_Flows[Name(EN)],0),20)</f>
        <v>#N/A</v>
      </c>
      <c r="AJ244" s="115" t="str">
        <f>IF(L244="Yes",AI244*Tab_Data_Flows[[#This Row],[Flow_Py]],"N.A.")</f>
        <v>N.A.</v>
      </c>
      <c r="AK244" s="61">
        <f>Tab_Data_Flows[[#This Row],[UoM_Flow_Py]]</f>
        <v>0</v>
      </c>
    </row>
    <row r="245" spans="1:37" x14ac:dyDescent="0.35">
      <c r="A245" s="60">
        <f t="shared" si="35"/>
        <v>244</v>
      </c>
      <c r="B245" s="49" t="str">
        <f>_xlfn.XLOOKUP(C245,Tab_Def_Flows[Name(EN)],Tab_Def_Flows[Flow_ID],,0,)</f>
        <v>F_21_21</v>
      </c>
      <c r="C245" s="51"/>
      <c r="D245" s="49">
        <f>_xlfn.XLOOKUP(C245,Tab_Def_Flows[Name(EN)],Tab_Def_Flows[Type_Biomass],,0,)</f>
        <v>0</v>
      </c>
      <c r="E245" s="49">
        <f>_xlfn.XLOOKUP(C245,Tab_Def_Flows[Name(EN)],Tab_Def_Flows[Output_Process],,0,)</f>
        <v>0</v>
      </c>
      <c r="F245" s="49" t="str">
        <f>_xlfn.XLOOKUP(C245,Tab_Def_Flows[Name(EN)],Tab_Def_Flows[Process_ID_O],,0,)</f>
        <v>21__</v>
      </c>
      <c r="G245" s="49">
        <f>_xlfn.XLOOKUP(C245,Tab_Def_Flows[Name(EN)],Tab_Def_Flows[Input_Process],,0,)</f>
        <v>0</v>
      </c>
      <c r="H245" s="61" t="str">
        <f>_xlfn.XLOOKUP(C245,Tab_Def_Flows[Name(EN)],Tab_Def_Flows[Process_ID_I],,0,)</f>
        <v>21__</v>
      </c>
      <c r="I245" s="49">
        <f>_xlfn.XLOOKUP(C245,Tab_Def_Flows[Name(EN)],Tab_Def_Flows[Value_Source],,0,)</f>
        <v>0</v>
      </c>
      <c r="J245" s="49">
        <f>_xlfn.XLOOKUP(C245,Tab_Def_Flows[Name(EN)],Tab_Def_Flows[WC?],,0,)</f>
        <v>0</v>
      </c>
      <c r="K245" s="49">
        <f>_xlfn.XLOOKUP(C245,Tab_Def_Flows[Name(EN)],Tab_Def_Flows[DM?],,0,)</f>
        <v>0</v>
      </c>
      <c r="L245" s="49">
        <f>_xlfn.XLOOKUP(C245,Tab_Def_Flows[Name(EN)],Tab_Def_Flows[CC?],,0,)</f>
        <v>0</v>
      </c>
      <c r="M245" s="51"/>
      <c r="N245" s="51"/>
      <c r="O245" s="88"/>
      <c r="P245" s="51"/>
      <c r="Q245" s="51"/>
      <c r="R245" s="51"/>
      <c r="S245" s="51"/>
      <c r="T245" s="51"/>
      <c r="U245" s="51"/>
      <c r="V245" s="51"/>
      <c r="W245" s="51"/>
      <c r="X245" s="51"/>
      <c r="Y245" s="51"/>
      <c r="Z245" s="51"/>
      <c r="AA245" s="89">
        <f t="shared" si="36"/>
        <v>0</v>
      </c>
      <c r="AB245" s="51"/>
      <c r="AC245" s="114" t="e">
        <f>INDEX(Tab_Def_Flows[[Flow_ID]:[CC_DM_source]],MATCH(Tab_Data_Flows[[#This Row],[Name(EN)]],Tab_Def_Flows[Name(EN)],0),16)</f>
        <v>#N/A</v>
      </c>
      <c r="AD245" s="115" t="str">
        <f>IF(J245="Yes",AA245*Tab_Data_Flows[[#This Row],[WC_'[%']]],"N.A.")</f>
        <v>N.A.</v>
      </c>
      <c r="AE245" s="61">
        <f>Tab_Data_Flows[[#This Row],[UoM_Flow_Py]]</f>
        <v>0</v>
      </c>
      <c r="AF245" s="114" t="e">
        <f>INDEX(Tab_Def_Flows[[Flow_ID]:[CC_DM_source]],MATCH(Tab_Data_Flows[[#This Row],[Name(EN)]],Tab_Def_Flows[Name(EN)],0),18)</f>
        <v>#N/A</v>
      </c>
      <c r="AG245" s="115" t="str">
        <f>IF(K245="Yes",AF245*Tab_Data_Flows[[#This Row],[Flow_Py]],"N.A.")</f>
        <v>N.A.</v>
      </c>
      <c r="AH245" s="61">
        <f>Tab_Data_Flows[[#This Row],[UoM_Flow_Py]]</f>
        <v>0</v>
      </c>
      <c r="AI245" s="114" t="e">
        <f>INDEX(Tab_Def_Flows[[Flow_ID]:[CC_DM_source]],MATCH(Tab_Data_Flows[[#This Row],[Name(EN)]],Tab_Def_Flows[Name(EN)],0),20)</f>
        <v>#N/A</v>
      </c>
      <c r="AJ245" s="115" t="str">
        <f>IF(L245="Yes",AI245*Tab_Data_Flows[[#This Row],[Flow_Py]],"N.A.")</f>
        <v>N.A.</v>
      </c>
      <c r="AK245" s="61">
        <f>Tab_Data_Flows[[#This Row],[UoM_Flow_Py]]</f>
        <v>0</v>
      </c>
    </row>
    <row r="246" spans="1:37" x14ac:dyDescent="0.35">
      <c r="A246" s="60">
        <f t="shared" si="35"/>
        <v>245</v>
      </c>
      <c r="B246" s="49" t="str">
        <f>_xlfn.XLOOKUP(C246,Tab_Def_Flows[Name(EN)],Tab_Def_Flows[Flow_ID],,0,)</f>
        <v>F_21_21</v>
      </c>
      <c r="C246" s="51"/>
      <c r="D246" s="49">
        <f>_xlfn.XLOOKUP(C246,Tab_Def_Flows[Name(EN)],Tab_Def_Flows[Type_Biomass],,0,)</f>
        <v>0</v>
      </c>
      <c r="E246" s="49">
        <f>_xlfn.XLOOKUP(C246,Tab_Def_Flows[Name(EN)],Tab_Def_Flows[Output_Process],,0,)</f>
        <v>0</v>
      </c>
      <c r="F246" s="49" t="str">
        <f>_xlfn.XLOOKUP(C246,Tab_Def_Flows[Name(EN)],Tab_Def_Flows[Process_ID_O],,0,)</f>
        <v>21__</v>
      </c>
      <c r="G246" s="49">
        <f>_xlfn.XLOOKUP(C246,Tab_Def_Flows[Name(EN)],Tab_Def_Flows[Input_Process],,0,)</f>
        <v>0</v>
      </c>
      <c r="H246" s="61" t="str">
        <f>_xlfn.XLOOKUP(C246,Tab_Def_Flows[Name(EN)],Tab_Def_Flows[Process_ID_I],,0,)</f>
        <v>21__</v>
      </c>
      <c r="I246" s="49">
        <f>_xlfn.XLOOKUP(C246,Tab_Def_Flows[Name(EN)],Tab_Def_Flows[Value_Source],,0,)</f>
        <v>0</v>
      </c>
      <c r="J246" s="49">
        <f>_xlfn.XLOOKUP(C246,Tab_Def_Flows[Name(EN)],Tab_Def_Flows[WC?],,0,)</f>
        <v>0</v>
      </c>
      <c r="K246" s="49">
        <f>_xlfn.XLOOKUP(C246,Tab_Def_Flows[Name(EN)],Tab_Def_Flows[DM?],,0,)</f>
        <v>0</v>
      </c>
      <c r="L246" s="49">
        <f>_xlfn.XLOOKUP(C246,Tab_Def_Flows[Name(EN)],Tab_Def_Flows[CC?],,0,)</f>
        <v>0</v>
      </c>
      <c r="M246" s="51"/>
      <c r="N246" s="51"/>
      <c r="O246" s="88"/>
      <c r="P246" s="51"/>
      <c r="Q246" s="51"/>
      <c r="R246" s="51"/>
      <c r="S246" s="51"/>
      <c r="T246" s="51"/>
      <c r="U246" s="51"/>
      <c r="V246" s="51"/>
      <c r="W246" s="51"/>
      <c r="X246" s="51"/>
      <c r="Y246" s="51"/>
      <c r="Z246" s="51"/>
      <c r="AA246" s="89">
        <f t="shared" si="36"/>
        <v>0</v>
      </c>
      <c r="AB246" s="51"/>
      <c r="AC246" s="114" t="e">
        <f>INDEX(Tab_Def_Flows[[Flow_ID]:[CC_DM_source]],MATCH(Tab_Data_Flows[[#This Row],[Name(EN)]],Tab_Def_Flows[Name(EN)],0),16)</f>
        <v>#N/A</v>
      </c>
      <c r="AD246" s="115" t="str">
        <f>IF(J246="Yes",AA246*Tab_Data_Flows[[#This Row],[WC_'[%']]],"N.A.")</f>
        <v>N.A.</v>
      </c>
      <c r="AE246" s="61">
        <f>Tab_Data_Flows[[#This Row],[UoM_Flow_Py]]</f>
        <v>0</v>
      </c>
      <c r="AF246" s="114" t="e">
        <f>INDEX(Tab_Def_Flows[[Flow_ID]:[CC_DM_source]],MATCH(Tab_Data_Flows[[#This Row],[Name(EN)]],Tab_Def_Flows[Name(EN)],0),18)</f>
        <v>#N/A</v>
      </c>
      <c r="AG246" s="115" t="str">
        <f>IF(K246="Yes",AF246*Tab_Data_Flows[[#This Row],[Flow_Py]],"N.A.")</f>
        <v>N.A.</v>
      </c>
      <c r="AH246" s="61">
        <f>Tab_Data_Flows[[#This Row],[UoM_Flow_Py]]</f>
        <v>0</v>
      </c>
      <c r="AI246" s="114" t="e">
        <f>INDEX(Tab_Def_Flows[[Flow_ID]:[CC_DM_source]],MATCH(Tab_Data_Flows[[#This Row],[Name(EN)]],Tab_Def_Flows[Name(EN)],0),20)</f>
        <v>#N/A</v>
      </c>
      <c r="AJ246" s="115" t="str">
        <f>IF(L246="Yes",AI246*Tab_Data_Flows[[#This Row],[Flow_Py]],"N.A.")</f>
        <v>N.A.</v>
      </c>
      <c r="AK246" s="61">
        <f>Tab_Data_Flows[[#This Row],[UoM_Flow_Py]]</f>
        <v>0</v>
      </c>
    </row>
    <row r="247" spans="1:37" x14ac:dyDescent="0.35">
      <c r="A247" s="60">
        <f t="shared" si="35"/>
        <v>246</v>
      </c>
      <c r="B247" s="49" t="str">
        <f>_xlfn.XLOOKUP(C247,Tab_Def_Flows[Name(EN)],Tab_Def_Flows[Flow_ID],,0,)</f>
        <v>F_21_21</v>
      </c>
      <c r="C247" s="51"/>
      <c r="D247" s="49">
        <f>_xlfn.XLOOKUP(C247,Tab_Def_Flows[Name(EN)],Tab_Def_Flows[Type_Biomass],,0,)</f>
        <v>0</v>
      </c>
      <c r="E247" s="49">
        <f>_xlfn.XLOOKUP(C247,Tab_Def_Flows[Name(EN)],Tab_Def_Flows[Output_Process],,0,)</f>
        <v>0</v>
      </c>
      <c r="F247" s="49" t="str">
        <f>_xlfn.XLOOKUP(C247,Tab_Def_Flows[Name(EN)],Tab_Def_Flows[Process_ID_O],,0,)</f>
        <v>21__</v>
      </c>
      <c r="G247" s="49">
        <f>_xlfn.XLOOKUP(C247,Tab_Def_Flows[Name(EN)],Tab_Def_Flows[Input_Process],,0,)</f>
        <v>0</v>
      </c>
      <c r="H247" s="61" t="str">
        <f>_xlfn.XLOOKUP(C247,Tab_Def_Flows[Name(EN)],Tab_Def_Flows[Process_ID_I],,0,)</f>
        <v>21__</v>
      </c>
      <c r="I247" s="49">
        <f>_xlfn.XLOOKUP(C247,Tab_Def_Flows[Name(EN)],Tab_Def_Flows[Value_Source],,0,)</f>
        <v>0</v>
      </c>
      <c r="J247" s="49">
        <f>_xlfn.XLOOKUP(C247,Tab_Def_Flows[Name(EN)],Tab_Def_Flows[WC?],,0,)</f>
        <v>0</v>
      </c>
      <c r="K247" s="49">
        <f>_xlfn.XLOOKUP(C247,Tab_Def_Flows[Name(EN)],Tab_Def_Flows[DM?],,0,)</f>
        <v>0</v>
      </c>
      <c r="L247" s="49">
        <f>_xlfn.XLOOKUP(C247,Tab_Def_Flows[Name(EN)],Tab_Def_Flows[CC?],,0,)</f>
        <v>0</v>
      </c>
      <c r="M247" s="51"/>
      <c r="N247" s="51"/>
      <c r="O247" s="88"/>
      <c r="P247" s="51"/>
      <c r="Q247" s="51"/>
      <c r="R247" s="51"/>
      <c r="S247" s="51"/>
      <c r="T247" s="51"/>
      <c r="U247" s="51"/>
      <c r="V247" s="51"/>
      <c r="W247" s="51"/>
      <c r="X247" s="51"/>
      <c r="Y247" s="51"/>
      <c r="Z247" s="51"/>
      <c r="AA247" s="89">
        <f t="shared" si="36"/>
        <v>0</v>
      </c>
      <c r="AB247" s="51"/>
      <c r="AC247" s="114" t="e">
        <f>INDEX(Tab_Def_Flows[[Flow_ID]:[CC_DM_source]],MATCH(Tab_Data_Flows[[#This Row],[Name(EN)]],Tab_Def_Flows[Name(EN)],0),16)</f>
        <v>#N/A</v>
      </c>
      <c r="AD247" s="115" t="str">
        <f>IF(J247="Yes",AA247*Tab_Data_Flows[[#This Row],[WC_'[%']]],"N.A.")</f>
        <v>N.A.</v>
      </c>
      <c r="AE247" s="61">
        <f>Tab_Data_Flows[[#This Row],[UoM_Flow_Py]]</f>
        <v>0</v>
      </c>
      <c r="AF247" s="114" t="e">
        <f>INDEX(Tab_Def_Flows[[Flow_ID]:[CC_DM_source]],MATCH(Tab_Data_Flows[[#This Row],[Name(EN)]],Tab_Def_Flows[Name(EN)],0),18)</f>
        <v>#N/A</v>
      </c>
      <c r="AG247" s="115" t="str">
        <f>IF(K247="Yes",AF247*Tab_Data_Flows[[#This Row],[Flow_Py]],"N.A.")</f>
        <v>N.A.</v>
      </c>
      <c r="AH247" s="61">
        <f>Tab_Data_Flows[[#This Row],[UoM_Flow_Py]]</f>
        <v>0</v>
      </c>
      <c r="AI247" s="114" t="e">
        <f>INDEX(Tab_Def_Flows[[Flow_ID]:[CC_DM_source]],MATCH(Tab_Data_Flows[[#This Row],[Name(EN)]],Tab_Def_Flows[Name(EN)],0),20)</f>
        <v>#N/A</v>
      </c>
      <c r="AJ247" s="115" t="str">
        <f>IF(L247="Yes",AI247*Tab_Data_Flows[[#This Row],[Flow_Py]],"N.A.")</f>
        <v>N.A.</v>
      </c>
      <c r="AK247" s="61">
        <f>Tab_Data_Flows[[#This Row],[UoM_Flow_Py]]</f>
        <v>0</v>
      </c>
    </row>
    <row r="248" spans="1:37" x14ac:dyDescent="0.35">
      <c r="A248" s="60">
        <f t="shared" si="35"/>
        <v>247</v>
      </c>
      <c r="B248" s="49" t="str">
        <f>_xlfn.XLOOKUP(C248,Tab_Def_Flows[Name(EN)],Tab_Def_Flows[Flow_ID],,0,)</f>
        <v>F_21_21</v>
      </c>
      <c r="C248" s="51"/>
      <c r="D248" s="49">
        <f>_xlfn.XLOOKUP(C248,Tab_Def_Flows[Name(EN)],Tab_Def_Flows[Type_Biomass],,0,)</f>
        <v>0</v>
      </c>
      <c r="E248" s="49">
        <f>_xlfn.XLOOKUP(C248,Tab_Def_Flows[Name(EN)],Tab_Def_Flows[Output_Process],,0,)</f>
        <v>0</v>
      </c>
      <c r="F248" s="49" t="str">
        <f>_xlfn.XLOOKUP(C248,Tab_Def_Flows[Name(EN)],Tab_Def_Flows[Process_ID_O],,0,)</f>
        <v>21__</v>
      </c>
      <c r="G248" s="49">
        <f>_xlfn.XLOOKUP(C248,Tab_Def_Flows[Name(EN)],Tab_Def_Flows[Input_Process],,0,)</f>
        <v>0</v>
      </c>
      <c r="H248" s="61" t="str">
        <f>_xlfn.XLOOKUP(C248,Tab_Def_Flows[Name(EN)],Tab_Def_Flows[Process_ID_I],,0,)</f>
        <v>21__</v>
      </c>
      <c r="I248" s="49">
        <f>_xlfn.XLOOKUP(C248,Tab_Def_Flows[Name(EN)],Tab_Def_Flows[Value_Source],,0,)</f>
        <v>0</v>
      </c>
      <c r="J248" s="49">
        <f>_xlfn.XLOOKUP(C248,Tab_Def_Flows[Name(EN)],Tab_Def_Flows[WC?],,0,)</f>
        <v>0</v>
      </c>
      <c r="K248" s="49">
        <f>_xlfn.XLOOKUP(C248,Tab_Def_Flows[Name(EN)],Tab_Def_Flows[DM?],,0,)</f>
        <v>0</v>
      </c>
      <c r="L248" s="49">
        <f>_xlfn.XLOOKUP(C248,Tab_Def_Flows[Name(EN)],Tab_Def_Flows[CC?],,0,)</f>
        <v>0</v>
      </c>
      <c r="M248" s="51"/>
      <c r="N248" s="51"/>
      <c r="O248" s="88"/>
      <c r="P248" s="51"/>
      <c r="Q248" s="51"/>
      <c r="R248" s="51"/>
      <c r="S248" s="51"/>
      <c r="T248" s="51"/>
      <c r="U248" s="51"/>
      <c r="V248" s="51"/>
      <c r="W248" s="51"/>
      <c r="X248" s="51"/>
      <c r="Y248" s="51"/>
      <c r="Z248" s="51"/>
      <c r="AA248" s="89"/>
      <c r="AB248" s="51"/>
      <c r="AC248" s="114" t="e">
        <f>INDEX(Tab_Def_Flows[[Flow_ID]:[CC_DM_source]],MATCH(Tab_Data_Flows[[#This Row],[Name(EN)]],Tab_Def_Flows[Name(EN)],0),16)</f>
        <v>#N/A</v>
      </c>
      <c r="AD248" s="115" t="str">
        <f>IF(J248="Yes",AA248*Tab_Data_Flows[[#This Row],[WC_'[%']]],"N.A.")</f>
        <v>N.A.</v>
      </c>
      <c r="AE248" s="61">
        <f>Tab_Data_Flows[[#This Row],[UoM_Flow_Py]]</f>
        <v>0</v>
      </c>
      <c r="AF248" s="114" t="e">
        <f>INDEX(Tab_Def_Flows[[Flow_ID]:[CC_DM_source]],MATCH(Tab_Data_Flows[[#This Row],[Name(EN)]],Tab_Def_Flows[Name(EN)],0),18)</f>
        <v>#N/A</v>
      </c>
      <c r="AG248" s="115" t="str">
        <f>IF(K248="Yes",AF248*Tab_Data_Flows[[#This Row],[Flow_Py]],"N.A.")</f>
        <v>N.A.</v>
      </c>
      <c r="AH248" s="61">
        <f>Tab_Data_Flows[[#This Row],[UoM_Flow_Py]]</f>
        <v>0</v>
      </c>
      <c r="AI248" s="114" t="e">
        <f>INDEX(Tab_Def_Flows[[Flow_ID]:[CC_DM_source]],MATCH(Tab_Data_Flows[[#This Row],[Name(EN)]],Tab_Def_Flows[Name(EN)],0),20)</f>
        <v>#N/A</v>
      </c>
      <c r="AJ248" s="115" t="str">
        <f>IF(L248="Yes",AI248*Tab_Data_Flows[[#This Row],[Flow_Py]],"N.A.")</f>
        <v>N.A.</v>
      </c>
      <c r="AK248" s="61">
        <f>Tab_Data_Flows[[#This Row],[UoM_Flow_Py]]</f>
        <v>0</v>
      </c>
    </row>
    <row r="249" spans="1:37" x14ac:dyDescent="0.35">
      <c r="A249" s="60">
        <f t="shared" si="35"/>
        <v>248</v>
      </c>
      <c r="B249" s="49" t="str">
        <f>_xlfn.XLOOKUP(C249,Tab_Def_Flows[Name(EN)],Tab_Def_Flows[Flow_ID],,0,)</f>
        <v>F_21_21</v>
      </c>
      <c r="C249" s="51"/>
      <c r="D249" s="49">
        <f>_xlfn.XLOOKUP(C249,Tab_Def_Flows[Name(EN)],Tab_Def_Flows[Type_Biomass],,0,)</f>
        <v>0</v>
      </c>
      <c r="E249" s="49">
        <f>_xlfn.XLOOKUP(C249,Tab_Def_Flows[Name(EN)],Tab_Def_Flows[Output_Process],,0,)</f>
        <v>0</v>
      </c>
      <c r="F249" s="49" t="str">
        <f>_xlfn.XLOOKUP(C249,Tab_Def_Flows[Name(EN)],Tab_Def_Flows[Process_ID_O],,0,)</f>
        <v>21__</v>
      </c>
      <c r="G249" s="49">
        <f>_xlfn.XLOOKUP(C249,Tab_Def_Flows[Name(EN)],Tab_Def_Flows[Input_Process],,0,)</f>
        <v>0</v>
      </c>
      <c r="H249" s="61" t="str">
        <f>_xlfn.XLOOKUP(C249,Tab_Def_Flows[Name(EN)],Tab_Def_Flows[Process_ID_I],,0,)</f>
        <v>21__</v>
      </c>
      <c r="I249" s="49">
        <f>_xlfn.XLOOKUP(C249,Tab_Def_Flows[Name(EN)],Tab_Def_Flows[Value_Source],,0,)</f>
        <v>0</v>
      </c>
      <c r="J249" s="49">
        <f>_xlfn.XLOOKUP(C249,Tab_Def_Flows[Name(EN)],Tab_Def_Flows[WC?],,0,)</f>
        <v>0</v>
      </c>
      <c r="K249" s="49">
        <f>_xlfn.XLOOKUP(C249,Tab_Def_Flows[Name(EN)],Tab_Def_Flows[DM?],,0,)</f>
        <v>0</v>
      </c>
      <c r="L249" s="49">
        <f>_xlfn.XLOOKUP(C249,Tab_Def_Flows[Name(EN)],Tab_Def_Flows[CC?],,0,)</f>
        <v>0</v>
      </c>
      <c r="M249" s="51"/>
      <c r="N249" s="51"/>
      <c r="O249" s="88"/>
      <c r="P249" s="51"/>
      <c r="Q249" s="51"/>
      <c r="R249" s="51"/>
      <c r="S249" s="51"/>
      <c r="T249" s="51"/>
      <c r="U249" s="51"/>
      <c r="V249" s="51"/>
      <c r="W249" s="51"/>
      <c r="X249" s="51"/>
      <c r="Y249" s="51"/>
      <c r="Z249" s="51"/>
      <c r="AA249" s="89"/>
      <c r="AB249" s="51"/>
      <c r="AC249" s="114" t="e">
        <f>INDEX(Tab_Def_Flows[[Flow_ID]:[CC_DM_source]],MATCH(Tab_Data_Flows[[#This Row],[Name(EN)]],Tab_Def_Flows[Name(EN)],0),16)</f>
        <v>#N/A</v>
      </c>
      <c r="AD249" s="115" t="str">
        <f>IF(J249="Yes",AA249*Tab_Data_Flows[[#This Row],[WC_'[%']]],"N.A.")</f>
        <v>N.A.</v>
      </c>
      <c r="AE249" s="61">
        <f>Tab_Data_Flows[[#This Row],[UoM_Flow_Py]]</f>
        <v>0</v>
      </c>
      <c r="AF249" s="114" t="e">
        <f>INDEX(Tab_Def_Flows[[Flow_ID]:[CC_DM_source]],MATCH(Tab_Data_Flows[[#This Row],[Name(EN)]],Tab_Def_Flows[Name(EN)],0),18)</f>
        <v>#N/A</v>
      </c>
      <c r="AG249" s="115" t="str">
        <f>IF(K249="Yes",AF249*Tab_Data_Flows[[#This Row],[Flow_Py]],"N.A.")</f>
        <v>N.A.</v>
      </c>
      <c r="AH249" s="61">
        <f>Tab_Data_Flows[[#This Row],[UoM_Flow_Py]]</f>
        <v>0</v>
      </c>
      <c r="AI249" s="114" t="e">
        <f>INDEX(Tab_Def_Flows[[Flow_ID]:[CC_DM_source]],MATCH(Tab_Data_Flows[[#This Row],[Name(EN)]],Tab_Def_Flows[Name(EN)],0),20)</f>
        <v>#N/A</v>
      </c>
      <c r="AJ249" s="115" t="str">
        <f>IF(L249="Yes",AI249*Tab_Data_Flows[[#This Row],[Flow_Py]],"N.A.")</f>
        <v>N.A.</v>
      </c>
      <c r="AK249" s="61">
        <f>Tab_Data_Flows[[#This Row],[UoM_Flow_Py]]</f>
        <v>0</v>
      </c>
    </row>
    <row r="250" spans="1:37" x14ac:dyDescent="0.35">
      <c r="A250" s="60">
        <f t="shared" si="35"/>
        <v>249</v>
      </c>
      <c r="B250" s="49" t="str">
        <f>_xlfn.XLOOKUP(C250,Tab_Def_Flows[Name(EN)],Tab_Def_Flows[Flow_ID],,0,)</f>
        <v>F_21_21</v>
      </c>
      <c r="C250" s="51"/>
      <c r="D250" s="49">
        <f>_xlfn.XLOOKUP(C250,Tab_Def_Flows[Name(EN)],Tab_Def_Flows[Type_Biomass],,0,)</f>
        <v>0</v>
      </c>
      <c r="E250" s="49">
        <f>_xlfn.XLOOKUP(C250,Tab_Def_Flows[Name(EN)],Tab_Def_Flows[Output_Process],,0,)</f>
        <v>0</v>
      </c>
      <c r="F250" s="49" t="str">
        <f>_xlfn.XLOOKUP(C250,Tab_Def_Flows[Name(EN)],Tab_Def_Flows[Process_ID_O],,0,)</f>
        <v>21__</v>
      </c>
      <c r="G250" s="49">
        <f>_xlfn.XLOOKUP(C250,Tab_Def_Flows[Name(EN)],Tab_Def_Flows[Input_Process],,0,)</f>
        <v>0</v>
      </c>
      <c r="H250" s="61" t="str">
        <f>_xlfn.XLOOKUP(C250,Tab_Def_Flows[Name(EN)],Tab_Def_Flows[Process_ID_I],,0,)</f>
        <v>21__</v>
      </c>
      <c r="I250" s="49">
        <f>_xlfn.XLOOKUP(C250,Tab_Def_Flows[Name(EN)],Tab_Def_Flows[Value_Source],,0,)</f>
        <v>0</v>
      </c>
      <c r="J250" s="49">
        <f>_xlfn.XLOOKUP(C250,Tab_Def_Flows[Name(EN)],Tab_Def_Flows[WC?],,0,)</f>
        <v>0</v>
      </c>
      <c r="K250" s="49">
        <f>_xlfn.XLOOKUP(C250,Tab_Def_Flows[Name(EN)],Tab_Def_Flows[DM?],,0,)</f>
        <v>0</v>
      </c>
      <c r="L250" s="49">
        <f>_xlfn.XLOOKUP(C250,Tab_Def_Flows[Name(EN)],Tab_Def_Flows[CC?],,0,)</f>
        <v>0</v>
      </c>
      <c r="M250" s="51"/>
      <c r="N250" s="51"/>
      <c r="O250" s="88"/>
      <c r="P250" s="51"/>
      <c r="Q250" s="51"/>
      <c r="R250" s="51"/>
      <c r="S250" s="51"/>
      <c r="T250" s="51"/>
      <c r="U250" s="51"/>
      <c r="V250" s="51"/>
      <c r="W250" s="51"/>
      <c r="X250" s="51"/>
      <c r="Y250" s="51"/>
      <c r="Z250" s="51"/>
      <c r="AA250" s="89"/>
      <c r="AB250" s="51"/>
      <c r="AC250" s="114" t="e">
        <f>INDEX(Tab_Def_Flows[[Flow_ID]:[CC_DM_source]],MATCH(Tab_Data_Flows[[#This Row],[Name(EN)]],Tab_Def_Flows[Name(EN)],0),16)</f>
        <v>#N/A</v>
      </c>
      <c r="AD250" s="115" t="str">
        <f>IF(J250="Yes",AA250*Tab_Data_Flows[[#This Row],[WC_'[%']]],"N.A.")</f>
        <v>N.A.</v>
      </c>
      <c r="AE250" s="61">
        <f>Tab_Data_Flows[[#This Row],[UoM_Flow_Py]]</f>
        <v>0</v>
      </c>
      <c r="AF250" s="114" t="e">
        <f>INDEX(Tab_Def_Flows[[Flow_ID]:[CC_DM_source]],MATCH(Tab_Data_Flows[[#This Row],[Name(EN)]],Tab_Def_Flows[Name(EN)],0),18)</f>
        <v>#N/A</v>
      </c>
      <c r="AG250" s="115" t="str">
        <f>IF(K250="Yes",AF250*Tab_Data_Flows[[#This Row],[Flow_Py]],"N.A.")</f>
        <v>N.A.</v>
      </c>
      <c r="AH250" s="61">
        <f>Tab_Data_Flows[[#This Row],[UoM_Flow_Py]]</f>
        <v>0</v>
      </c>
      <c r="AI250" s="114" t="e">
        <f>INDEX(Tab_Def_Flows[[Flow_ID]:[CC_DM_source]],MATCH(Tab_Data_Flows[[#This Row],[Name(EN)]],Tab_Def_Flows[Name(EN)],0),20)</f>
        <v>#N/A</v>
      </c>
      <c r="AJ250" s="115" t="str">
        <f>IF(L250="Yes",AI250*Tab_Data_Flows[[#This Row],[Flow_Py]],"N.A.")</f>
        <v>N.A.</v>
      </c>
      <c r="AK250" s="61">
        <f>Tab_Data_Flows[[#This Row],[UoM_Flow_Py]]</f>
        <v>0</v>
      </c>
    </row>
    <row r="251" spans="1:37" x14ac:dyDescent="0.35">
      <c r="A251" s="60">
        <f t="shared" si="35"/>
        <v>250</v>
      </c>
      <c r="B251" s="49" t="str">
        <f>_xlfn.XLOOKUP(C251,Tab_Def_Flows[Name(EN)],Tab_Def_Flows[Flow_ID],,0,)</f>
        <v>F_21_21</v>
      </c>
      <c r="C251" s="51"/>
      <c r="D251" s="49">
        <f>_xlfn.XLOOKUP(C251,Tab_Def_Flows[Name(EN)],Tab_Def_Flows[Type_Biomass],,0,)</f>
        <v>0</v>
      </c>
      <c r="E251" s="49">
        <f>_xlfn.XLOOKUP(C251,Tab_Def_Flows[Name(EN)],Tab_Def_Flows[Output_Process],,0,)</f>
        <v>0</v>
      </c>
      <c r="F251" s="49" t="str">
        <f>_xlfn.XLOOKUP(C251,Tab_Def_Flows[Name(EN)],Tab_Def_Flows[Process_ID_O],,0,)</f>
        <v>21__</v>
      </c>
      <c r="G251" s="49">
        <f>_xlfn.XLOOKUP(C251,Tab_Def_Flows[Name(EN)],Tab_Def_Flows[Input_Process],,0,)</f>
        <v>0</v>
      </c>
      <c r="H251" s="61" t="str">
        <f>_xlfn.XLOOKUP(C251,Tab_Def_Flows[Name(EN)],Tab_Def_Flows[Process_ID_I],,0,)</f>
        <v>21__</v>
      </c>
      <c r="I251" s="49">
        <f>_xlfn.XLOOKUP(C251,Tab_Def_Flows[Name(EN)],Tab_Def_Flows[Value_Source],,0,)</f>
        <v>0</v>
      </c>
      <c r="J251" s="49">
        <f>_xlfn.XLOOKUP(C251,Tab_Def_Flows[Name(EN)],Tab_Def_Flows[WC?],,0,)</f>
        <v>0</v>
      </c>
      <c r="K251" s="49">
        <f>_xlfn.XLOOKUP(C251,Tab_Def_Flows[Name(EN)],Tab_Def_Flows[DM?],,0,)</f>
        <v>0</v>
      </c>
      <c r="L251" s="49">
        <f>_xlfn.XLOOKUP(C251,Tab_Def_Flows[Name(EN)],Tab_Def_Flows[CC?],,0,)</f>
        <v>0</v>
      </c>
      <c r="M251" s="51"/>
      <c r="N251" s="51"/>
      <c r="O251" s="88"/>
      <c r="P251" s="51"/>
      <c r="Q251" s="51"/>
      <c r="R251" s="51"/>
      <c r="S251" s="51"/>
      <c r="T251" s="51"/>
      <c r="U251" s="51"/>
      <c r="V251" s="51"/>
      <c r="W251" s="51"/>
      <c r="X251" s="51"/>
      <c r="Y251" s="51"/>
      <c r="Z251" s="51"/>
      <c r="AA251" s="89"/>
      <c r="AB251" s="51"/>
      <c r="AC251" s="114" t="e">
        <f>INDEX(Tab_Def_Flows[[Flow_ID]:[CC_DM_source]],MATCH(Tab_Data_Flows[[#This Row],[Name(EN)]],Tab_Def_Flows[Name(EN)],0),16)</f>
        <v>#N/A</v>
      </c>
      <c r="AD251" s="115" t="str">
        <f>IF(J251="Yes",AA251*Tab_Data_Flows[[#This Row],[WC_'[%']]],"N.A.")</f>
        <v>N.A.</v>
      </c>
      <c r="AE251" s="61">
        <f>Tab_Data_Flows[[#This Row],[UoM_Flow_Py]]</f>
        <v>0</v>
      </c>
      <c r="AF251" s="114" t="e">
        <f>INDEX(Tab_Def_Flows[[Flow_ID]:[CC_DM_source]],MATCH(Tab_Data_Flows[[#This Row],[Name(EN)]],Tab_Def_Flows[Name(EN)],0),18)</f>
        <v>#N/A</v>
      </c>
      <c r="AG251" s="115" t="str">
        <f>IF(K251="Yes",AF251*Tab_Data_Flows[[#This Row],[Flow_Py]],"N.A.")</f>
        <v>N.A.</v>
      </c>
      <c r="AH251" s="61">
        <f>Tab_Data_Flows[[#This Row],[UoM_Flow_Py]]</f>
        <v>0</v>
      </c>
      <c r="AI251" s="114" t="e">
        <f>INDEX(Tab_Def_Flows[[Flow_ID]:[CC_DM_source]],MATCH(Tab_Data_Flows[[#This Row],[Name(EN)]],Tab_Def_Flows[Name(EN)],0),20)</f>
        <v>#N/A</v>
      </c>
      <c r="AJ251" s="115" t="str">
        <f>IF(L251="Yes",AI251*Tab_Data_Flows[[#This Row],[Flow_Py]],"N.A.")</f>
        <v>N.A.</v>
      </c>
      <c r="AK251" s="61">
        <f>Tab_Data_Flows[[#This Row],[UoM_Flow_Py]]</f>
        <v>0</v>
      </c>
    </row>
    <row r="252" spans="1:37" x14ac:dyDescent="0.35">
      <c r="A252" s="60">
        <f t="shared" si="35"/>
        <v>251</v>
      </c>
      <c r="B252" s="49" t="str">
        <f>_xlfn.XLOOKUP(C252,Tab_Def_Flows[Name(EN)],Tab_Def_Flows[Flow_ID],,0,)</f>
        <v>F_21_21</v>
      </c>
      <c r="C252" s="51"/>
      <c r="D252" s="49">
        <f>_xlfn.XLOOKUP(C252,Tab_Def_Flows[Name(EN)],Tab_Def_Flows[Type_Biomass],,0,)</f>
        <v>0</v>
      </c>
      <c r="E252" s="49">
        <f>_xlfn.XLOOKUP(C252,Tab_Def_Flows[Name(EN)],Tab_Def_Flows[Output_Process],,0,)</f>
        <v>0</v>
      </c>
      <c r="F252" s="49" t="str">
        <f>_xlfn.XLOOKUP(C252,Tab_Def_Flows[Name(EN)],Tab_Def_Flows[Process_ID_O],,0,)</f>
        <v>21__</v>
      </c>
      <c r="G252" s="49">
        <f>_xlfn.XLOOKUP(C252,Tab_Def_Flows[Name(EN)],Tab_Def_Flows[Input_Process],,0,)</f>
        <v>0</v>
      </c>
      <c r="H252" s="61" t="str">
        <f>_xlfn.XLOOKUP(C252,Tab_Def_Flows[Name(EN)],Tab_Def_Flows[Process_ID_I],,0,)</f>
        <v>21__</v>
      </c>
      <c r="I252" s="49">
        <f>_xlfn.XLOOKUP(C252,Tab_Def_Flows[Name(EN)],Tab_Def_Flows[Value_Source],,0,)</f>
        <v>0</v>
      </c>
      <c r="J252" s="49">
        <f>_xlfn.XLOOKUP(C252,Tab_Def_Flows[Name(EN)],Tab_Def_Flows[WC?],,0,)</f>
        <v>0</v>
      </c>
      <c r="K252" s="49">
        <f>_xlfn.XLOOKUP(C252,Tab_Def_Flows[Name(EN)],Tab_Def_Flows[DM?],,0,)</f>
        <v>0</v>
      </c>
      <c r="L252" s="49">
        <f>_xlfn.XLOOKUP(C252,Tab_Def_Flows[Name(EN)],Tab_Def_Flows[CC?],,0,)</f>
        <v>0</v>
      </c>
      <c r="M252" s="51"/>
      <c r="N252" s="51"/>
      <c r="O252" s="51"/>
      <c r="P252" s="51"/>
      <c r="Q252" s="51"/>
      <c r="R252" s="51"/>
      <c r="S252" s="51"/>
      <c r="T252" s="51"/>
      <c r="U252" s="51"/>
      <c r="V252" s="51"/>
      <c r="W252" s="51"/>
      <c r="X252" s="51"/>
      <c r="Y252" s="51"/>
      <c r="Z252" s="51"/>
      <c r="AA252" s="89"/>
      <c r="AB252" s="51"/>
      <c r="AC252" s="114" t="e">
        <f>INDEX(Tab_Def_Flows[[Flow_ID]:[CC_DM_source]],MATCH(Tab_Data_Flows[[#This Row],[Name(EN)]],Tab_Def_Flows[Name(EN)],0),16)</f>
        <v>#N/A</v>
      </c>
      <c r="AD252" s="115" t="str">
        <f>IF(J252="Yes",AA252*Tab_Data_Flows[[#This Row],[WC_'[%']]],"N.A.")</f>
        <v>N.A.</v>
      </c>
      <c r="AE252" s="61">
        <f>Tab_Data_Flows[[#This Row],[UoM_Flow_Py]]</f>
        <v>0</v>
      </c>
      <c r="AF252" s="114" t="e">
        <f>INDEX(Tab_Def_Flows[[Flow_ID]:[CC_DM_source]],MATCH(Tab_Data_Flows[[#This Row],[Name(EN)]],Tab_Def_Flows[Name(EN)],0),18)</f>
        <v>#N/A</v>
      </c>
      <c r="AG252" s="115" t="str">
        <f>IF(K252="Yes",AF252*Tab_Data_Flows[[#This Row],[Flow_Py]],"N.A.")</f>
        <v>N.A.</v>
      </c>
      <c r="AH252" s="61">
        <f>Tab_Data_Flows[[#This Row],[UoM_Flow_Py]]</f>
        <v>0</v>
      </c>
      <c r="AI252" s="114" t="e">
        <f>INDEX(Tab_Def_Flows[[Flow_ID]:[CC_DM_source]],MATCH(Tab_Data_Flows[[#This Row],[Name(EN)]],Tab_Def_Flows[Name(EN)],0),20)</f>
        <v>#N/A</v>
      </c>
      <c r="AJ252" s="115" t="str">
        <f>IF(L252="Yes",AI252*Tab_Data_Flows[[#This Row],[Flow_Py]],"N.A.")</f>
        <v>N.A.</v>
      </c>
      <c r="AK252" s="61">
        <f>Tab_Data_Flows[[#This Row],[UoM_Flow_Py]]</f>
        <v>0</v>
      </c>
    </row>
    <row r="253" spans="1:37" x14ac:dyDescent="0.35">
      <c r="A253" s="60">
        <f t="shared" si="35"/>
        <v>252</v>
      </c>
      <c r="B253" s="49" t="str">
        <f>_xlfn.XLOOKUP(C253,Tab_Def_Flows[Name(EN)],Tab_Def_Flows[Flow_ID],,0,)</f>
        <v>F_21_21</v>
      </c>
      <c r="C253" s="51"/>
      <c r="D253" s="49">
        <f>_xlfn.XLOOKUP(C253,Tab_Def_Flows[Name(EN)],Tab_Def_Flows[Type_Biomass],,0,)</f>
        <v>0</v>
      </c>
      <c r="E253" s="49">
        <f>_xlfn.XLOOKUP(C253,Tab_Def_Flows[Name(EN)],Tab_Def_Flows[Output_Process],,0,)</f>
        <v>0</v>
      </c>
      <c r="F253" s="49" t="str">
        <f>_xlfn.XLOOKUP(C253,Tab_Def_Flows[Name(EN)],Tab_Def_Flows[Process_ID_O],,0,)</f>
        <v>21__</v>
      </c>
      <c r="G253" s="49">
        <f>_xlfn.XLOOKUP(C253,Tab_Def_Flows[Name(EN)],Tab_Def_Flows[Input_Process],,0,)</f>
        <v>0</v>
      </c>
      <c r="H253" s="61" t="str">
        <f>_xlfn.XLOOKUP(C253,Tab_Def_Flows[Name(EN)],Tab_Def_Flows[Process_ID_I],,0,)</f>
        <v>21__</v>
      </c>
      <c r="I253" s="49">
        <f>_xlfn.XLOOKUP(C253,Tab_Def_Flows[Name(EN)],Tab_Def_Flows[Value_Source],,0,)</f>
        <v>0</v>
      </c>
      <c r="J253" s="49">
        <f>_xlfn.XLOOKUP(C253,Tab_Def_Flows[Name(EN)],Tab_Def_Flows[WC?],,0,)</f>
        <v>0</v>
      </c>
      <c r="K253" s="49">
        <f>_xlfn.XLOOKUP(C253,Tab_Def_Flows[Name(EN)],Tab_Def_Flows[DM?],,0,)</f>
        <v>0</v>
      </c>
      <c r="L253" s="49">
        <f>_xlfn.XLOOKUP(C253,Tab_Def_Flows[Name(EN)],Tab_Def_Flows[CC?],,0,)</f>
        <v>0</v>
      </c>
      <c r="M253" s="51"/>
      <c r="N253" s="51"/>
      <c r="O253" s="88"/>
      <c r="P253" s="51"/>
      <c r="Q253" s="51"/>
      <c r="R253" s="51"/>
      <c r="S253" s="51"/>
      <c r="T253" s="51"/>
      <c r="U253" s="51"/>
      <c r="V253" s="51"/>
      <c r="W253" s="51"/>
      <c r="X253" s="51"/>
      <c r="Y253" s="51"/>
      <c r="Z253" s="51"/>
      <c r="AA253" s="89"/>
      <c r="AB253" s="51"/>
      <c r="AC253" s="114" t="e">
        <f>INDEX(Tab_Def_Flows[[Flow_ID]:[CC_DM_source]],MATCH(Tab_Data_Flows[[#This Row],[Name(EN)]],Tab_Def_Flows[Name(EN)],0),16)</f>
        <v>#N/A</v>
      </c>
      <c r="AD253" s="115" t="str">
        <f>IF(J253="Yes",AA253*Tab_Data_Flows[[#This Row],[WC_'[%']]],"N.A.")</f>
        <v>N.A.</v>
      </c>
      <c r="AE253" s="61">
        <f>Tab_Data_Flows[[#This Row],[UoM_Flow_Py]]</f>
        <v>0</v>
      </c>
      <c r="AF253" s="114" t="e">
        <f>INDEX(Tab_Def_Flows[[Flow_ID]:[CC_DM_source]],MATCH(Tab_Data_Flows[[#This Row],[Name(EN)]],Tab_Def_Flows[Name(EN)],0),18)</f>
        <v>#N/A</v>
      </c>
      <c r="AG253" s="115" t="str">
        <f>IF(K253="Yes",AF253*Tab_Data_Flows[[#This Row],[Flow_Py]],"N.A.")</f>
        <v>N.A.</v>
      </c>
      <c r="AH253" s="61">
        <f>Tab_Data_Flows[[#This Row],[UoM_Flow_Py]]</f>
        <v>0</v>
      </c>
      <c r="AI253" s="114" t="e">
        <f>INDEX(Tab_Def_Flows[[Flow_ID]:[CC_DM_source]],MATCH(Tab_Data_Flows[[#This Row],[Name(EN)]],Tab_Def_Flows[Name(EN)],0),20)</f>
        <v>#N/A</v>
      </c>
      <c r="AJ253" s="115" t="str">
        <f>IF(L253="Yes",AI253*Tab_Data_Flows[[#This Row],[Flow_Py]],"N.A.")</f>
        <v>N.A.</v>
      </c>
      <c r="AK253" s="61">
        <f>Tab_Data_Flows[[#This Row],[UoM_Flow_Py]]</f>
        <v>0</v>
      </c>
    </row>
    <row r="254" spans="1:37" x14ac:dyDescent="0.35">
      <c r="A254" s="60">
        <f t="shared" si="35"/>
        <v>253</v>
      </c>
      <c r="B254" s="49" t="str">
        <f>_xlfn.XLOOKUP(C254,Tab_Def_Flows[Name(EN)],Tab_Def_Flows[Flow_ID],,0,)</f>
        <v>F_21_21</v>
      </c>
      <c r="C254" s="51"/>
      <c r="D254" s="49">
        <f>_xlfn.XLOOKUP(C254,Tab_Def_Flows[Name(EN)],Tab_Def_Flows[Type_Biomass],,0,)</f>
        <v>0</v>
      </c>
      <c r="E254" s="49">
        <f>_xlfn.XLOOKUP(C254,Tab_Def_Flows[Name(EN)],Tab_Def_Flows[Output_Process],,0,)</f>
        <v>0</v>
      </c>
      <c r="F254" s="49" t="str">
        <f>_xlfn.XLOOKUP(C254,Tab_Def_Flows[Name(EN)],Tab_Def_Flows[Process_ID_O],,0,)</f>
        <v>21__</v>
      </c>
      <c r="G254" s="49">
        <f>_xlfn.XLOOKUP(C254,Tab_Def_Flows[Name(EN)],Tab_Def_Flows[Input_Process],,0,)</f>
        <v>0</v>
      </c>
      <c r="H254" s="61" t="str">
        <f>_xlfn.XLOOKUP(C254,Tab_Def_Flows[Name(EN)],Tab_Def_Flows[Process_ID_I],,0,)</f>
        <v>21__</v>
      </c>
      <c r="I254" s="49">
        <f>_xlfn.XLOOKUP(C254,Tab_Def_Flows[Name(EN)],Tab_Def_Flows[Value_Source],,0,)</f>
        <v>0</v>
      </c>
      <c r="J254" s="49">
        <f>_xlfn.XLOOKUP(C254,Tab_Def_Flows[Name(EN)],Tab_Def_Flows[WC?],,0,)</f>
        <v>0</v>
      </c>
      <c r="K254" s="49">
        <f>_xlfn.XLOOKUP(C254,Tab_Def_Flows[Name(EN)],Tab_Def_Flows[DM?],,0,)</f>
        <v>0</v>
      </c>
      <c r="L254" s="49">
        <f>_xlfn.XLOOKUP(C254,Tab_Def_Flows[Name(EN)],Tab_Def_Flows[CC?],,0,)</f>
        <v>0</v>
      </c>
      <c r="M254" s="51"/>
      <c r="N254" s="51"/>
      <c r="O254" s="88"/>
      <c r="P254" s="51"/>
      <c r="Q254" s="51"/>
      <c r="R254" s="51"/>
      <c r="S254" s="51"/>
      <c r="T254" s="51"/>
      <c r="U254" s="51"/>
      <c r="V254" s="51"/>
      <c r="W254" s="51"/>
      <c r="X254" s="51"/>
      <c r="Y254" s="51"/>
      <c r="Z254" s="51"/>
      <c r="AA254" s="89"/>
      <c r="AB254" s="51"/>
      <c r="AC254" s="114" t="e">
        <f>INDEX(Tab_Def_Flows[[Flow_ID]:[CC_DM_source]],MATCH(Tab_Data_Flows[[#This Row],[Name(EN)]],Tab_Def_Flows[Name(EN)],0),16)</f>
        <v>#N/A</v>
      </c>
      <c r="AD254" s="115" t="str">
        <f>IF(J254="Yes",AA254*Tab_Data_Flows[[#This Row],[WC_'[%']]],"N.A.")</f>
        <v>N.A.</v>
      </c>
      <c r="AE254" s="61">
        <f>Tab_Data_Flows[[#This Row],[UoM_Flow_Py]]</f>
        <v>0</v>
      </c>
      <c r="AF254" s="114" t="e">
        <f>INDEX(Tab_Def_Flows[[Flow_ID]:[CC_DM_source]],MATCH(Tab_Data_Flows[[#This Row],[Name(EN)]],Tab_Def_Flows[Name(EN)],0),18)</f>
        <v>#N/A</v>
      </c>
      <c r="AG254" s="115" t="str">
        <f>IF(K254="Yes",AF254*Tab_Data_Flows[[#This Row],[Flow_Py]],"N.A.")</f>
        <v>N.A.</v>
      </c>
      <c r="AH254" s="61">
        <f>Tab_Data_Flows[[#This Row],[UoM_Flow_Py]]</f>
        <v>0</v>
      </c>
      <c r="AI254" s="114" t="e">
        <f>INDEX(Tab_Def_Flows[[Flow_ID]:[CC_DM_source]],MATCH(Tab_Data_Flows[[#This Row],[Name(EN)]],Tab_Def_Flows[Name(EN)],0),20)</f>
        <v>#N/A</v>
      </c>
      <c r="AJ254" s="115" t="str">
        <f>IF(L254="Yes",AI254*Tab_Data_Flows[[#This Row],[Flow_Py]],"N.A.")</f>
        <v>N.A.</v>
      </c>
      <c r="AK254" s="61">
        <f>Tab_Data_Flows[[#This Row],[UoM_Flow_Py]]</f>
        <v>0</v>
      </c>
    </row>
    <row r="255" spans="1:37" x14ac:dyDescent="0.35">
      <c r="A255" s="60">
        <f t="shared" si="35"/>
        <v>254</v>
      </c>
      <c r="B255" s="49" t="str">
        <f>_xlfn.XLOOKUP(C255,Tab_Def_Flows[Name(EN)],Tab_Def_Flows[Flow_ID],,0,)</f>
        <v>F_21_21</v>
      </c>
      <c r="C255" s="51"/>
      <c r="D255" s="49">
        <f>_xlfn.XLOOKUP(C255,Tab_Def_Flows[Name(EN)],Tab_Def_Flows[Type_Biomass],,0,)</f>
        <v>0</v>
      </c>
      <c r="E255" s="49">
        <f>_xlfn.XLOOKUP(C255,Tab_Def_Flows[Name(EN)],Tab_Def_Flows[Output_Process],,0,)</f>
        <v>0</v>
      </c>
      <c r="F255" s="49" t="str">
        <f>_xlfn.XLOOKUP(C255,Tab_Def_Flows[Name(EN)],Tab_Def_Flows[Process_ID_O],,0,)</f>
        <v>21__</v>
      </c>
      <c r="G255" s="49">
        <f>_xlfn.XLOOKUP(C255,Tab_Def_Flows[Name(EN)],Tab_Def_Flows[Input_Process],,0,)</f>
        <v>0</v>
      </c>
      <c r="H255" s="61" t="str">
        <f>_xlfn.XLOOKUP(C255,Tab_Def_Flows[Name(EN)],Tab_Def_Flows[Process_ID_I],,0,)</f>
        <v>21__</v>
      </c>
      <c r="I255" s="49">
        <f>_xlfn.XLOOKUP(C255,Tab_Def_Flows[Name(EN)],Tab_Def_Flows[Value_Source],,0,)</f>
        <v>0</v>
      </c>
      <c r="J255" s="49">
        <f>_xlfn.XLOOKUP(C255,Tab_Def_Flows[Name(EN)],Tab_Def_Flows[WC?],,0,)</f>
        <v>0</v>
      </c>
      <c r="K255" s="49">
        <f>_xlfn.XLOOKUP(C255,Tab_Def_Flows[Name(EN)],Tab_Def_Flows[DM?],,0,)</f>
        <v>0</v>
      </c>
      <c r="L255" s="49">
        <f>_xlfn.XLOOKUP(C255,Tab_Def_Flows[Name(EN)],Tab_Def_Flows[CC?],,0,)</f>
        <v>0</v>
      </c>
      <c r="M255" s="51"/>
      <c r="N255" s="51"/>
      <c r="O255" s="88"/>
      <c r="P255" s="51"/>
      <c r="Q255" s="51"/>
      <c r="R255" s="51"/>
      <c r="S255" s="51"/>
      <c r="T255" s="51"/>
      <c r="U255" s="51"/>
      <c r="V255" s="51"/>
      <c r="W255" s="51"/>
      <c r="X255" s="51"/>
      <c r="Y255" s="51"/>
      <c r="Z255" s="51"/>
      <c r="AA255" s="89"/>
      <c r="AB255" s="51"/>
      <c r="AC255" s="114" t="e">
        <f>INDEX(Tab_Def_Flows[[Flow_ID]:[CC_DM_source]],MATCH(Tab_Data_Flows[[#This Row],[Name(EN)]],Tab_Def_Flows[Name(EN)],0),16)</f>
        <v>#N/A</v>
      </c>
      <c r="AD255" s="115" t="str">
        <f>IF(J255="Yes",AA255*Tab_Data_Flows[[#This Row],[WC_'[%']]],"N.A.")</f>
        <v>N.A.</v>
      </c>
      <c r="AE255" s="61">
        <f>Tab_Data_Flows[[#This Row],[UoM_Flow_Py]]</f>
        <v>0</v>
      </c>
      <c r="AF255" s="114" t="e">
        <f>INDEX(Tab_Def_Flows[[Flow_ID]:[CC_DM_source]],MATCH(Tab_Data_Flows[[#This Row],[Name(EN)]],Tab_Def_Flows[Name(EN)],0),18)</f>
        <v>#N/A</v>
      </c>
      <c r="AG255" s="115" t="str">
        <f>IF(K255="Yes",AF255*Tab_Data_Flows[[#This Row],[Flow_Py]],"N.A.")</f>
        <v>N.A.</v>
      </c>
      <c r="AH255" s="61">
        <f>Tab_Data_Flows[[#This Row],[UoM_Flow_Py]]</f>
        <v>0</v>
      </c>
      <c r="AI255" s="114" t="e">
        <f>INDEX(Tab_Def_Flows[[Flow_ID]:[CC_DM_source]],MATCH(Tab_Data_Flows[[#This Row],[Name(EN)]],Tab_Def_Flows[Name(EN)],0),20)</f>
        <v>#N/A</v>
      </c>
      <c r="AJ255" s="115" t="str">
        <f>IF(L255="Yes",AI255*Tab_Data_Flows[[#This Row],[Flow_Py]],"N.A.")</f>
        <v>N.A.</v>
      </c>
      <c r="AK255" s="61">
        <f>Tab_Data_Flows[[#This Row],[UoM_Flow_Py]]</f>
        <v>0</v>
      </c>
    </row>
    <row r="256" spans="1:37" x14ac:dyDescent="0.35">
      <c r="A256" s="60">
        <f t="shared" si="35"/>
        <v>255</v>
      </c>
      <c r="B256" s="49" t="str">
        <f>_xlfn.XLOOKUP(C256,Tab_Def_Flows[Name(EN)],Tab_Def_Flows[Flow_ID],,0,)</f>
        <v>F_21_21</v>
      </c>
      <c r="C256" s="51"/>
      <c r="D256" s="49">
        <f>_xlfn.XLOOKUP(C256,Tab_Def_Flows[Name(EN)],Tab_Def_Flows[Type_Biomass],,0,)</f>
        <v>0</v>
      </c>
      <c r="E256" s="49">
        <f>_xlfn.XLOOKUP(C256,Tab_Def_Flows[Name(EN)],Tab_Def_Flows[Output_Process],,0,)</f>
        <v>0</v>
      </c>
      <c r="F256" s="49" t="str">
        <f>_xlfn.XLOOKUP(C256,Tab_Def_Flows[Name(EN)],Tab_Def_Flows[Process_ID_O],,0,)</f>
        <v>21__</v>
      </c>
      <c r="G256" s="49">
        <f>_xlfn.XLOOKUP(C256,Tab_Def_Flows[Name(EN)],Tab_Def_Flows[Input_Process],,0,)</f>
        <v>0</v>
      </c>
      <c r="H256" s="61" t="str">
        <f>_xlfn.XLOOKUP(C256,Tab_Def_Flows[Name(EN)],Tab_Def_Flows[Process_ID_I],,0,)</f>
        <v>21__</v>
      </c>
      <c r="I256" s="49">
        <f>_xlfn.XLOOKUP(C256,Tab_Def_Flows[Name(EN)],Tab_Def_Flows[Value_Source],,0,)</f>
        <v>0</v>
      </c>
      <c r="J256" s="49">
        <f>_xlfn.XLOOKUP(C256,Tab_Def_Flows[Name(EN)],Tab_Def_Flows[WC?],,0,)</f>
        <v>0</v>
      </c>
      <c r="K256" s="49">
        <f>_xlfn.XLOOKUP(C256,Tab_Def_Flows[Name(EN)],Tab_Def_Flows[DM?],,0,)</f>
        <v>0</v>
      </c>
      <c r="L256" s="49">
        <f>_xlfn.XLOOKUP(C256,Tab_Def_Flows[Name(EN)],Tab_Def_Flows[CC?],,0,)</f>
        <v>0</v>
      </c>
      <c r="M256" s="51"/>
      <c r="N256" s="51"/>
      <c r="O256" s="88"/>
      <c r="P256" s="51"/>
      <c r="Q256" s="51"/>
      <c r="R256" s="51"/>
      <c r="S256" s="51"/>
      <c r="T256" s="51"/>
      <c r="U256" s="51"/>
      <c r="V256" s="51"/>
      <c r="W256" s="51"/>
      <c r="X256" s="51"/>
      <c r="Y256" s="51"/>
      <c r="Z256" s="51"/>
      <c r="AA256" s="89"/>
      <c r="AB256" s="51"/>
      <c r="AC256" s="114" t="e">
        <f>INDEX(Tab_Def_Flows[[Flow_ID]:[CC_DM_source]],MATCH(Tab_Data_Flows[[#This Row],[Name(EN)]],Tab_Def_Flows[Name(EN)],0),16)</f>
        <v>#N/A</v>
      </c>
      <c r="AD256" s="115" t="str">
        <f>IF(J256="Yes",AA256*Tab_Data_Flows[[#This Row],[WC_'[%']]],"N.A.")</f>
        <v>N.A.</v>
      </c>
      <c r="AE256" s="61">
        <f>Tab_Data_Flows[[#This Row],[UoM_Flow_Py]]</f>
        <v>0</v>
      </c>
      <c r="AF256" s="114" t="e">
        <f>INDEX(Tab_Def_Flows[[Flow_ID]:[CC_DM_source]],MATCH(Tab_Data_Flows[[#This Row],[Name(EN)]],Tab_Def_Flows[Name(EN)],0),18)</f>
        <v>#N/A</v>
      </c>
      <c r="AG256" s="115" t="str">
        <f>IF(K256="Yes",AF256*Tab_Data_Flows[[#This Row],[Flow_Py]],"N.A.")</f>
        <v>N.A.</v>
      </c>
      <c r="AH256" s="61">
        <f>Tab_Data_Flows[[#This Row],[UoM_Flow_Py]]</f>
        <v>0</v>
      </c>
      <c r="AI256" s="114" t="e">
        <f>INDEX(Tab_Def_Flows[[Flow_ID]:[CC_DM_source]],MATCH(Tab_Data_Flows[[#This Row],[Name(EN)]],Tab_Def_Flows[Name(EN)],0),20)</f>
        <v>#N/A</v>
      </c>
      <c r="AJ256" s="115" t="str">
        <f>IF(L256="Yes",AI256*Tab_Data_Flows[[#This Row],[Flow_Py]],"N.A.")</f>
        <v>N.A.</v>
      </c>
      <c r="AK256" s="61">
        <f>Tab_Data_Flows[[#This Row],[UoM_Flow_Py]]</f>
        <v>0</v>
      </c>
    </row>
    <row r="257" spans="1:37" x14ac:dyDescent="0.35">
      <c r="A257" s="60">
        <f t="shared" si="35"/>
        <v>256</v>
      </c>
      <c r="B257" s="49" t="str">
        <f>_xlfn.XLOOKUP(C257,Tab_Def_Flows[Name(EN)],Tab_Def_Flows[Flow_ID],,0,)</f>
        <v>F_21_21</v>
      </c>
      <c r="C257" s="51"/>
      <c r="D257" s="49">
        <f>_xlfn.XLOOKUP(C257,Tab_Def_Flows[Name(EN)],Tab_Def_Flows[Type_Biomass],,0,)</f>
        <v>0</v>
      </c>
      <c r="E257" s="49">
        <f>_xlfn.XLOOKUP(C257,Tab_Def_Flows[Name(EN)],Tab_Def_Flows[Output_Process],,0,)</f>
        <v>0</v>
      </c>
      <c r="F257" s="49" t="str">
        <f>_xlfn.XLOOKUP(C257,Tab_Def_Flows[Name(EN)],Tab_Def_Flows[Process_ID_O],,0,)</f>
        <v>21__</v>
      </c>
      <c r="G257" s="49">
        <f>_xlfn.XLOOKUP(C257,Tab_Def_Flows[Name(EN)],Tab_Def_Flows[Input_Process],,0,)</f>
        <v>0</v>
      </c>
      <c r="H257" s="61" t="str">
        <f>_xlfn.XLOOKUP(C257,Tab_Def_Flows[Name(EN)],Tab_Def_Flows[Process_ID_I],,0,)</f>
        <v>21__</v>
      </c>
      <c r="I257" s="49">
        <f>_xlfn.XLOOKUP(C257,Tab_Def_Flows[Name(EN)],Tab_Def_Flows[Value_Source],,0,)</f>
        <v>0</v>
      </c>
      <c r="J257" s="49">
        <f>_xlfn.XLOOKUP(C257,Tab_Def_Flows[Name(EN)],Tab_Def_Flows[WC?],,0,)</f>
        <v>0</v>
      </c>
      <c r="K257" s="49">
        <f>_xlfn.XLOOKUP(C257,Tab_Def_Flows[Name(EN)],Tab_Def_Flows[DM?],,0,)</f>
        <v>0</v>
      </c>
      <c r="L257" s="49">
        <f>_xlfn.XLOOKUP(C257,Tab_Def_Flows[Name(EN)],Tab_Def_Flows[CC?],,0,)</f>
        <v>0</v>
      </c>
      <c r="M257" s="51"/>
      <c r="N257" s="51"/>
      <c r="O257" s="88"/>
      <c r="P257" s="51"/>
      <c r="Q257" s="51"/>
      <c r="R257" s="51"/>
      <c r="S257" s="51"/>
      <c r="T257" s="51"/>
      <c r="U257" s="51"/>
      <c r="V257" s="51"/>
      <c r="W257" s="51"/>
      <c r="X257" s="51"/>
      <c r="Y257" s="51"/>
      <c r="Z257" s="51"/>
      <c r="AA257" s="89"/>
      <c r="AB257" s="51"/>
      <c r="AC257" s="114" t="e">
        <f>INDEX(Tab_Def_Flows[[Flow_ID]:[CC_DM_source]],MATCH(Tab_Data_Flows[[#This Row],[Name(EN)]],Tab_Def_Flows[Name(EN)],0),16)</f>
        <v>#N/A</v>
      </c>
      <c r="AD257" s="115" t="str">
        <f>IF(J257="Yes",AA257*Tab_Data_Flows[[#This Row],[WC_'[%']]],"N.A.")</f>
        <v>N.A.</v>
      </c>
      <c r="AE257" s="61">
        <f>Tab_Data_Flows[[#This Row],[UoM_Flow_Py]]</f>
        <v>0</v>
      </c>
      <c r="AF257" s="114" t="e">
        <f>INDEX(Tab_Def_Flows[[Flow_ID]:[CC_DM_source]],MATCH(Tab_Data_Flows[[#This Row],[Name(EN)]],Tab_Def_Flows[Name(EN)],0),18)</f>
        <v>#N/A</v>
      </c>
      <c r="AG257" s="115" t="str">
        <f>IF(K257="Yes",AF257*Tab_Data_Flows[[#This Row],[Flow_Py]],"N.A.")</f>
        <v>N.A.</v>
      </c>
      <c r="AH257" s="61">
        <f>Tab_Data_Flows[[#This Row],[UoM_Flow_Py]]</f>
        <v>0</v>
      </c>
      <c r="AI257" s="114" t="e">
        <f>INDEX(Tab_Def_Flows[[Flow_ID]:[CC_DM_source]],MATCH(Tab_Data_Flows[[#This Row],[Name(EN)]],Tab_Def_Flows[Name(EN)],0),20)</f>
        <v>#N/A</v>
      </c>
      <c r="AJ257" s="115" t="str">
        <f>IF(L257="Yes",AI257*Tab_Data_Flows[[#This Row],[Flow_Py]],"N.A.")</f>
        <v>N.A.</v>
      </c>
      <c r="AK257" s="61">
        <f>Tab_Data_Flows[[#This Row],[UoM_Flow_Py]]</f>
        <v>0</v>
      </c>
    </row>
    <row r="258" spans="1:37" x14ac:dyDescent="0.35">
      <c r="A258" s="60">
        <f t="shared" si="35"/>
        <v>257</v>
      </c>
      <c r="B258" s="49" t="str">
        <f>_xlfn.XLOOKUP(C258,Tab_Def_Flows[Name(EN)],Tab_Def_Flows[Flow_ID],,0,)</f>
        <v>F_21_21</v>
      </c>
      <c r="C258" s="51"/>
      <c r="D258" s="49">
        <f>_xlfn.XLOOKUP(C258,Tab_Def_Flows[Name(EN)],Tab_Def_Flows[Type_Biomass],,0,)</f>
        <v>0</v>
      </c>
      <c r="E258" s="49">
        <f>_xlfn.XLOOKUP(C258,Tab_Def_Flows[Name(EN)],Tab_Def_Flows[Output_Process],,0,)</f>
        <v>0</v>
      </c>
      <c r="F258" s="49" t="str">
        <f>_xlfn.XLOOKUP(C258,Tab_Def_Flows[Name(EN)],Tab_Def_Flows[Process_ID_O],,0,)</f>
        <v>21__</v>
      </c>
      <c r="G258" s="49">
        <f>_xlfn.XLOOKUP(C258,Tab_Def_Flows[Name(EN)],Tab_Def_Flows[Input_Process],,0,)</f>
        <v>0</v>
      </c>
      <c r="H258" s="61" t="str">
        <f>_xlfn.XLOOKUP(C258,Tab_Def_Flows[Name(EN)],Tab_Def_Flows[Process_ID_I],,0,)</f>
        <v>21__</v>
      </c>
      <c r="I258" s="49">
        <f>_xlfn.XLOOKUP(C258,Tab_Def_Flows[Name(EN)],Tab_Def_Flows[Value_Source],,0,)</f>
        <v>0</v>
      </c>
      <c r="J258" s="49">
        <f>_xlfn.XLOOKUP(C258,Tab_Def_Flows[Name(EN)],Tab_Def_Flows[WC?],,0,)</f>
        <v>0</v>
      </c>
      <c r="K258" s="49">
        <f>_xlfn.XLOOKUP(C258,Tab_Def_Flows[Name(EN)],Tab_Def_Flows[DM?],,0,)</f>
        <v>0</v>
      </c>
      <c r="L258" s="49">
        <f>_xlfn.XLOOKUP(C258,Tab_Def_Flows[Name(EN)],Tab_Def_Flows[CC?],,0,)</f>
        <v>0</v>
      </c>
      <c r="M258" s="51"/>
      <c r="N258" s="51"/>
      <c r="O258" s="88"/>
      <c r="P258" s="51"/>
      <c r="Q258" s="51"/>
      <c r="R258" s="51"/>
      <c r="S258" s="51"/>
      <c r="T258" s="51"/>
      <c r="U258" s="51"/>
      <c r="V258" s="51"/>
      <c r="W258" s="51"/>
      <c r="X258" s="51"/>
      <c r="Y258" s="51"/>
      <c r="Z258" s="51"/>
      <c r="AA258" s="89"/>
      <c r="AB258" s="51"/>
      <c r="AC258" s="114" t="e">
        <f>INDEX(Tab_Def_Flows[[Flow_ID]:[CC_DM_source]],MATCH(Tab_Data_Flows[[#This Row],[Name(EN)]],Tab_Def_Flows[Name(EN)],0),16)</f>
        <v>#N/A</v>
      </c>
      <c r="AD258" s="115" t="str">
        <f>IF(J258="Yes",AA258*Tab_Data_Flows[[#This Row],[WC_'[%']]],"N.A.")</f>
        <v>N.A.</v>
      </c>
      <c r="AE258" s="61">
        <f>Tab_Data_Flows[[#This Row],[UoM_Flow_Py]]</f>
        <v>0</v>
      </c>
      <c r="AF258" s="114" t="e">
        <f>INDEX(Tab_Def_Flows[[Flow_ID]:[CC_DM_source]],MATCH(Tab_Data_Flows[[#This Row],[Name(EN)]],Tab_Def_Flows[Name(EN)],0),18)</f>
        <v>#N/A</v>
      </c>
      <c r="AG258" s="115" t="str">
        <f>IF(K258="Yes",AF258*Tab_Data_Flows[[#This Row],[Flow_Py]],"N.A.")</f>
        <v>N.A.</v>
      </c>
      <c r="AH258" s="61">
        <f>Tab_Data_Flows[[#This Row],[UoM_Flow_Py]]</f>
        <v>0</v>
      </c>
      <c r="AI258" s="114" t="e">
        <f>INDEX(Tab_Def_Flows[[Flow_ID]:[CC_DM_source]],MATCH(Tab_Data_Flows[[#This Row],[Name(EN)]],Tab_Def_Flows[Name(EN)],0),20)</f>
        <v>#N/A</v>
      </c>
      <c r="AJ258" s="115" t="str">
        <f>IF(L258="Yes",AI258*Tab_Data_Flows[[#This Row],[Flow_Py]],"N.A.")</f>
        <v>N.A.</v>
      </c>
      <c r="AK258" s="61">
        <f>Tab_Data_Flows[[#This Row],[UoM_Flow_Py]]</f>
        <v>0</v>
      </c>
    </row>
    <row r="259" spans="1:37" x14ac:dyDescent="0.35">
      <c r="A259" s="60">
        <f t="shared" si="35"/>
        <v>258</v>
      </c>
      <c r="B259" s="49" t="str">
        <f>_xlfn.XLOOKUP(C259,Tab_Def_Flows[Name(EN)],Tab_Def_Flows[Flow_ID],,0,)</f>
        <v>F_21_21</v>
      </c>
      <c r="C259" s="51"/>
      <c r="D259" s="49">
        <f>_xlfn.XLOOKUP(C259,Tab_Def_Flows[Name(EN)],Tab_Def_Flows[Type_Biomass],,0,)</f>
        <v>0</v>
      </c>
      <c r="E259" s="49">
        <f>_xlfn.XLOOKUP(C259,Tab_Def_Flows[Name(EN)],Tab_Def_Flows[Output_Process],,0,)</f>
        <v>0</v>
      </c>
      <c r="F259" s="49" t="str">
        <f>_xlfn.XLOOKUP(C259,Tab_Def_Flows[Name(EN)],Tab_Def_Flows[Process_ID_O],,0,)</f>
        <v>21__</v>
      </c>
      <c r="G259" s="49">
        <f>_xlfn.XLOOKUP(C259,Tab_Def_Flows[Name(EN)],Tab_Def_Flows[Input_Process],,0,)</f>
        <v>0</v>
      </c>
      <c r="H259" s="61" t="str">
        <f>_xlfn.XLOOKUP(C259,Tab_Def_Flows[Name(EN)],Tab_Def_Flows[Process_ID_I],,0,)</f>
        <v>21__</v>
      </c>
      <c r="I259" s="49">
        <f>_xlfn.XLOOKUP(C259,Tab_Def_Flows[Name(EN)],Tab_Def_Flows[Value_Source],,0,)</f>
        <v>0</v>
      </c>
      <c r="J259" s="49">
        <f>_xlfn.XLOOKUP(C259,Tab_Def_Flows[Name(EN)],Tab_Def_Flows[WC?],,0,)</f>
        <v>0</v>
      </c>
      <c r="K259" s="49">
        <f>_xlfn.XLOOKUP(C259,Tab_Def_Flows[Name(EN)],Tab_Def_Flows[DM?],,0,)</f>
        <v>0</v>
      </c>
      <c r="L259" s="49">
        <f>_xlfn.XLOOKUP(C259,Tab_Def_Flows[Name(EN)],Tab_Def_Flows[CC?],,0,)</f>
        <v>0</v>
      </c>
      <c r="M259" s="51"/>
      <c r="N259" s="51"/>
      <c r="O259" s="88"/>
      <c r="P259" s="51"/>
      <c r="Q259" s="51"/>
      <c r="R259" s="51"/>
      <c r="S259" s="51"/>
      <c r="T259" s="51"/>
      <c r="U259" s="51"/>
      <c r="V259" s="51"/>
      <c r="W259" s="51"/>
      <c r="X259" s="51"/>
      <c r="Y259" s="51"/>
      <c r="Z259" s="51"/>
      <c r="AA259" s="89"/>
      <c r="AB259" s="51"/>
      <c r="AC259" s="114" t="e">
        <f>INDEX(Tab_Def_Flows[[Flow_ID]:[CC_DM_source]],MATCH(Tab_Data_Flows[[#This Row],[Name(EN)]],Tab_Def_Flows[Name(EN)],0),16)</f>
        <v>#N/A</v>
      </c>
      <c r="AD259" s="115" t="str">
        <f>IF(J259="Yes",AA259*Tab_Data_Flows[[#This Row],[WC_'[%']]],"N.A.")</f>
        <v>N.A.</v>
      </c>
      <c r="AE259" s="61">
        <f>Tab_Data_Flows[[#This Row],[UoM_Flow_Py]]</f>
        <v>0</v>
      </c>
      <c r="AF259" s="114" t="e">
        <f>INDEX(Tab_Def_Flows[[Flow_ID]:[CC_DM_source]],MATCH(Tab_Data_Flows[[#This Row],[Name(EN)]],Tab_Def_Flows[Name(EN)],0),18)</f>
        <v>#N/A</v>
      </c>
      <c r="AG259" s="115" t="str">
        <f>IF(K259="Yes",AF259*Tab_Data_Flows[[#This Row],[Flow_Py]],"N.A.")</f>
        <v>N.A.</v>
      </c>
      <c r="AH259" s="61">
        <f>Tab_Data_Flows[[#This Row],[UoM_Flow_Py]]</f>
        <v>0</v>
      </c>
      <c r="AI259" s="114" t="e">
        <f>INDEX(Tab_Def_Flows[[Flow_ID]:[CC_DM_source]],MATCH(Tab_Data_Flows[[#This Row],[Name(EN)]],Tab_Def_Flows[Name(EN)],0),20)</f>
        <v>#N/A</v>
      </c>
      <c r="AJ259" s="115" t="str">
        <f>IF(L259="Yes",AI259*Tab_Data_Flows[[#This Row],[Flow_Py]],"N.A.")</f>
        <v>N.A.</v>
      </c>
      <c r="AK259" s="61">
        <f>Tab_Data_Flows[[#This Row],[UoM_Flow_Py]]</f>
        <v>0</v>
      </c>
    </row>
    <row r="260" spans="1:37" x14ac:dyDescent="0.35">
      <c r="A260" s="60">
        <f t="shared" si="35"/>
        <v>259</v>
      </c>
      <c r="B260" s="49" t="str">
        <f>_xlfn.XLOOKUP(C260,Tab_Def_Flows[Name(EN)],Tab_Def_Flows[Flow_ID],,0,)</f>
        <v>F_21_21</v>
      </c>
      <c r="C260" s="51"/>
      <c r="D260" s="49">
        <f>_xlfn.XLOOKUP(C260,Tab_Def_Flows[Name(EN)],Tab_Def_Flows[Type_Biomass],,0,)</f>
        <v>0</v>
      </c>
      <c r="E260" s="49">
        <f>_xlfn.XLOOKUP(C260,Tab_Def_Flows[Name(EN)],Tab_Def_Flows[Output_Process],,0,)</f>
        <v>0</v>
      </c>
      <c r="F260" s="49" t="str">
        <f>_xlfn.XLOOKUP(C260,Tab_Def_Flows[Name(EN)],Tab_Def_Flows[Process_ID_O],,0,)</f>
        <v>21__</v>
      </c>
      <c r="G260" s="49">
        <f>_xlfn.XLOOKUP(C260,Tab_Def_Flows[Name(EN)],Tab_Def_Flows[Input_Process],,0,)</f>
        <v>0</v>
      </c>
      <c r="H260" s="61" t="str">
        <f>_xlfn.XLOOKUP(C260,Tab_Def_Flows[Name(EN)],Tab_Def_Flows[Process_ID_I],,0,)</f>
        <v>21__</v>
      </c>
      <c r="I260" s="49">
        <f>_xlfn.XLOOKUP(C260,Tab_Def_Flows[Name(EN)],Tab_Def_Flows[Value_Source],,0,)</f>
        <v>0</v>
      </c>
      <c r="J260" s="49">
        <f>_xlfn.XLOOKUP(C260,Tab_Def_Flows[Name(EN)],Tab_Def_Flows[WC?],,0,)</f>
        <v>0</v>
      </c>
      <c r="K260" s="49">
        <f>_xlfn.XLOOKUP(C260,Tab_Def_Flows[Name(EN)],Tab_Def_Flows[DM?],,0,)</f>
        <v>0</v>
      </c>
      <c r="L260" s="49">
        <f>_xlfn.XLOOKUP(C260,Tab_Def_Flows[Name(EN)],Tab_Def_Flows[CC?],,0,)</f>
        <v>0</v>
      </c>
      <c r="M260" s="51"/>
      <c r="N260" s="51"/>
      <c r="O260" s="88"/>
      <c r="P260" s="51"/>
      <c r="Q260" s="51"/>
      <c r="R260" s="51"/>
      <c r="S260" s="51"/>
      <c r="T260" s="51"/>
      <c r="U260" s="51"/>
      <c r="V260" s="51"/>
      <c r="W260" s="51"/>
      <c r="X260" s="51"/>
      <c r="Y260" s="51"/>
      <c r="Z260" s="51"/>
      <c r="AA260" s="89"/>
      <c r="AB260" s="51"/>
      <c r="AC260" s="114" t="e">
        <f>INDEX(Tab_Def_Flows[[Flow_ID]:[CC_DM_source]],MATCH(Tab_Data_Flows[[#This Row],[Name(EN)]],Tab_Def_Flows[Name(EN)],0),16)</f>
        <v>#N/A</v>
      </c>
      <c r="AD260" s="115" t="str">
        <f>IF(J260="Yes",AA260*Tab_Data_Flows[[#This Row],[WC_'[%']]],"N.A.")</f>
        <v>N.A.</v>
      </c>
      <c r="AE260" s="61">
        <f>Tab_Data_Flows[[#This Row],[UoM_Flow_Py]]</f>
        <v>0</v>
      </c>
      <c r="AF260" s="114" t="e">
        <f>INDEX(Tab_Def_Flows[[Flow_ID]:[CC_DM_source]],MATCH(Tab_Data_Flows[[#This Row],[Name(EN)]],Tab_Def_Flows[Name(EN)],0),18)</f>
        <v>#N/A</v>
      </c>
      <c r="AG260" s="115" t="str">
        <f>IF(K260="Yes",AF260*Tab_Data_Flows[[#This Row],[Flow_Py]],"N.A.")</f>
        <v>N.A.</v>
      </c>
      <c r="AH260" s="61">
        <f>Tab_Data_Flows[[#This Row],[UoM_Flow_Py]]</f>
        <v>0</v>
      </c>
      <c r="AI260" s="114" t="e">
        <f>INDEX(Tab_Def_Flows[[Flow_ID]:[CC_DM_source]],MATCH(Tab_Data_Flows[[#This Row],[Name(EN)]],Tab_Def_Flows[Name(EN)],0),20)</f>
        <v>#N/A</v>
      </c>
      <c r="AJ260" s="115" t="str">
        <f>IF(L260="Yes",AI260*Tab_Data_Flows[[#This Row],[Flow_Py]],"N.A.")</f>
        <v>N.A.</v>
      </c>
      <c r="AK260" s="61">
        <f>Tab_Data_Flows[[#This Row],[UoM_Flow_Py]]</f>
        <v>0</v>
      </c>
    </row>
    <row r="261" spans="1:37" x14ac:dyDescent="0.35">
      <c r="A261" s="60">
        <f t="shared" si="35"/>
        <v>260</v>
      </c>
      <c r="B261" s="49" t="str">
        <f>_xlfn.XLOOKUP(C261,Tab_Def_Flows[Name(EN)],Tab_Def_Flows[Flow_ID],,0,)</f>
        <v>F_21_21</v>
      </c>
      <c r="C261" s="51"/>
      <c r="D261" s="49">
        <f>_xlfn.XLOOKUP(C261,Tab_Def_Flows[Name(EN)],Tab_Def_Flows[Type_Biomass],,0,)</f>
        <v>0</v>
      </c>
      <c r="E261" s="49">
        <f>_xlfn.XLOOKUP(C261,Tab_Def_Flows[Name(EN)],Tab_Def_Flows[Output_Process],,0,)</f>
        <v>0</v>
      </c>
      <c r="F261" s="49" t="str">
        <f>_xlfn.XLOOKUP(C261,Tab_Def_Flows[Name(EN)],Tab_Def_Flows[Process_ID_O],,0,)</f>
        <v>21__</v>
      </c>
      <c r="G261" s="49">
        <f>_xlfn.XLOOKUP(C261,Tab_Def_Flows[Name(EN)],Tab_Def_Flows[Input_Process],,0,)</f>
        <v>0</v>
      </c>
      <c r="H261" s="61" t="str">
        <f>_xlfn.XLOOKUP(C261,Tab_Def_Flows[Name(EN)],Tab_Def_Flows[Process_ID_I],,0,)</f>
        <v>21__</v>
      </c>
      <c r="I261" s="49">
        <f>_xlfn.XLOOKUP(C261,Tab_Def_Flows[Name(EN)],Tab_Def_Flows[Value_Source],,0,)</f>
        <v>0</v>
      </c>
      <c r="J261" s="49">
        <f>_xlfn.XLOOKUP(C261,Tab_Def_Flows[Name(EN)],Tab_Def_Flows[WC?],,0,)</f>
        <v>0</v>
      </c>
      <c r="K261" s="49">
        <f>_xlfn.XLOOKUP(C261,Tab_Def_Flows[Name(EN)],Tab_Def_Flows[DM?],,0,)</f>
        <v>0</v>
      </c>
      <c r="L261" s="49">
        <f>_xlfn.XLOOKUP(C261,Tab_Def_Flows[Name(EN)],Tab_Def_Flows[CC?],,0,)</f>
        <v>0</v>
      </c>
      <c r="M261" s="51"/>
      <c r="N261" s="51"/>
      <c r="O261" s="88"/>
      <c r="P261" s="51"/>
      <c r="Q261" s="51"/>
      <c r="R261" s="51"/>
      <c r="S261" s="51"/>
      <c r="T261" s="51"/>
      <c r="U261" s="51"/>
      <c r="V261" s="51"/>
      <c r="W261" s="51"/>
      <c r="X261" s="51"/>
      <c r="Y261" s="51"/>
      <c r="Z261" s="51"/>
      <c r="AA261" s="89"/>
      <c r="AB261" s="51"/>
      <c r="AC261" s="114" t="e">
        <f>INDEX(Tab_Def_Flows[[Flow_ID]:[CC_DM_source]],MATCH(Tab_Data_Flows[[#This Row],[Name(EN)]],Tab_Def_Flows[Name(EN)],0),16)</f>
        <v>#N/A</v>
      </c>
      <c r="AD261" s="115" t="str">
        <f>IF(J261="Yes",AA261*Tab_Data_Flows[[#This Row],[WC_'[%']]],"N.A.")</f>
        <v>N.A.</v>
      </c>
      <c r="AE261" s="61">
        <f>Tab_Data_Flows[[#This Row],[UoM_Flow_Py]]</f>
        <v>0</v>
      </c>
      <c r="AF261" s="114" t="e">
        <f>INDEX(Tab_Def_Flows[[Flow_ID]:[CC_DM_source]],MATCH(Tab_Data_Flows[[#This Row],[Name(EN)]],Tab_Def_Flows[Name(EN)],0),18)</f>
        <v>#N/A</v>
      </c>
      <c r="AG261" s="115" t="str">
        <f>IF(K261="Yes",AF261*Tab_Data_Flows[[#This Row],[Flow_Py]],"N.A.")</f>
        <v>N.A.</v>
      </c>
      <c r="AH261" s="61">
        <f>Tab_Data_Flows[[#This Row],[UoM_Flow_Py]]</f>
        <v>0</v>
      </c>
      <c r="AI261" s="114" t="e">
        <f>INDEX(Tab_Def_Flows[[Flow_ID]:[CC_DM_source]],MATCH(Tab_Data_Flows[[#This Row],[Name(EN)]],Tab_Def_Flows[Name(EN)],0),20)</f>
        <v>#N/A</v>
      </c>
      <c r="AJ261" s="115" t="str">
        <f>IF(L261="Yes",AI261*Tab_Data_Flows[[#This Row],[Flow_Py]],"N.A.")</f>
        <v>N.A.</v>
      </c>
      <c r="AK261" s="61">
        <f>Tab_Data_Flows[[#This Row],[UoM_Flow_Py]]</f>
        <v>0</v>
      </c>
    </row>
    <row r="262" spans="1:37" x14ac:dyDescent="0.35">
      <c r="A262" s="60">
        <f t="shared" si="35"/>
        <v>261</v>
      </c>
      <c r="B262" s="49" t="str">
        <f>_xlfn.XLOOKUP(C262,Tab_Def_Flows[Name(EN)],Tab_Def_Flows[Flow_ID],,0,)</f>
        <v>F_21_21</v>
      </c>
      <c r="C262" s="51"/>
      <c r="D262" s="49">
        <f>_xlfn.XLOOKUP(C262,Tab_Def_Flows[Name(EN)],Tab_Def_Flows[Type_Biomass],,0,)</f>
        <v>0</v>
      </c>
      <c r="E262" s="49">
        <f>_xlfn.XLOOKUP(C262,Tab_Def_Flows[Name(EN)],Tab_Def_Flows[Output_Process],,0,)</f>
        <v>0</v>
      </c>
      <c r="F262" s="49" t="str">
        <f>_xlfn.XLOOKUP(C262,Tab_Def_Flows[Name(EN)],Tab_Def_Flows[Process_ID_O],,0,)</f>
        <v>21__</v>
      </c>
      <c r="G262" s="49">
        <f>_xlfn.XLOOKUP(C262,Tab_Def_Flows[Name(EN)],Tab_Def_Flows[Input_Process],,0,)</f>
        <v>0</v>
      </c>
      <c r="H262" s="61" t="str">
        <f>_xlfn.XLOOKUP(C262,Tab_Def_Flows[Name(EN)],Tab_Def_Flows[Process_ID_I],,0,)</f>
        <v>21__</v>
      </c>
      <c r="I262" s="49">
        <f>_xlfn.XLOOKUP(C262,Tab_Def_Flows[Name(EN)],Tab_Def_Flows[Value_Source],,0,)</f>
        <v>0</v>
      </c>
      <c r="J262" s="49">
        <f>_xlfn.XLOOKUP(C262,Tab_Def_Flows[Name(EN)],Tab_Def_Flows[WC?],,0,)</f>
        <v>0</v>
      </c>
      <c r="K262" s="49">
        <f>_xlfn.XLOOKUP(C262,Tab_Def_Flows[Name(EN)],Tab_Def_Flows[DM?],,0,)</f>
        <v>0</v>
      </c>
      <c r="L262" s="49">
        <f>_xlfn.XLOOKUP(C262,Tab_Def_Flows[Name(EN)],Tab_Def_Flows[CC?],,0,)</f>
        <v>0</v>
      </c>
      <c r="M262" s="51"/>
      <c r="N262" s="51"/>
      <c r="O262" s="88"/>
      <c r="P262" s="51"/>
      <c r="Q262" s="51"/>
      <c r="R262" s="51"/>
      <c r="S262" s="51"/>
      <c r="T262" s="51"/>
      <c r="U262" s="51"/>
      <c r="V262" s="51"/>
      <c r="W262" s="51"/>
      <c r="X262" s="51"/>
      <c r="Y262" s="51"/>
      <c r="Z262" s="51"/>
      <c r="AA262" s="89"/>
      <c r="AB262" s="51"/>
      <c r="AC262" s="114" t="e">
        <f>INDEX(Tab_Def_Flows[[Flow_ID]:[CC_DM_source]],MATCH(Tab_Data_Flows[[#This Row],[Name(EN)]],Tab_Def_Flows[Name(EN)],0),16)</f>
        <v>#N/A</v>
      </c>
      <c r="AD262" s="115" t="str">
        <f>IF(J262="Yes",AA262*Tab_Data_Flows[[#This Row],[WC_'[%']]],"N.A.")</f>
        <v>N.A.</v>
      </c>
      <c r="AE262" s="61">
        <f>Tab_Data_Flows[[#This Row],[UoM_Flow_Py]]</f>
        <v>0</v>
      </c>
      <c r="AF262" s="114" t="e">
        <f>INDEX(Tab_Def_Flows[[Flow_ID]:[CC_DM_source]],MATCH(Tab_Data_Flows[[#This Row],[Name(EN)]],Tab_Def_Flows[Name(EN)],0),18)</f>
        <v>#N/A</v>
      </c>
      <c r="AG262" s="115" t="str">
        <f>IF(K262="Yes",AF262*Tab_Data_Flows[[#This Row],[Flow_Py]],"N.A.")</f>
        <v>N.A.</v>
      </c>
      <c r="AH262" s="61">
        <f>Tab_Data_Flows[[#This Row],[UoM_Flow_Py]]</f>
        <v>0</v>
      </c>
      <c r="AI262" s="114" t="e">
        <f>INDEX(Tab_Def_Flows[[Flow_ID]:[CC_DM_source]],MATCH(Tab_Data_Flows[[#This Row],[Name(EN)]],Tab_Def_Flows[Name(EN)],0),20)</f>
        <v>#N/A</v>
      </c>
      <c r="AJ262" s="115" t="str">
        <f>IF(L262="Yes",AI262*Tab_Data_Flows[[#This Row],[Flow_Py]],"N.A.")</f>
        <v>N.A.</v>
      </c>
      <c r="AK262" s="61">
        <f>Tab_Data_Flows[[#This Row],[UoM_Flow_Py]]</f>
        <v>0</v>
      </c>
    </row>
    <row r="263" spans="1:37" x14ac:dyDescent="0.35">
      <c r="A263" s="60">
        <f t="shared" si="35"/>
        <v>262</v>
      </c>
      <c r="B263" s="49" t="str">
        <f>_xlfn.XLOOKUP(C263,Tab_Def_Flows[Name(EN)],Tab_Def_Flows[Flow_ID],,0,)</f>
        <v>F_21_21</v>
      </c>
      <c r="C263" s="51"/>
      <c r="D263" s="49">
        <f>_xlfn.XLOOKUP(C263,Tab_Def_Flows[Name(EN)],Tab_Def_Flows[Type_Biomass],,0,)</f>
        <v>0</v>
      </c>
      <c r="E263" s="49">
        <f>_xlfn.XLOOKUP(C263,Tab_Def_Flows[Name(EN)],Tab_Def_Flows[Output_Process],,0,)</f>
        <v>0</v>
      </c>
      <c r="F263" s="49" t="str">
        <f>_xlfn.XLOOKUP(C263,Tab_Def_Flows[Name(EN)],Tab_Def_Flows[Process_ID_O],,0,)</f>
        <v>21__</v>
      </c>
      <c r="G263" s="49">
        <f>_xlfn.XLOOKUP(C263,Tab_Def_Flows[Name(EN)],Tab_Def_Flows[Input_Process],,0,)</f>
        <v>0</v>
      </c>
      <c r="H263" s="61" t="str">
        <f>_xlfn.XLOOKUP(C263,Tab_Def_Flows[Name(EN)],Tab_Def_Flows[Process_ID_I],,0,)</f>
        <v>21__</v>
      </c>
      <c r="I263" s="49">
        <f>_xlfn.XLOOKUP(C263,Tab_Def_Flows[Name(EN)],Tab_Def_Flows[Value_Source],,0,)</f>
        <v>0</v>
      </c>
      <c r="J263" s="49">
        <f>_xlfn.XLOOKUP(C263,Tab_Def_Flows[Name(EN)],Tab_Def_Flows[WC?],,0,)</f>
        <v>0</v>
      </c>
      <c r="K263" s="49">
        <f>_xlfn.XLOOKUP(C263,Tab_Def_Flows[Name(EN)],Tab_Def_Flows[DM?],,0,)</f>
        <v>0</v>
      </c>
      <c r="L263" s="49">
        <f>_xlfn.XLOOKUP(C263,Tab_Def_Flows[Name(EN)],Tab_Def_Flows[CC?],,0,)</f>
        <v>0</v>
      </c>
      <c r="M263" s="51"/>
      <c r="N263" s="51"/>
      <c r="O263" s="88"/>
      <c r="P263" s="51"/>
      <c r="Q263" s="51"/>
      <c r="R263" s="51"/>
      <c r="S263" s="51"/>
      <c r="T263" s="51"/>
      <c r="U263" s="51"/>
      <c r="V263" s="51"/>
      <c r="W263" s="51"/>
      <c r="X263" s="51"/>
      <c r="Y263" s="51"/>
      <c r="Z263" s="51"/>
      <c r="AA263" s="89"/>
      <c r="AB263" s="51"/>
      <c r="AC263" s="114" t="e">
        <f>INDEX(Tab_Def_Flows[[Flow_ID]:[CC_DM_source]],MATCH(Tab_Data_Flows[[#This Row],[Name(EN)]],Tab_Def_Flows[Name(EN)],0),16)</f>
        <v>#N/A</v>
      </c>
      <c r="AD263" s="115" t="str">
        <f>IF(J263="Yes",AA263*Tab_Data_Flows[[#This Row],[WC_'[%']]],"N.A.")</f>
        <v>N.A.</v>
      </c>
      <c r="AE263" s="61">
        <f>Tab_Data_Flows[[#This Row],[UoM_Flow_Py]]</f>
        <v>0</v>
      </c>
      <c r="AF263" s="114" t="e">
        <f>INDEX(Tab_Def_Flows[[Flow_ID]:[CC_DM_source]],MATCH(Tab_Data_Flows[[#This Row],[Name(EN)]],Tab_Def_Flows[Name(EN)],0),18)</f>
        <v>#N/A</v>
      </c>
      <c r="AG263" s="115" t="str">
        <f>IF(K263="Yes",AF263*Tab_Data_Flows[[#This Row],[Flow_Py]],"N.A.")</f>
        <v>N.A.</v>
      </c>
      <c r="AH263" s="61">
        <f>Tab_Data_Flows[[#This Row],[UoM_Flow_Py]]</f>
        <v>0</v>
      </c>
      <c r="AI263" s="114" t="e">
        <f>INDEX(Tab_Def_Flows[[Flow_ID]:[CC_DM_source]],MATCH(Tab_Data_Flows[[#This Row],[Name(EN)]],Tab_Def_Flows[Name(EN)],0),20)</f>
        <v>#N/A</v>
      </c>
      <c r="AJ263" s="115" t="str">
        <f>IF(L263="Yes",AI263*Tab_Data_Flows[[#This Row],[Flow_Py]],"N.A.")</f>
        <v>N.A.</v>
      </c>
      <c r="AK263" s="61">
        <f>Tab_Data_Flows[[#This Row],[UoM_Flow_Py]]</f>
        <v>0</v>
      </c>
    </row>
    <row r="264" spans="1:37" x14ac:dyDescent="0.35">
      <c r="A264" s="60">
        <f t="shared" si="35"/>
        <v>263</v>
      </c>
      <c r="B264" s="49" t="str">
        <f>_xlfn.XLOOKUP(C264,Tab_Def_Flows[Name(EN)],Tab_Def_Flows[Flow_ID],,0,)</f>
        <v>F_21_21</v>
      </c>
      <c r="C264" s="51"/>
      <c r="D264" s="49">
        <f>_xlfn.XLOOKUP(C264,Tab_Def_Flows[Name(EN)],Tab_Def_Flows[Type_Biomass],,0,)</f>
        <v>0</v>
      </c>
      <c r="E264" s="49">
        <f>_xlfn.XLOOKUP(C264,Tab_Def_Flows[Name(EN)],Tab_Def_Flows[Output_Process],,0,)</f>
        <v>0</v>
      </c>
      <c r="F264" s="49" t="str">
        <f>_xlfn.XLOOKUP(C264,Tab_Def_Flows[Name(EN)],Tab_Def_Flows[Process_ID_O],,0,)</f>
        <v>21__</v>
      </c>
      <c r="G264" s="49">
        <f>_xlfn.XLOOKUP(C264,Tab_Def_Flows[Name(EN)],Tab_Def_Flows[Input_Process],,0,)</f>
        <v>0</v>
      </c>
      <c r="H264" s="61" t="str">
        <f>_xlfn.XLOOKUP(C264,Tab_Def_Flows[Name(EN)],Tab_Def_Flows[Process_ID_I],,0,)</f>
        <v>21__</v>
      </c>
      <c r="I264" s="49">
        <f>_xlfn.XLOOKUP(C264,Tab_Def_Flows[Name(EN)],Tab_Def_Flows[Value_Source],,0,)</f>
        <v>0</v>
      </c>
      <c r="J264" s="49">
        <f>_xlfn.XLOOKUP(C264,Tab_Def_Flows[Name(EN)],Tab_Def_Flows[WC?],,0,)</f>
        <v>0</v>
      </c>
      <c r="K264" s="49">
        <f>_xlfn.XLOOKUP(C264,Tab_Def_Flows[Name(EN)],Tab_Def_Flows[DM?],,0,)</f>
        <v>0</v>
      </c>
      <c r="L264" s="49">
        <f>_xlfn.XLOOKUP(C264,Tab_Def_Flows[Name(EN)],Tab_Def_Flows[CC?],,0,)</f>
        <v>0</v>
      </c>
      <c r="M264" s="51"/>
      <c r="N264" s="51"/>
      <c r="O264" s="88"/>
      <c r="P264" s="51"/>
      <c r="Q264" s="51"/>
      <c r="R264" s="51"/>
      <c r="S264" s="51"/>
      <c r="T264" s="51"/>
      <c r="U264" s="51"/>
      <c r="V264" s="51"/>
      <c r="W264" s="51"/>
      <c r="X264" s="51"/>
      <c r="Y264" s="51"/>
      <c r="Z264" s="51"/>
      <c r="AA264" s="89"/>
      <c r="AB264" s="51"/>
      <c r="AC264" s="114" t="e">
        <f>INDEX(Tab_Def_Flows[[Flow_ID]:[CC_DM_source]],MATCH(Tab_Data_Flows[[#This Row],[Name(EN)]],Tab_Def_Flows[Name(EN)],0),16)</f>
        <v>#N/A</v>
      </c>
      <c r="AD264" s="115" t="str">
        <f>IF(J264="Yes",AA264*Tab_Data_Flows[[#This Row],[WC_'[%']]],"N.A.")</f>
        <v>N.A.</v>
      </c>
      <c r="AE264" s="61">
        <f>Tab_Data_Flows[[#This Row],[UoM_Flow_Py]]</f>
        <v>0</v>
      </c>
      <c r="AF264" s="114" t="e">
        <f>INDEX(Tab_Def_Flows[[Flow_ID]:[CC_DM_source]],MATCH(Tab_Data_Flows[[#This Row],[Name(EN)]],Tab_Def_Flows[Name(EN)],0),18)</f>
        <v>#N/A</v>
      </c>
      <c r="AG264" s="115" t="str">
        <f>IF(K264="Yes",AF264*Tab_Data_Flows[[#This Row],[Flow_Py]],"N.A.")</f>
        <v>N.A.</v>
      </c>
      <c r="AH264" s="61">
        <f>Tab_Data_Flows[[#This Row],[UoM_Flow_Py]]</f>
        <v>0</v>
      </c>
      <c r="AI264" s="114" t="e">
        <f>INDEX(Tab_Def_Flows[[Flow_ID]:[CC_DM_source]],MATCH(Tab_Data_Flows[[#This Row],[Name(EN)]],Tab_Def_Flows[Name(EN)],0),20)</f>
        <v>#N/A</v>
      </c>
      <c r="AJ264" s="115" t="str">
        <f>IF(L264="Yes",AI264*Tab_Data_Flows[[#This Row],[Flow_Py]],"N.A.")</f>
        <v>N.A.</v>
      </c>
      <c r="AK264" s="61">
        <f>Tab_Data_Flows[[#This Row],[UoM_Flow_Py]]</f>
        <v>0</v>
      </c>
    </row>
    <row r="265" spans="1:37" x14ac:dyDescent="0.35">
      <c r="A265" s="60">
        <f t="shared" si="35"/>
        <v>264</v>
      </c>
      <c r="B265" s="49" t="str">
        <f>_xlfn.XLOOKUP(C265,Tab_Def_Flows[Name(EN)],Tab_Def_Flows[Flow_ID],,0,)</f>
        <v>F_21_21</v>
      </c>
      <c r="C265" s="51"/>
      <c r="D265" s="49">
        <f>_xlfn.XLOOKUP(C265,Tab_Def_Flows[Name(EN)],Tab_Def_Flows[Type_Biomass],,0,)</f>
        <v>0</v>
      </c>
      <c r="E265" s="49">
        <f>_xlfn.XLOOKUP(C265,Tab_Def_Flows[Name(EN)],Tab_Def_Flows[Output_Process],,0,)</f>
        <v>0</v>
      </c>
      <c r="F265" s="49" t="str">
        <f>_xlfn.XLOOKUP(C265,Tab_Def_Flows[Name(EN)],Tab_Def_Flows[Process_ID_O],,0,)</f>
        <v>21__</v>
      </c>
      <c r="G265" s="49">
        <f>_xlfn.XLOOKUP(C265,Tab_Def_Flows[Name(EN)],Tab_Def_Flows[Input_Process],,0,)</f>
        <v>0</v>
      </c>
      <c r="H265" s="61" t="str">
        <f>_xlfn.XLOOKUP(C265,Tab_Def_Flows[Name(EN)],Tab_Def_Flows[Process_ID_I],,0,)</f>
        <v>21__</v>
      </c>
      <c r="I265" s="49">
        <f>_xlfn.XLOOKUP(C265,Tab_Def_Flows[Name(EN)],Tab_Def_Flows[Value_Source],,0,)</f>
        <v>0</v>
      </c>
      <c r="J265" s="49">
        <f>_xlfn.XLOOKUP(C265,Tab_Def_Flows[Name(EN)],Tab_Def_Flows[WC?],,0,)</f>
        <v>0</v>
      </c>
      <c r="K265" s="49">
        <f>_xlfn.XLOOKUP(C265,Tab_Def_Flows[Name(EN)],Tab_Def_Flows[DM?],,0,)</f>
        <v>0</v>
      </c>
      <c r="L265" s="49">
        <f>_xlfn.XLOOKUP(C265,Tab_Def_Flows[Name(EN)],Tab_Def_Flows[CC?],,0,)</f>
        <v>0</v>
      </c>
      <c r="M265" s="51"/>
      <c r="N265" s="51"/>
      <c r="O265" s="88"/>
      <c r="P265" s="51"/>
      <c r="Q265" s="51"/>
      <c r="R265" s="51"/>
      <c r="S265" s="51"/>
      <c r="T265" s="51"/>
      <c r="U265" s="51"/>
      <c r="V265" s="51"/>
      <c r="W265" s="51"/>
      <c r="X265" s="51"/>
      <c r="Y265" s="51"/>
      <c r="Z265" s="51"/>
      <c r="AA265" s="89"/>
      <c r="AB265" s="51"/>
      <c r="AC265" s="114" t="e">
        <f>INDEX(Tab_Def_Flows[[Flow_ID]:[CC_DM_source]],MATCH(Tab_Data_Flows[[#This Row],[Name(EN)]],Tab_Def_Flows[Name(EN)],0),16)</f>
        <v>#N/A</v>
      </c>
      <c r="AD265" s="115" t="str">
        <f>IF(J265="Yes",AA265*Tab_Data_Flows[[#This Row],[WC_'[%']]],"N.A.")</f>
        <v>N.A.</v>
      </c>
      <c r="AE265" s="61">
        <f>Tab_Data_Flows[[#This Row],[UoM_Flow_Py]]</f>
        <v>0</v>
      </c>
      <c r="AF265" s="114" t="e">
        <f>INDEX(Tab_Def_Flows[[Flow_ID]:[CC_DM_source]],MATCH(Tab_Data_Flows[[#This Row],[Name(EN)]],Tab_Def_Flows[Name(EN)],0),18)</f>
        <v>#N/A</v>
      </c>
      <c r="AG265" s="115" t="str">
        <f>IF(K265="Yes",AF265*Tab_Data_Flows[[#This Row],[Flow_Py]],"N.A.")</f>
        <v>N.A.</v>
      </c>
      <c r="AH265" s="61">
        <f>Tab_Data_Flows[[#This Row],[UoM_Flow_Py]]</f>
        <v>0</v>
      </c>
      <c r="AI265" s="114" t="e">
        <f>INDEX(Tab_Def_Flows[[Flow_ID]:[CC_DM_source]],MATCH(Tab_Data_Flows[[#This Row],[Name(EN)]],Tab_Def_Flows[Name(EN)],0),20)</f>
        <v>#N/A</v>
      </c>
      <c r="AJ265" s="115" t="str">
        <f>IF(L265="Yes",AI265*Tab_Data_Flows[[#This Row],[Flow_Py]],"N.A.")</f>
        <v>N.A.</v>
      </c>
      <c r="AK265" s="61">
        <f>Tab_Data_Flows[[#This Row],[UoM_Flow_Py]]</f>
        <v>0</v>
      </c>
    </row>
    <row r="266" spans="1:37" x14ac:dyDescent="0.35">
      <c r="A266" s="60">
        <f t="shared" si="35"/>
        <v>265</v>
      </c>
      <c r="B266" s="49" t="str">
        <f>_xlfn.XLOOKUP(C266,Tab_Def_Flows[Name(EN)],Tab_Def_Flows[Flow_ID],,0,)</f>
        <v>F_21_21</v>
      </c>
      <c r="C266" s="51"/>
      <c r="D266" s="49">
        <f>_xlfn.XLOOKUP(C266,Tab_Def_Flows[Name(EN)],Tab_Def_Flows[Type_Biomass],,0,)</f>
        <v>0</v>
      </c>
      <c r="E266" s="49">
        <f>_xlfn.XLOOKUP(C266,Tab_Def_Flows[Name(EN)],Tab_Def_Flows[Output_Process],,0,)</f>
        <v>0</v>
      </c>
      <c r="F266" s="49" t="str">
        <f>_xlfn.XLOOKUP(C266,Tab_Def_Flows[Name(EN)],Tab_Def_Flows[Process_ID_O],,0,)</f>
        <v>21__</v>
      </c>
      <c r="G266" s="49">
        <f>_xlfn.XLOOKUP(C266,Tab_Def_Flows[Name(EN)],Tab_Def_Flows[Input_Process],,0,)</f>
        <v>0</v>
      </c>
      <c r="H266" s="61" t="str">
        <f>_xlfn.XLOOKUP(C266,Tab_Def_Flows[Name(EN)],Tab_Def_Flows[Process_ID_I],,0,)</f>
        <v>21__</v>
      </c>
      <c r="I266" s="49">
        <f>_xlfn.XLOOKUP(C266,Tab_Def_Flows[Name(EN)],Tab_Def_Flows[Value_Source],,0,)</f>
        <v>0</v>
      </c>
      <c r="J266" s="49">
        <f>_xlfn.XLOOKUP(C266,Tab_Def_Flows[Name(EN)],Tab_Def_Flows[WC?],,0,)</f>
        <v>0</v>
      </c>
      <c r="K266" s="49">
        <f>_xlfn.XLOOKUP(C266,Tab_Def_Flows[Name(EN)],Tab_Def_Flows[DM?],,0,)</f>
        <v>0</v>
      </c>
      <c r="L266" s="49">
        <f>_xlfn.XLOOKUP(C266,Tab_Def_Flows[Name(EN)],Tab_Def_Flows[CC?],,0,)</f>
        <v>0</v>
      </c>
      <c r="M266" s="51"/>
      <c r="N266" s="51"/>
      <c r="O266" s="88"/>
      <c r="P266" s="51"/>
      <c r="Q266" s="51"/>
      <c r="R266" s="51"/>
      <c r="S266" s="51"/>
      <c r="T266" s="51"/>
      <c r="U266" s="51"/>
      <c r="V266" s="51"/>
      <c r="W266" s="51"/>
      <c r="X266" s="51"/>
      <c r="Y266" s="51"/>
      <c r="Z266" s="51"/>
      <c r="AA266" s="89"/>
      <c r="AB266" s="51"/>
      <c r="AC266" s="114" t="e">
        <f>INDEX(Tab_Def_Flows[[Flow_ID]:[CC_DM_source]],MATCH(Tab_Data_Flows[[#This Row],[Name(EN)]],Tab_Def_Flows[Name(EN)],0),16)</f>
        <v>#N/A</v>
      </c>
      <c r="AD266" s="115" t="str">
        <f>IF(J266="Yes",AA266*Tab_Data_Flows[[#This Row],[WC_'[%']]],"N.A.")</f>
        <v>N.A.</v>
      </c>
      <c r="AE266" s="61">
        <f>Tab_Data_Flows[[#This Row],[UoM_Flow_Py]]</f>
        <v>0</v>
      </c>
      <c r="AF266" s="114" t="e">
        <f>INDEX(Tab_Def_Flows[[Flow_ID]:[CC_DM_source]],MATCH(Tab_Data_Flows[[#This Row],[Name(EN)]],Tab_Def_Flows[Name(EN)],0),18)</f>
        <v>#N/A</v>
      </c>
      <c r="AG266" s="115" t="str">
        <f>IF(K266="Yes",AF266*Tab_Data_Flows[[#This Row],[Flow_Py]],"N.A.")</f>
        <v>N.A.</v>
      </c>
      <c r="AH266" s="61">
        <f>Tab_Data_Flows[[#This Row],[UoM_Flow_Py]]</f>
        <v>0</v>
      </c>
      <c r="AI266" s="114" t="e">
        <f>INDEX(Tab_Def_Flows[[Flow_ID]:[CC_DM_source]],MATCH(Tab_Data_Flows[[#This Row],[Name(EN)]],Tab_Def_Flows[Name(EN)],0),20)</f>
        <v>#N/A</v>
      </c>
      <c r="AJ266" s="115" t="str">
        <f>IF(L266="Yes",AI266*Tab_Data_Flows[[#This Row],[Flow_Py]],"N.A.")</f>
        <v>N.A.</v>
      </c>
      <c r="AK266" s="61">
        <f>Tab_Data_Flows[[#This Row],[UoM_Flow_Py]]</f>
        <v>0</v>
      </c>
    </row>
    <row r="267" spans="1:37" x14ac:dyDescent="0.35">
      <c r="A267" s="60">
        <f t="shared" si="35"/>
        <v>266</v>
      </c>
      <c r="B267" s="49" t="str">
        <f>_xlfn.XLOOKUP(C267,Tab_Def_Flows[Name(EN)],Tab_Def_Flows[Flow_ID],,0,)</f>
        <v>F_21_21</v>
      </c>
      <c r="C267" s="51"/>
      <c r="D267" s="49">
        <f>_xlfn.XLOOKUP(C267,Tab_Def_Flows[Name(EN)],Tab_Def_Flows[Type_Biomass],,0,)</f>
        <v>0</v>
      </c>
      <c r="E267" s="49">
        <f>_xlfn.XLOOKUP(C267,Tab_Def_Flows[Name(EN)],Tab_Def_Flows[Output_Process],,0,)</f>
        <v>0</v>
      </c>
      <c r="F267" s="49" t="str">
        <f>_xlfn.XLOOKUP(C267,Tab_Def_Flows[Name(EN)],Tab_Def_Flows[Process_ID_O],,0,)</f>
        <v>21__</v>
      </c>
      <c r="G267" s="49">
        <f>_xlfn.XLOOKUP(C267,Tab_Def_Flows[Name(EN)],Tab_Def_Flows[Input_Process],,0,)</f>
        <v>0</v>
      </c>
      <c r="H267" s="61" t="str">
        <f>_xlfn.XLOOKUP(C267,Tab_Def_Flows[Name(EN)],Tab_Def_Flows[Process_ID_I],,0,)</f>
        <v>21__</v>
      </c>
      <c r="I267" s="49">
        <f>_xlfn.XLOOKUP(C267,Tab_Def_Flows[Name(EN)],Tab_Def_Flows[Value_Source],,0,)</f>
        <v>0</v>
      </c>
      <c r="J267" s="49">
        <f>_xlfn.XLOOKUP(C267,Tab_Def_Flows[Name(EN)],Tab_Def_Flows[WC?],,0,)</f>
        <v>0</v>
      </c>
      <c r="K267" s="49">
        <f>_xlfn.XLOOKUP(C267,Tab_Def_Flows[Name(EN)],Tab_Def_Flows[DM?],,0,)</f>
        <v>0</v>
      </c>
      <c r="L267" s="49">
        <f>_xlfn.XLOOKUP(C267,Tab_Def_Flows[Name(EN)],Tab_Def_Flows[CC?],,0,)</f>
        <v>0</v>
      </c>
      <c r="M267" s="51"/>
      <c r="N267" s="51"/>
      <c r="O267" s="88"/>
      <c r="P267" s="51"/>
      <c r="Q267" s="51"/>
      <c r="R267" s="51"/>
      <c r="S267" s="51"/>
      <c r="T267" s="51"/>
      <c r="U267" s="51"/>
      <c r="V267" s="51"/>
      <c r="W267" s="51"/>
      <c r="X267" s="51"/>
      <c r="Y267" s="51"/>
      <c r="Z267" s="51"/>
      <c r="AA267" s="89"/>
      <c r="AB267" s="51"/>
      <c r="AC267" s="114" t="e">
        <f>INDEX(Tab_Def_Flows[[Flow_ID]:[CC_DM_source]],MATCH(Tab_Data_Flows[[#This Row],[Name(EN)]],Tab_Def_Flows[Name(EN)],0),16)</f>
        <v>#N/A</v>
      </c>
      <c r="AD267" s="115" t="str">
        <f>IF(J267="Yes",AA267*Tab_Data_Flows[[#This Row],[WC_'[%']]],"N.A.")</f>
        <v>N.A.</v>
      </c>
      <c r="AE267" s="61">
        <f>Tab_Data_Flows[[#This Row],[UoM_Flow_Py]]</f>
        <v>0</v>
      </c>
      <c r="AF267" s="114" t="e">
        <f>INDEX(Tab_Def_Flows[[Flow_ID]:[CC_DM_source]],MATCH(Tab_Data_Flows[[#This Row],[Name(EN)]],Tab_Def_Flows[Name(EN)],0),18)</f>
        <v>#N/A</v>
      </c>
      <c r="AG267" s="115" t="str">
        <f>IF(K267="Yes",AF267*Tab_Data_Flows[[#This Row],[Flow_Py]],"N.A.")</f>
        <v>N.A.</v>
      </c>
      <c r="AH267" s="61">
        <f>Tab_Data_Flows[[#This Row],[UoM_Flow_Py]]</f>
        <v>0</v>
      </c>
      <c r="AI267" s="114" t="e">
        <f>INDEX(Tab_Def_Flows[[Flow_ID]:[CC_DM_source]],MATCH(Tab_Data_Flows[[#This Row],[Name(EN)]],Tab_Def_Flows[Name(EN)],0),20)</f>
        <v>#N/A</v>
      </c>
      <c r="AJ267" s="115" t="str">
        <f>IF(L267="Yes",AI267*Tab_Data_Flows[[#This Row],[Flow_Py]],"N.A.")</f>
        <v>N.A.</v>
      </c>
      <c r="AK267" s="61">
        <f>Tab_Data_Flows[[#This Row],[UoM_Flow_Py]]</f>
        <v>0</v>
      </c>
    </row>
    <row r="268" spans="1:37" x14ac:dyDescent="0.35">
      <c r="A268" s="60">
        <f t="shared" si="35"/>
        <v>267</v>
      </c>
      <c r="B268" s="49" t="str">
        <f>_xlfn.XLOOKUP(C268,Tab_Def_Flows[Name(EN)],Tab_Def_Flows[Flow_ID],,0,)</f>
        <v>F_21_21</v>
      </c>
      <c r="C268" s="51"/>
      <c r="D268" s="49">
        <f>_xlfn.XLOOKUP(C268,Tab_Def_Flows[Name(EN)],Tab_Def_Flows[Type_Biomass],,0,)</f>
        <v>0</v>
      </c>
      <c r="E268" s="49">
        <f>_xlfn.XLOOKUP(C268,Tab_Def_Flows[Name(EN)],Tab_Def_Flows[Output_Process],,0,)</f>
        <v>0</v>
      </c>
      <c r="F268" s="49" t="str">
        <f>_xlfn.XLOOKUP(C268,Tab_Def_Flows[Name(EN)],Tab_Def_Flows[Process_ID_O],,0,)</f>
        <v>21__</v>
      </c>
      <c r="G268" s="49">
        <f>_xlfn.XLOOKUP(C268,Tab_Def_Flows[Name(EN)],Tab_Def_Flows[Input_Process],,0,)</f>
        <v>0</v>
      </c>
      <c r="H268" s="61" t="str">
        <f>_xlfn.XLOOKUP(C268,Tab_Def_Flows[Name(EN)],Tab_Def_Flows[Process_ID_I],,0,)</f>
        <v>21__</v>
      </c>
      <c r="I268" s="49">
        <f>_xlfn.XLOOKUP(C268,Tab_Def_Flows[Name(EN)],Tab_Def_Flows[Value_Source],,0,)</f>
        <v>0</v>
      </c>
      <c r="J268" s="49">
        <f>_xlfn.XLOOKUP(C268,Tab_Def_Flows[Name(EN)],Tab_Def_Flows[WC?],,0,)</f>
        <v>0</v>
      </c>
      <c r="K268" s="49">
        <f>_xlfn.XLOOKUP(C268,Tab_Def_Flows[Name(EN)],Tab_Def_Flows[DM?],,0,)</f>
        <v>0</v>
      </c>
      <c r="L268" s="49">
        <f>_xlfn.XLOOKUP(C268,Tab_Def_Flows[Name(EN)],Tab_Def_Flows[CC?],,0,)</f>
        <v>0</v>
      </c>
      <c r="M268" s="51"/>
      <c r="N268" s="51"/>
      <c r="O268" s="88"/>
      <c r="P268" s="51"/>
      <c r="Q268" s="51"/>
      <c r="R268" s="51"/>
      <c r="S268" s="51"/>
      <c r="T268" s="51"/>
      <c r="U268" s="51"/>
      <c r="V268" s="51"/>
      <c r="W268" s="51"/>
      <c r="X268" s="51"/>
      <c r="Y268" s="51"/>
      <c r="Z268" s="51"/>
      <c r="AA268" s="89"/>
      <c r="AB268" s="51"/>
      <c r="AC268" s="114" t="e">
        <f>INDEX(Tab_Def_Flows[[Flow_ID]:[CC_DM_source]],MATCH(Tab_Data_Flows[[#This Row],[Name(EN)]],Tab_Def_Flows[Name(EN)],0),16)</f>
        <v>#N/A</v>
      </c>
      <c r="AD268" s="115" t="str">
        <f>IF(J268="Yes",AA268*Tab_Data_Flows[[#This Row],[WC_'[%']]],"N.A.")</f>
        <v>N.A.</v>
      </c>
      <c r="AE268" s="61">
        <f>Tab_Data_Flows[[#This Row],[UoM_Flow_Py]]</f>
        <v>0</v>
      </c>
      <c r="AF268" s="114" t="e">
        <f>INDEX(Tab_Def_Flows[[Flow_ID]:[CC_DM_source]],MATCH(Tab_Data_Flows[[#This Row],[Name(EN)]],Tab_Def_Flows[Name(EN)],0),18)</f>
        <v>#N/A</v>
      </c>
      <c r="AG268" s="115" t="str">
        <f>IF(K268="Yes",AF268*Tab_Data_Flows[[#This Row],[Flow_Py]],"N.A.")</f>
        <v>N.A.</v>
      </c>
      <c r="AH268" s="61">
        <f>Tab_Data_Flows[[#This Row],[UoM_Flow_Py]]</f>
        <v>0</v>
      </c>
      <c r="AI268" s="114" t="e">
        <f>INDEX(Tab_Def_Flows[[Flow_ID]:[CC_DM_source]],MATCH(Tab_Data_Flows[[#This Row],[Name(EN)]],Tab_Def_Flows[Name(EN)],0),20)</f>
        <v>#N/A</v>
      </c>
      <c r="AJ268" s="115" t="str">
        <f>IF(L268="Yes",AI268*Tab_Data_Flows[[#This Row],[Flow_Py]],"N.A.")</f>
        <v>N.A.</v>
      </c>
      <c r="AK268" s="61">
        <f>Tab_Data_Flows[[#This Row],[UoM_Flow_Py]]</f>
        <v>0</v>
      </c>
    </row>
    <row r="269" spans="1:37" x14ac:dyDescent="0.35">
      <c r="A269" s="60">
        <f t="shared" si="35"/>
        <v>268</v>
      </c>
      <c r="B269" s="49" t="str">
        <f>_xlfn.XLOOKUP(C269,Tab_Def_Flows[Name(EN)],Tab_Def_Flows[Flow_ID],,0,)</f>
        <v>F_21_21</v>
      </c>
      <c r="C269" s="51"/>
      <c r="D269" s="49">
        <f>_xlfn.XLOOKUP(C269,Tab_Def_Flows[Name(EN)],Tab_Def_Flows[Type_Biomass],,0,)</f>
        <v>0</v>
      </c>
      <c r="E269" s="49">
        <f>_xlfn.XLOOKUP(C269,Tab_Def_Flows[Name(EN)],Tab_Def_Flows[Output_Process],,0,)</f>
        <v>0</v>
      </c>
      <c r="F269" s="49" t="str">
        <f>_xlfn.XLOOKUP(C269,Tab_Def_Flows[Name(EN)],Tab_Def_Flows[Process_ID_O],,0,)</f>
        <v>21__</v>
      </c>
      <c r="G269" s="49">
        <f>_xlfn.XLOOKUP(C269,Tab_Def_Flows[Name(EN)],Tab_Def_Flows[Input_Process],,0,)</f>
        <v>0</v>
      </c>
      <c r="H269" s="61" t="str">
        <f>_xlfn.XLOOKUP(C269,Tab_Def_Flows[Name(EN)],Tab_Def_Flows[Process_ID_I],,0,)</f>
        <v>21__</v>
      </c>
      <c r="I269" s="49">
        <f>_xlfn.XLOOKUP(C269,Tab_Def_Flows[Name(EN)],Tab_Def_Flows[Value_Source],,0,)</f>
        <v>0</v>
      </c>
      <c r="J269" s="49">
        <f>_xlfn.XLOOKUP(C269,Tab_Def_Flows[Name(EN)],Tab_Def_Flows[WC?],,0,)</f>
        <v>0</v>
      </c>
      <c r="K269" s="49">
        <f>_xlfn.XLOOKUP(C269,Tab_Def_Flows[Name(EN)],Tab_Def_Flows[DM?],,0,)</f>
        <v>0</v>
      </c>
      <c r="L269" s="49">
        <f>_xlfn.XLOOKUP(C269,Tab_Def_Flows[Name(EN)],Tab_Def_Flows[CC?],,0,)</f>
        <v>0</v>
      </c>
      <c r="M269" s="51"/>
      <c r="N269" s="51"/>
      <c r="O269" s="88"/>
      <c r="P269" s="51"/>
      <c r="Q269" s="51"/>
      <c r="R269" s="51"/>
      <c r="S269" s="51"/>
      <c r="T269" s="51"/>
      <c r="U269" s="51"/>
      <c r="V269" s="51"/>
      <c r="W269" s="51"/>
      <c r="X269" s="51"/>
      <c r="Y269" s="51"/>
      <c r="Z269" s="51"/>
      <c r="AA269" s="89"/>
      <c r="AB269" s="51"/>
      <c r="AC269" s="114" t="e">
        <f>INDEX(Tab_Def_Flows[[Flow_ID]:[CC_DM_source]],MATCH(Tab_Data_Flows[[#This Row],[Name(EN)]],Tab_Def_Flows[Name(EN)],0),16)</f>
        <v>#N/A</v>
      </c>
      <c r="AD269" s="115" t="str">
        <f>IF(J269="Yes",AA269*Tab_Data_Flows[[#This Row],[WC_'[%']]],"N.A.")</f>
        <v>N.A.</v>
      </c>
      <c r="AE269" s="61">
        <f>Tab_Data_Flows[[#This Row],[UoM_Flow_Py]]</f>
        <v>0</v>
      </c>
      <c r="AF269" s="114" t="e">
        <f>INDEX(Tab_Def_Flows[[Flow_ID]:[CC_DM_source]],MATCH(Tab_Data_Flows[[#This Row],[Name(EN)]],Tab_Def_Flows[Name(EN)],0),18)</f>
        <v>#N/A</v>
      </c>
      <c r="AG269" s="115" t="str">
        <f>IF(K269="Yes",AF269*Tab_Data_Flows[[#This Row],[Flow_Py]],"N.A.")</f>
        <v>N.A.</v>
      </c>
      <c r="AH269" s="61">
        <f>Tab_Data_Flows[[#This Row],[UoM_Flow_Py]]</f>
        <v>0</v>
      </c>
      <c r="AI269" s="114" t="e">
        <f>INDEX(Tab_Def_Flows[[Flow_ID]:[CC_DM_source]],MATCH(Tab_Data_Flows[[#This Row],[Name(EN)]],Tab_Def_Flows[Name(EN)],0),20)</f>
        <v>#N/A</v>
      </c>
      <c r="AJ269" s="115" t="str">
        <f>IF(L269="Yes",AI269*Tab_Data_Flows[[#This Row],[Flow_Py]],"N.A.")</f>
        <v>N.A.</v>
      </c>
      <c r="AK269" s="61">
        <f>Tab_Data_Flows[[#This Row],[UoM_Flow_Py]]</f>
        <v>0</v>
      </c>
    </row>
    <row r="270" spans="1:37" x14ac:dyDescent="0.35">
      <c r="A270" s="60">
        <f t="shared" si="35"/>
        <v>269</v>
      </c>
      <c r="B270" s="49" t="str">
        <f>_xlfn.XLOOKUP(C270,Tab_Def_Flows[Name(EN)],Tab_Def_Flows[Flow_ID],,0,)</f>
        <v>F_21_21</v>
      </c>
      <c r="C270" s="51"/>
      <c r="D270" s="49">
        <f>_xlfn.XLOOKUP(C270,Tab_Def_Flows[Name(EN)],Tab_Def_Flows[Type_Biomass],,0,)</f>
        <v>0</v>
      </c>
      <c r="E270" s="49">
        <f>_xlfn.XLOOKUP(C270,Tab_Def_Flows[Name(EN)],Tab_Def_Flows[Output_Process],,0,)</f>
        <v>0</v>
      </c>
      <c r="F270" s="49" t="str">
        <f>_xlfn.XLOOKUP(C270,Tab_Def_Flows[Name(EN)],Tab_Def_Flows[Process_ID_O],,0,)</f>
        <v>21__</v>
      </c>
      <c r="G270" s="49">
        <f>_xlfn.XLOOKUP(C270,Tab_Def_Flows[Name(EN)],Tab_Def_Flows[Input_Process],,0,)</f>
        <v>0</v>
      </c>
      <c r="H270" s="61" t="str">
        <f>_xlfn.XLOOKUP(C270,Tab_Def_Flows[Name(EN)],Tab_Def_Flows[Process_ID_I],,0,)</f>
        <v>21__</v>
      </c>
      <c r="I270" s="49">
        <f>_xlfn.XLOOKUP(C270,Tab_Def_Flows[Name(EN)],Tab_Def_Flows[Value_Source],,0,)</f>
        <v>0</v>
      </c>
      <c r="J270" s="49">
        <f>_xlfn.XLOOKUP(C270,Tab_Def_Flows[Name(EN)],Tab_Def_Flows[WC?],,0,)</f>
        <v>0</v>
      </c>
      <c r="K270" s="49">
        <f>_xlfn.XLOOKUP(C270,Tab_Def_Flows[Name(EN)],Tab_Def_Flows[DM?],,0,)</f>
        <v>0</v>
      </c>
      <c r="L270" s="49">
        <f>_xlfn.XLOOKUP(C270,Tab_Def_Flows[Name(EN)],Tab_Def_Flows[CC?],,0,)</f>
        <v>0</v>
      </c>
      <c r="M270" s="51"/>
      <c r="N270" s="51"/>
      <c r="O270" s="88"/>
      <c r="P270" s="51"/>
      <c r="Q270" s="51"/>
      <c r="R270" s="51"/>
      <c r="S270" s="51"/>
      <c r="T270" s="51"/>
      <c r="U270" s="51"/>
      <c r="V270" s="51"/>
      <c r="W270" s="51"/>
      <c r="X270" s="51"/>
      <c r="Y270" s="51"/>
      <c r="Z270" s="51"/>
      <c r="AA270" s="89"/>
      <c r="AB270" s="51"/>
      <c r="AC270" s="114" t="e">
        <f>INDEX(Tab_Def_Flows[[Flow_ID]:[CC_DM_source]],MATCH(Tab_Data_Flows[[#This Row],[Name(EN)]],Tab_Def_Flows[Name(EN)],0),16)</f>
        <v>#N/A</v>
      </c>
      <c r="AD270" s="115" t="str">
        <f>IF(J270="Yes",AA270*Tab_Data_Flows[[#This Row],[WC_'[%']]],"N.A.")</f>
        <v>N.A.</v>
      </c>
      <c r="AE270" s="61">
        <f>Tab_Data_Flows[[#This Row],[UoM_Flow_Py]]</f>
        <v>0</v>
      </c>
      <c r="AF270" s="114" t="e">
        <f>INDEX(Tab_Def_Flows[[Flow_ID]:[CC_DM_source]],MATCH(Tab_Data_Flows[[#This Row],[Name(EN)]],Tab_Def_Flows[Name(EN)],0),18)</f>
        <v>#N/A</v>
      </c>
      <c r="AG270" s="115" t="str">
        <f>IF(K270="Yes",AF270*Tab_Data_Flows[[#This Row],[Flow_Py]],"N.A.")</f>
        <v>N.A.</v>
      </c>
      <c r="AH270" s="61">
        <f>Tab_Data_Flows[[#This Row],[UoM_Flow_Py]]</f>
        <v>0</v>
      </c>
      <c r="AI270" s="114" t="e">
        <f>INDEX(Tab_Def_Flows[[Flow_ID]:[CC_DM_source]],MATCH(Tab_Data_Flows[[#This Row],[Name(EN)]],Tab_Def_Flows[Name(EN)],0),20)</f>
        <v>#N/A</v>
      </c>
      <c r="AJ270" s="115" t="str">
        <f>IF(L270="Yes",AI270*Tab_Data_Flows[[#This Row],[Flow_Py]],"N.A.")</f>
        <v>N.A.</v>
      </c>
      <c r="AK270" s="61">
        <f>Tab_Data_Flows[[#This Row],[UoM_Flow_Py]]</f>
        <v>0</v>
      </c>
    </row>
    <row r="271" spans="1:37" x14ac:dyDescent="0.35">
      <c r="A271" s="60">
        <f t="shared" si="35"/>
        <v>270</v>
      </c>
      <c r="B271" s="49" t="str">
        <f>_xlfn.XLOOKUP(C271,Tab_Def_Flows[Name(EN)],Tab_Def_Flows[Flow_ID],,0,)</f>
        <v>F_21_21</v>
      </c>
      <c r="C271" s="51"/>
      <c r="D271" s="49">
        <f>_xlfn.XLOOKUP(C271,Tab_Def_Flows[Name(EN)],Tab_Def_Flows[Type_Biomass],,0,)</f>
        <v>0</v>
      </c>
      <c r="E271" s="49">
        <f>_xlfn.XLOOKUP(C271,Tab_Def_Flows[Name(EN)],Tab_Def_Flows[Output_Process],,0,)</f>
        <v>0</v>
      </c>
      <c r="F271" s="49" t="str">
        <f>_xlfn.XLOOKUP(C271,Tab_Def_Flows[Name(EN)],Tab_Def_Flows[Process_ID_O],,0,)</f>
        <v>21__</v>
      </c>
      <c r="G271" s="49">
        <f>_xlfn.XLOOKUP(C271,Tab_Def_Flows[Name(EN)],Tab_Def_Flows[Input_Process],,0,)</f>
        <v>0</v>
      </c>
      <c r="H271" s="61" t="str">
        <f>_xlfn.XLOOKUP(C271,Tab_Def_Flows[Name(EN)],Tab_Def_Flows[Process_ID_I],,0,)</f>
        <v>21__</v>
      </c>
      <c r="I271" s="49">
        <f>_xlfn.XLOOKUP(C271,Tab_Def_Flows[Name(EN)],Tab_Def_Flows[Value_Source],,0,)</f>
        <v>0</v>
      </c>
      <c r="J271" s="49">
        <f>_xlfn.XLOOKUP(C271,Tab_Def_Flows[Name(EN)],Tab_Def_Flows[WC?],,0,)</f>
        <v>0</v>
      </c>
      <c r="K271" s="49">
        <f>_xlfn.XLOOKUP(C271,Tab_Def_Flows[Name(EN)],Tab_Def_Flows[DM?],,0,)</f>
        <v>0</v>
      </c>
      <c r="L271" s="49">
        <f>_xlfn.XLOOKUP(C271,Tab_Def_Flows[Name(EN)],Tab_Def_Flows[CC?],,0,)</f>
        <v>0</v>
      </c>
      <c r="M271" s="51"/>
      <c r="N271" s="51"/>
      <c r="O271" s="88"/>
      <c r="P271" s="51"/>
      <c r="Q271" s="51"/>
      <c r="R271" s="51"/>
      <c r="S271" s="51"/>
      <c r="T271" s="51"/>
      <c r="U271" s="51"/>
      <c r="V271" s="51"/>
      <c r="W271" s="51"/>
      <c r="X271" s="51"/>
      <c r="Y271" s="51"/>
      <c r="Z271" s="51"/>
      <c r="AA271" s="89"/>
      <c r="AB271" s="51"/>
      <c r="AC271" s="114" t="e">
        <f>INDEX(Tab_Def_Flows[[Flow_ID]:[CC_DM_source]],MATCH(Tab_Data_Flows[[#This Row],[Name(EN)]],Tab_Def_Flows[Name(EN)],0),16)</f>
        <v>#N/A</v>
      </c>
      <c r="AD271" s="115" t="str">
        <f>IF(J271="Yes",AA271*Tab_Data_Flows[[#This Row],[WC_'[%']]],"N.A.")</f>
        <v>N.A.</v>
      </c>
      <c r="AE271" s="61">
        <f>Tab_Data_Flows[[#This Row],[UoM_Flow_Py]]</f>
        <v>0</v>
      </c>
      <c r="AF271" s="114" t="e">
        <f>INDEX(Tab_Def_Flows[[Flow_ID]:[CC_DM_source]],MATCH(Tab_Data_Flows[[#This Row],[Name(EN)]],Tab_Def_Flows[Name(EN)],0),18)</f>
        <v>#N/A</v>
      </c>
      <c r="AG271" s="115" t="str">
        <f>IF(K271="Yes",AF271*Tab_Data_Flows[[#This Row],[Flow_Py]],"N.A.")</f>
        <v>N.A.</v>
      </c>
      <c r="AH271" s="61">
        <f>Tab_Data_Flows[[#This Row],[UoM_Flow_Py]]</f>
        <v>0</v>
      </c>
      <c r="AI271" s="114" t="e">
        <f>INDEX(Tab_Def_Flows[[Flow_ID]:[CC_DM_source]],MATCH(Tab_Data_Flows[[#This Row],[Name(EN)]],Tab_Def_Flows[Name(EN)],0),20)</f>
        <v>#N/A</v>
      </c>
      <c r="AJ271" s="115" t="str">
        <f>IF(L271="Yes",AI271*Tab_Data_Flows[[#This Row],[Flow_Py]],"N.A.")</f>
        <v>N.A.</v>
      </c>
      <c r="AK271" s="61">
        <f>Tab_Data_Flows[[#This Row],[UoM_Flow_Py]]</f>
        <v>0</v>
      </c>
    </row>
    <row r="272" spans="1:37" x14ac:dyDescent="0.35">
      <c r="A272" s="60">
        <f t="shared" si="35"/>
        <v>271</v>
      </c>
      <c r="B272" s="49" t="str">
        <f>_xlfn.XLOOKUP(C272,Tab_Def_Flows[Name(EN)],Tab_Def_Flows[Flow_ID],,0,)</f>
        <v>F_21_21</v>
      </c>
      <c r="C272" s="51"/>
      <c r="D272" s="49">
        <f>_xlfn.XLOOKUP(C272,Tab_Def_Flows[Name(EN)],Tab_Def_Flows[Type_Biomass],,0,)</f>
        <v>0</v>
      </c>
      <c r="E272" s="49">
        <f>_xlfn.XLOOKUP(C272,Tab_Def_Flows[Name(EN)],Tab_Def_Flows[Output_Process],,0,)</f>
        <v>0</v>
      </c>
      <c r="F272" s="49" t="str">
        <f>_xlfn.XLOOKUP(C272,Tab_Def_Flows[Name(EN)],Tab_Def_Flows[Process_ID_O],,0,)</f>
        <v>21__</v>
      </c>
      <c r="G272" s="49">
        <f>_xlfn.XLOOKUP(C272,Tab_Def_Flows[Name(EN)],Tab_Def_Flows[Input_Process],,0,)</f>
        <v>0</v>
      </c>
      <c r="H272" s="61" t="str">
        <f>_xlfn.XLOOKUP(C272,Tab_Def_Flows[Name(EN)],Tab_Def_Flows[Process_ID_I],,0,)</f>
        <v>21__</v>
      </c>
      <c r="I272" s="49">
        <f>_xlfn.XLOOKUP(C272,Tab_Def_Flows[Name(EN)],Tab_Def_Flows[Value_Source],,0,)</f>
        <v>0</v>
      </c>
      <c r="J272" s="49">
        <f>_xlfn.XLOOKUP(C272,Tab_Def_Flows[Name(EN)],Tab_Def_Flows[WC?],,0,)</f>
        <v>0</v>
      </c>
      <c r="K272" s="49">
        <f>_xlfn.XLOOKUP(C272,Tab_Def_Flows[Name(EN)],Tab_Def_Flows[DM?],,0,)</f>
        <v>0</v>
      </c>
      <c r="L272" s="49">
        <f>_xlfn.XLOOKUP(C272,Tab_Def_Flows[Name(EN)],Tab_Def_Flows[CC?],,0,)</f>
        <v>0</v>
      </c>
      <c r="M272" s="51"/>
      <c r="N272" s="51"/>
      <c r="O272" s="88"/>
      <c r="P272" s="51"/>
      <c r="Q272" s="51"/>
      <c r="R272" s="51"/>
      <c r="S272" s="51"/>
      <c r="T272" s="51"/>
      <c r="U272" s="51"/>
      <c r="V272" s="51"/>
      <c r="W272" s="51"/>
      <c r="X272" s="51"/>
      <c r="Y272" s="51"/>
      <c r="Z272" s="51"/>
      <c r="AA272" s="89"/>
      <c r="AB272" s="51"/>
      <c r="AC272" s="114" t="e">
        <f>INDEX(Tab_Def_Flows[[Flow_ID]:[CC_DM_source]],MATCH(Tab_Data_Flows[[#This Row],[Name(EN)]],Tab_Def_Flows[Name(EN)],0),16)</f>
        <v>#N/A</v>
      </c>
      <c r="AD272" s="115" t="str">
        <f>IF(J272="Yes",AA272*Tab_Data_Flows[[#This Row],[WC_'[%']]],"N.A.")</f>
        <v>N.A.</v>
      </c>
      <c r="AE272" s="61">
        <f>Tab_Data_Flows[[#This Row],[UoM_Flow_Py]]</f>
        <v>0</v>
      </c>
      <c r="AF272" s="114" t="e">
        <f>INDEX(Tab_Def_Flows[[Flow_ID]:[CC_DM_source]],MATCH(Tab_Data_Flows[[#This Row],[Name(EN)]],Tab_Def_Flows[Name(EN)],0),18)</f>
        <v>#N/A</v>
      </c>
      <c r="AG272" s="115" t="str">
        <f>IF(K272="Yes",AF272*Tab_Data_Flows[[#This Row],[Flow_Py]],"N.A.")</f>
        <v>N.A.</v>
      </c>
      <c r="AH272" s="61">
        <f>Tab_Data_Flows[[#This Row],[UoM_Flow_Py]]</f>
        <v>0</v>
      </c>
      <c r="AI272" s="114" t="e">
        <f>INDEX(Tab_Def_Flows[[Flow_ID]:[CC_DM_source]],MATCH(Tab_Data_Flows[[#This Row],[Name(EN)]],Tab_Def_Flows[Name(EN)],0),20)</f>
        <v>#N/A</v>
      </c>
      <c r="AJ272" s="115" t="str">
        <f>IF(L272="Yes",AI272*Tab_Data_Flows[[#This Row],[Flow_Py]],"N.A.")</f>
        <v>N.A.</v>
      </c>
      <c r="AK272" s="61">
        <f>Tab_Data_Flows[[#This Row],[UoM_Flow_Py]]</f>
        <v>0</v>
      </c>
    </row>
    <row r="273" spans="1:37" x14ac:dyDescent="0.35">
      <c r="A273" s="60">
        <f t="shared" si="35"/>
        <v>272</v>
      </c>
      <c r="B273" s="49" t="str">
        <f>_xlfn.XLOOKUP(C273,Tab_Def_Flows[Name(EN)],Tab_Def_Flows[Flow_ID],,0,)</f>
        <v>F_21_21</v>
      </c>
      <c r="C273" s="51"/>
      <c r="D273" s="49">
        <f>_xlfn.XLOOKUP(C273,Tab_Def_Flows[Name(EN)],Tab_Def_Flows[Type_Biomass],,0,)</f>
        <v>0</v>
      </c>
      <c r="E273" s="49">
        <f>_xlfn.XLOOKUP(C273,Tab_Def_Flows[Name(EN)],Tab_Def_Flows[Output_Process],,0,)</f>
        <v>0</v>
      </c>
      <c r="F273" s="49" t="str">
        <f>_xlfn.XLOOKUP(C273,Tab_Def_Flows[Name(EN)],Tab_Def_Flows[Process_ID_O],,0,)</f>
        <v>21__</v>
      </c>
      <c r="G273" s="49">
        <f>_xlfn.XLOOKUP(C273,Tab_Def_Flows[Name(EN)],Tab_Def_Flows[Input_Process],,0,)</f>
        <v>0</v>
      </c>
      <c r="H273" s="61" t="str">
        <f>_xlfn.XLOOKUP(C273,Tab_Def_Flows[Name(EN)],Tab_Def_Flows[Process_ID_I],,0,)</f>
        <v>21__</v>
      </c>
      <c r="I273" s="49">
        <f>_xlfn.XLOOKUP(C273,Tab_Def_Flows[Name(EN)],Tab_Def_Flows[Value_Source],,0,)</f>
        <v>0</v>
      </c>
      <c r="J273" s="49">
        <f>_xlfn.XLOOKUP(C273,Tab_Def_Flows[Name(EN)],Tab_Def_Flows[WC?],,0,)</f>
        <v>0</v>
      </c>
      <c r="K273" s="49">
        <f>_xlfn.XLOOKUP(C273,Tab_Def_Flows[Name(EN)],Tab_Def_Flows[DM?],,0,)</f>
        <v>0</v>
      </c>
      <c r="L273" s="49">
        <f>_xlfn.XLOOKUP(C273,Tab_Def_Flows[Name(EN)],Tab_Def_Flows[CC?],,0,)</f>
        <v>0</v>
      </c>
      <c r="M273" s="51"/>
      <c r="N273" s="51"/>
      <c r="O273" s="88"/>
      <c r="P273" s="51"/>
      <c r="Q273" s="51"/>
      <c r="R273" s="51"/>
      <c r="S273" s="51"/>
      <c r="T273" s="51"/>
      <c r="U273" s="51"/>
      <c r="V273" s="51"/>
      <c r="W273" s="51"/>
      <c r="X273" s="51"/>
      <c r="Y273" s="51"/>
      <c r="Z273" s="51"/>
      <c r="AA273" s="89"/>
      <c r="AB273" s="51"/>
      <c r="AC273" s="114" t="e">
        <f>INDEX(Tab_Def_Flows[[Flow_ID]:[CC_DM_source]],MATCH(Tab_Data_Flows[[#This Row],[Name(EN)]],Tab_Def_Flows[Name(EN)],0),16)</f>
        <v>#N/A</v>
      </c>
      <c r="AD273" s="115" t="str">
        <f>IF(J273="Yes",AA273*Tab_Data_Flows[[#This Row],[WC_'[%']]],"N.A.")</f>
        <v>N.A.</v>
      </c>
      <c r="AE273" s="61">
        <f>Tab_Data_Flows[[#This Row],[UoM_Flow_Py]]</f>
        <v>0</v>
      </c>
      <c r="AF273" s="114" t="e">
        <f>INDEX(Tab_Def_Flows[[Flow_ID]:[CC_DM_source]],MATCH(Tab_Data_Flows[[#This Row],[Name(EN)]],Tab_Def_Flows[Name(EN)],0),18)</f>
        <v>#N/A</v>
      </c>
      <c r="AG273" s="115" t="str">
        <f>IF(K273="Yes",AF273*Tab_Data_Flows[[#This Row],[Flow_Py]],"N.A.")</f>
        <v>N.A.</v>
      </c>
      <c r="AH273" s="61">
        <f>Tab_Data_Flows[[#This Row],[UoM_Flow_Py]]</f>
        <v>0</v>
      </c>
      <c r="AI273" s="114" t="e">
        <f>INDEX(Tab_Def_Flows[[Flow_ID]:[CC_DM_source]],MATCH(Tab_Data_Flows[[#This Row],[Name(EN)]],Tab_Def_Flows[Name(EN)],0),20)</f>
        <v>#N/A</v>
      </c>
      <c r="AJ273" s="115" t="str">
        <f>IF(L273="Yes",AI273*Tab_Data_Flows[[#This Row],[Flow_Py]],"N.A.")</f>
        <v>N.A.</v>
      </c>
      <c r="AK273" s="61">
        <f>Tab_Data_Flows[[#This Row],[UoM_Flow_Py]]</f>
        <v>0</v>
      </c>
    </row>
    <row r="274" spans="1:37" x14ac:dyDescent="0.35">
      <c r="A274" s="60">
        <f t="shared" si="35"/>
        <v>273</v>
      </c>
      <c r="B274" s="49" t="str">
        <f>_xlfn.XLOOKUP(C274,Tab_Def_Flows[Name(EN)],Tab_Def_Flows[Flow_ID],,0,)</f>
        <v>F_21_21</v>
      </c>
      <c r="C274" s="51"/>
      <c r="D274" s="49">
        <f>_xlfn.XLOOKUP(C274,Tab_Def_Flows[Name(EN)],Tab_Def_Flows[Type_Biomass],,0,)</f>
        <v>0</v>
      </c>
      <c r="E274" s="49">
        <f>_xlfn.XLOOKUP(C274,Tab_Def_Flows[Name(EN)],Tab_Def_Flows[Output_Process],,0,)</f>
        <v>0</v>
      </c>
      <c r="F274" s="49" t="str">
        <f>_xlfn.XLOOKUP(C274,Tab_Def_Flows[Name(EN)],Tab_Def_Flows[Process_ID_O],,0,)</f>
        <v>21__</v>
      </c>
      <c r="G274" s="49">
        <f>_xlfn.XLOOKUP(C274,Tab_Def_Flows[Name(EN)],Tab_Def_Flows[Input_Process],,0,)</f>
        <v>0</v>
      </c>
      <c r="H274" s="61" t="str">
        <f>_xlfn.XLOOKUP(C274,Tab_Def_Flows[Name(EN)],Tab_Def_Flows[Process_ID_I],,0,)</f>
        <v>21__</v>
      </c>
      <c r="I274" s="49">
        <f>_xlfn.XLOOKUP(C274,Tab_Def_Flows[Name(EN)],Tab_Def_Flows[Value_Source],,0,)</f>
        <v>0</v>
      </c>
      <c r="J274" s="49">
        <f>_xlfn.XLOOKUP(C274,Tab_Def_Flows[Name(EN)],Tab_Def_Flows[WC?],,0,)</f>
        <v>0</v>
      </c>
      <c r="K274" s="49">
        <f>_xlfn.XLOOKUP(C274,Tab_Def_Flows[Name(EN)],Tab_Def_Flows[DM?],,0,)</f>
        <v>0</v>
      </c>
      <c r="L274" s="49">
        <f>_xlfn.XLOOKUP(C274,Tab_Def_Flows[Name(EN)],Tab_Def_Flows[CC?],,0,)</f>
        <v>0</v>
      </c>
      <c r="M274" s="51"/>
      <c r="N274" s="51"/>
      <c r="O274" s="88"/>
      <c r="P274" s="51"/>
      <c r="Q274" s="51"/>
      <c r="R274" s="51"/>
      <c r="S274" s="51"/>
      <c r="T274" s="51"/>
      <c r="U274" s="51"/>
      <c r="V274" s="51"/>
      <c r="W274" s="51"/>
      <c r="X274" s="51"/>
      <c r="Y274" s="51"/>
      <c r="Z274" s="51"/>
      <c r="AA274" s="89">
        <f t="shared" ref="AA274:AA305" si="37">IF(X274="no",O274,O274*Y274)</f>
        <v>0</v>
      </c>
      <c r="AB274" s="51"/>
      <c r="AC274" s="114" t="e">
        <f>INDEX(Tab_Def_Flows[[Flow_ID]:[CC_DM_source]],MATCH(Tab_Data_Flows[[#This Row],[Name(EN)]],Tab_Def_Flows[Name(EN)],0),16)</f>
        <v>#N/A</v>
      </c>
      <c r="AD274" s="115" t="str">
        <f>IF(J274="Yes",AA274*Tab_Data_Flows[[#This Row],[WC_'[%']]],"N.A.")</f>
        <v>N.A.</v>
      </c>
      <c r="AE274" s="61">
        <f>Tab_Data_Flows[[#This Row],[UoM_Flow_Py]]</f>
        <v>0</v>
      </c>
      <c r="AF274" s="114" t="e">
        <f>INDEX(Tab_Def_Flows[[Flow_ID]:[CC_DM_source]],MATCH(Tab_Data_Flows[[#This Row],[Name(EN)]],Tab_Def_Flows[Name(EN)],0),18)</f>
        <v>#N/A</v>
      </c>
      <c r="AG274" s="115" t="str">
        <f>IF(K274="Yes",AF274*Tab_Data_Flows[[#This Row],[Flow_Py]],"N.A.")</f>
        <v>N.A.</v>
      </c>
      <c r="AH274" s="61">
        <f>Tab_Data_Flows[[#This Row],[UoM_Flow_Py]]</f>
        <v>0</v>
      </c>
      <c r="AI274" s="114" t="e">
        <f>INDEX(Tab_Def_Flows[[Flow_ID]:[CC_DM_source]],MATCH(Tab_Data_Flows[[#This Row],[Name(EN)]],Tab_Def_Flows[Name(EN)],0),20)</f>
        <v>#N/A</v>
      </c>
      <c r="AJ274" s="115" t="str">
        <f>IF(L274="Yes",AI274*Tab_Data_Flows[[#This Row],[Flow_Py]],"N.A.")</f>
        <v>N.A.</v>
      </c>
      <c r="AK274" s="61">
        <f>Tab_Data_Flows[[#This Row],[UoM_Flow_Py]]</f>
        <v>0</v>
      </c>
    </row>
    <row r="275" spans="1:37" x14ac:dyDescent="0.35">
      <c r="A275" s="60">
        <f t="shared" si="35"/>
        <v>274</v>
      </c>
      <c r="B275" s="49" t="str">
        <f>_xlfn.XLOOKUP(C275,Tab_Def_Flows[Name(EN)],Tab_Def_Flows[Flow_ID],,0,)</f>
        <v>F_21_21</v>
      </c>
      <c r="C275" s="51"/>
      <c r="D275" s="49">
        <f>_xlfn.XLOOKUP(C275,Tab_Def_Flows[Name(EN)],Tab_Def_Flows[Type_Biomass],,0,)</f>
        <v>0</v>
      </c>
      <c r="E275" s="49">
        <f>_xlfn.XLOOKUP(C275,Tab_Def_Flows[Name(EN)],Tab_Def_Flows[Output_Process],,0,)</f>
        <v>0</v>
      </c>
      <c r="F275" s="49" t="str">
        <f>_xlfn.XLOOKUP(C275,Tab_Def_Flows[Name(EN)],Tab_Def_Flows[Process_ID_O],,0,)</f>
        <v>21__</v>
      </c>
      <c r="G275" s="49">
        <f>_xlfn.XLOOKUP(C275,Tab_Def_Flows[Name(EN)],Tab_Def_Flows[Input_Process],,0,)</f>
        <v>0</v>
      </c>
      <c r="H275" s="61" t="str">
        <f>_xlfn.XLOOKUP(C275,Tab_Def_Flows[Name(EN)],Tab_Def_Flows[Process_ID_I],,0,)</f>
        <v>21__</v>
      </c>
      <c r="I275" s="49">
        <f>_xlfn.XLOOKUP(C275,Tab_Def_Flows[Name(EN)],Tab_Def_Flows[Value_Source],,0,)</f>
        <v>0</v>
      </c>
      <c r="J275" s="49">
        <f>_xlfn.XLOOKUP(C275,Tab_Def_Flows[Name(EN)],Tab_Def_Flows[WC?],,0,)</f>
        <v>0</v>
      </c>
      <c r="K275" s="49">
        <f>_xlfn.XLOOKUP(C275,Tab_Def_Flows[Name(EN)],Tab_Def_Flows[DM?],,0,)</f>
        <v>0</v>
      </c>
      <c r="L275" s="49">
        <f>_xlfn.XLOOKUP(C275,Tab_Def_Flows[Name(EN)],Tab_Def_Flows[CC?],,0,)</f>
        <v>0</v>
      </c>
      <c r="M275" s="51"/>
      <c r="N275" s="51"/>
      <c r="O275" s="88"/>
      <c r="P275" s="51"/>
      <c r="Q275" s="51"/>
      <c r="R275" s="51"/>
      <c r="S275" s="51"/>
      <c r="T275" s="51"/>
      <c r="U275" s="51"/>
      <c r="V275" s="51"/>
      <c r="W275" s="51"/>
      <c r="X275" s="51"/>
      <c r="Y275" s="51"/>
      <c r="Z275" s="51"/>
      <c r="AA275" s="89">
        <f t="shared" si="37"/>
        <v>0</v>
      </c>
      <c r="AB275" s="51"/>
      <c r="AC275" s="114" t="e">
        <f>INDEX(Tab_Def_Flows[[Flow_ID]:[CC_DM_source]],MATCH(Tab_Data_Flows[[#This Row],[Name(EN)]],Tab_Def_Flows[Name(EN)],0),16)</f>
        <v>#N/A</v>
      </c>
      <c r="AD275" s="115" t="str">
        <f>IF(J275="Yes",AA275*Tab_Data_Flows[[#This Row],[WC_'[%']]],"N.A.")</f>
        <v>N.A.</v>
      </c>
      <c r="AE275" s="61">
        <f>Tab_Data_Flows[[#This Row],[UoM_Flow_Py]]</f>
        <v>0</v>
      </c>
      <c r="AF275" s="114" t="e">
        <f>INDEX(Tab_Def_Flows[[Flow_ID]:[CC_DM_source]],MATCH(Tab_Data_Flows[[#This Row],[Name(EN)]],Tab_Def_Flows[Name(EN)],0),18)</f>
        <v>#N/A</v>
      </c>
      <c r="AG275" s="115" t="str">
        <f>IF(K275="Yes",AF275*Tab_Data_Flows[[#This Row],[Flow_Py]],"N.A.")</f>
        <v>N.A.</v>
      </c>
      <c r="AH275" s="61">
        <f>Tab_Data_Flows[[#This Row],[UoM_Flow_Py]]</f>
        <v>0</v>
      </c>
      <c r="AI275" s="114" t="e">
        <f>INDEX(Tab_Def_Flows[[Flow_ID]:[CC_DM_source]],MATCH(Tab_Data_Flows[[#This Row],[Name(EN)]],Tab_Def_Flows[Name(EN)],0),20)</f>
        <v>#N/A</v>
      </c>
      <c r="AJ275" s="115" t="str">
        <f>IF(L275="Yes",AI275*Tab_Data_Flows[[#This Row],[Flow_Py]],"N.A.")</f>
        <v>N.A.</v>
      </c>
      <c r="AK275" s="61">
        <f>Tab_Data_Flows[[#This Row],[UoM_Flow_Py]]</f>
        <v>0</v>
      </c>
    </row>
    <row r="276" spans="1:37" x14ac:dyDescent="0.35">
      <c r="A276" s="60">
        <f t="shared" si="35"/>
        <v>275</v>
      </c>
      <c r="B276" s="49" t="str">
        <f>_xlfn.XLOOKUP(C276,Tab_Def_Flows[Name(EN)],Tab_Def_Flows[Flow_ID],,0,)</f>
        <v>F_21_21</v>
      </c>
      <c r="C276" s="51"/>
      <c r="D276" s="49">
        <f>_xlfn.XLOOKUP(C276,Tab_Def_Flows[Name(EN)],Tab_Def_Flows[Type_Biomass],,0,)</f>
        <v>0</v>
      </c>
      <c r="E276" s="49">
        <f>_xlfn.XLOOKUP(C276,Tab_Def_Flows[Name(EN)],Tab_Def_Flows[Output_Process],,0,)</f>
        <v>0</v>
      </c>
      <c r="F276" s="49" t="str">
        <f>_xlfn.XLOOKUP(C276,Tab_Def_Flows[Name(EN)],Tab_Def_Flows[Process_ID_O],,0,)</f>
        <v>21__</v>
      </c>
      <c r="G276" s="49">
        <f>_xlfn.XLOOKUP(C276,Tab_Def_Flows[Name(EN)],Tab_Def_Flows[Input_Process],,0,)</f>
        <v>0</v>
      </c>
      <c r="H276" s="61" t="str">
        <f>_xlfn.XLOOKUP(C276,Tab_Def_Flows[Name(EN)],Tab_Def_Flows[Process_ID_I],,0,)</f>
        <v>21__</v>
      </c>
      <c r="I276" s="49">
        <f>_xlfn.XLOOKUP(C276,Tab_Def_Flows[Name(EN)],Tab_Def_Flows[Value_Source],,0,)</f>
        <v>0</v>
      </c>
      <c r="J276" s="49">
        <f>_xlfn.XLOOKUP(C276,Tab_Def_Flows[Name(EN)],Tab_Def_Flows[WC?],,0,)</f>
        <v>0</v>
      </c>
      <c r="K276" s="49">
        <f>_xlfn.XLOOKUP(C276,Tab_Def_Flows[Name(EN)],Tab_Def_Flows[DM?],,0,)</f>
        <v>0</v>
      </c>
      <c r="L276" s="49">
        <f>_xlfn.XLOOKUP(C276,Tab_Def_Flows[Name(EN)],Tab_Def_Flows[CC?],,0,)</f>
        <v>0</v>
      </c>
      <c r="M276" s="51"/>
      <c r="N276" s="51"/>
      <c r="O276" s="88"/>
      <c r="P276" s="51"/>
      <c r="Q276" s="51"/>
      <c r="R276" s="51"/>
      <c r="S276" s="51"/>
      <c r="T276" s="51"/>
      <c r="U276" s="51"/>
      <c r="V276" s="51"/>
      <c r="W276" s="51"/>
      <c r="X276" s="51"/>
      <c r="Y276" s="51"/>
      <c r="Z276" s="51"/>
      <c r="AA276" s="89">
        <f t="shared" si="37"/>
        <v>0</v>
      </c>
      <c r="AB276" s="51"/>
      <c r="AC276" s="114" t="e">
        <f>INDEX(Tab_Def_Flows[[Flow_ID]:[CC_DM_source]],MATCH(Tab_Data_Flows[[#This Row],[Name(EN)]],Tab_Def_Flows[Name(EN)],0),16)</f>
        <v>#N/A</v>
      </c>
      <c r="AD276" s="115" t="str">
        <f>IF(J276="Yes",AA276*Tab_Data_Flows[[#This Row],[WC_'[%']]],"N.A.")</f>
        <v>N.A.</v>
      </c>
      <c r="AE276" s="61">
        <f>Tab_Data_Flows[[#This Row],[UoM_Flow_Py]]</f>
        <v>0</v>
      </c>
      <c r="AF276" s="114" t="e">
        <f>INDEX(Tab_Def_Flows[[Flow_ID]:[CC_DM_source]],MATCH(Tab_Data_Flows[[#This Row],[Name(EN)]],Tab_Def_Flows[Name(EN)],0),18)</f>
        <v>#N/A</v>
      </c>
      <c r="AG276" s="115" t="str">
        <f>IF(K276="Yes",AF276*Tab_Data_Flows[[#This Row],[Flow_Py]],"N.A.")</f>
        <v>N.A.</v>
      </c>
      <c r="AH276" s="61">
        <f>Tab_Data_Flows[[#This Row],[UoM_Flow_Py]]</f>
        <v>0</v>
      </c>
      <c r="AI276" s="114" t="e">
        <f>INDEX(Tab_Def_Flows[[Flow_ID]:[CC_DM_source]],MATCH(Tab_Data_Flows[[#This Row],[Name(EN)]],Tab_Def_Flows[Name(EN)],0),20)</f>
        <v>#N/A</v>
      </c>
      <c r="AJ276" s="115" t="str">
        <f>IF(L276="Yes",AI276*Tab_Data_Flows[[#This Row],[Flow_Py]],"N.A.")</f>
        <v>N.A.</v>
      </c>
      <c r="AK276" s="61">
        <f>Tab_Data_Flows[[#This Row],[UoM_Flow_Py]]</f>
        <v>0</v>
      </c>
    </row>
    <row r="277" spans="1:37" x14ac:dyDescent="0.35">
      <c r="A277" s="60">
        <f t="shared" si="35"/>
        <v>276</v>
      </c>
      <c r="B277" s="49" t="str">
        <f>_xlfn.XLOOKUP(C277,Tab_Def_Flows[Name(EN)],Tab_Def_Flows[Flow_ID],,0,)</f>
        <v>F_21_21</v>
      </c>
      <c r="C277" s="51"/>
      <c r="D277" s="49">
        <f>_xlfn.XLOOKUP(C277,Tab_Def_Flows[Name(EN)],Tab_Def_Flows[Type_Biomass],,0,)</f>
        <v>0</v>
      </c>
      <c r="E277" s="49">
        <f>_xlfn.XLOOKUP(C277,Tab_Def_Flows[Name(EN)],Tab_Def_Flows[Output_Process],,0,)</f>
        <v>0</v>
      </c>
      <c r="F277" s="49" t="str">
        <f>_xlfn.XLOOKUP(C277,Tab_Def_Flows[Name(EN)],Tab_Def_Flows[Process_ID_O],,0,)</f>
        <v>21__</v>
      </c>
      <c r="G277" s="49">
        <f>_xlfn.XLOOKUP(C277,Tab_Def_Flows[Name(EN)],Tab_Def_Flows[Input_Process],,0,)</f>
        <v>0</v>
      </c>
      <c r="H277" s="61" t="str">
        <f>_xlfn.XLOOKUP(C277,Tab_Def_Flows[Name(EN)],Tab_Def_Flows[Process_ID_I],,0,)</f>
        <v>21__</v>
      </c>
      <c r="I277" s="49">
        <f>_xlfn.XLOOKUP(C277,Tab_Def_Flows[Name(EN)],Tab_Def_Flows[Value_Source],,0,)</f>
        <v>0</v>
      </c>
      <c r="J277" s="49">
        <f>_xlfn.XLOOKUP(C277,Tab_Def_Flows[Name(EN)],Tab_Def_Flows[WC?],,0,)</f>
        <v>0</v>
      </c>
      <c r="K277" s="49">
        <f>_xlfn.XLOOKUP(C277,Tab_Def_Flows[Name(EN)],Tab_Def_Flows[DM?],,0,)</f>
        <v>0</v>
      </c>
      <c r="L277" s="49">
        <f>_xlfn.XLOOKUP(C277,Tab_Def_Flows[Name(EN)],Tab_Def_Flows[CC?],,0,)</f>
        <v>0</v>
      </c>
      <c r="M277" s="51"/>
      <c r="N277" s="51"/>
      <c r="O277" s="88"/>
      <c r="P277" s="51"/>
      <c r="Q277" s="51"/>
      <c r="R277" s="51"/>
      <c r="S277" s="51"/>
      <c r="T277" s="51"/>
      <c r="U277" s="51"/>
      <c r="V277" s="51"/>
      <c r="W277" s="51"/>
      <c r="X277" s="51"/>
      <c r="Y277" s="51"/>
      <c r="Z277" s="51"/>
      <c r="AA277" s="89">
        <f t="shared" si="37"/>
        <v>0</v>
      </c>
      <c r="AB277" s="51"/>
      <c r="AC277" s="114" t="e">
        <f>INDEX(Tab_Def_Flows[[Flow_ID]:[CC_DM_source]],MATCH(Tab_Data_Flows[[#This Row],[Name(EN)]],Tab_Def_Flows[Name(EN)],0),16)</f>
        <v>#N/A</v>
      </c>
      <c r="AD277" s="115" t="str">
        <f>IF(J277="Yes",AA277*Tab_Data_Flows[[#This Row],[WC_'[%']]],"N.A.")</f>
        <v>N.A.</v>
      </c>
      <c r="AE277" s="61">
        <f>Tab_Data_Flows[[#This Row],[UoM_Flow_Py]]</f>
        <v>0</v>
      </c>
      <c r="AF277" s="114" t="e">
        <f>INDEX(Tab_Def_Flows[[Flow_ID]:[CC_DM_source]],MATCH(Tab_Data_Flows[[#This Row],[Name(EN)]],Tab_Def_Flows[Name(EN)],0),18)</f>
        <v>#N/A</v>
      </c>
      <c r="AG277" s="115" t="str">
        <f>IF(K277="Yes",AF277*Tab_Data_Flows[[#This Row],[Flow_Py]],"N.A.")</f>
        <v>N.A.</v>
      </c>
      <c r="AH277" s="61">
        <f>Tab_Data_Flows[[#This Row],[UoM_Flow_Py]]</f>
        <v>0</v>
      </c>
      <c r="AI277" s="114" t="e">
        <f>INDEX(Tab_Def_Flows[[Flow_ID]:[CC_DM_source]],MATCH(Tab_Data_Flows[[#This Row],[Name(EN)]],Tab_Def_Flows[Name(EN)],0),20)</f>
        <v>#N/A</v>
      </c>
      <c r="AJ277" s="115" t="str">
        <f>IF(L277="Yes",AI277*Tab_Data_Flows[[#This Row],[Flow_Py]],"N.A.")</f>
        <v>N.A.</v>
      </c>
      <c r="AK277" s="61">
        <f>Tab_Data_Flows[[#This Row],[UoM_Flow_Py]]</f>
        <v>0</v>
      </c>
    </row>
    <row r="278" spans="1:37" x14ac:dyDescent="0.35">
      <c r="A278" s="60">
        <f t="shared" si="35"/>
        <v>277</v>
      </c>
      <c r="B278" s="49" t="str">
        <f>_xlfn.XLOOKUP(C278,Tab_Def_Flows[Name(EN)],Tab_Def_Flows[Flow_ID],,0,)</f>
        <v>F_21_21</v>
      </c>
      <c r="C278" s="51"/>
      <c r="D278" s="49">
        <f>_xlfn.XLOOKUP(C278,Tab_Def_Flows[Name(EN)],Tab_Def_Flows[Type_Biomass],,0,)</f>
        <v>0</v>
      </c>
      <c r="E278" s="49">
        <f>_xlfn.XLOOKUP(C278,Tab_Def_Flows[Name(EN)],Tab_Def_Flows[Output_Process],,0,)</f>
        <v>0</v>
      </c>
      <c r="F278" s="49" t="str">
        <f>_xlfn.XLOOKUP(C278,Tab_Def_Flows[Name(EN)],Tab_Def_Flows[Process_ID_O],,0,)</f>
        <v>21__</v>
      </c>
      <c r="G278" s="49">
        <f>_xlfn.XLOOKUP(C278,Tab_Def_Flows[Name(EN)],Tab_Def_Flows[Input_Process],,0,)</f>
        <v>0</v>
      </c>
      <c r="H278" s="61" t="str">
        <f>_xlfn.XLOOKUP(C278,Tab_Def_Flows[Name(EN)],Tab_Def_Flows[Process_ID_I],,0,)</f>
        <v>21__</v>
      </c>
      <c r="I278" s="49">
        <f>_xlfn.XLOOKUP(C278,Tab_Def_Flows[Name(EN)],Tab_Def_Flows[Value_Source],,0,)</f>
        <v>0</v>
      </c>
      <c r="J278" s="49">
        <f>_xlfn.XLOOKUP(C278,Tab_Def_Flows[Name(EN)],Tab_Def_Flows[WC?],,0,)</f>
        <v>0</v>
      </c>
      <c r="K278" s="49">
        <f>_xlfn.XLOOKUP(C278,Tab_Def_Flows[Name(EN)],Tab_Def_Flows[DM?],,0,)</f>
        <v>0</v>
      </c>
      <c r="L278" s="49">
        <f>_xlfn.XLOOKUP(C278,Tab_Def_Flows[Name(EN)],Tab_Def_Flows[CC?],,0,)</f>
        <v>0</v>
      </c>
      <c r="M278" s="51"/>
      <c r="N278" s="51"/>
      <c r="O278" s="88"/>
      <c r="P278" s="51"/>
      <c r="Q278" s="51"/>
      <c r="R278" s="51"/>
      <c r="S278" s="51"/>
      <c r="T278" s="51"/>
      <c r="U278" s="51"/>
      <c r="V278" s="51"/>
      <c r="W278" s="51"/>
      <c r="X278" s="51"/>
      <c r="Y278" s="51"/>
      <c r="Z278" s="51"/>
      <c r="AA278" s="89">
        <f t="shared" si="37"/>
        <v>0</v>
      </c>
      <c r="AB278" s="51"/>
      <c r="AC278" s="114" t="e">
        <f>INDEX(Tab_Def_Flows[[Flow_ID]:[CC_DM_source]],MATCH(Tab_Data_Flows[[#This Row],[Name(EN)]],Tab_Def_Flows[Name(EN)],0),16)</f>
        <v>#N/A</v>
      </c>
      <c r="AD278" s="115" t="str">
        <f>IF(J278="Yes",AA278*Tab_Data_Flows[[#This Row],[WC_'[%']]],"N.A.")</f>
        <v>N.A.</v>
      </c>
      <c r="AE278" s="61">
        <f>Tab_Data_Flows[[#This Row],[UoM_Flow_Py]]</f>
        <v>0</v>
      </c>
      <c r="AF278" s="114" t="e">
        <f>INDEX(Tab_Def_Flows[[Flow_ID]:[CC_DM_source]],MATCH(Tab_Data_Flows[[#This Row],[Name(EN)]],Tab_Def_Flows[Name(EN)],0),18)</f>
        <v>#N/A</v>
      </c>
      <c r="AG278" s="115" t="str">
        <f>IF(K278="Yes",AF278*Tab_Data_Flows[[#This Row],[Flow_Py]],"N.A.")</f>
        <v>N.A.</v>
      </c>
      <c r="AH278" s="61">
        <f>Tab_Data_Flows[[#This Row],[UoM_Flow_Py]]</f>
        <v>0</v>
      </c>
      <c r="AI278" s="114" t="e">
        <f>INDEX(Tab_Def_Flows[[Flow_ID]:[CC_DM_source]],MATCH(Tab_Data_Flows[[#This Row],[Name(EN)]],Tab_Def_Flows[Name(EN)],0),20)</f>
        <v>#N/A</v>
      </c>
      <c r="AJ278" s="115" t="str">
        <f>IF(L278="Yes",AI278*Tab_Data_Flows[[#This Row],[Flow_Py]],"N.A.")</f>
        <v>N.A.</v>
      </c>
      <c r="AK278" s="61">
        <f>Tab_Data_Flows[[#This Row],[UoM_Flow_Py]]</f>
        <v>0</v>
      </c>
    </row>
    <row r="279" spans="1:37" x14ac:dyDescent="0.35">
      <c r="A279" s="60">
        <f t="shared" si="35"/>
        <v>278</v>
      </c>
      <c r="B279" s="49" t="str">
        <f>_xlfn.XLOOKUP(C279,Tab_Def_Flows[Name(EN)],Tab_Def_Flows[Flow_ID],,0,)</f>
        <v>F_21_21</v>
      </c>
      <c r="C279" s="51"/>
      <c r="D279" s="49">
        <f>_xlfn.XLOOKUP(C279,Tab_Def_Flows[Name(EN)],Tab_Def_Flows[Type_Biomass],,0,)</f>
        <v>0</v>
      </c>
      <c r="E279" s="49">
        <f>_xlfn.XLOOKUP(C279,Tab_Def_Flows[Name(EN)],Tab_Def_Flows[Output_Process],,0,)</f>
        <v>0</v>
      </c>
      <c r="F279" s="49" t="str">
        <f>_xlfn.XLOOKUP(C279,Tab_Def_Flows[Name(EN)],Tab_Def_Flows[Process_ID_O],,0,)</f>
        <v>21__</v>
      </c>
      <c r="G279" s="49">
        <f>_xlfn.XLOOKUP(C279,Tab_Def_Flows[Name(EN)],Tab_Def_Flows[Input_Process],,0,)</f>
        <v>0</v>
      </c>
      <c r="H279" s="61" t="str">
        <f>_xlfn.XLOOKUP(C279,Tab_Def_Flows[Name(EN)],Tab_Def_Flows[Process_ID_I],,0,)</f>
        <v>21__</v>
      </c>
      <c r="I279" s="49">
        <f>_xlfn.XLOOKUP(C279,Tab_Def_Flows[Name(EN)],Tab_Def_Flows[Value_Source],,0,)</f>
        <v>0</v>
      </c>
      <c r="J279" s="49">
        <f>_xlfn.XLOOKUP(C279,Tab_Def_Flows[Name(EN)],Tab_Def_Flows[WC?],,0,)</f>
        <v>0</v>
      </c>
      <c r="K279" s="49">
        <f>_xlfn.XLOOKUP(C279,Tab_Def_Flows[Name(EN)],Tab_Def_Flows[DM?],,0,)</f>
        <v>0</v>
      </c>
      <c r="L279" s="49">
        <f>_xlfn.XLOOKUP(C279,Tab_Def_Flows[Name(EN)],Tab_Def_Flows[CC?],,0,)</f>
        <v>0</v>
      </c>
      <c r="M279" s="51"/>
      <c r="N279" s="51"/>
      <c r="O279" s="88"/>
      <c r="P279" s="51"/>
      <c r="Q279" s="51"/>
      <c r="R279" s="51"/>
      <c r="S279" s="51"/>
      <c r="T279" s="51"/>
      <c r="U279" s="51"/>
      <c r="V279" s="51"/>
      <c r="W279" s="51"/>
      <c r="X279" s="51"/>
      <c r="Y279" s="51"/>
      <c r="Z279" s="51"/>
      <c r="AA279" s="89">
        <f t="shared" si="37"/>
        <v>0</v>
      </c>
      <c r="AB279" s="51"/>
      <c r="AC279" s="114" t="e">
        <f>INDEX(Tab_Def_Flows[[Flow_ID]:[CC_DM_source]],MATCH(Tab_Data_Flows[[#This Row],[Name(EN)]],Tab_Def_Flows[Name(EN)],0),16)</f>
        <v>#N/A</v>
      </c>
      <c r="AD279" s="115" t="str">
        <f>IF(J279="Yes",AA279*Tab_Data_Flows[[#This Row],[WC_'[%']]],"N.A.")</f>
        <v>N.A.</v>
      </c>
      <c r="AE279" s="61">
        <f>Tab_Data_Flows[[#This Row],[UoM_Flow_Py]]</f>
        <v>0</v>
      </c>
      <c r="AF279" s="114" t="e">
        <f>INDEX(Tab_Def_Flows[[Flow_ID]:[CC_DM_source]],MATCH(Tab_Data_Flows[[#This Row],[Name(EN)]],Tab_Def_Flows[Name(EN)],0),18)</f>
        <v>#N/A</v>
      </c>
      <c r="AG279" s="115" t="str">
        <f>IF(K279="Yes",AF279*Tab_Data_Flows[[#This Row],[Flow_Py]],"N.A.")</f>
        <v>N.A.</v>
      </c>
      <c r="AH279" s="61">
        <f>Tab_Data_Flows[[#This Row],[UoM_Flow_Py]]</f>
        <v>0</v>
      </c>
      <c r="AI279" s="114" t="e">
        <f>INDEX(Tab_Def_Flows[[Flow_ID]:[CC_DM_source]],MATCH(Tab_Data_Flows[[#This Row],[Name(EN)]],Tab_Def_Flows[Name(EN)],0),20)</f>
        <v>#N/A</v>
      </c>
      <c r="AJ279" s="115" t="str">
        <f>IF(L279="Yes",AI279*Tab_Data_Flows[[#This Row],[Flow_Py]],"N.A.")</f>
        <v>N.A.</v>
      </c>
      <c r="AK279" s="61">
        <f>Tab_Data_Flows[[#This Row],[UoM_Flow_Py]]</f>
        <v>0</v>
      </c>
    </row>
    <row r="280" spans="1:37" x14ac:dyDescent="0.35">
      <c r="A280" s="60">
        <f t="shared" si="35"/>
        <v>279</v>
      </c>
      <c r="B280" s="49" t="str">
        <f>_xlfn.XLOOKUP(C280,Tab_Def_Flows[Name(EN)],Tab_Def_Flows[Flow_ID],,0,)</f>
        <v>F_21_21</v>
      </c>
      <c r="C280" s="51"/>
      <c r="D280" s="49">
        <f>_xlfn.XLOOKUP(C280,Tab_Def_Flows[Name(EN)],Tab_Def_Flows[Type_Biomass],,0,)</f>
        <v>0</v>
      </c>
      <c r="E280" s="49">
        <f>_xlfn.XLOOKUP(C280,Tab_Def_Flows[Name(EN)],Tab_Def_Flows[Output_Process],,0,)</f>
        <v>0</v>
      </c>
      <c r="F280" s="49" t="str">
        <f>_xlfn.XLOOKUP(C280,Tab_Def_Flows[Name(EN)],Tab_Def_Flows[Process_ID_O],,0,)</f>
        <v>21__</v>
      </c>
      <c r="G280" s="49">
        <f>_xlfn.XLOOKUP(C280,Tab_Def_Flows[Name(EN)],Tab_Def_Flows[Input_Process],,0,)</f>
        <v>0</v>
      </c>
      <c r="H280" s="61" t="str">
        <f>_xlfn.XLOOKUP(C280,Tab_Def_Flows[Name(EN)],Tab_Def_Flows[Process_ID_I],,0,)</f>
        <v>21__</v>
      </c>
      <c r="I280" s="49">
        <f>_xlfn.XLOOKUP(C280,Tab_Def_Flows[Name(EN)],Tab_Def_Flows[Value_Source],,0,)</f>
        <v>0</v>
      </c>
      <c r="J280" s="49">
        <f>_xlfn.XLOOKUP(C280,Tab_Def_Flows[Name(EN)],Tab_Def_Flows[WC?],,0,)</f>
        <v>0</v>
      </c>
      <c r="K280" s="49">
        <f>_xlfn.XLOOKUP(C280,Tab_Def_Flows[Name(EN)],Tab_Def_Flows[DM?],,0,)</f>
        <v>0</v>
      </c>
      <c r="L280" s="49">
        <f>_xlfn.XLOOKUP(C280,Tab_Def_Flows[Name(EN)],Tab_Def_Flows[CC?],,0,)</f>
        <v>0</v>
      </c>
      <c r="M280" s="51"/>
      <c r="N280" s="51"/>
      <c r="O280" s="88"/>
      <c r="P280" s="51"/>
      <c r="Q280" s="51"/>
      <c r="R280" s="51"/>
      <c r="S280" s="51"/>
      <c r="T280" s="51"/>
      <c r="U280" s="51"/>
      <c r="V280" s="51"/>
      <c r="W280" s="51"/>
      <c r="X280" s="51"/>
      <c r="Y280" s="51"/>
      <c r="Z280" s="51"/>
      <c r="AA280" s="89">
        <f t="shared" si="37"/>
        <v>0</v>
      </c>
      <c r="AB280" s="51"/>
      <c r="AC280" s="114" t="e">
        <f>INDEX(Tab_Def_Flows[[Flow_ID]:[CC_DM_source]],MATCH(Tab_Data_Flows[[#This Row],[Name(EN)]],Tab_Def_Flows[Name(EN)],0),16)</f>
        <v>#N/A</v>
      </c>
      <c r="AD280" s="115" t="str">
        <f>IF(J280="Yes",AA280*Tab_Data_Flows[[#This Row],[WC_'[%']]],"N.A.")</f>
        <v>N.A.</v>
      </c>
      <c r="AE280" s="61">
        <f>Tab_Data_Flows[[#This Row],[UoM_Flow_Py]]</f>
        <v>0</v>
      </c>
      <c r="AF280" s="114" t="e">
        <f>INDEX(Tab_Def_Flows[[Flow_ID]:[CC_DM_source]],MATCH(Tab_Data_Flows[[#This Row],[Name(EN)]],Tab_Def_Flows[Name(EN)],0),18)</f>
        <v>#N/A</v>
      </c>
      <c r="AG280" s="115" t="str">
        <f>IF(K280="Yes",AF280*Tab_Data_Flows[[#This Row],[Flow_Py]],"N.A.")</f>
        <v>N.A.</v>
      </c>
      <c r="AH280" s="61">
        <f>Tab_Data_Flows[[#This Row],[UoM_Flow_Py]]</f>
        <v>0</v>
      </c>
      <c r="AI280" s="114" t="e">
        <f>INDEX(Tab_Def_Flows[[Flow_ID]:[CC_DM_source]],MATCH(Tab_Data_Flows[[#This Row],[Name(EN)]],Tab_Def_Flows[Name(EN)],0),20)</f>
        <v>#N/A</v>
      </c>
      <c r="AJ280" s="115" t="str">
        <f>IF(L280="Yes",AI280*Tab_Data_Flows[[#This Row],[Flow_Py]],"N.A.")</f>
        <v>N.A.</v>
      </c>
      <c r="AK280" s="61">
        <f>Tab_Data_Flows[[#This Row],[UoM_Flow_Py]]</f>
        <v>0</v>
      </c>
    </row>
    <row r="281" spans="1:37" x14ac:dyDescent="0.35">
      <c r="A281" s="60">
        <f t="shared" si="35"/>
        <v>280</v>
      </c>
      <c r="B281" s="49" t="str">
        <f>_xlfn.XLOOKUP(C281,Tab_Def_Flows[Name(EN)],Tab_Def_Flows[Flow_ID],,0,)</f>
        <v>F_21_21</v>
      </c>
      <c r="C281" s="51"/>
      <c r="D281" s="49">
        <f>_xlfn.XLOOKUP(C281,Tab_Def_Flows[Name(EN)],Tab_Def_Flows[Type_Biomass],,0,)</f>
        <v>0</v>
      </c>
      <c r="E281" s="49">
        <f>_xlfn.XLOOKUP(C281,Tab_Def_Flows[Name(EN)],Tab_Def_Flows[Output_Process],,0,)</f>
        <v>0</v>
      </c>
      <c r="F281" s="49" t="str">
        <f>_xlfn.XLOOKUP(C281,Tab_Def_Flows[Name(EN)],Tab_Def_Flows[Process_ID_O],,0,)</f>
        <v>21__</v>
      </c>
      <c r="G281" s="49">
        <f>_xlfn.XLOOKUP(C281,Tab_Def_Flows[Name(EN)],Tab_Def_Flows[Input_Process],,0,)</f>
        <v>0</v>
      </c>
      <c r="H281" s="61" t="str">
        <f>_xlfn.XLOOKUP(C281,Tab_Def_Flows[Name(EN)],Tab_Def_Flows[Process_ID_I],,0,)</f>
        <v>21__</v>
      </c>
      <c r="I281" s="49">
        <f>_xlfn.XLOOKUP(C281,Tab_Def_Flows[Name(EN)],Tab_Def_Flows[Value_Source],,0,)</f>
        <v>0</v>
      </c>
      <c r="J281" s="49">
        <f>_xlfn.XLOOKUP(C281,Tab_Def_Flows[Name(EN)],Tab_Def_Flows[WC?],,0,)</f>
        <v>0</v>
      </c>
      <c r="K281" s="49">
        <f>_xlfn.XLOOKUP(C281,Tab_Def_Flows[Name(EN)],Tab_Def_Flows[DM?],,0,)</f>
        <v>0</v>
      </c>
      <c r="L281" s="49">
        <f>_xlfn.XLOOKUP(C281,Tab_Def_Flows[Name(EN)],Tab_Def_Flows[CC?],,0,)</f>
        <v>0</v>
      </c>
      <c r="M281" s="51"/>
      <c r="N281" s="51"/>
      <c r="O281" s="88"/>
      <c r="P281" s="51"/>
      <c r="Q281" s="51"/>
      <c r="R281" s="51"/>
      <c r="S281" s="51"/>
      <c r="T281" s="51"/>
      <c r="U281" s="51"/>
      <c r="V281" s="51"/>
      <c r="W281" s="51"/>
      <c r="X281" s="51"/>
      <c r="Y281" s="51"/>
      <c r="Z281" s="51"/>
      <c r="AA281" s="89">
        <f t="shared" si="37"/>
        <v>0</v>
      </c>
      <c r="AB281" s="51"/>
      <c r="AC281" s="114" t="e">
        <f>INDEX(Tab_Def_Flows[[Flow_ID]:[CC_DM_source]],MATCH(Tab_Data_Flows[[#This Row],[Name(EN)]],Tab_Def_Flows[Name(EN)],0),16)</f>
        <v>#N/A</v>
      </c>
      <c r="AD281" s="115" t="str">
        <f>IF(J281="Yes",AA281*Tab_Data_Flows[[#This Row],[WC_'[%']]],"N.A.")</f>
        <v>N.A.</v>
      </c>
      <c r="AE281" s="61">
        <f>Tab_Data_Flows[[#This Row],[UoM_Flow_Py]]</f>
        <v>0</v>
      </c>
      <c r="AF281" s="114" t="e">
        <f>INDEX(Tab_Def_Flows[[Flow_ID]:[CC_DM_source]],MATCH(Tab_Data_Flows[[#This Row],[Name(EN)]],Tab_Def_Flows[Name(EN)],0),18)</f>
        <v>#N/A</v>
      </c>
      <c r="AG281" s="115" t="str">
        <f>IF(K281="Yes",AF281*Tab_Data_Flows[[#This Row],[Flow_Py]],"N.A.")</f>
        <v>N.A.</v>
      </c>
      <c r="AH281" s="61">
        <f>Tab_Data_Flows[[#This Row],[UoM_Flow_Py]]</f>
        <v>0</v>
      </c>
      <c r="AI281" s="114" t="e">
        <f>INDEX(Tab_Def_Flows[[Flow_ID]:[CC_DM_source]],MATCH(Tab_Data_Flows[[#This Row],[Name(EN)]],Tab_Def_Flows[Name(EN)],0),20)</f>
        <v>#N/A</v>
      </c>
      <c r="AJ281" s="115" t="str">
        <f>IF(L281="Yes",AI281*Tab_Data_Flows[[#This Row],[Flow_Py]],"N.A.")</f>
        <v>N.A.</v>
      </c>
      <c r="AK281" s="61">
        <f>Tab_Data_Flows[[#This Row],[UoM_Flow_Py]]</f>
        <v>0</v>
      </c>
    </row>
    <row r="282" spans="1:37" x14ac:dyDescent="0.35">
      <c r="A282" s="60">
        <f t="shared" si="35"/>
        <v>281</v>
      </c>
      <c r="B282" s="49" t="str">
        <f>_xlfn.XLOOKUP(C282,Tab_Def_Flows[Name(EN)],Tab_Def_Flows[Flow_ID],,0,)</f>
        <v>F_21_21</v>
      </c>
      <c r="C282" s="51"/>
      <c r="D282" s="49">
        <f>_xlfn.XLOOKUP(C282,Tab_Def_Flows[Name(EN)],Tab_Def_Flows[Type_Biomass],,0,)</f>
        <v>0</v>
      </c>
      <c r="E282" s="49">
        <f>_xlfn.XLOOKUP(C282,Tab_Def_Flows[Name(EN)],Tab_Def_Flows[Output_Process],,0,)</f>
        <v>0</v>
      </c>
      <c r="F282" s="49" t="str">
        <f>_xlfn.XLOOKUP(C282,Tab_Def_Flows[Name(EN)],Tab_Def_Flows[Process_ID_O],,0,)</f>
        <v>21__</v>
      </c>
      <c r="G282" s="49">
        <f>_xlfn.XLOOKUP(C282,Tab_Def_Flows[Name(EN)],Tab_Def_Flows[Input_Process],,0,)</f>
        <v>0</v>
      </c>
      <c r="H282" s="61" t="str">
        <f>_xlfn.XLOOKUP(C282,Tab_Def_Flows[Name(EN)],Tab_Def_Flows[Process_ID_I],,0,)</f>
        <v>21__</v>
      </c>
      <c r="I282" s="49">
        <f>_xlfn.XLOOKUP(C282,Tab_Def_Flows[Name(EN)],Tab_Def_Flows[Value_Source],,0,)</f>
        <v>0</v>
      </c>
      <c r="J282" s="49">
        <f>_xlfn.XLOOKUP(C282,Tab_Def_Flows[Name(EN)],Tab_Def_Flows[WC?],,0,)</f>
        <v>0</v>
      </c>
      <c r="K282" s="49">
        <f>_xlfn.XLOOKUP(C282,Tab_Def_Flows[Name(EN)],Tab_Def_Flows[DM?],,0,)</f>
        <v>0</v>
      </c>
      <c r="L282" s="49">
        <f>_xlfn.XLOOKUP(C282,Tab_Def_Flows[Name(EN)],Tab_Def_Flows[CC?],,0,)</f>
        <v>0</v>
      </c>
      <c r="M282" s="51"/>
      <c r="N282" s="51"/>
      <c r="O282" s="88"/>
      <c r="P282" s="51"/>
      <c r="Q282" s="51"/>
      <c r="R282" s="51"/>
      <c r="S282" s="51"/>
      <c r="T282" s="51"/>
      <c r="U282" s="51"/>
      <c r="V282" s="51"/>
      <c r="W282" s="51"/>
      <c r="X282" s="51"/>
      <c r="Y282" s="51"/>
      <c r="Z282" s="51"/>
      <c r="AA282" s="89">
        <f t="shared" si="37"/>
        <v>0</v>
      </c>
      <c r="AB282" s="51"/>
      <c r="AC282" s="114" t="e">
        <f>INDEX(Tab_Def_Flows[[Flow_ID]:[CC_DM_source]],MATCH(Tab_Data_Flows[[#This Row],[Name(EN)]],Tab_Def_Flows[Name(EN)],0),16)</f>
        <v>#N/A</v>
      </c>
      <c r="AD282" s="115" t="str">
        <f>IF(J282="Yes",AA282*Tab_Data_Flows[[#This Row],[WC_'[%']]],"N.A.")</f>
        <v>N.A.</v>
      </c>
      <c r="AE282" s="61">
        <f>Tab_Data_Flows[[#This Row],[UoM_Flow_Py]]</f>
        <v>0</v>
      </c>
      <c r="AF282" s="114" t="e">
        <f>INDEX(Tab_Def_Flows[[Flow_ID]:[CC_DM_source]],MATCH(Tab_Data_Flows[[#This Row],[Name(EN)]],Tab_Def_Flows[Name(EN)],0),18)</f>
        <v>#N/A</v>
      </c>
      <c r="AG282" s="115" t="str">
        <f>IF(K282="Yes",AF282*Tab_Data_Flows[[#This Row],[Flow_Py]],"N.A.")</f>
        <v>N.A.</v>
      </c>
      <c r="AH282" s="61">
        <f>Tab_Data_Flows[[#This Row],[UoM_Flow_Py]]</f>
        <v>0</v>
      </c>
      <c r="AI282" s="114" t="e">
        <f>INDEX(Tab_Def_Flows[[Flow_ID]:[CC_DM_source]],MATCH(Tab_Data_Flows[[#This Row],[Name(EN)]],Tab_Def_Flows[Name(EN)],0),20)</f>
        <v>#N/A</v>
      </c>
      <c r="AJ282" s="115" t="str">
        <f>IF(L282="Yes",AI282*Tab_Data_Flows[[#This Row],[Flow_Py]],"N.A.")</f>
        <v>N.A.</v>
      </c>
      <c r="AK282" s="61">
        <f>Tab_Data_Flows[[#This Row],[UoM_Flow_Py]]</f>
        <v>0</v>
      </c>
    </row>
    <row r="283" spans="1:37" x14ac:dyDescent="0.35">
      <c r="A283" s="60">
        <f t="shared" si="35"/>
        <v>282</v>
      </c>
      <c r="B283" s="49" t="str">
        <f>_xlfn.XLOOKUP(C283,Tab_Def_Flows[Name(EN)],Tab_Def_Flows[Flow_ID],,0,)</f>
        <v>F_21_21</v>
      </c>
      <c r="C283" s="51"/>
      <c r="D283" s="49">
        <f>_xlfn.XLOOKUP(C283,Tab_Def_Flows[Name(EN)],Tab_Def_Flows[Type_Biomass],,0,)</f>
        <v>0</v>
      </c>
      <c r="E283" s="49">
        <f>_xlfn.XLOOKUP(C283,Tab_Def_Flows[Name(EN)],Tab_Def_Flows[Output_Process],,0,)</f>
        <v>0</v>
      </c>
      <c r="F283" s="49" t="str">
        <f>_xlfn.XLOOKUP(C283,Tab_Def_Flows[Name(EN)],Tab_Def_Flows[Process_ID_O],,0,)</f>
        <v>21__</v>
      </c>
      <c r="G283" s="49">
        <f>_xlfn.XLOOKUP(C283,Tab_Def_Flows[Name(EN)],Tab_Def_Flows[Input_Process],,0,)</f>
        <v>0</v>
      </c>
      <c r="H283" s="61" t="str">
        <f>_xlfn.XLOOKUP(C283,Tab_Def_Flows[Name(EN)],Tab_Def_Flows[Process_ID_I],,0,)</f>
        <v>21__</v>
      </c>
      <c r="I283" s="49">
        <f>_xlfn.XLOOKUP(C283,Tab_Def_Flows[Name(EN)],Tab_Def_Flows[Value_Source],,0,)</f>
        <v>0</v>
      </c>
      <c r="J283" s="49">
        <f>_xlfn.XLOOKUP(C283,Tab_Def_Flows[Name(EN)],Tab_Def_Flows[WC?],,0,)</f>
        <v>0</v>
      </c>
      <c r="K283" s="49">
        <f>_xlfn.XLOOKUP(C283,Tab_Def_Flows[Name(EN)],Tab_Def_Flows[DM?],,0,)</f>
        <v>0</v>
      </c>
      <c r="L283" s="49">
        <f>_xlfn.XLOOKUP(C283,Tab_Def_Flows[Name(EN)],Tab_Def_Flows[CC?],,0,)</f>
        <v>0</v>
      </c>
      <c r="M283" s="51"/>
      <c r="N283" s="51"/>
      <c r="O283" s="88"/>
      <c r="P283" s="51"/>
      <c r="Q283" s="51"/>
      <c r="R283" s="51"/>
      <c r="S283" s="51"/>
      <c r="T283" s="51"/>
      <c r="U283" s="51"/>
      <c r="V283" s="51"/>
      <c r="W283" s="51"/>
      <c r="X283" s="51"/>
      <c r="Y283" s="51"/>
      <c r="Z283" s="51"/>
      <c r="AA283" s="89">
        <f t="shared" si="37"/>
        <v>0</v>
      </c>
      <c r="AB283" s="51"/>
      <c r="AC283" s="114" t="e">
        <f>INDEX(Tab_Def_Flows[[Flow_ID]:[CC_DM_source]],MATCH(Tab_Data_Flows[[#This Row],[Name(EN)]],Tab_Def_Flows[Name(EN)],0),16)</f>
        <v>#N/A</v>
      </c>
      <c r="AD283" s="115" t="str">
        <f>IF(J283="Yes",AA283*Tab_Data_Flows[[#This Row],[WC_'[%']]],"N.A.")</f>
        <v>N.A.</v>
      </c>
      <c r="AE283" s="61">
        <f>Tab_Data_Flows[[#This Row],[UoM_Flow_Py]]</f>
        <v>0</v>
      </c>
      <c r="AF283" s="114" t="e">
        <f>INDEX(Tab_Def_Flows[[Flow_ID]:[CC_DM_source]],MATCH(Tab_Data_Flows[[#This Row],[Name(EN)]],Tab_Def_Flows[Name(EN)],0),18)</f>
        <v>#N/A</v>
      </c>
      <c r="AG283" s="115" t="str">
        <f>IF(K283="Yes",AF283*Tab_Data_Flows[[#This Row],[Flow_Py]],"N.A.")</f>
        <v>N.A.</v>
      </c>
      <c r="AH283" s="61">
        <f>Tab_Data_Flows[[#This Row],[UoM_Flow_Py]]</f>
        <v>0</v>
      </c>
      <c r="AI283" s="114" t="e">
        <f>INDEX(Tab_Def_Flows[[Flow_ID]:[CC_DM_source]],MATCH(Tab_Data_Flows[[#This Row],[Name(EN)]],Tab_Def_Flows[Name(EN)],0),20)</f>
        <v>#N/A</v>
      </c>
      <c r="AJ283" s="115" t="str">
        <f>IF(L283="Yes",AI283*Tab_Data_Flows[[#This Row],[Flow_Py]],"N.A.")</f>
        <v>N.A.</v>
      </c>
      <c r="AK283" s="61">
        <f>Tab_Data_Flows[[#This Row],[UoM_Flow_Py]]</f>
        <v>0</v>
      </c>
    </row>
    <row r="284" spans="1:37" x14ac:dyDescent="0.35">
      <c r="A284" s="60">
        <f t="shared" si="35"/>
        <v>283</v>
      </c>
      <c r="B284" s="49" t="str">
        <f>_xlfn.XLOOKUP(C284,Tab_Def_Flows[Name(EN)],Tab_Def_Flows[Flow_ID],,0,)</f>
        <v>F_21_21</v>
      </c>
      <c r="C284" s="51"/>
      <c r="D284" s="49">
        <f>_xlfn.XLOOKUP(C284,Tab_Def_Flows[Name(EN)],Tab_Def_Flows[Type_Biomass],,0,)</f>
        <v>0</v>
      </c>
      <c r="E284" s="49">
        <f>_xlfn.XLOOKUP(C284,Tab_Def_Flows[Name(EN)],Tab_Def_Flows[Output_Process],,0,)</f>
        <v>0</v>
      </c>
      <c r="F284" s="49" t="str">
        <f>_xlfn.XLOOKUP(C284,Tab_Def_Flows[Name(EN)],Tab_Def_Flows[Process_ID_O],,0,)</f>
        <v>21__</v>
      </c>
      <c r="G284" s="49">
        <f>_xlfn.XLOOKUP(C284,Tab_Def_Flows[Name(EN)],Tab_Def_Flows[Input_Process],,0,)</f>
        <v>0</v>
      </c>
      <c r="H284" s="61" t="str">
        <f>_xlfn.XLOOKUP(C284,Tab_Def_Flows[Name(EN)],Tab_Def_Flows[Process_ID_I],,0,)</f>
        <v>21__</v>
      </c>
      <c r="I284" s="49">
        <f>_xlfn.XLOOKUP(C284,Tab_Def_Flows[Name(EN)],Tab_Def_Flows[Value_Source],,0,)</f>
        <v>0</v>
      </c>
      <c r="J284" s="49">
        <f>_xlfn.XLOOKUP(C284,Tab_Def_Flows[Name(EN)],Tab_Def_Flows[WC?],,0,)</f>
        <v>0</v>
      </c>
      <c r="K284" s="49">
        <f>_xlfn.XLOOKUP(C284,Tab_Def_Flows[Name(EN)],Tab_Def_Flows[DM?],,0,)</f>
        <v>0</v>
      </c>
      <c r="L284" s="49">
        <f>_xlfn.XLOOKUP(C284,Tab_Def_Flows[Name(EN)],Tab_Def_Flows[CC?],,0,)</f>
        <v>0</v>
      </c>
      <c r="M284" s="51"/>
      <c r="N284" s="51"/>
      <c r="O284" s="88"/>
      <c r="P284" s="51"/>
      <c r="Q284" s="51"/>
      <c r="R284" s="51"/>
      <c r="S284" s="51"/>
      <c r="T284" s="51"/>
      <c r="U284" s="51"/>
      <c r="V284" s="51"/>
      <c r="W284" s="51"/>
      <c r="X284" s="51"/>
      <c r="Y284" s="51"/>
      <c r="Z284" s="51"/>
      <c r="AA284" s="89">
        <f t="shared" si="37"/>
        <v>0</v>
      </c>
      <c r="AB284" s="51"/>
      <c r="AC284" s="114" t="e">
        <f>INDEX(Tab_Def_Flows[[Flow_ID]:[CC_DM_source]],MATCH(Tab_Data_Flows[[#This Row],[Name(EN)]],Tab_Def_Flows[Name(EN)],0),16)</f>
        <v>#N/A</v>
      </c>
      <c r="AD284" s="115" t="str">
        <f>IF(J284="Yes",AA284*Tab_Data_Flows[[#This Row],[WC_'[%']]],"N.A.")</f>
        <v>N.A.</v>
      </c>
      <c r="AE284" s="61">
        <f>Tab_Data_Flows[[#This Row],[UoM_Flow_Py]]</f>
        <v>0</v>
      </c>
      <c r="AF284" s="114" t="e">
        <f>INDEX(Tab_Def_Flows[[Flow_ID]:[CC_DM_source]],MATCH(Tab_Data_Flows[[#This Row],[Name(EN)]],Tab_Def_Flows[Name(EN)],0),18)</f>
        <v>#N/A</v>
      </c>
      <c r="AG284" s="115" t="str">
        <f>IF(K284="Yes",AF284*Tab_Data_Flows[[#This Row],[Flow_Py]],"N.A.")</f>
        <v>N.A.</v>
      </c>
      <c r="AH284" s="61">
        <f>Tab_Data_Flows[[#This Row],[UoM_Flow_Py]]</f>
        <v>0</v>
      </c>
      <c r="AI284" s="114" t="e">
        <f>INDEX(Tab_Def_Flows[[Flow_ID]:[CC_DM_source]],MATCH(Tab_Data_Flows[[#This Row],[Name(EN)]],Tab_Def_Flows[Name(EN)],0),20)</f>
        <v>#N/A</v>
      </c>
      <c r="AJ284" s="115" t="str">
        <f>IF(L284="Yes",AI284*Tab_Data_Flows[[#This Row],[Flow_Py]],"N.A.")</f>
        <v>N.A.</v>
      </c>
      <c r="AK284" s="61">
        <f>Tab_Data_Flows[[#This Row],[UoM_Flow_Py]]</f>
        <v>0</v>
      </c>
    </row>
    <row r="285" spans="1:37" x14ac:dyDescent="0.35">
      <c r="A285" s="60">
        <f t="shared" si="35"/>
        <v>284</v>
      </c>
      <c r="B285" s="49" t="str">
        <f>_xlfn.XLOOKUP(C285,Tab_Def_Flows[Name(EN)],Tab_Def_Flows[Flow_ID],,0,)</f>
        <v>F_21_21</v>
      </c>
      <c r="C285" s="51"/>
      <c r="D285" s="49">
        <f>_xlfn.XLOOKUP(C285,Tab_Def_Flows[Name(EN)],Tab_Def_Flows[Type_Biomass],,0,)</f>
        <v>0</v>
      </c>
      <c r="E285" s="49">
        <f>_xlfn.XLOOKUP(C285,Tab_Def_Flows[Name(EN)],Tab_Def_Flows[Output_Process],,0,)</f>
        <v>0</v>
      </c>
      <c r="F285" s="49" t="str">
        <f>_xlfn.XLOOKUP(C285,Tab_Def_Flows[Name(EN)],Tab_Def_Flows[Process_ID_O],,0,)</f>
        <v>21__</v>
      </c>
      <c r="G285" s="49">
        <f>_xlfn.XLOOKUP(C285,Tab_Def_Flows[Name(EN)],Tab_Def_Flows[Input_Process],,0,)</f>
        <v>0</v>
      </c>
      <c r="H285" s="61" t="str">
        <f>_xlfn.XLOOKUP(C285,Tab_Def_Flows[Name(EN)],Tab_Def_Flows[Process_ID_I],,0,)</f>
        <v>21__</v>
      </c>
      <c r="I285" s="49">
        <f>_xlfn.XLOOKUP(C285,Tab_Def_Flows[Name(EN)],Tab_Def_Flows[Value_Source],,0,)</f>
        <v>0</v>
      </c>
      <c r="J285" s="49">
        <f>_xlfn.XLOOKUP(C285,Tab_Def_Flows[Name(EN)],Tab_Def_Flows[WC?],,0,)</f>
        <v>0</v>
      </c>
      <c r="K285" s="49">
        <f>_xlfn.XLOOKUP(C285,Tab_Def_Flows[Name(EN)],Tab_Def_Flows[DM?],,0,)</f>
        <v>0</v>
      </c>
      <c r="L285" s="49">
        <f>_xlfn.XLOOKUP(C285,Tab_Def_Flows[Name(EN)],Tab_Def_Flows[CC?],,0,)</f>
        <v>0</v>
      </c>
      <c r="M285" s="51"/>
      <c r="N285" s="51"/>
      <c r="O285" s="88"/>
      <c r="P285" s="51"/>
      <c r="Q285" s="51"/>
      <c r="R285" s="51"/>
      <c r="S285" s="51"/>
      <c r="T285" s="51"/>
      <c r="U285" s="51"/>
      <c r="V285" s="51"/>
      <c r="W285" s="51"/>
      <c r="X285" s="51"/>
      <c r="Y285" s="51"/>
      <c r="Z285" s="51"/>
      <c r="AA285" s="89">
        <f t="shared" si="37"/>
        <v>0</v>
      </c>
      <c r="AB285" s="51"/>
      <c r="AC285" s="114" t="e">
        <f>INDEX(Tab_Def_Flows[[Flow_ID]:[CC_DM_source]],MATCH(Tab_Data_Flows[[#This Row],[Name(EN)]],Tab_Def_Flows[Name(EN)],0),16)</f>
        <v>#N/A</v>
      </c>
      <c r="AD285" s="115" t="str">
        <f>IF(J285="Yes",AA285*Tab_Data_Flows[[#This Row],[WC_'[%']]],"N.A.")</f>
        <v>N.A.</v>
      </c>
      <c r="AE285" s="61">
        <f>Tab_Data_Flows[[#This Row],[UoM_Flow_Py]]</f>
        <v>0</v>
      </c>
      <c r="AF285" s="114" t="e">
        <f>INDEX(Tab_Def_Flows[[Flow_ID]:[CC_DM_source]],MATCH(Tab_Data_Flows[[#This Row],[Name(EN)]],Tab_Def_Flows[Name(EN)],0),18)</f>
        <v>#N/A</v>
      </c>
      <c r="AG285" s="115" t="str">
        <f>IF(K285="Yes",AF285*Tab_Data_Flows[[#This Row],[Flow_Py]],"N.A.")</f>
        <v>N.A.</v>
      </c>
      <c r="AH285" s="61">
        <f>Tab_Data_Flows[[#This Row],[UoM_Flow_Py]]</f>
        <v>0</v>
      </c>
      <c r="AI285" s="114" t="e">
        <f>INDEX(Tab_Def_Flows[[Flow_ID]:[CC_DM_source]],MATCH(Tab_Data_Flows[[#This Row],[Name(EN)]],Tab_Def_Flows[Name(EN)],0),20)</f>
        <v>#N/A</v>
      </c>
      <c r="AJ285" s="115" t="str">
        <f>IF(L285="Yes",AI285*Tab_Data_Flows[[#This Row],[Flow_Py]],"N.A.")</f>
        <v>N.A.</v>
      </c>
      <c r="AK285" s="61">
        <f>Tab_Data_Flows[[#This Row],[UoM_Flow_Py]]</f>
        <v>0</v>
      </c>
    </row>
    <row r="286" spans="1:37" x14ac:dyDescent="0.35">
      <c r="A286" s="60">
        <f t="shared" si="35"/>
        <v>285</v>
      </c>
      <c r="B286" s="49" t="str">
        <f>_xlfn.XLOOKUP(C286,Tab_Def_Flows[Name(EN)],Tab_Def_Flows[Flow_ID],,0,)</f>
        <v>F_21_21</v>
      </c>
      <c r="C286" s="51"/>
      <c r="D286" s="49">
        <f>_xlfn.XLOOKUP(C286,Tab_Def_Flows[Name(EN)],Tab_Def_Flows[Type_Biomass],,0,)</f>
        <v>0</v>
      </c>
      <c r="E286" s="49">
        <f>_xlfn.XLOOKUP(C286,Tab_Def_Flows[Name(EN)],Tab_Def_Flows[Output_Process],,0,)</f>
        <v>0</v>
      </c>
      <c r="F286" s="49" t="str">
        <f>_xlfn.XLOOKUP(C286,Tab_Def_Flows[Name(EN)],Tab_Def_Flows[Process_ID_O],,0,)</f>
        <v>21__</v>
      </c>
      <c r="G286" s="49">
        <f>_xlfn.XLOOKUP(C286,Tab_Def_Flows[Name(EN)],Tab_Def_Flows[Input_Process],,0,)</f>
        <v>0</v>
      </c>
      <c r="H286" s="61" t="str">
        <f>_xlfn.XLOOKUP(C286,Tab_Def_Flows[Name(EN)],Tab_Def_Flows[Process_ID_I],,0,)</f>
        <v>21__</v>
      </c>
      <c r="I286" s="49">
        <f>_xlfn.XLOOKUP(C286,Tab_Def_Flows[Name(EN)],Tab_Def_Flows[Value_Source],,0,)</f>
        <v>0</v>
      </c>
      <c r="J286" s="49">
        <f>_xlfn.XLOOKUP(C286,Tab_Def_Flows[Name(EN)],Tab_Def_Flows[WC?],,0,)</f>
        <v>0</v>
      </c>
      <c r="K286" s="49">
        <f>_xlfn.XLOOKUP(C286,Tab_Def_Flows[Name(EN)],Tab_Def_Flows[DM?],,0,)</f>
        <v>0</v>
      </c>
      <c r="L286" s="49">
        <f>_xlfn.XLOOKUP(C286,Tab_Def_Flows[Name(EN)],Tab_Def_Flows[CC?],,0,)</f>
        <v>0</v>
      </c>
      <c r="M286" s="51"/>
      <c r="N286" s="51"/>
      <c r="O286" s="88"/>
      <c r="P286" s="51"/>
      <c r="Q286" s="51"/>
      <c r="R286" s="51"/>
      <c r="S286" s="51"/>
      <c r="T286" s="51"/>
      <c r="U286" s="51"/>
      <c r="V286" s="51"/>
      <c r="W286" s="51"/>
      <c r="X286" s="51"/>
      <c r="Y286" s="51"/>
      <c r="Z286" s="51"/>
      <c r="AA286" s="89">
        <f t="shared" si="37"/>
        <v>0</v>
      </c>
      <c r="AB286" s="51"/>
      <c r="AC286" s="114" t="e">
        <f>INDEX(Tab_Def_Flows[[Flow_ID]:[CC_DM_source]],MATCH(Tab_Data_Flows[[#This Row],[Name(EN)]],Tab_Def_Flows[Name(EN)],0),16)</f>
        <v>#N/A</v>
      </c>
      <c r="AD286" s="115" t="str">
        <f>IF(J286="Yes",AA286*Tab_Data_Flows[[#This Row],[WC_'[%']]],"N.A.")</f>
        <v>N.A.</v>
      </c>
      <c r="AE286" s="61">
        <f>Tab_Data_Flows[[#This Row],[UoM_Flow_Py]]</f>
        <v>0</v>
      </c>
      <c r="AF286" s="114" t="e">
        <f>INDEX(Tab_Def_Flows[[Flow_ID]:[CC_DM_source]],MATCH(Tab_Data_Flows[[#This Row],[Name(EN)]],Tab_Def_Flows[Name(EN)],0),18)</f>
        <v>#N/A</v>
      </c>
      <c r="AG286" s="115" t="str">
        <f>IF(K286="Yes",AF286*Tab_Data_Flows[[#This Row],[Flow_Py]],"N.A.")</f>
        <v>N.A.</v>
      </c>
      <c r="AH286" s="61">
        <f>Tab_Data_Flows[[#This Row],[UoM_Flow_Py]]</f>
        <v>0</v>
      </c>
      <c r="AI286" s="114" t="e">
        <f>INDEX(Tab_Def_Flows[[Flow_ID]:[CC_DM_source]],MATCH(Tab_Data_Flows[[#This Row],[Name(EN)]],Tab_Def_Flows[Name(EN)],0),20)</f>
        <v>#N/A</v>
      </c>
      <c r="AJ286" s="115" t="str">
        <f>IF(L286="Yes",AI286*Tab_Data_Flows[[#This Row],[Flow_Py]],"N.A.")</f>
        <v>N.A.</v>
      </c>
      <c r="AK286" s="61">
        <f>Tab_Data_Flows[[#This Row],[UoM_Flow_Py]]</f>
        <v>0</v>
      </c>
    </row>
    <row r="287" spans="1:37" x14ac:dyDescent="0.35">
      <c r="A287" s="60">
        <f t="shared" si="35"/>
        <v>286</v>
      </c>
      <c r="B287" s="49" t="str">
        <f>_xlfn.XLOOKUP(C287,Tab_Def_Flows[Name(EN)],Tab_Def_Flows[Flow_ID],,0,)</f>
        <v>F_21_21</v>
      </c>
      <c r="C287" s="51"/>
      <c r="D287" s="49">
        <f>_xlfn.XLOOKUP(C287,Tab_Def_Flows[Name(EN)],Tab_Def_Flows[Type_Biomass],,0,)</f>
        <v>0</v>
      </c>
      <c r="E287" s="49">
        <f>_xlfn.XLOOKUP(C287,Tab_Def_Flows[Name(EN)],Tab_Def_Flows[Output_Process],,0,)</f>
        <v>0</v>
      </c>
      <c r="F287" s="49" t="str">
        <f>_xlfn.XLOOKUP(C287,Tab_Def_Flows[Name(EN)],Tab_Def_Flows[Process_ID_O],,0,)</f>
        <v>21__</v>
      </c>
      <c r="G287" s="49">
        <f>_xlfn.XLOOKUP(C287,Tab_Def_Flows[Name(EN)],Tab_Def_Flows[Input_Process],,0,)</f>
        <v>0</v>
      </c>
      <c r="H287" s="61" t="str">
        <f>_xlfn.XLOOKUP(C287,Tab_Def_Flows[Name(EN)],Tab_Def_Flows[Process_ID_I],,0,)</f>
        <v>21__</v>
      </c>
      <c r="I287" s="49">
        <f>_xlfn.XLOOKUP(C287,Tab_Def_Flows[Name(EN)],Tab_Def_Flows[Value_Source],,0,)</f>
        <v>0</v>
      </c>
      <c r="J287" s="49">
        <f>_xlfn.XLOOKUP(C287,Tab_Def_Flows[Name(EN)],Tab_Def_Flows[WC?],,0,)</f>
        <v>0</v>
      </c>
      <c r="K287" s="49">
        <f>_xlfn.XLOOKUP(C287,Tab_Def_Flows[Name(EN)],Tab_Def_Flows[DM?],,0,)</f>
        <v>0</v>
      </c>
      <c r="L287" s="49">
        <f>_xlfn.XLOOKUP(C287,Tab_Def_Flows[Name(EN)],Tab_Def_Flows[CC?],,0,)</f>
        <v>0</v>
      </c>
      <c r="M287" s="51"/>
      <c r="N287" s="51"/>
      <c r="O287" s="88"/>
      <c r="P287" s="51"/>
      <c r="Q287" s="51"/>
      <c r="R287" s="51"/>
      <c r="S287" s="51"/>
      <c r="T287" s="51"/>
      <c r="U287" s="51"/>
      <c r="V287" s="51"/>
      <c r="W287" s="51"/>
      <c r="X287" s="51"/>
      <c r="Y287" s="51"/>
      <c r="Z287" s="51"/>
      <c r="AA287" s="89">
        <f t="shared" si="37"/>
        <v>0</v>
      </c>
      <c r="AB287" s="51"/>
      <c r="AC287" s="114" t="e">
        <f>INDEX(Tab_Def_Flows[[Flow_ID]:[CC_DM_source]],MATCH(Tab_Data_Flows[[#This Row],[Name(EN)]],Tab_Def_Flows[Name(EN)],0),16)</f>
        <v>#N/A</v>
      </c>
      <c r="AD287" s="115" t="str">
        <f>IF(J287="Yes",AA287*Tab_Data_Flows[[#This Row],[WC_'[%']]],"N.A.")</f>
        <v>N.A.</v>
      </c>
      <c r="AE287" s="61">
        <f>Tab_Data_Flows[[#This Row],[UoM_Flow_Py]]</f>
        <v>0</v>
      </c>
      <c r="AF287" s="114" t="e">
        <f>INDEX(Tab_Def_Flows[[Flow_ID]:[CC_DM_source]],MATCH(Tab_Data_Flows[[#This Row],[Name(EN)]],Tab_Def_Flows[Name(EN)],0),18)</f>
        <v>#N/A</v>
      </c>
      <c r="AG287" s="115" t="str">
        <f>IF(K287="Yes",AF287*Tab_Data_Flows[[#This Row],[Flow_Py]],"N.A.")</f>
        <v>N.A.</v>
      </c>
      <c r="AH287" s="61">
        <f>Tab_Data_Flows[[#This Row],[UoM_Flow_Py]]</f>
        <v>0</v>
      </c>
      <c r="AI287" s="114" t="e">
        <f>INDEX(Tab_Def_Flows[[Flow_ID]:[CC_DM_source]],MATCH(Tab_Data_Flows[[#This Row],[Name(EN)]],Tab_Def_Flows[Name(EN)],0),20)</f>
        <v>#N/A</v>
      </c>
      <c r="AJ287" s="115" t="str">
        <f>IF(L287="Yes",AI287*Tab_Data_Flows[[#This Row],[Flow_Py]],"N.A.")</f>
        <v>N.A.</v>
      </c>
      <c r="AK287" s="61">
        <f>Tab_Data_Flows[[#This Row],[UoM_Flow_Py]]</f>
        <v>0</v>
      </c>
    </row>
    <row r="288" spans="1:37" x14ac:dyDescent="0.35">
      <c r="A288" s="60">
        <f t="shared" si="35"/>
        <v>287</v>
      </c>
      <c r="B288" s="49" t="str">
        <f>_xlfn.XLOOKUP(C288,Tab_Def_Flows[Name(EN)],Tab_Def_Flows[Flow_ID],,0,)</f>
        <v>F_21_21</v>
      </c>
      <c r="C288" s="51"/>
      <c r="D288" s="49">
        <f>_xlfn.XLOOKUP(C288,Tab_Def_Flows[Name(EN)],Tab_Def_Flows[Type_Biomass],,0,)</f>
        <v>0</v>
      </c>
      <c r="E288" s="49">
        <f>_xlfn.XLOOKUP(C288,Tab_Def_Flows[Name(EN)],Tab_Def_Flows[Output_Process],,0,)</f>
        <v>0</v>
      </c>
      <c r="F288" s="49" t="str">
        <f>_xlfn.XLOOKUP(C288,Tab_Def_Flows[Name(EN)],Tab_Def_Flows[Process_ID_O],,0,)</f>
        <v>21__</v>
      </c>
      <c r="G288" s="49">
        <f>_xlfn.XLOOKUP(C288,Tab_Def_Flows[Name(EN)],Tab_Def_Flows[Input_Process],,0,)</f>
        <v>0</v>
      </c>
      <c r="H288" s="61" t="str">
        <f>_xlfn.XLOOKUP(C288,Tab_Def_Flows[Name(EN)],Tab_Def_Flows[Process_ID_I],,0,)</f>
        <v>21__</v>
      </c>
      <c r="I288" s="49">
        <f>_xlfn.XLOOKUP(C288,Tab_Def_Flows[Name(EN)],Tab_Def_Flows[Value_Source],,0,)</f>
        <v>0</v>
      </c>
      <c r="J288" s="49">
        <f>_xlfn.XLOOKUP(C288,Tab_Def_Flows[Name(EN)],Tab_Def_Flows[WC?],,0,)</f>
        <v>0</v>
      </c>
      <c r="K288" s="49">
        <f>_xlfn.XLOOKUP(C288,Tab_Def_Flows[Name(EN)],Tab_Def_Flows[DM?],,0,)</f>
        <v>0</v>
      </c>
      <c r="L288" s="49">
        <f>_xlfn.XLOOKUP(C288,Tab_Def_Flows[Name(EN)],Tab_Def_Flows[CC?],,0,)</f>
        <v>0</v>
      </c>
      <c r="M288" s="51"/>
      <c r="N288" s="51"/>
      <c r="O288" s="88"/>
      <c r="P288" s="51"/>
      <c r="Q288" s="51"/>
      <c r="R288" s="51"/>
      <c r="S288" s="51"/>
      <c r="T288" s="51"/>
      <c r="U288" s="51"/>
      <c r="V288" s="51"/>
      <c r="W288" s="51"/>
      <c r="X288" s="51"/>
      <c r="Y288" s="51"/>
      <c r="Z288" s="51"/>
      <c r="AA288" s="89">
        <f t="shared" si="37"/>
        <v>0</v>
      </c>
      <c r="AB288" s="51"/>
      <c r="AC288" s="114" t="e">
        <f>INDEX(Tab_Def_Flows[[Flow_ID]:[CC_DM_source]],MATCH(Tab_Data_Flows[[#This Row],[Name(EN)]],Tab_Def_Flows[Name(EN)],0),16)</f>
        <v>#N/A</v>
      </c>
      <c r="AD288" s="115" t="str">
        <f>IF(J288="Yes",AA288*Tab_Data_Flows[[#This Row],[WC_'[%']]],"N.A.")</f>
        <v>N.A.</v>
      </c>
      <c r="AE288" s="61">
        <f>Tab_Data_Flows[[#This Row],[UoM_Flow_Py]]</f>
        <v>0</v>
      </c>
      <c r="AF288" s="114" t="e">
        <f>INDEX(Tab_Def_Flows[[Flow_ID]:[CC_DM_source]],MATCH(Tab_Data_Flows[[#This Row],[Name(EN)]],Tab_Def_Flows[Name(EN)],0),18)</f>
        <v>#N/A</v>
      </c>
      <c r="AG288" s="115" t="str">
        <f>IF(K288="Yes",AF288*Tab_Data_Flows[[#This Row],[Flow_Py]],"N.A.")</f>
        <v>N.A.</v>
      </c>
      <c r="AH288" s="61">
        <f>Tab_Data_Flows[[#This Row],[UoM_Flow_Py]]</f>
        <v>0</v>
      </c>
      <c r="AI288" s="114" t="e">
        <f>INDEX(Tab_Def_Flows[[Flow_ID]:[CC_DM_source]],MATCH(Tab_Data_Flows[[#This Row],[Name(EN)]],Tab_Def_Flows[Name(EN)],0),20)</f>
        <v>#N/A</v>
      </c>
      <c r="AJ288" s="115" t="str">
        <f>IF(L288="Yes",AI288*Tab_Data_Flows[[#This Row],[Flow_Py]],"N.A.")</f>
        <v>N.A.</v>
      </c>
      <c r="AK288" s="61">
        <f>Tab_Data_Flows[[#This Row],[UoM_Flow_Py]]</f>
        <v>0</v>
      </c>
    </row>
    <row r="289" spans="1:37" x14ac:dyDescent="0.35">
      <c r="A289" s="60">
        <f t="shared" ref="A289:A352" si="38">ROW()-1</f>
        <v>288</v>
      </c>
      <c r="B289" s="49" t="str">
        <f>_xlfn.XLOOKUP(C289,Tab_Def_Flows[Name(EN)],Tab_Def_Flows[Flow_ID],,0,)</f>
        <v>F_21_21</v>
      </c>
      <c r="C289" s="51"/>
      <c r="D289" s="49">
        <f>_xlfn.XLOOKUP(C289,Tab_Def_Flows[Name(EN)],Tab_Def_Flows[Type_Biomass],,0,)</f>
        <v>0</v>
      </c>
      <c r="E289" s="49">
        <f>_xlfn.XLOOKUP(C289,Tab_Def_Flows[Name(EN)],Tab_Def_Flows[Output_Process],,0,)</f>
        <v>0</v>
      </c>
      <c r="F289" s="49" t="str">
        <f>_xlfn.XLOOKUP(C289,Tab_Def_Flows[Name(EN)],Tab_Def_Flows[Process_ID_O],,0,)</f>
        <v>21__</v>
      </c>
      <c r="G289" s="49">
        <f>_xlfn.XLOOKUP(C289,Tab_Def_Flows[Name(EN)],Tab_Def_Flows[Input_Process],,0,)</f>
        <v>0</v>
      </c>
      <c r="H289" s="61" t="str">
        <f>_xlfn.XLOOKUP(C289,Tab_Def_Flows[Name(EN)],Tab_Def_Flows[Process_ID_I],,0,)</f>
        <v>21__</v>
      </c>
      <c r="I289" s="49">
        <f>_xlfn.XLOOKUP(C289,Tab_Def_Flows[Name(EN)],Tab_Def_Flows[Value_Source],,0,)</f>
        <v>0</v>
      </c>
      <c r="J289" s="49">
        <f>_xlfn.XLOOKUP(C289,Tab_Def_Flows[Name(EN)],Tab_Def_Flows[WC?],,0,)</f>
        <v>0</v>
      </c>
      <c r="K289" s="49">
        <f>_xlfn.XLOOKUP(C289,Tab_Def_Flows[Name(EN)],Tab_Def_Flows[DM?],,0,)</f>
        <v>0</v>
      </c>
      <c r="L289" s="49">
        <f>_xlfn.XLOOKUP(C289,Tab_Def_Flows[Name(EN)],Tab_Def_Flows[CC?],,0,)</f>
        <v>0</v>
      </c>
      <c r="M289" s="51"/>
      <c r="N289" s="51"/>
      <c r="O289" s="88"/>
      <c r="P289" s="51"/>
      <c r="Q289" s="51"/>
      <c r="R289" s="51"/>
      <c r="S289" s="51"/>
      <c r="T289" s="51"/>
      <c r="U289" s="51"/>
      <c r="V289" s="51"/>
      <c r="W289" s="51"/>
      <c r="X289" s="51"/>
      <c r="Y289" s="51"/>
      <c r="Z289" s="51"/>
      <c r="AA289" s="89">
        <f t="shared" si="37"/>
        <v>0</v>
      </c>
      <c r="AB289" s="51"/>
      <c r="AC289" s="114" t="e">
        <f>INDEX(Tab_Def_Flows[[Flow_ID]:[CC_DM_source]],MATCH(Tab_Data_Flows[[#This Row],[Name(EN)]],Tab_Def_Flows[Name(EN)],0),16)</f>
        <v>#N/A</v>
      </c>
      <c r="AD289" s="115" t="str">
        <f>IF(J289="Yes",AA289*Tab_Data_Flows[[#This Row],[WC_'[%']]],"N.A.")</f>
        <v>N.A.</v>
      </c>
      <c r="AE289" s="61">
        <f>Tab_Data_Flows[[#This Row],[UoM_Flow_Py]]</f>
        <v>0</v>
      </c>
      <c r="AF289" s="114" t="e">
        <f>INDEX(Tab_Def_Flows[[Flow_ID]:[CC_DM_source]],MATCH(Tab_Data_Flows[[#This Row],[Name(EN)]],Tab_Def_Flows[Name(EN)],0),18)</f>
        <v>#N/A</v>
      </c>
      <c r="AG289" s="115" t="str">
        <f>IF(K289="Yes",AF289*Tab_Data_Flows[[#This Row],[Flow_Py]],"N.A.")</f>
        <v>N.A.</v>
      </c>
      <c r="AH289" s="61">
        <f>Tab_Data_Flows[[#This Row],[UoM_Flow_Py]]</f>
        <v>0</v>
      </c>
      <c r="AI289" s="114" t="e">
        <f>INDEX(Tab_Def_Flows[[Flow_ID]:[CC_DM_source]],MATCH(Tab_Data_Flows[[#This Row],[Name(EN)]],Tab_Def_Flows[Name(EN)],0),20)</f>
        <v>#N/A</v>
      </c>
      <c r="AJ289" s="115" t="str">
        <f>IF(L289="Yes",AI289*Tab_Data_Flows[[#This Row],[Flow_Py]],"N.A.")</f>
        <v>N.A.</v>
      </c>
      <c r="AK289" s="61">
        <f>Tab_Data_Flows[[#This Row],[UoM_Flow_Py]]</f>
        <v>0</v>
      </c>
    </row>
    <row r="290" spans="1:37" x14ac:dyDescent="0.35">
      <c r="A290" s="60">
        <f t="shared" si="38"/>
        <v>289</v>
      </c>
      <c r="B290" s="49" t="str">
        <f>_xlfn.XLOOKUP(C290,Tab_Def_Flows[Name(EN)],Tab_Def_Flows[Flow_ID],,0,)</f>
        <v>F_21_21</v>
      </c>
      <c r="C290" s="51"/>
      <c r="D290" s="49">
        <f>_xlfn.XLOOKUP(C290,Tab_Def_Flows[Name(EN)],Tab_Def_Flows[Type_Biomass],,0,)</f>
        <v>0</v>
      </c>
      <c r="E290" s="49">
        <f>_xlfn.XLOOKUP(C290,Tab_Def_Flows[Name(EN)],Tab_Def_Flows[Output_Process],,0,)</f>
        <v>0</v>
      </c>
      <c r="F290" s="49" t="str">
        <f>_xlfn.XLOOKUP(C290,Tab_Def_Flows[Name(EN)],Tab_Def_Flows[Process_ID_O],,0,)</f>
        <v>21__</v>
      </c>
      <c r="G290" s="49">
        <f>_xlfn.XLOOKUP(C290,Tab_Def_Flows[Name(EN)],Tab_Def_Flows[Input_Process],,0,)</f>
        <v>0</v>
      </c>
      <c r="H290" s="61" t="str">
        <f>_xlfn.XLOOKUP(C290,Tab_Def_Flows[Name(EN)],Tab_Def_Flows[Process_ID_I],,0,)</f>
        <v>21__</v>
      </c>
      <c r="I290" s="49">
        <f>_xlfn.XLOOKUP(C290,Tab_Def_Flows[Name(EN)],Tab_Def_Flows[Value_Source],,0,)</f>
        <v>0</v>
      </c>
      <c r="J290" s="49">
        <f>_xlfn.XLOOKUP(C290,Tab_Def_Flows[Name(EN)],Tab_Def_Flows[WC?],,0,)</f>
        <v>0</v>
      </c>
      <c r="K290" s="49">
        <f>_xlfn.XLOOKUP(C290,Tab_Def_Flows[Name(EN)],Tab_Def_Flows[DM?],,0,)</f>
        <v>0</v>
      </c>
      <c r="L290" s="49">
        <f>_xlfn.XLOOKUP(C290,Tab_Def_Flows[Name(EN)],Tab_Def_Flows[CC?],,0,)</f>
        <v>0</v>
      </c>
      <c r="M290" s="51"/>
      <c r="N290" s="51"/>
      <c r="O290" s="88"/>
      <c r="P290" s="51"/>
      <c r="Q290" s="51"/>
      <c r="R290" s="51"/>
      <c r="S290" s="51"/>
      <c r="T290" s="51"/>
      <c r="U290" s="51"/>
      <c r="V290" s="51"/>
      <c r="W290" s="51"/>
      <c r="X290" s="51"/>
      <c r="Y290" s="51"/>
      <c r="Z290" s="51"/>
      <c r="AA290" s="89">
        <f t="shared" si="37"/>
        <v>0</v>
      </c>
      <c r="AB290" s="51"/>
      <c r="AC290" s="114" t="e">
        <f>INDEX(Tab_Def_Flows[[Flow_ID]:[CC_DM_source]],MATCH(Tab_Data_Flows[[#This Row],[Name(EN)]],Tab_Def_Flows[Name(EN)],0),16)</f>
        <v>#N/A</v>
      </c>
      <c r="AD290" s="115" t="str">
        <f>IF(J290="Yes",AA290*Tab_Data_Flows[[#This Row],[WC_'[%']]],"N.A.")</f>
        <v>N.A.</v>
      </c>
      <c r="AE290" s="61">
        <f>Tab_Data_Flows[[#This Row],[UoM_Flow_Py]]</f>
        <v>0</v>
      </c>
      <c r="AF290" s="114" t="e">
        <f>INDEX(Tab_Def_Flows[[Flow_ID]:[CC_DM_source]],MATCH(Tab_Data_Flows[[#This Row],[Name(EN)]],Tab_Def_Flows[Name(EN)],0),18)</f>
        <v>#N/A</v>
      </c>
      <c r="AG290" s="115" t="str">
        <f>IF(K290="Yes",AF290*Tab_Data_Flows[[#This Row],[Flow_Py]],"N.A.")</f>
        <v>N.A.</v>
      </c>
      <c r="AH290" s="61">
        <f>Tab_Data_Flows[[#This Row],[UoM_Flow_Py]]</f>
        <v>0</v>
      </c>
      <c r="AI290" s="114" t="e">
        <f>INDEX(Tab_Def_Flows[[Flow_ID]:[CC_DM_source]],MATCH(Tab_Data_Flows[[#This Row],[Name(EN)]],Tab_Def_Flows[Name(EN)],0),20)</f>
        <v>#N/A</v>
      </c>
      <c r="AJ290" s="115" t="str">
        <f>IF(L290="Yes",AI290*Tab_Data_Flows[[#This Row],[Flow_Py]],"N.A.")</f>
        <v>N.A.</v>
      </c>
      <c r="AK290" s="61">
        <f>Tab_Data_Flows[[#This Row],[UoM_Flow_Py]]</f>
        <v>0</v>
      </c>
    </row>
    <row r="291" spans="1:37" x14ac:dyDescent="0.35">
      <c r="A291" s="60">
        <f t="shared" si="38"/>
        <v>290</v>
      </c>
      <c r="B291" s="49" t="str">
        <f>_xlfn.XLOOKUP(C291,Tab_Def_Flows[Name(EN)],Tab_Def_Flows[Flow_ID],,0,)</f>
        <v>F_21_21</v>
      </c>
      <c r="C291" s="51"/>
      <c r="D291" s="49">
        <f>_xlfn.XLOOKUP(C291,Tab_Def_Flows[Name(EN)],Tab_Def_Flows[Type_Biomass],,0,)</f>
        <v>0</v>
      </c>
      <c r="E291" s="49">
        <f>_xlfn.XLOOKUP(C291,Tab_Def_Flows[Name(EN)],Tab_Def_Flows[Output_Process],,0,)</f>
        <v>0</v>
      </c>
      <c r="F291" s="49" t="str">
        <f>_xlfn.XLOOKUP(C291,Tab_Def_Flows[Name(EN)],Tab_Def_Flows[Process_ID_O],,0,)</f>
        <v>21__</v>
      </c>
      <c r="G291" s="49">
        <f>_xlfn.XLOOKUP(C291,Tab_Def_Flows[Name(EN)],Tab_Def_Flows[Input_Process],,0,)</f>
        <v>0</v>
      </c>
      <c r="H291" s="61" t="str">
        <f>_xlfn.XLOOKUP(C291,Tab_Def_Flows[Name(EN)],Tab_Def_Flows[Process_ID_I],,0,)</f>
        <v>21__</v>
      </c>
      <c r="I291" s="49">
        <f>_xlfn.XLOOKUP(C291,Tab_Def_Flows[Name(EN)],Tab_Def_Flows[Value_Source],,0,)</f>
        <v>0</v>
      </c>
      <c r="J291" s="49">
        <f>_xlfn.XLOOKUP(C291,Tab_Def_Flows[Name(EN)],Tab_Def_Flows[WC?],,0,)</f>
        <v>0</v>
      </c>
      <c r="K291" s="49">
        <f>_xlfn.XLOOKUP(C291,Tab_Def_Flows[Name(EN)],Tab_Def_Flows[DM?],,0,)</f>
        <v>0</v>
      </c>
      <c r="L291" s="49">
        <f>_xlfn.XLOOKUP(C291,Tab_Def_Flows[Name(EN)],Tab_Def_Flows[CC?],,0,)</f>
        <v>0</v>
      </c>
      <c r="M291" s="51"/>
      <c r="N291" s="51"/>
      <c r="O291" s="88"/>
      <c r="P291" s="51"/>
      <c r="Q291" s="51"/>
      <c r="R291" s="51"/>
      <c r="S291" s="51"/>
      <c r="T291" s="51"/>
      <c r="U291" s="51"/>
      <c r="V291" s="51"/>
      <c r="W291" s="51"/>
      <c r="X291" s="51"/>
      <c r="Y291" s="51"/>
      <c r="Z291" s="51"/>
      <c r="AA291" s="89">
        <f t="shared" si="37"/>
        <v>0</v>
      </c>
      <c r="AB291" s="51"/>
      <c r="AC291" s="114" t="e">
        <f>INDEX(Tab_Def_Flows[[Flow_ID]:[CC_DM_source]],MATCH(Tab_Data_Flows[[#This Row],[Name(EN)]],Tab_Def_Flows[Name(EN)],0),16)</f>
        <v>#N/A</v>
      </c>
      <c r="AD291" s="115" t="str">
        <f>IF(J291="Yes",AA291*Tab_Data_Flows[[#This Row],[WC_'[%']]],"N.A.")</f>
        <v>N.A.</v>
      </c>
      <c r="AE291" s="61">
        <f>Tab_Data_Flows[[#This Row],[UoM_Flow_Py]]</f>
        <v>0</v>
      </c>
      <c r="AF291" s="114" t="e">
        <f>INDEX(Tab_Def_Flows[[Flow_ID]:[CC_DM_source]],MATCH(Tab_Data_Flows[[#This Row],[Name(EN)]],Tab_Def_Flows[Name(EN)],0),18)</f>
        <v>#N/A</v>
      </c>
      <c r="AG291" s="115" t="str">
        <f>IF(K291="Yes",AF291*Tab_Data_Flows[[#This Row],[Flow_Py]],"N.A.")</f>
        <v>N.A.</v>
      </c>
      <c r="AH291" s="61">
        <f>Tab_Data_Flows[[#This Row],[UoM_Flow_Py]]</f>
        <v>0</v>
      </c>
      <c r="AI291" s="114" t="e">
        <f>INDEX(Tab_Def_Flows[[Flow_ID]:[CC_DM_source]],MATCH(Tab_Data_Flows[[#This Row],[Name(EN)]],Tab_Def_Flows[Name(EN)],0),20)</f>
        <v>#N/A</v>
      </c>
      <c r="AJ291" s="115" t="str">
        <f>IF(L291="Yes",AI291*Tab_Data_Flows[[#This Row],[Flow_Py]],"N.A.")</f>
        <v>N.A.</v>
      </c>
      <c r="AK291" s="61">
        <f>Tab_Data_Flows[[#This Row],[UoM_Flow_Py]]</f>
        <v>0</v>
      </c>
    </row>
    <row r="292" spans="1:37" x14ac:dyDescent="0.35">
      <c r="A292" s="60">
        <f t="shared" si="38"/>
        <v>291</v>
      </c>
      <c r="B292" s="49" t="str">
        <f>_xlfn.XLOOKUP(C292,Tab_Def_Flows[Name(EN)],Tab_Def_Flows[Flow_ID],,0,)</f>
        <v>F_21_21</v>
      </c>
      <c r="C292" s="51"/>
      <c r="D292" s="49">
        <f>_xlfn.XLOOKUP(C292,Tab_Def_Flows[Name(EN)],Tab_Def_Flows[Type_Biomass],,0,)</f>
        <v>0</v>
      </c>
      <c r="E292" s="49">
        <f>_xlfn.XLOOKUP(C292,Tab_Def_Flows[Name(EN)],Tab_Def_Flows[Output_Process],,0,)</f>
        <v>0</v>
      </c>
      <c r="F292" s="49" t="str">
        <f>_xlfn.XLOOKUP(C292,Tab_Def_Flows[Name(EN)],Tab_Def_Flows[Process_ID_O],,0,)</f>
        <v>21__</v>
      </c>
      <c r="G292" s="49">
        <f>_xlfn.XLOOKUP(C292,Tab_Def_Flows[Name(EN)],Tab_Def_Flows[Input_Process],,0,)</f>
        <v>0</v>
      </c>
      <c r="H292" s="61" t="str">
        <f>_xlfn.XLOOKUP(C292,Tab_Def_Flows[Name(EN)],Tab_Def_Flows[Process_ID_I],,0,)</f>
        <v>21__</v>
      </c>
      <c r="I292" s="49">
        <f>_xlfn.XLOOKUP(C292,Tab_Def_Flows[Name(EN)],Tab_Def_Flows[Value_Source],,0,)</f>
        <v>0</v>
      </c>
      <c r="J292" s="49">
        <f>_xlfn.XLOOKUP(C292,Tab_Def_Flows[Name(EN)],Tab_Def_Flows[WC?],,0,)</f>
        <v>0</v>
      </c>
      <c r="K292" s="49">
        <f>_xlfn.XLOOKUP(C292,Tab_Def_Flows[Name(EN)],Tab_Def_Flows[DM?],,0,)</f>
        <v>0</v>
      </c>
      <c r="L292" s="49">
        <f>_xlfn.XLOOKUP(C292,Tab_Def_Flows[Name(EN)],Tab_Def_Flows[CC?],,0,)</f>
        <v>0</v>
      </c>
      <c r="M292" s="51"/>
      <c r="N292" s="51"/>
      <c r="O292" s="88"/>
      <c r="P292" s="51"/>
      <c r="Q292" s="51"/>
      <c r="R292" s="51"/>
      <c r="S292" s="51"/>
      <c r="T292" s="51"/>
      <c r="U292" s="51"/>
      <c r="V292" s="51"/>
      <c r="W292" s="51"/>
      <c r="X292" s="51"/>
      <c r="Y292" s="51"/>
      <c r="Z292" s="51"/>
      <c r="AA292" s="89">
        <f t="shared" si="37"/>
        <v>0</v>
      </c>
      <c r="AB292" s="51"/>
      <c r="AC292" s="114" t="e">
        <f>INDEX(Tab_Def_Flows[[Flow_ID]:[CC_DM_source]],MATCH(Tab_Data_Flows[[#This Row],[Name(EN)]],Tab_Def_Flows[Name(EN)],0),16)</f>
        <v>#N/A</v>
      </c>
      <c r="AD292" s="115" t="str">
        <f>IF(J292="Yes",AA292*Tab_Data_Flows[[#This Row],[WC_'[%']]],"N.A.")</f>
        <v>N.A.</v>
      </c>
      <c r="AE292" s="61">
        <f>Tab_Data_Flows[[#This Row],[UoM_Flow_Py]]</f>
        <v>0</v>
      </c>
      <c r="AF292" s="114" t="e">
        <f>INDEX(Tab_Def_Flows[[Flow_ID]:[CC_DM_source]],MATCH(Tab_Data_Flows[[#This Row],[Name(EN)]],Tab_Def_Flows[Name(EN)],0),18)</f>
        <v>#N/A</v>
      </c>
      <c r="AG292" s="115" t="str">
        <f>IF(K292="Yes",AF292*Tab_Data_Flows[[#This Row],[Flow_Py]],"N.A.")</f>
        <v>N.A.</v>
      </c>
      <c r="AH292" s="61">
        <f>Tab_Data_Flows[[#This Row],[UoM_Flow_Py]]</f>
        <v>0</v>
      </c>
      <c r="AI292" s="114" t="e">
        <f>INDEX(Tab_Def_Flows[[Flow_ID]:[CC_DM_source]],MATCH(Tab_Data_Flows[[#This Row],[Name(EN)]],Tab_Def_Flows[Name(EN)],0),20)</f>
        <v>#N/A</v>
      </c>
      <c r="AJ292" s="115" t="str">
        <f>IF(L292="Yes",AI292*Tab_Data_Flows[[#This Row],[Flow_Py]],"N.A.")</f>
        <v>N.A.</v>
      </c>
      <c r="AK292" s="61">
        <f>Tab_Data_Flows[[#This Row],[UoM_Flow_Py]]</f>
        <v>0</v>
      </c>
    </row>
    <row r="293" spans="1:37" x14ac:dyDescent="0.35">
      <c r="A293" s="60">
        <f t="shared" si="38"/>
        <v>292</v>
      </c>
      <c r="B293" s="49" t="str">
        <f>_xlfn.XLOOKUP(C293,Tab_Def_Flows[Name(EN)],Tab_Def_Flows[Flow_ID],,0,)</f>
        <v>F_21_21</v>
      </c>
      <c r="C293" s="51"/>
      <c r="D293" s="49">
        <f>_xlfn.XLOOKUP(C293,Tab_Def_Flows[Name(EN)],Tab_Def_Flows[Type_Biomass],,0,)</f>
        <v>0</v>
      </c>
      <c r="E293" s="49">
        <f>_xlfn.XLOOKUP(C293,Tab_Def_Flows[Name(EN)],Tab_Def_Flows[Output_Process],,0,)</f>
        <v>0</v>
      </c>
      <c r="F293" s="49" t="str">
        <f>_xlfn.XLOOKUP(C293,Tab_Def_Flows[Name(EN)],Tab_Def_Flows[Process_ID_O],,0,)</f>
        <v>21__</v>
      </c>
      <c r="G293" s="49">
        <f>_xlfn.XLOOKUP(C293,Tab_Def_Flows[Name(EN)],Tab_Def_Flows[Input_Process],,0,)</f>
        <v>0</v>
      </c>
      <c r="H293" s="61" t="str">
        <f>_xlfn.XLOOKUP(C293,Tab_Def_Flows[Name(EN)],Tab_Def_Flows[Process_ID_I],,0,)</f>
        <v>21__</v>
      </c>
      <c r="I293" s="49">
        <f>_xlfn.XLOOKUP(C293,Tab_Def_Flows[Name(EN)],Tab_Def_Flows[Value_Source],,0,)</f>
        <v>0</v>
      </c>
      <c r="J293" s="49">
        <f>_xlfn.XLOOKUP(C293,Tab_Def_Flows[Name(EN)],Tab_Def_Flows[WC?],,0,)</f>
        <v>0</v>
      </c>
      <c r="K293" s="49">
        <f>_xlfn.XLOOKUP(C293,Tab_Def_Flows[Name(EN)],Tab_Def_Flows[DM?],,0,)</f>
        <v>0</v>
      </c>
      <c r="L293" s="49">
        <f>_xlfn.XLOOKUP(C293,Tab_Def_Flows[Name(EN)],Tab_Def_Flows[CC?],,0,)</f>
        <v>0</v>
      </c>
      <c r="M293" s="51"/>
      <c r="N293" s="51"/>
      <c r="O293" s="88"/>
      <c r="P293" s="51"/>
      <c r="Q293" s="51"/>
      <c r="R293" s="51"/>
      <c r="S293" s="51"/>
      <c r="T293" s="51"/>
      <c r="U293" s="51"/>
      <c r="V293" s="51"/>
      <c r="W293" s="51"/>
      <c r="X293" s="51"/>
      <c r="Y293" s="51"/>
      <c r="Z293" s="51"/>
      <c r="AA293" s="89">
        <f t="shared" si="37"/>
        <v>0</v>
      </c>
      <c r="AB293" s="51"/>
      <c r="AC293" s="114" t="e">
        <f>INDEX(Tab_Def_Flows[[Flow_ID]:[CC_DM_source]],MATCH(Tab_Data_Flows[[#This Row],[Name(EN)]],Tab_Def_Flows[Name(EN)],0),16)</f>
        <v>#N/A</v>
      </c>
      <c r="AD293" s="115" t="str">
        <f>IF(J293="Yes",AA293*Tab_Data_Flows[[#This Row],[WC_'[%']]],"N.A.")</f>
        <v>N.A.</v>
      </c>
      <c r="AE293" s="61">
        <f>Tab_Data_Flows[[#This Row],[UoM_Flow_Py]]</f>
        <v>0</v>
      </c>
      <c r="AF293" s="114" t="e">
        <f>INDEX(Tab_Def_Flows[[Flow_ID]:[CC_DM_source]],MATCH(Tab_Data_Flows[[#This Row],[Name(EN)]],Tab_Def_Flows[Name(EN)],0),18)</f>
        <v>#N/A</v>
      </c>
      <c r="AG293" s="115" t="str">
        <f>IF(K293="Yes",AF293*Tab_Data_Flows[[#This Row],[Flow_Py]],"N.A.")</f>
        <v>N.A.</v>
      </c>
      <c r="AH293" s="61">
        <f>Tab_Data_Flows[[#This Row],[UoM_Flow_Py]]</f>
        <v>0</v>
      </c>
      <c r="AI293" s="114" t="e">
        <f>INDEX(Tab_Def_Flows[[Flow_ID]:[CC_DM_source]],MATCH(Tab_Data_Flows[[#This Row],[Name(EN)]],Tab_Def_Flows[Name(EN)],0),20)</f>
        <v>#N/A</v>
      </c>
      <c r="AJ293" s="115" t="str">
        <f>IF(L293="Yes",AI293*Tab_Data_Flows[[#This Row],[Flow_Py]],"N.A.")</f>
        <v>N.A.</v>
      </c>
      <c r="AK293" s="61">
        <f>Tab_Data_Flows[[#This Row],[UoM_Flow_Py]]</f>
        <v>0</v>
      </c>
    </row>
    <row r="294" spans="1:37" x14ac:dyDescent="0.35">
      <c r="A294" s="60">
        <f t="shared" si="38"/>
        <v>293</v>
      </c>
      <c r="B294" s="49" t="str">
        <f>_xlfn.XLOOKUP(C294,Tab_Def_Flows[Name(EN)],Tab_Def_Flows[Flow_ID],,0,)</f>
        <v>F_21_21</v>
      </c>
      <c r="C294" s="51"/>
      <c r="D294" s="49">
        <f>_xlfn.XLOOKUP(C294,Tab_Def_Flows[Name(EN)],Tab_Def_Flows[Type_Biomass],,0,)</f>
        <v>0</v>
      </c>
      <c r="E294" s="49">
        <f>_xlfn.XLOOKUP(C294,Tab_Def_Flows[Name(EN)],Tab_Def_Flows[Output_Process],,0,)</f>
        <v>0</v>
      </c>
      <c r="F294" s="49" t="str">
        <f>_xlfn.XLOOKUP(C294,Tab_Def_Flows[Name(EN)],Tab_Def_Flows[Process_ID_O],,0,)</f>
        <v>21__</v>
      </c>
      <c r="G294" s="49">
        <f>_xlfn.XLOOKUP(C294,Tab_Def_Flows[Name(EN)],Tab_Def_Flows[Input_Process],,0,)</f>
        <v>0</v>
      </c>
      <c r="H294" s="61" t="str">
        <f>_xlfn.XLOOKUP(C294,Tab_Def_Flows[Name(EN)],Tab_Def_Flows[Process_ID_I],,0,)</f>
        <v>21__</v>
      </c>
      <c r="I294" s="49">
        <f>_xlfn.XLOOKUP(C294,Tab_Def_Flows[Name(EN)],Tab_Def_Flows[Value_Source],,0,)</f>
        <v>0</v>
      </c>
      <c r="J294" s="49">
        <f>_xlfn.XLOOKUP(C294,Tab_Def_Flows[Name(EN)],Tab_Def_Flows[WC?],,0,)</f>
        <v>0</v>
      </c>
      <c r="K294" s="49">
        <f>_xlfn.XLOOKUP(C294,Tab_Def_Flows[Name(EN)],Tab_Def_Flows[DM?],,0,)</f>
        <v>0</v>
      </c>
      <c r="L294" s="49">
        <f>_xlfn.XLOOKUP(C294,Tab_Def_Flows[Name(EN)],Tab_Def_Flows[CC?],,0,)</f>
        <v>0</v>
      </c>
      <c r="M294" s="51"/>
      <c r="N294" s="51"/>
      <c r="O294" s="88"/>
      <c r="P294" s="51"/>
      <c r="Q294" s="51"/>
      <c r="R294" s="51"/>
      <c r="S294" s="51"/>
      <c r="T294" s="51"/>
      <c r="U294" s="51"/>
      <c r="V294" s="51"/>
      <c r="W294" s="51"/>
      <c r="X294" s="51"/>
      <c r="Y294" s="51"/>
      <c r="Z294" s="51"/>
      <c r="AA294" s="89">
        <f t="shared" si="37"/>
        <v>0</v>
      </c>
      <c r="AB294" s="51"/>
      <c r="AC294" s="114" t="e">
        <f>INDEX(Tab_Def_Flows[[Flow_ID]:[CC_DM_source]],MATCH(Tab_Data_Flows[[#This Row],[Name(EN)]],Tab_Def_Flows[Name(EN)],0),16)</f>
        <v>#N/A</v>
      </c>
      <c r="AD294" s="115" t="str">
        <f>IF(J294="Yes",AA294*Tab_Data_Flows[[#This Row],[WC_'[%']]],"N.A.")</f>
        <v>N.A.</v>
      </c>
      <c r="AE294" s="61">
        <f>Tab_Data_Flows[[#This Row],[UoM_Flow_Py]]</f>
        <v>0</v>
      </c>
      <c r="AF294" s="114" t="e">
        <f>INDEX(Tab_Def_Flows[[Flow_ID]:[CC_DM_source]],MATCH(Tab_Data_Flows[[#This Row],[Name(EN)]],Tab_Def_Flows[Name(EN)],0),18)</f>
        <v>#N/A</v>
      </c>
      <c r="AG294" s="115" t="str">
        <f>IF(K294="Yes",AF294*Tab_Data_Flows[[#This Row],[Flow_Py]],"N.A.")</f>
        <v>N.A.</v>
      </c>
      <c r="AH294" s="61">
        <f>Tab_Data_Flows[[#This Row],[UoM_Flow_Py]]</f>
        <v>0</v>
      </c>
      <c r="AI294" s="114" t="e">
        <f>INDEX(Tab_Def_Flows[[Flow_ID]:[CC_DM_source]],MATCH(Tab_Data_Flows[[#This Row],[Name(EN)]],Tab_Def_Flows[Name(EN)],0),20)</f>
        <v>#N/A</v>
      </c>
      <c r="AJ294" s="115" t="str">
        <f>IF(L294="Yes",AI294*Tab_Data_Flows[[#This Row],[Flow_Py]],"N.A.")</f>
        <v>N.A.</v>
      </c>
      <c r="AK294" s="61">
        <f>Tab_Data_Flows[[#This Row],[UoM_Flow_Py]]</f>
        <v>0</v>
      </c>
    </row>
    <row r="295" spans="1:37" x14ac:dyDescent="0.35">
      <c r="A295" s="60">
        <f t="shared" si="38"/>
        <v>294</v>
      </c>
      <c r="B295" s="49" t="str">
        <f>_xlfn.XLOOKUP(C295,Tab_Def_Flows[Name(EN)],Tab_Def_Flows[Flow_ID],,0,)</f>
        <v>F_21_21</v>
      </c>
      <c r="C295" s="51"/>
      <c r="D295" s="49">
        <f>_xlfn.XLOOKUP(C295,Tab_Def_Flows[Name(EN)],Tab_Def_Flows[Type_Biomass],,0,)</f>
        <v>0</v>
      </c>
      <c r="E295" s="49">
        <f>_xlfn.XLOOKUP(C295,Tab_Def_Flows[Name(EN)],Tab_Def_Flows[Output_Process],,0,)</f>
        <v>0</v>
      </c>
      <c r="F295" s="49" t="str">
        <f>_xlfn.XLOOKUP(C295,Tab_Def_Flows[Name(EN)],Tab_Def_Flows[Process_ID_O],,0,)</f>
        <v>21__</v>
      </c>
      <c r="G295" s="49">
        <f>_xlfn.XLOOKUP(C295,Tab_Def_Flows[Name(EN)],Tab_Def_Flows[Input_Process],,0,)</f>
        <v>0</v>
      </c>
      <c r="H295" s="61" t="str">
        <f>_xlfn.XLOOKUP(C295,Tab_Def_Flows[Name(EN)],Tab_Def_Flows[Process_ID_I],,0,)</f>
        <v>21__</v>
      </c>
      <c r="I295" s="49">
        <f>_xlfn.XLOOKUP(C295,Tab_Def_Flows[Name(EN)],Tab_Def_Flows[Value_Source],,0,)</f>
        <v>0</v>
      </c>
      <c r="J295" s="49">
        <f>_xlfn.XLOOKUP(C295,Tab_Def_Flows[Name(EN)],Tab_Def_Flows[WC?],,0,)</f>
        <v>0</v>
      </c>
      <c r="K295" s="49">
        <f>_xlfn.XLOOKUP(C295,Tab_Def_Flows[Name(EN)],Tab_Def_Flows[DM?],,0,)</f>
        <v>0</v>
      </c>
      <c r="L295" s="49">
        <f>_xlfn.XLOOKUP(C295,Tab_Def_Flows[Name(EN)],Tab_Def_Flows[CC?],,0,)</f>
        <v>0</v>
      </c>
      <c r="M295" s="51"/>
      <c r="N295" s="51"/>
      <c r="O295" s="88"/>
      <c r="P295" s="51"/>
      <c r="Q295" s="51"/>
      <c r="R295" s="51"/>
      <c r="S295" s="51"/>
      <c r="T295" s="51"/>
      <c r="U295" s="51"/>
      <c r="V295" s="51"/>
      <c r="W295" s="51"/>
      <c r="X295" s="51"/>
      <c r="Y295" s="51"/>
      <c r="Z295" s="51"/>
      <c r="AA295" s="89">
        <f t="shared" si="37"/>
        <v>0</v>
      </c>
      <c r="AB295" s="51"/>
      <c r="AC295" s="114" t="e">
        <f>INDEX(Tab_Def_Flows[[Flow_ID]:[CC_DM_source]],MATCH(Tab_Data_Flows[[#This Row],[Name(EN)]],Tab_Def_Flows[Name(EN)],0),16)</f>
        <v>#N/A</v>
      </c>
      <c r="AD295" s="115" t="str">
        <f>IF(J295="Yes",AA295*Tab_Data_Flows[[#This Row],[WC_'[%']]],"N.A.")</f>
        <v>N.A.</v>
      </c>
      <c r="AE295" s="61">
        <f>Tab_Data_Flows[[#This Row],[UoM_Flow_Py]]</f>
        <v>0</v>
      </c>
      <c r="AF295" s="114" t="e">
        <f>INDEX(Tab_Def_Flows[[Flow_ID]:[CC_DM_source]],MATCH(Tab_Data_Flows[[#This Row],[Name(EN)]],Tab_Def_Flows[Name(EN)],0),18)</f>
        <v>#N/A</v>
      </c>
      <c r="AG295" s="115" t="str">
        <f>IF(K295="Yes",AF295*Tab_Data_Flows[[#This Row],[Flow_Py]],"N.A.")</f>
        <v>N.A.</v>
      </c>
      <c r="AH295" s="61">
        <f>Tab_Data_Flows[[#This Row],[UoM_Flow_Py]]</f>
        <v>0</v>
      </c>
      <c r="AI295" s="114" t="e">
        <f>INDEX(Tab_Def_Flows[[Flow_ID]:[CC_DM_source]],MATCH(Tab_Data_Flows[[#This Row],[Name(EN)]],Tab_Def_Flows[Name(EN)],0),20)</f>
        <v>#N/A</v>
      </c>
      <c r="AJ295" s="115" t="str">
        <f>IF(L295="Yes",AI295*Tab_Data_Flows[[#This Row],[Flow_Py]],"N.A.")</f>
        <v>N.A.</v>
      </c>
      <c r="AK295" s="61">
        <f>Tab_Data_Flows[[#This Row],[UoM_Flow_Py]]</f>
        <v>0</v>
      </c>
    </row>
    <row r="296" spans="1:37" x14ac:dyDescent="0.35">
      <c r="A296" s="60">
        <f t="shared" si="38"/>
        <v>295</v>
      </c>
      <c r="B296" s="49" t="str">
        <f>_xlfn.XLOOKUP(C296,Tab_Def_Flows[Name(EN)],Tab_Def_Flows[Flow_ID],,0,)</f>
        <v>F_21_21</v>
      </c>
      <c r="C296" s="51"/>
      <c r="D296" s="49">
        <f>_xlfn.XLOOKUP(C296,Tab_Def_Flows[Name(EN)],Tab_Def_Flows[Type_Biomass],,0,)</f>
        <v>0</v>
      </c>
      <c r="E296" s="49">
        <f>_xlfn.XLOOKUP(C296,Tab_Def_Flows[Name(EN)],Tab_Def_Flows[Output_Process],,0,)</f>
        <v>0</v>
      </c>
      <c r="F296" s="49" t="str">
        <f>_xlfn.XLOOKUP(C296,Tab_Def_Flows[Name(EN)],Tab_Def_Flows[Process_ID_O],,0,)</f>
        <v>21__</v>
      </c>
      <c r="G296" s="49">
        <f>_xlfn.XLOOKUP(C296,Tab_Def_Flows[Name(EN)],Tab_Def_Flows[Input_Process],,0,)</f>
        <v>0</v>
      </c>
      <c r="H296" s="61" t="str">
        <f>_xlfn.XLOOKUP(C296,Tab_Def_Flows[Name(EN)],Tab_Def_Flows[Process_ID_I],,0,)</f>
        <v>21__</v>
      </c>
      <c r="I296" s="49">
        <f>_xlfn.XLOOKUP(C296,Tab_Def_Flows[Name(EN)],Tab_Def_Flows[Value_Source],,0,)</f>
        <v>0</v>
      </c>
      <c r="J296" s="49">
        <f>_xlfn.XLOOKUP(C296,Tab_Def_Flows[Name(EN)],Tab_Def_Flows[WC?],,0,)</f>
        <v>0</v>
      </c>
      <c r="K296" s="49">
        <f>_xlfn.XLOOKUP(C296,Tab_Def_Flows[Name(EN)],Tab_Def_Flows[DM?],,0,)</f>
        <v>0</v>
      </c>
      <c r="L296" s="49">
        <f>_xlfn.XLOOKUP(C296,Tab_Def_Flows[Name(EN)],Tab_Def_Flows[CC?],,0,)</f>
        <v>0</v>
      </c>
      <c r="M296" s="51"/>
      <c r="N296" s="51"/>
      <c r="O296" s="88"/>
      <c r="P296" s="51"/>
      <c r="Q296" s="51"/>
      <c r="R296" s="51"/>
      <c r="S296" s="51"/>
      <c r="T296" s="51"/>
      <c r="U296" s="51"/>
      <c r="V296" s="51"/>
      <c r="W296" s="51"/>
      <c r="X296" s="51"/>
      <c r="Y296" s="51"/>
      <c r="Z296" s="51"/>
      <c r="AA296" s="89">
        <f t="shared" si="37"/>
        <v>0</v>
      </c>
      <c r="AB296" s="51"/>
      <c r="AC296" s="114" t="e">
        <f>INDEX(Tab_Def_Flows[[Flow_ID]:[CC_DM_source]],MATCH(Tab_Data_Flows[[#This Row],[Name(EN)]],Tab_Def_Flows[Name(EN)],0),16)</f>
        <v>#N/A</v>
      </c>
      <c r="AD296" s="115" t="str">
        <f>IF(J296="Yes",AA296*Tab_Data_Flows[[#This Row],[WC_'[%']]],"N.A.")</f>
        <v>N.A.</v>
      </c>
      <c r="AE296" s="61">
        <f>Tab_Data_Flows[[#This Row],[UoM_Flow_Py]]</f>
        <v>0</v>
      </c>
      <c r="AF296" s="114" t="e">
        <f>INDEX(Tab_Def_Flows[[Flow_ID]:[CC_DM_source]],MATCH(Tab_Data_Flows[[#This Row],[Name(EN)]],Tab_Def_Flows[Name(EN)],0),18)</f>
        <v>#N/A</v>
      </c>
      <c r="AG296" s="115" t="str">
        <f>IF(K296="Yes",AF296*Tab_Data_Flows[[#This Row],[Flow_Py]],"N.A.")</f>
        <v>N.A.</v>
      </c>
      <c r="AH296" s="61">
        <f>Tab_Data_Flows[[#This Row],[UoM_Flow_Py]]</f>
        <v>0</v>
      </c>
      <c r="AI296" s="114" t="e">
        <f>INDEX(Tab_Def_Flows[[Flow_ID]:[CC_DM_source]],MATCH(Tab_Data_Flows[[#This Row],[Name(EN)]],Tab_Def_Flows[Name(EN)],0),20)</f>
        <v>#N/A</v>
      </c>
      <c r="AJ296" s="115" t="str">
        <f>IF(L296="Yes",AI296*Tab_Data_Flows[[#This Row],[Flow_Py]],"N.A.")</f>
        <v>N.A.</v>
      </c>
      <c r="AK296" s="61">
        <f>Tab_Data_Flows[[#This Row],[UoM_Flow_Py]]</f>
        <v>0</v>
      </c>
    </row>
    <row r="297" spans="1:37" x14ac:dyDescent="0.35">
      <c r="A297" s="60">
        <f t="shared" si="38"/>
        <v>296</v>
      </c>
      <c r="B297" s="49" t="str">
        <f>_xlfn.XLOOKUP(C297,Tab_Def_Flows[Name(EN)],Tab_Def_Flows[Flow_ID],,0,)</f>
        <v>F_21_21</v>
      </c>
      <c r="C297" s="51"/>
      <c r="D297" s="49">
        <f>_xlfn.XLOOKUP(C297,Tab_Def_Flows[Name(EN)],Tab_Def_Flows[Type_Biomass],,0,)</f>
        <v>0</v>
      </c>
      <c r="E297" s="49">
        <f>_xlfn.XLOOKUP(C297,Tab_Def_Flows[Name(EN)],Tab_Def_Flows[Output_Process],,0,)</f>
        <v>0</v>
      </c>
      <c r="F297" s="49" t="str">
        <f>_xlfn.XLOOKUP(C297,Tab_Def_Flows[Name(EN)],Tab_Def_Flows[Process_ID_O],,0,)</f>
        <v>21__</v>
      </c>
      <c r="G297" s="49">
        <f>_xlfn.XLOOKUP(C297,Tab_Def_Flows[Name(EN)],Tab_Def_Flows[Input_Process],,0,)</f>
        <v>0</v>
      </c>
      <c r="H297" s="61" t="str">
        <f>_xlfn.XLOOKUP(C297,Tab_Def_Flows[Name(EN)],Tab_Def_Flows[Process_ID_I],,0,)</f>
        <v>21__</v>
      </c>
      <c r="I297" s="49">
        <f>_xlfn.XLOOKUP(C297,Tab_Def_Flows[Name(EN)],Tab_Def_Flows[Value_Source],,0,)</f>
        <v>0</v>
      </c>
      <c r="J297" s="49">
        <f>_xlfn.XLOOKUP(C297,Tab_Def_Flows[Name(EN)],Tab_Def_Flows[WC?],,0,)</f>
        <v>0</v>
      </c>
      <c r="K297" s="49">
        <f>_xlfn.XLOOKUP(C297,Tab_Def_Flows[Name(EN)],Tab_Def_Flows[DM?],,0,)</f>
        <v>0</v>
      </c>
      <c r="L297" s="49">
        <f>_xlfn.XLOOKUP(C297,Tab_Def_Flows[Name(EN)],Tab_Def_Flows[CC?],,0,)</f>
        <v>0</v>
      </c>
      <c r="M297" s="51"/>
      <c r="N297" s="51"/>
      <c r="O297" s="88"/>
      <c r="P297" s="51"/>
      <c r="Q297" s="51"/>
      <c r="R297" s="51"/>
      <c r="S297" s="51"/>
      <c r="T297" s="51"/>
      <c r="U297" s="51"/>
      <c r="V297" s="51"/>
      <c r="W297" s="51"/>
      <c r="X297" s="51"/>
      <c r="Y297" s="51"/>
      <c r="Z297" s="51"/>
      <c r="AA297" s="89">
        <f t="shared" si="37"/>
        <v>0</v>
      </c>
      <c r="AB297" s="51"/>
      <c r="AC297" s="114" t="e">
        <f>INDEX(Tab_Def_Flows[[Flow_ID]:[CC_DM_source]],MATCH(Tab_Data_Flows[[#This Row],[Name(EN)]],Tab_Def_Flows[Name(EN)],0),16)</f>
        <v>#N/A</v>
      </c>
      <c r="AD297" s="115" t="str">
        <f>IF(J297="Yes",AA297*Tab_Data_Flows[[#This Row],[WC_'[%']]],"N.A.")</f>
        <v>N.A.</v>
      </c>
      <c r="AE297" s="61">
        <f>Tab_Data_Flows[[#This Row],[UoM_Flow_Py]]</f>
        <v>0</v>
      </c>
      <c r="AF297" s="114" t="e">
        <f>INDEX(Tab_Def_Flows[[Flow_ID]:[CC_DM_source]],MATCH(Tab_Data_Flows[[#This Row],[Name(EN)]],Tab_Def_Flows[Name(EN)],0),18)</f>
        <v>#N/A</v>
      </c>
      <c r="AG297" s="115" t="str">
        <f>IF(K297="Yes",AF297*Tab_Data_Flows[[#This Row],[Flow_Py]],"N.A.")</f>
        <v>N.A.</v>
      </c>
      <c r="AH297" s="61">
        <f>Tab_Data_Flows[[#This Row],[UoM_Flow_Py]]</f>
        <v>0</v>
      </c>
      <c r="AI297" s="114" t="e">
        <f>INDEX(Tab_Def_Flows[[Flow_ID]:[CC_DM_source]],MATCH(Tab_Data_Flows[[#This Row],[Name(EN)]],Tab_Def_Flows[Name(EN)],0),20)</f>
        <v>#N/A</v>
      </c>
      <c r="AJ297" s="115" t="str">
        <f>IF(L297="Yes",AI297*Tab_Data_Flows[[#This Row],[Flow_Py]],"N.A.")</f>
        <v>N.A.</v>
      </c>
      <c r="AK297" s="61">
        <f>Tab_Data_Flows[[#This Row],[UoM_Flow_Py]]</f>
        <v>0</v>
      </c>
    </row>
    <row r="298" spans="1:37" x14ac:dyDescent="0.35">
      <c r="A298" s="60">
        <f t="shared" si="38"/>
        <v>297</v>
      </c>
      <c r="B298" s="49" t="str">
        <f>_xlfn.XLOOKUP(C298,Tab_Def_Flows[Name(EN)],Tab_Def_Flows[Flow_ID],,0,)</f>
        <v>F_21_21</v>
      </c>
      <c r="C298" s="51"/>
      <c r="D298" s="49">
        <f>_xlfn.XLOOKUP(C298,Tab_Def_Flows[Name(EN)],Tab_Def_Flows[Type_Biomass],,0,)</f>
        <v>0</v>
      </c>
      <c r="E298" s="49">
        <f>_xlfn.XLOOKUP(C298,Tab_Def_Flows[Name(EN)],Tab_Def_Flows[Output_Process],,0,)</f>
        <v>0</v>
      </c>
      <c r="F298" s="49" t="str">
        <f>_xlfn.XLOOKUP(C298,Tab_Def_Flows[Name(EN)],Tab_Def_Flows[Process_ID_O],,0,)</f>
        <v>21__</v>
      </c>
      <c r="G298" s="49">
        <f>_xlfn.XLOOKUP(C298,Tab_Def_Flows[Name(EN)],Tab_Def_Flows[Input_Process],,0,)</f>
        <v>0</v>
      </c>
      <c r="H298" s="61" t="str">
        <f>_xlfn.XLOOKUP(C298,Tab_Def_Flows[Name(EN)],Tab_Def_Flows[Process_ID_I],,0,)</f>
        <v>21__</v>
      </c>
      <c r="I298" s="49">
        <f>_xlfn.XLOOKUP(C298,Tab_Def_Flows[Name(EN)],Tab_Def_Flows[Value_Source],,0,)</f>
        <v>0</v>
      </c>
      <c r="J298" s="49">
        <f>_xlfn.XLOOKUP(C298,Tab_Def_Flows[Name(EN)],Tab_Def_Flows[WC?],,0,)</f>
        <v>0</v>
      </c>
      <c r="K298" s="49">
        <f>_xlfn.XLOOKUP(C298,Tab_Def_Flows[Name(EN)],Tab_Def_Flows[DM?],,0,)</f>
        <v>0</v>
      </c>
      <c r="L298" s="49">
        <f>_xlfn.XLOOKUP(C298,Tab_Def_Flows[Name(EN)],Tab_Def_Flows[CC?],,0,)</f>
        <v>0</v>
      </c>
      <c r="M298" s="51"/>
      <c r="N298" s="51"/>
      <c r="O298" s="88"/>
      <c r="P298" s="51"/>
      <c r="Q298" s="51"/>
      <c r="R298" s="51"/>
      <c r="S298" s="51"/>
      <c r="T298" s="51"/>
      <c r="U298" s="51"/>
      <c r="V298" s="51"/>
      <c r="W298" s="51"/>
      <c r="X298" s="51"/>
      <c r="Y298" s="51"/>
      <c r="Z298" s="51"/>
      <c r="AA298" s="89">
        <f t="shared" si="37"/>
        <v>0</v>
      </c>
      <c r="AB298" s="51"/>
      <c r="AC298" s="114" t="e">
        <f>INDEX(Tab_Def_Flows[[Flow_ID]:[CC_DM_source]],MATCH(Tab_Data_Flows[[#This Row],[Name(EN)]],Tab_Def_Flows[Name(EN)],0),16)</f>
        <v>#N/A</v>
      </c>
      <c r="AD298" s="115" t="str">
        <f>IF(J298="Yes",AA298*Tab_Data_Flows[[#This Row],[WC_'[%']]],"N.A.")</f>
        <v>N.A.</v>
      </c>
      <c r="AE298" s="61">
        <f>Tab_Data_Flows[[#This Row],[UoM_Flow_Py]]</f>
        <v>0</v>
      </c>
      <c r="AF298" s="114" t="e">
        <f>INDEX(Tab_Def_Flows[[Flow_ID]:[CC_DM_source]],MATCH(Tab_Data_Flows[[#This Row],[Name(EN)]],Tab_Def_Flows[Name(EN)],0),18)</f>
        <v>#N/A</v>
      </c>
      <c r="AG298" s="115" t="str">
        <f>IF(K298="Yes",AF298*Tab_Data_Flows[[#This Row],[Flow_Py]],"N.A.")</f>
        <v>N.A.</v>
      </c>
      <c r="AH298" s="61">
        <f>Tab_Data_Flows[[#This Row],[UoM_Flow_Py]]</f>
        <v>0</v>
      </c>
      <c r="AI298" s="114" t="e">
        <f>INDEX(Tab_Def_Flows[[Flow_ID]:[CC_DM_source]],MATCH(Tab_Data_Flows[[#This Row],[Name(EN)]],Tab_Def_Flows[Name(EN)],0),20)</f>
        <v>#N/A</v>
      </c>
      <c r="AJ298" s="115" t="str">
        <f>IF(L298="Yes",AI298*Tab_Data_Flows[[#This Row],[Flow_Py]],"N.A.")</f>
        <v>N.A.</v>
      </c>
      <c r="AK298" s="61">
        <f>Tab_Data_Flows[[#This Row],[UoM_Flow_Py]]</f>
        <v>0</v>
      </c>
    </row>
    <row r="299" spans="1:37" x14ac:dyDescent="0.35">
      <c r="A299" s="60">
        <f t="shared" si="38"/>
        <v>298</v>
      </c>
      <c r="B299" s="49" t="str">
        <f>_xlfn.XLOOKUP(C299,Tab_Def_Flows[Name(EN)],Tab_Def_Flows[Flow_ID],,0,)</f>
        <v>F_21_21</v>
      </c>
      <c r="C299" s="51"/>
      <c r="D299" s="49">
        <f>_xlfn.XLOOKUP(C299,Tab_Def_Flows[Name(EN)],Tab_Def_Flows[Type_Biomass],,0,)</f>
        <v>0</v>
      </c>
      <c r="E299" s="49">
        <f>_xlfn.XLOOKUP(C299,Tab_Def_Flows[Name(EN)],Tab_Def_Flows[Output_Process],,0,)</f>
        <v>0</v>
      </c>
      <c r="F299" s="49" t="str">
        <f>_xlfn.XLOOKUP(C299,Tab_Def_Flows[Name(EN)],Tab_Def_Flows[Process_ID_O],,0,)</f>
        <v>21__</v>
      </c>
      <c r="G299" s="49">
        <f>_xlfn.XLOOKUP(C299,Tab_Def_Flows[Name(EN)],Tab_Def_Flows[Input_Process],,0,)</f>
        <v>0</v>
      </c>
      <c r="H299" s="61" t="str">
        <f>_xlfn.XLOOKUP(C299,Tab_Def_Flows[Name(EN)],Tab_Def_Flows[Process_ID_I],,0,)</f>
        <v>21__</v>
      </c>
      <c r="I299" s="49">
        <f>_xlfn.XLOOKUP(C299,Tab_Def_Flows[Name(EN)],Tab_Def_Flows[Value_Source],,0,)</f>
        <v>0</v>
      </c>
      <c r="J299" s="49">
        <f>_xlfn.XLOOKUP(C299,Tab_Def_Flows[Name(EN)],Tab_Def_Flows[WC?],,0,)</f>
        <v>0</v>
      </c>
      <c r="K299" s="49">
        <f>_xlfn.XLOOKUP(C299,Tab_Def_Flows[Name(EN)],Tab_Def_Flows[DM?],,0,)</f>
        <v>0</v>
      </c>
      <c r="L299" s="49">
        <f>_xlfn.XLOOKUP(C299,Tab_Def_Flows[Name(EN)],Tab_Def_Flows[CC?],,0,)</f>
        <v>0</v>
      </c>
      <c r="M299" s="51"/>
      <c r="N299" s="51"/>
      <c r="O299" s="88"/>
      <c r="P299" s="51"/>
      <c r="Q299" s="51"/>
      <c r="R299" s="51"/>
      <c r="S299" s="51"/>
      <c r="T299" s="51"/>
      <c r="U299" s="51"/>
      <c r="V299" s="51"/>
      <c r="W299" s="51"/>
      <c r="X299" s="51"/>
      <c r="Y299" s="51"/>
      <c r="Z299" s="51"/>
      <c r="AA299" s="89">
        <f t="shared" si="37"/>
        <v>0</v>
      </c>
      <c r="AB299" s="51"/>
      <c r="AC299" s="114" t="e">
        <f>INDEX(Tab_Def_Flows[[Flow_ID]:[CC_DM_source]],MATCH(Tab_Data_Flows[[#This Row],[Name(EN)]],Tab_Def_Flows[Name(EN)],0),16)</f>
        <v>#N/A</v>
      </c>
      <c r="AD299" s="115" t="str">
        <f>IF(J299="Yes",AA299*Tab_Data_Flows[[#This Row],[WC_'[%']]],"N.A.")</f>
        <v>N.A.</v>
      </c>
      <c r="AE299" s="61">
        <f>Tab_Data_Flows[[#This Row],[UoM_Flow_Py]]</f>
        <v>0</v>
      </c>
      <c r="AF299" s="114" t="e">
        <f>INDEX(Tab_Def_Flows[[Flow_ID]:[CC_DM_source]],MATCH(Tab_Data_Flows[[#This Row],[Name(EN)]],Tab_Def_Flows[Name(EN)],0),18)</f>
        <v>#N/A</v>
      </c>
      <c r="AG299" s="115" t="str">
        <f>IF(K299="Yes",AF299*Tab_Data_Flows[[#This Row],[Flow_Py]],"N.A.")</f>
        <v>N.A.</v>
      </c>
      <c r="AH299" s="61">
        <f>Tab_Data_Flows[[#This Row],[UoM_Flow_Py]]</f>
        <v>0</v>
      </c>
      <c r="AI299" s="114" t="e">
        <f>INDEX(Tab_Def_Flows[[Flow_ID]:[CC_DM_source]],MATCH(Tab_Data_Flows[[#This Row],[Name(EN)]],Tab_Def_Flows[Name(EN)],0),20)</f>
        <v>#N/A</v>
      </c>
      <c r="AJ299" s="115" t="str">
        <f>IF(L299="Yes",AI299*Tab_Data_Flows[[#This Row],[Flow_Py]],"N.A.")</f>
        <v>N.A.</v>
      </c>
      <c r="AK299" s="61">
        <f>Tab_Data_Flows[[#This Row],[UoM_Flow_Py]]</f>
        <v>0</v>
      </c>
    </row>
    <row r="300" spans="1:37" x14ac:dyDescent="0.35">
      <c r="A300" s="60">
        <f t="shared" si="38"/>
        <v>299</v>
      </c>
      <c r="B300" s="49" t="str">
        <f>_xlfn.XLOOKUP(C300,Tab_Def_Flows[Name(EN)],Tab_Def_Flows[Flow_ID],,0,)</f>
        <v>F_21_21</v>
      </c>
      <c r="C300" s="51"/>
      <c r="D300" s="49">
        <f>_xlfn.XLOOKUP(C300,Tab_Def_Flows[Name(EN)],Tab_Def_Flows[Type_Biomass],,0,)</f>
        <v>0</v>
      </c>
      <c r="E300" s="49">
        <f>_xlfn.XLOOKUP(C300,Tab_Def_Flows[Name(EN)],Tab_Def_Flows[Output_Process],,0,)</f>
        <v>0</v>
      </c>
      <c r="F300" s="49" t="str">
        <f>_xlfn.XLOOKUP(C300,Tab_Def_Flows[Name(EN)],Tab_Def_Flows[Process_ID_O],,0,)</f>
        <v>21__</v>
      </c>
      <c r="G300" s="49">
        <f>_xlfn.XLOOKUP(C300,Tab_Def_Flows[Name(EN)],Tab_Def_Flows[Input_Process],,0,)</f>
        <v>0</v>
      </c>
      <c r="H300" s="61" t="str">
        <f>_xlfn.XLOOKUP(C300,Tab_Def_Flows[Name(EN)],Tab_Def_Flows[Process_ID_I],,0,)</f>
        <v>21__</v>
      </c>
      <c r="I300" s="49">
        <f>_xlfn.XLOOKUP(C300,Tab_Def_Flows[Name(EN)],Tab_Def_Flows[Value_Source],,0,)</f>
        <v>0</v>
      </c>
      <c r="J300" s="49">
        <f>_xlfn.XLOOKUP(C300,Tab_Def_Flows[Name(EN)],Tab_Def_Flows[WC?],,0,)</f>
        <v>0</v>
      </c>
      <c r="K300" s="49">
        <f>_xlfn.XLOOKUP(C300,Tab_Def_Flows[Name(EN)],Tab_Def_Flows[DM?],,0,)</f>
        <v>0</v>
      </c>
      <c r="L300" s="49">
        <f>_xlfn.XLOOKUP(C300,Tab_Def_Flows[Name(EN)],Tab_Def_Flows[CC?],,0,)</f>
        <v>0</v>
      </c>
      <c r="M300" s="51"/>
      <c r="N300" s="51"/>
      <c r="O300" s="88"/>
      <c r="P300" s="51"/>
      <c r="Q300" s="51"/>
      <c r="R300" s="51"/>
      <c r="S300" s="51"/>
      <c r="T300" s="51"/>
      <c r="U300" s="51"/>
      <c r="V300" s="51"/>
      <c r="W300" s="51"/>
      <c r="X300" s="51"/>
      <c r="Y300" s="51"/>
      <c r="Z300" s="51"/>
      <c r="AA300" s="89">
        <f t="shared" si="37"/>
        <v>0</v>
      </c>
      <c r="AB300" s="51"/>
      <c r="AC300" s="114" t="e">
        <f>INDEX(Tab_Def_Flows[[Flow_ID]:[CC_DM_source]],MATCH(Tab_Data_Flows[[#This Row],[Name(EN)]],Tab_Def_Flows[Name(EN)],0),16)</f>
        <v>#N/A</v>
      </c>
      <c r="AD300" s="115" t="str">
        <f>IF(J300="Yes",AA300*Tab_Data_Flows[[#This Row],[WC_'[%']]],"N.A.")</f>
        <v>N.A.</v>
      </c>
      <c r="AE300" s="61">
        <f>Tab_Data_Flows[[#This Row],[UoM_Flow_Py]]</f>
        <v>0</v>
      </c>
      <c r="AF300" s="114" t="e">
        <f>INDEX(Tab_Def_Flows[[Flow_ID]:[CC_DM_source]],MATCH(Tab_Data_Flows[[#This Row],[Name(EN)]],Tab_Def_Flows[Name(EN)],0),18)</f>
        <v>#N/A</v>
      </c>
      <c r="AG300" s="115" t="str">
        <f>IF(K300="Yes",AF300*Tab_Data_Flows[[#This Row],[Flow_Py]],"N.A.")</f>
        <v>N.A.</v>
      </c>
      <c r="AH300" s="61">
        <f>Tab_Data_Flows[[#This Row],[UoM_Flow_Py]]</f>
        <v>0</v>
      </c>
      <c r="AI300" s="114" t="e">
        <f>INDEX(Tab_Def_Flows[[Flow_ID]:[CC_DM_source]],MATCH(Tab_Data_Flows[[#This Row],[Name(EN)]],Tab_Def_Flows[Name(EN)],0),20)</f>
        <v>#N/A</v>
      </c>
      <c r="AJ300" s="115" t="str">
        <f>IF(L300="Yes",AI300*Tab_Data_Flows[[#This Row],[Flow_Py]],"N.A.")</f>
        <v>N.A.</v>
      </c>
      <c r="AK300" s="61">
        <f>Tab_Data_Flows[[#This Row],[UoM_Flow_Py]]</f>
        <v>0</v>
      </c>
    </row>
    <row r="301" spans="1:37" x14ac:dyDescent="0.35">
      <c r="A301" s="60">
        <f t="shared" si="38"/>
        <v>300</v>
      </c>
      <c r="B301" s="49" t="str">
        <f>_xlfn.XLOOKUP(C301,Tab_Def_Flows[Name(EN)],Tab_Def_Flows[Flow_ID],,0,)</f>
        <v>F_21_21</v>
      </c>
      <c r="C301" s="51"/>
      <c r="D301" s="49">
        <f>_xlfn.XLOOKUP(C301,Tab_Def_Flows[Name(EN)],Tab_Def_Flows[Type_Biomass],,0,)</f>
        <v>0</v>
      </c>
      <c r="E301" s="49">
        <f>_xlfn.XLOOKUP(C301,Tab_Def_Flows[Name(EN)],Tab_Def_Flows[Output_Process],,0,)</f>
        <v>0</v>
      </c>
      <c r="F301" s="49" t="str">
        <f>_xlfn.XLOOKUP(C301,Tab_Def_Flows[Name(EN)],Tab_Def_Flows[Process_ID_O],,0,)</f>
        <v>21__</v>
      </c>
      <c r="G301" s="49">
        <f>_xlfn.XLOOKUP(C301,Tab_Def_Flows[Name(EN)],Tab_Def_Flows[Input_Process],,0,)</f>
        <v>0</v>
      </c>
      <c r="H301" s="61" t="str">
        <f>_xlfn.XLOOKUP(C301,Tab_Def_Flows[Name(EN)],Tab_Def_Flows[Process_ID_I],,0,)</f>
        <v>21__</v>
      </c>
      <c r="I301" s="49">
        <f>_xlfn.XLOOKUP(C301,Tab_Def_Flows[Name(EN)],Tab_Def_Flows[Value_Source],,0,)</f>
        <v>0</v>
      </c>
      <c r="J301" s="49">
        <f>_xlfn.XLOOKUP(C301,Tab_Def_Flows[Name(EN)],Tab_Def_Flows[WC?],,0,)</f>
        <v>0</v>
      </c>
      <c r="K301" s="49">
        <f>_xlfn.XLOOKUP(C301,Tab_Def_Flows[Name(EN)],Tab_Def_Flows[DM?],,0,)</f>
        <v>0</v>
      </c>
      <c r="L301" s="49">
        <f>_xlfn.XLOOKUP(C301,Tab_Def_Flows[Name(EN)],Tab_Def_Flows[CC?],,0,)</f>
        <v>0</v>
      </c>
      <c r="M301" s="51"/>
      <c r="N301" s="51"/>
      <c r="O301" s="88"/>
      <c r="P301" s="51"/>
      <c r="Q301" s="51"/>
      <c r="R301" s="51"/>
      <c r="S301" s="51"/>
      <c r="T301" s="51"/>
      <c r="U301" s="51"/>
      <c r="V301" s="51"/>
      <c r="W301" s="51"/>
      <c r="X301" s="51"/>
      <c r="Y301" s="51"/>
      <c r="Z301" s="51"/>
      <c r="AA301" s="89">
        <f t="shared" si="37"/>
        <v>0</v>
      </c>
      <c r="AB301" s="51"/>
      <c r="AC301" s="114" t="e">
        <f>INDEX(Tab_Def_Flows[[Flow_ID]:[CC_DM_source]],MATCH(Tab_Data_Flows[[#This Row],[Name(EN)]],Tab_Def_Flows[Name(EN)],0),16)</f>
        <v>#N/A</v>
      </c>
      <c r="AD301" s="115" t="str">
        <f>IF(J301="Yes",AA301*Tab_Data_Flows[[#This Row],[WC_'[%']]],"N.A.")</f>
        <v>N.A.</v>
      </c>
      <c r="AE301" s="61">
        <f>Tab_Data_Flows[[#This Row],[UoM_Flow_Py]]</f>
        <v>0</v>
      </c>
      <c r="AF301" s="114" t="e">
        <f>INDEX(Tab_Def_Flows[[Flow_ID]:[CC_DM_source]],MATCH(Tab_Data_Flows[[#This Row],[Name(EN)]],Tab_Def_Flows[Name(EN)],0),18)</f>
        <v>#N/A</v>
      </c>
      <c r="AG301" s="115" t="str">
        <f>IF(K301="Yes",AF301*Tab_Data_Flows[[#This Row],[Flow_Py]],"N.A.")</f>
        <v>N.A.</v>
      </c>
      <c r="AH301" s="61">
        <f>Tab_Data_Flows[[#This Row],[UoM_Flow_Py]]</f>
        <v>0</v>
      </c>
      <c r="AI301" s="114" t="e">
        <f>INDEX(Tab_Def_Flows[[Flow_ID]:[CC_DM_source]],MATCH(Tab_Data_Flows[[#This Row],[Name(EN)]],Tab_Def_Flows[Name(EN)],0),20)</f>
        <v>#N/A</v>
      </c>
      <c r="AJ301" s="115" t="str">
        <f>IF(L301="Yes",AI301*Tab_Data_Flows[[#This Row],[Flow_Py]],"N.A.")</f>
        <v>N.A.</v>
      </c>
      <c r="AK301" s="61">
        <f>Tab_Data_Flows[[#This Row],[UoM_Flow_Py]]</f>
        <v>0</v>
      </c>
    </row>
    <row r="302" spans="1:37" x14ac:dyDescent="0.35">
      <c r="A302" s="60">
        <f t="shared" si="38"/>
        <v>301</v>
      </c>
      <c r="B302" s="49" t="str">
        <f>_xlfn.XLOOKUP(C302,Tab_Def_Flows[Name(EN)],Tab_Def_Flows[Flow_ID],,0,)</f>
        <v>F_21_21</v>
      </c>
      <c r="C302" s="51"/>
      <c r="D302" s="49">
        <f>_xlfn.XLOOKUP(C302,Tab_Def_Flows[Name(EN)],Tab_Def_Flows[Type_Biomass],,0,)</f>
        <v>0</v>
      </c>
      <c r="E302" s="49">
        <f>_xlfn.XLOOKUP(C302,Tab_Def_Flows[Name(EN)],Tab_Def_Flows[Output_Process],,0,)</f>
        <v>0</v>
      </c>
      <c r="F302" s="49" t="str">
        <f>_xlfn.XLOOKUP(C302,Tab_Def_Flows[Name(EN)],Tab_Def_Flows[Process_ID_O],,0,)</f>
        <v>21__</v>
      </c>
      <c r="G302" s="49">
        <f>_xlfn.XLOOKUP(C302,Tab_Def_Flows[Name(EN)],Tab_Def_Flows[Input_Process],,0,)</f>
        <v>0</v>
      </c>
      <c r="H302" s="61" t="str">
        <f>_xlfn.XLOOKUP(C302,Tab_Def_Flows[Name(EN)],Tab_Def_Flows[Process_ID_I],,0,)</f>
        <v>21__</v>
      </c>
      <c r="I302" s="49">
        <f>_xlfn.XLOOKUP(C302,Tab_Def_Flows[Name(EN)],Tab_Def_Flows[Value_Source],,0,)</f>
        <v>0</v>
      </c>
      <c r="J302" s="49">
        <f>_xlfn.XLOOKUP(C302,Tab_Def_Flows[Name(EN)],Tab_Def_Flows[WC?],,0,)</f>
        <v>0</v>
      </c>
      <c r="K302" s="49">
        <f>_xlfn.XLOOKUP(C302,Tab_Def_Flows[Name(EN)],Tab_Def_Flows[DM?],,0,)</f>
        <v>0</v>
      </c>
      <c r="L302" s="49">
        <f>_xlfn.XLOOKUP(C302,Tab_Def_Flows[Name(EN)],Tab_Def_Flows[CC?],,0,)</f>
        <v>0</v>
      </c>
      <c r="M302" s="51"/>
      <c r="N302" s="51"/>
      <c r="O302" s="88"/>
      <c r="P302" s="51"/>
      <c r="Q302" s="51"/>
      <c r="R302" s="51"/>
      <c r="S302" s="51"/>
      <c r="T302" s="51"/>
      <c r="U302" s="51"/>
      <c r="V302" s="51"/>
      <c r="W302" s="51"/>
      <c r="X302" s="51"/>
      <c r="Y302" s="51"/>
      <c r="Z302" s="51"/>
      <c r="AA302" s="89">
        <f t="shared" si="37"/>
        <v>0</v>
      </c>
      <c r="AB302" s="51"/>
      <c r="AC302" s="114" t="e">
        <f>INDEX(Tab_Def_Flows[[Flow_ID]:[CC_DM_source]],MATCH(Tab_Data_Flows[[#This Row],[Name(EN)]],Tab_Def_Flows[Name(EN)],0),16)</f>
        <v>#N/A</v>
      </c>
      <c r="AD302" s="115" t="str">
        <f>IF(J302="Yes",AA302*Tab_Data_Flows[[#This Row],[WC_'[%']]],"N.A.")</f>
        <v>N.A.</v>
      </c>
      <c r="AE302" s="61">
        <f>Tab_Data_Flows[[#This Row],[UoM_Flow_Py]]</f>
        <v>0</v>
      </c>
      <c r="AF302" s="114" t="e">
        <f>INDEX(Tab_Def_Flows[[Flow_ID]:[CC_DM_source]],MATCH(Tab_Data_Flows[[#This Row],[Name(EN)]],Tab_Def_Flows[Name(EN)],0),18)</f>
        <v>#N/A</v>
      </c>
      <c r="AG302" s="115" t="str">
        <f>IF(K302="Yes",AF302*Tab_Data_Flows[[#This Row],[Flow_Py]],"N.A.")</f>
        <v>N.A.</v>
      </c>
      <c r="AH302" s="61">
        <f>Tab_Data_Flows[[#This Row],[UoM_Flow_Py]]</f>
        <v>0</v>
      </c>
      <c r="AI302" s="114" t="e">
        <f>INDEX(Tab_Def_Flows[[Flow_ID]:[CC_DM_source]],MATCH(Tab_Data_Flows[[#This Row],[Name(EN)]],Tab_Def_Flows[Name(EN)],0),20)</f>
        <v>#N/A</v>
      </c>
      <c r="AJ302" s="115" t="str">
        <f>IF(L302="Yes",AI302*Tab_Data_Flows[[#This Row],[Flow_Py]],"N.A.")</f>
        <v>N.A.</v>
      </c>
      <c r="AK302" s="61">
        <f>Tab_Data_Flows[[#This Row],[UoM_Flow_Py]]</f>
        <v>0</v>
      </c>
    </row>
    <row r="303" spans="1:37" x14ac:dyDescent="0.35">
      <c r="A303" s="60">
        <f t="shared" si="38"/>
        <v>302</v>
      </c>
      <c r="B303" s="49" t="str">
        <f>_xlfn.XLOOKUP(C303,Tab_Def_Flows[Name(EN)],Tab_Def_Flows[Flow_ID],,0,)</f>
        <v>F_21_21</v>
      </c>
      <c r="C303" s="51"/>
      <c r="D303" s="49">
        <f>_xlfn.XLOOKUP(C303,Tab_Def_Flows[Name(EN)],Tab_Def_Flows[Type_Biomass],,0,)</f>
        <v>0</v>
      </c>
      <c r="E303" s="49">
        <f>_xlfn.XLOOKUP(C303,Tab_Def_Flows[Name(EN)],Tab_Def_Flows[Output_Process],,0,)</f>
        <v>0</v>
      </c>
      <c r="F303" s="49" t="str">
        <f>_xlfn.XLOOKUP(C303,Tab_Def_Flows[Name(EN)],Tab_Def_Flows[Process_ID_O],,0,)</f>
        <v>21__</v>
      </c>
      <c r="G303" s="49">
        <f>_xlfn.XLOOKUP(C303,Tab_Def_Flows[Name(EN)],Tab_Def_Flows[Input_Process],,0,)</f>
        <v>0</v>
      </c>
      <c r="H303" s="61" t="str">
        <f>_xlfn.XLOOKUP(C303,Tab_Def_Flows[Name(EN)],Tab_Def_Flows[Process_ID_I],,0,)</f>
        <v>21__</v>
      </c>
      <c r="I303" s="49">
        <f>_xlfn.XLOOKUP(C303,Tab_Def_Flows[Name(EN)],Tab_Def_Flows[Value_Source],,0,)</f>
        <v>0</v>
      </c>
      <c r="J303" s="49">
        <f>_xlfn.XLOOKUP(C303,Tab_Def_Flows[Name(EN)],Tab_Def_Flows[WC?],,0,)</f>
        <v>0</v>
      </c>
      <c r="K303" s="49">
        <f>_xlfn.XLOOKUP(C303,Tab_Def_Flows[Name(EN)],Tab_Def_Flows[DM?],,0,)</f>
        <v>0</v>
      </c>
      <c r="L303" s="49">
        <f>_xlfn.XLOOKUP(C303,Tab_Def_Flows[Name(EN)],Tab_Def_Flows[CC?],,0,)</f>
        <v>0</v>
      </c>
      <c r="M303" s="51"/>
      <c r="N303" s="51"/>
      <c r="O303" s="88"/>
      <c r="P303" s="51"/>
      <c r="Q303" s="51"/>
      <c r="R303" s="51"/>
      <c r="S303" s="51"/>
      <c r="T303" s="51"/>
      <c r="U303" s="51"/>
      <c r="V303" s="51"/>
      <c r="W303" s="51"/>
      <c r="X303" s="51"/>
      <c r="Y303" s="51"/>
      <c r="Z303" s="51"/>
      <c r="AA303" s="89">
        <f t="shared" si="37"/>
        <v>0</v>
      </c>
      <c r="AB303" s="51"/>
      <c r="AC303" s="114" t="e">
        <f>INDEX(Tab_Def_Flows[[Flow_ID]:[CC_DM_source]],MATCH(Tab_Data_Flows[[#This Row],[Name(EN)]],Tab_Def_Flows[Name(EN)],0),16)</f>
        <v>#N/A</v>
      </c>
      <c r="AD303" s="115" t="str">
        <f>IF(J303="Yes",AA303*Tab_Data_Flows[[#This Row],[WC_'[%']]],"N.A.")</f>
        <v>N.A.</v>
      </c>
      <c r="AE303" s="61">
        <f>Tab_Data_Flows[[#This Row],[UoM_Flow_Py]]</f>
        <v>0</v>
      </c>
      <c r="AF303" s="114" t="e">
        <f>INDEX(Tab_Def_Flows[[Flow_ID]:[CC_DM_source]],MATCH(Tab_Data_Flows[[#This Row],[Name(EN)]],Tab_Def_Flows[Name(EN)],0),18)</f>
        <v>#N/A</v>
      </c>
      <c r="AG303" s="115" t="str">
        <f>IF(K303="Yes",AF303*Tab_Data_Flows[[#This Row],[Flow_Py]],"N.A.")</f>
        <v>N.A.</v>
      </c>
      <c r="AH303" s="61">
        <f>Tab_Data_Flows[[#This Row],[UoM_Flow_Py]]</f>
        <v>0</v>
      </c>
      <c r="AI303" s="114" t="e">
        <f>INDEX(Tab_Def_Flows[[Flow_ID]:[CC_DM_source]],MATCH(Tab_Data_Flows[[#This Row],[Name(EN)]],Tab_Def_Flows[Name(EN)],0),20)</f>
        <v>#N/A</v>
      </c>
      <c r="AJ303" s="115" t="str">
        <f>IF(L303="Yes",AI303*Tab_Data_Flows[[#This Row],[Flow_Py]],"N.A.")</f>
        <v>N.A.</v>
      </c>
      <c r="AK303" s="61">
        <f>Tab_Data_Flows[[#This Row],[UoM_Flow_Py]]</f>
        <v>0</v>
      </c>
    </row>
    <row r="304" spans="1:37" x14ac:dyDescent="0.35">
      <c r="A304" s="60">
        <f t="shared" si="38"/>
        <v>303</v>
      </c>
      <c r="B304" s="49" t="str">
        <f>_xlfn.XLOOKUP(C304,Tab_Def_Flows[Name(EN)],Tab_Def_Flows[Flow_ID],,0,)</f>
        <v>F_21_21</v>
      </c>
      <c r="C304" s="51"/>
      <c r="D304" s="49">
        <f>_xlfn.XLOOKUP(C304,Tab_Def_Flows[Name(EN)],Tab_Def_Flows[Type_Biomass],,0,)</f>
        <v>0</v>
      </c>
      <c r="E304" s="49">
        <f>_xlfn.XLOOKUP(C304,Tab_Def_Flows[Name(EN)],Tab_Def_Flows[Output_Process],,0,)</f>
        <v>0</v>
      </c>
      <c r="F304" s="49" t="str">
        <f>_xlfn.XLOOKUP(C304,Tab_Def_Flows[Name(EN)],Tab_Def_Flows[Process_ID_O],,0,)</f>
        <v>21__</v>
      </c>
      <c r="G304" s="49">
        <f>_xlfn.XLOOKUP(C304,Tab_Def_Flows[Name(EN)],Tab_Def_Flows[Input_Process],,0,)</f>
        <v>0</v>
      </c>
      <c r="H304" s="61" t="str">
        <f>_xlfn.XLOOKUP(C304,Tab_Def_Flows[Name(EN)],Tab_Def_Flows[Process_ID_I],,0,)</f>
        <v>21__</v>
      </c>
      <c r="I304" s="49">
        <f>_xlfn.XLOOKUP(C304,Tab_Def_Flows[Name(EN)],Tab_Def_Flows[Value_Source],,0,)</f>
        <v>0</v>
      </c>
      <c r="J304" s="49">
        <f>_xlfn.XLOOKUP(C304,Tab_Def_Flows[Name(EN)],Tab_Def_Flows[WC?],,0,)</f>
        <v>0</v>
      </c>
      <c r="K304" s="49">
        <f>_xlfn.XLOOKUP(C304,Tab_Def_Flows[Name(EN)],Tab_Def_Flows[DM?],,0,)</f>
        <v>0</v>
      </c>
      <c r="L304" s="49">
        <f>_xlfn.XLOOKUP(C304,Tab_Def_Flows[Name(EN)],Tab_Def_Flows[CC?],,0,)</f>
        <v>0</v>
      </c>
      <c r="M304" s="51"/>
      <c r="N304" s="51"/>
      <c r="O304" s="88"/>
      <c r="P304" s="51"/>
      <c r="Q304" s="51"/>
      <c r="R304" s="51"/>
      <c r="S304" s="51"/>
      <c r="T304" s="51"/>
      <c r="U304" s="51"/>
      <c r="V304" s="51"/>
      <c r="W304" s="51"/>
      <c r="X304" s="51"/>
      <c r="Y304" s="51"/>
      <c r="Z304" s="51"/>
      <c r="AA304" s="89">
        <f t="shared" si="37"/>
        <v>0</v>
      </c>
      <c r="AB304" s="51"/>
      <c r="AC304" s="114" t="e">
        <f>INDEX(Tab_Def_Flows[[Flow_ID]:[CC_DM_source]],MATCH(Tab_Data_Flows[[#This Row],[Name(EN)]],Tab_Def_Flows[Name(EN)],0),16)</f>
        <v>#N/A</v>
      </c>
      <c r="AD304" s="115" t="str">
        <f>IF(J304="Yes",AA304*Tab_Data_Flows[[#This Row],[WC_'[%']]],"N.A.")</f>
        <v>N.A.</v>
      </c>
      <c r="AE304" s="61">
        <f>Tab_Data_Flows[[#This Row],[UoM_Flow_Py]]</f>
        <v>0</v>
      </c>
      <c r="AF304" s="114" t="e">
        <f>INDEX(Tab_Def_Flows[[Flow_ID]:[CC_DM_source]],MATCH(Tab_Data_Flows[[#This Row],[Name(EN)]],Tab_Def_Flows[Name(EN)],0),18)</f>
        <v>#N/A</v>
      </c>
      <c r="AG304" s="115" t="str">
        <f>IF(K304="Yes",AF304*Tab_Data_Flows[[#This Row],[Flow_Py]],"N.A.")</f>
        <v>N.A.</v>
      </c>
      <c r="AH304" s="61">
        <f>Tab_Data_Flows[[#This Row],[UoM_Flow_Py]]</f>
        <v>0</v>
      </c>
      <c r="AI304" s="114" t="e">
        <f>INDEX(Tab_Def_Flows[[Flow_ID]:[CC_DM_source]],MATCH(Tab_Data_Flows[[#This Row],[Name(EN)]],Tab_Def_Flows[Name(EN)],0),20)</f>
        <v>#N/A</v>
      </c>
      <c r="AJ304" s="115" t="str">
        <f>IF(L304="Yes",AI304*Tab_Data_Flows[[#This Row],[Flow_Py]],"N.A.")</f>
        <v>N.A.</v>
      </c>
      <c r="AK304" s="61">
        <f>Tab_Data_Flows[[#This Row],[UoM_Flow_Py]]</f>
        <v>0</v>
      </c>
    </row>
    <row r="305" spans="1:37" x14ac:dyDescent="0.35">
      <c r="A305" s="60">
        <f t="shared" si="38"/>
        <v>304</v>
      </c>
      <c r="B305" s="49" t="str">
        <f>_xlfn.XLOOKUP(C305,Tab_Def_Flows[Name(EN)],Tab_Def_Flows[Flow_ID],,0,)</f>
        <v>F_21_21</v>
      </c>
      <c r="C305" s="51"/>
      <c r="D305" s="49">
        <f>_xlfn.XLOOKUP(C305,Tab_Def_Flows[Name(EN)],Tab_Def_Flows[Type_Biomass],,0,)</f>
        <v>0</v>
      </c>
      <c r="E305" s="49">
        <f>_xlfn.XLOOKUP(C305,Tab_Def_Flows[Name(EN)],Tab_Def_Flows[Output_Process],,0,)</f>
        <v>0</v>
      </c>
      <c r="F305" s="49" t="str">
        <f>_xlfn.XLOOKUP(C305,Tab_Def_Flows[Name(EN)],Tab_Def_Flows[Process_ID_O],,0,)</f>
        <v>21__</v>
      </c>
      <c r="G305" s="49">
        <f>_xlfn.XLOOKUP(C305,Tab_Def_Flows[Name(EN)],Tab_Def_Flows[Input_Process],,0,)</f>
        <v>0</v>
      </c>
      <c r="H305" s="61" t="str">
        <f>_xlfn.XLOOKUP(C305,Tab_Def_Flows[Name(EN)],Tab_Def_Flows[Process_ID_I],,0,)</f>
        <v>21__</v>
      </c>
      <c r="I305" s="49">
        <f>_xlfn.XLOOKUP(C305,Tab_Def_Flows[Name(EN)],Tab_Def_Flows[Value_Source],,0,)</f>
        <v>0</v>
      </c>
      <c r="J305" s="49">
        <f>_xlfn.XLOOKUP(C305,Tab_Def_Flows[Name(EN)],Tab_Def_Flows[WC?],,0,)</f>
        <v>0</v>
      </c>
      <c r="K305" s="49">
        <f>_xlfn.XLOOKUP(C305,Tab_Def_Flows[Name(EN)],Tab_Def_Flows[DM?],,0,)</f>
        <v>0</v>
      </c>
      <c r="L305" s="49">
        <f>_xlfn.XLOOKUP(C305,Tab_Def_Flows[Name(EN)],Tab_Def_Flows[CC?],,0,)</f>
        <v>0</v>
      </c>
      <c r="M305" s="51"/>
      <c r="N305" s="51"/>
      <c r="O305" s="88"/>
      <c r="P305" s="51"/>
      <c r="Q305" s="51"/>
      <c r="R305" s="51"/>
      <c r="S305" s="51"/>
      <c r="T305" s="51"/>
      <c r="U305" s="51"/>
      <c r="V305" s="51"/>
      <c r="W305" s="51"/>
      <c r="X305" s="51"/>
      <c r="Y305" s="51"/>
      <c r="Z305" s="51"/>
      <c r="AA305" s="89">
        <f t="shared" si="37"/>
        <v>0</v>
      </c>
      <c r="AB305" s="51"/>
      <c r="AC305" s="114" t="e">
        <f>INDEX(Tab_Def_Flows[[Flow_ID]:[CC_DM_source]],MATCH(Tab_Data_Flows[[#This Row],[Name(EN)]],Tab_Def_Flows[Name(EN)],0),16)</f>
        <v>#N/A</v>
      </c>
      <c r="AD305" s="115" t="str">
        <f>IF(J305="Yes",AA305*Tab_Data_Flows[[#This Row],[WC_'[%']]],"N.A.")</f>
        <v>N.A.</v>
      </c>
      <c r="AE305" s="61">
        <f>Tab_Data_Flows[[#This Row],[UoM_Flow_Py]]</f>
        <v>0</v>
      </c>
      <c r="AF305" s="114" t="e">
        <f>INDEX(Tab_Def_Flows[[Flow_ID]:[CC_DM_source]],MATCH(Tab_Data_Flows[[#This Row],[Name(EN)]],Tab_Def_Flows[Name(EN)],0),18)</f>
        <v>#N/A</v>
      </c>
      <c r="AG305" s="115" t="str">
        <f>IF(K305="Yes",AF305*Tab_Data_Flows[[#This Row],[Flow_Py]],"N.A.")</f>
        <v>N.A.</v>
      </c>
      <c r="AH305" s="61">
        <f>Tab_Data_Flows[[#This Row],[UoM_Flow_Py]]</f>
        <v>0</v>
      </c>
      <c r="AI305" s="114" t="e">
        <f>INDEX(Tab_Def_Flows[[Flow_ID]:[CC_DM_source]],MATCH(Tab_Data_Flows[[#This Row],[Name(EN)]],Tab_Def_Flows[Name(EN)],0),20)</f>
        <v>#N/A</v>
      </c>
      <c r="AJ305" s="115" t="str">
        <f>IF(L305="Yes",AI305*Tab_Data_Flows[[#This Row],[Flow_Py]],"N.A.")</f>
        <v>N.A.</v>
      </c>
      <c r="AK305" s="61">
        <f>Tab_Data_Flows[[#This Row],[UoM_Flow_Py]]</f>
        <v>0</v>
      </c>
    </row>
    <row r="306" spans="1:37" x14ac:dyDescent="0.35">
      <c r="A306" s="60">
        <f t="shared" si="38"/>
        <v>305</v>
      </c>
      <c r="B306" s="49" t="str">
        <f>_xlfn.XLOOKUP(C306,Tab_Def_Flows[Name(EN)],Tab_Def_Flows[Flow_ID],,0,)</f>
        <v>F_21_21</v>
      </c>
      <c r="C306" s="51"/>
      <c r="D306" s="49">
        <f>_xlfn.XLOOKUP(C306,Tab_Def_Flows[Name(EN)],Tab_Def_Flows[Type_Biomass],,0,)</f>
        <v>0</v>
      </c>
      <c r="E306" s="49">
        <f>_xlfn.XLOOKUP(C306,Tab_Def_Flows[Name(EN)],Tab_Def_Flows[Output_Process],,0,)</f>
        <v>0</v>
      </c>
      <c r="F306" s="49" t="str">
        <f>_xlfn.XLOOKUP(C306,Tab_Def_Flows[Name(EN)],Tab_Def_Flows[Process_ID_O],,0,)</f>
        <v>21__</v>
      </c>
      <c r="G306" s="49">
        <f>_xlfn.XLOOKUP(C306,Tab_Def_Flows[Name(EN)],Tab_Def_Flows[Input_Process],,0,)</f>
        <v>0</v>
      </c>
      <c r="H306" s="61" t="str">
        <f>_xlfn.XLOOKUP(C306,Tab_Def_Flows[Name(EN)],Tab_Def_Flows[Process_ID_I],,0,)</f>
        <v>21__</v>
      </c>
      <c r="I306" s="49">
        <f>_xlfn.XLOOKUP(C306,Tab_Def_Flows[Name(EN)],Tab_Def_Flows[Value_Source],,0,)</f>
        <v>0</v>
      </c>
      <c r="J306" s="49">
        <f>_xlfn.XLOOKUP(C306,Tab_Def_Flows[Name(EN)],Tab_Def_Flows[WC?],,0,)</f>
        <v>0</v>
      </c>
      <c r="K306" s="49">
        <f>_xlfn.XLOOKUP(C306,Tab_Def_Flows[Name(EN)],Tab_Def_Flows[DM?],,0,)</f>
        <v>0</v>
      </c>
      <c r="L306" s="49">
        <f>_xlfn.XLOOKUP(C306,Tab_Def_Flows[Name(EN)],Tab_Def_Flows[CC?],,0,)</f>
        <v>0</v>
      </c>
      <c r="M306" s="51"/>
      <c r="N306" s="51"/>
      <c r="O306" s="88"/>
      <c r="P306" s="51"/>
      <c r="Q306" s="51"/>
      <c r="R306" s="51"/>
      <c r="S306" s="51"/>
      <c r="T306" s="51"/>
      <c r="U306" s="51"/>
      <c r="V306" s="51"/>
      <c r="W306" s="51"/>
      <c r="X306" s="51"/>
      <c r="Y306" s="51"/>
      <c r="Z306" s="51"/>
      <c r="AA306" s="89">
        <f t="shared" ref="AA306:AA337" si="39">IF(X306="no",O306,O306*Y306)</f>
        <v>0</v>
      </c>
      <c r="AB306" s="51"/>
      <c r="AC306" s="114" t="e">
        <f>INDEX(Tab_Def_Flows[[Flow_ID]:[CC_DM_source]],MATCH(Tab_Data_Flows[[#This Row],[Name(EN)]],Tab_Def_Flows[Name(EN)],0),16)</f>
        <v>#N/A</v>
      </c>
      <c r="AD306" s="115" t="str">
        <f>IF(J306="Yes",AA306*Tab_Data_Flows[[#This Row],[WC_'[%']]],"N.A.")</f>
        <v>N.A.</v>
      </c>
      <c r="AE306" s="61">
        <f>Tab_Data_Flows[[#This Row],[UoM_Flow_Py]]</f>
        <v>0</v>
      </c>
      <c r="AF306" s="114" t="e">
        <f>INDEX(Tab_Def_Flows[[Flow_ID]:[CC_DM_source]],MATCH(Tab_Data_Flows[[#This Row],[Name(EN)]],Tab_Def_Flows[Name(EN)],0),18)</f>
        <v>#N/A</v>
      </c>
      <c r="AG306" s="115" t="str">
        <f>IF(K306="Yes",AF306*Tab_Data_Flows[[#This Row],[Flow_Py]],"N.A.")</f>
        <v>N.A.</v>
      </c>
      <c r="AH306" s="61">
        <f>Tab_Data_Flows[[#This Row],[UoM_Flow_Py]]</f>
        <v>0</v>
      </c>
      <c r="AI306" s="114" t="e">
        <f>INDEX(Tab_Def_Flows[[Flow_ID]:[CC_DM_source]],MATCH(Tab_Data_Flows[[#This Row],[Name(EN)]],Tab_Def_Flows[Name(EN)],0),20)</f>
        <v>#N/A</v>
      </c>
      <c r="AJ306" s="115" t="str">
        <f>IF(L306="Yes",AI306*Tab_Data_Flows[[#This Row],[Flow_Py]],"N.A.")</f>
        <v>N.A.</v>
      </c>
      <c r="AK306" s="61">
        <f>Tab_Data_Flows[[#This Row],[UoM_Flow_Py]]</f>
        <v>0</v>
      </c>
    </row>
    <row r="307" spans="1:37" x14ac:dyDescent="0.35">
      <c r="A307" s="60">
        <f t="shared" si="38"/>
        <v>306</v>
      </c>
      <c r="B307" s="49" t="str">
        <f>_xlfn.XLOOKUP(C307,Tab_Def_Flows[Name(EN)],Tab_Def_Flows[Flow_ID],,0,)</f>
        <v>F_21_21</v>
      </c>
      <c r="C307" s="51"/>
      <c r="D307" s="49">
        <f>_xlfn.XLOOKUP(C307,Tab_Def_Flows[Name(EN)],Tab_Def_Flows[Type_Biomass],,0,)</f>
        <v>0</v>
      </c>
      <c r="E307" s="49">
        <f>_xlfn.XLOOKUP(C307,Tab_Def_Flows[Name(EN)],Tab_Def_Flows[Output_Process],,0,)</f>
        <v>0</v>
      </c>
      <c r="F307" s="49" t="str">
        <f>_xlfn.XLOOKUP(C307,Tab_Def_Flows[Name(EN)],Tab_Def_Flows[Process_ID_O],,0,)</f>
        <v>21__</v>
      </c>
      <c r="G307" s="49">
        <f>_xlfn.XLOOKUP(C307,Tab_Def_Flows[Name(EN)],Tab_Def_Flows[Input_Process],,0,)</f>
        <v>0</v>
      </c>
      <c r="H307" s="61" t="str">
        <f>_xlfn.XLOOKUP(C307,Tab_Def_Flows[Name(EN)],Tab_Def_Flows[Process_ID_I],,0,)</f>
        <v>21__</v>
      </c>
      <c r="I307" s="49">
        <f>_xlfn.XLOOKUP(C307,Tab_Def_Flows[Name(EN)],Tab_Def_Flows[Value_Source],,0,)</f>
        <v>0</v>
      </c>
      <c r="J307" s="49">
        <f>_xlfn.XLOOKUP(C307,Tab_Def_Flows[Name(EN)],Tab_Def_Flows[WC?],,0,)</f>
        <v>0</v>
      </c>
      <c r="K307" s="49">
        <f>_xlfn.XLOOKUP(C307,Tab_Def_Flows[Name(EN)],Tab_Def_Flows[DM?],,0,)</f>
        <v>0</v>
      </c>
      <c r="L307" s="49">
        <f>_xlfn.XLOOKUP(C307,Tab_Def_Flows[Name(EN)],Tab_Def_Flows[CC?],,0,)</f>
        <v>0</v>
      </c>
      <c r="M307" s="51"/>
      <c r="N307" s="51"/>
      <c r="O307" s="88"/>
      <c r="P307" s="51"/>
      <c r="Q307" s="51"/>
      <c r="R307" s="51"/>
      <c r="S307" s="51"/>
      <c r="T307" s="51"/>
      <c r="U307" s="51"/>
      <c r="V307" s="51"/>
      <c r="W307" s="51"/>
      <c r="X307" s="51"/>
      <c r="Y307" s="51"/>
      <c r="Z307" s="51"/>
      <c r="AA307" s="89">
        <f t="shared" si="39"/>
        <v>0</v>
      </c>
      <c r="AB307" s="51"/>
      <c r="AC307" s="114" t="e">
        <f>INDEX(Tab_Def_Flows[[Flow_ID]:[CC_DM_source]],MATCH(Tab_Data_Flows[[#This Row],[Name(EN)]],Tab_Def_Flows[Name(EN)],0),16)</f>
        <v>#N/A</v>
      </c>
      <c r="AD307" s="115" t="str">
        <f>IF(J307="Yes",AA307*Tab_Data_Flows[[#This Row],[WC_'[%']]],"N.A.")</f>
        <v>N.A.</v>
      </c>
      <c r="AE307" s="61">
        <f>Tab_Data_Flows[[#This Row],[UoM_Flow_Py]]</f>
        <v>0</v>
      </c>
      <c r="AF307" s="114" t="e">
        <f>INDEX(Tab_Def_Flows[[Flow_ID]:[CC_DM_source]],MATCH(Tab_Data_Flows[[#This Row],[Name(EN)]],Tab_Def_Flows[Name(EN)],0),18)</f>
        <v>#N/A</v>
      </c>
      <c r="AG307" s="115" t="str">
        <f>IF(K307="Yes",AF307*Tab_Data_Flows[[#This Row],[Flow_Py]],"N.A.")</f>
        <v>N.A.</v>
      </c>
      <c r="AH307" s="61">
        <f>Tab_Data_Flows[[#This Row],[UoM_Flow_Py]]</f>
        <v>0</v>
      </c>
      <c r="AI307" s="114" t="e">
        <f>INDEX(Tab_Def_Flows[[Flow_ID]:[CC_DM_source]],MATCH(Tab_Data_Flows[[#This Row],[Name(EN)]],Tab_Def_Flows[Name(EN)],0),20)</f>
        <v>#N/A</v>
      </c>
      <c r="AJ307" s="115" t="str">
        <f>IF(L307="Yes",AI307*Tab_Data_Flows[[#This Row],[Flow_Py]],"N.A.")</f>
        <v>N.A.</v>
      </c>
      <c r="AK307" s="61">
        <f>Tab_Data_Flows[[#This Row],[UoM_Flow_Py]]</f>
        <v>0</v>
      </c>
    </row>
    <row r="308" spans="1:37" x14ac:dyDescent="0.35">
      <c r="A308" s="60">
        <f t="shared" si="38"/>
        <v>307</v>
      </c>
      <c r="B308" s="49" t="str">
        <f>_xlfn.XLOOKUP(C308,Tab_Def_Flows[Name(EN)],Tab_Def_Flows[Flow_ID],,0,)</f>
        <v>F_21_21</v>
      </c>
      <c r="C308" s="51"/>
      <c r="D308" s="49">
        <f>_xlfn.XLOOKUP(C308,Tab_Def_Flows[Name(EN)],Tab_Def_Flows[Type_Biomass],,0,)</f>
        <v>0</v>
      </c>
      <c r="E308" s="49">
        <f>_xlfn.XLOOKUP(C308,Tab_Def_Flows[Name(EN)],Tab_Def_Flows[Output_Process],,0,)</f>
        <v>0</v>
      </c>
      <c r="F308" s="49" t="str">
        <f>_xlfn.XLOOKUP(C308,Tab_Def_Flows[Name(EN)],Tab_Def_Flows[Process_ID_O],,0,)</f>
        <v>21__</v>
      </c>
      <c r="G308" s="49">
        <f>_xlfn.XLOOKUP(C308,Tab_Def_Flows[Name(EN)],Tab_Def_Flows[Input_Process],,0,)</f>
        <v>0</v>
      </c>
      <c r="H308" s="61" t="str">
        <f>_xlfn.XLOOKUP(C308,Tab_Def_Flows[Name(EN)],Tab_Def_Flows[Process_ID_I],,0,)</f>
        <v>21__</v>
      </c>
      <c r="I308" s="49">
        <f>_xlfn.XLOOKUP(C308,Tab_Def_Flows[Name(EN)],Tab_Def_Flows[Value_Source],,0,)</f>
        <v>0</v>
      </c>
      <c r="J308" s="49">
        <f>_xlfn.XLOOKUP(C308,Tab_Def_Flows[Name(EN)],Tab_Def_Flows[WC?],,0,)</f>
        <v>0</v>
      </c>
      <c r="K308" s="49">
        <f>_xlfn.XLOOKUP(C308,Tab_Def_Flows[Name(EN)],Tab_Def_Flows[DM?],,0,)</f>
        <v>0</v>
      </c>
      <c r="L308" s="49">
        <f>_xlfn.XLOOKUP(C308,Tab_Def_Flows[Name(EN)],Tab_Def_Flows[CC?],,0,)</f>
        <v>0</v>
      </c>
      <c r="M308" s="51"/>
      <c r="N308" s="51"/>
      <c r="O308" s="88"/>
      <c r="P308" s="51"/>
      <c r="Q308" s="51"/>
      <c r="R308" s="51"/>
      <c r="S308" s="51"/>
      <c r="T308" s="51"/>
      <c r="U308" s="51"/>
      <c r="V308" s="51"/>
      <c r="W308" s="51"/>
      <c r="X308" s="51"/>
      <c r="Y308" s="51"/>
      <c r="Z308" s="51"/>
      <c r="AA308" s="89">
        <f t="shared" si="39"/>
        <v>0</v>
      </c>
      <c r="AB308" s="51"/>
      <c r="AC308" s="114" t="e">
        <f>INDEX(Tab_Def_Flows[[Flow_ID]:[CC_DM_source]],MATCH(Tab_Data_Flows[[#This Row],[Name(EN)]],Tab_Def_Flows[Name(EN)],0),16)</f>
        <v>#N/A</v>
      </c>
      <c r="AD308" s="115" t="str">
        <f>IF(J308="Yes",AA308*Tab_Data_Flows[[#This Row],[WC_'[%']]],"N.A.")</f>
        <v>N.A.</v>
      </c>
      <c r="AE308" s="61">
        <f>Tab_Data_Flows[[#This Row],[UoM_Flow_Py]]</f>
        <v>0</v>
      </c>
      <c r="AF308" s="114" t="e">
        <f>INDEX(Tab_Def_Flows[[Flow_ID]:[CC_DM_source]],MATCH(Tab_Data_Flows[[#This Row],[Name(EN)]],Tab_Def_Flows[Name(EN)],0),18)</f>
        <v>#N/A</v>
      </c>
      <c r="AG308" s="115" t="str">
        <f>IF(K308="Yes",AF308*Tab_Data_Flows[[#This Row],[Flow_Py]],"N.A.")</f>
        <v>N.A.</v>
      </c>
      <c r="AH308" s="61">
        <f>Tab_Data_Flows[[#This Row],[UoM_Flow_Py]]</f>
        <v>0</v>
      </c>
      <c r="AI308" s="114" t="e">
        <f>INDEX(Tab_Def_Flows[[Flow_ID]:[CC_DM_source]],MATCH(Tab_Data_Flows[[#This Row],[Name(EN)]],Tab_Def_Flows[Name(EN)],0),20)</f>
        <v>#N/A</v>
      </c>
      <c r="AJ308" s="115" t="str">
        <f>IF(L308="Yes",AI308*Tab_Data_Flows[[#This Row],[Flow_Py]],"N.A.")</f>
        <v>N.A.</v>
      </c>
      <c r="AK308" s="61">
        <f>Tab_Data_Flows[[#This Row],[UoM_Flow_Py]]</f>
        <v>0</v>
      </c>
    </row>
    <row r="309" spans="1:37" x14ac:dyDescent="0.35">
      <c r="A309" s="60">
        <f t="shared" si="38"/>
        <v>308</v>
      </c>
      <c r="B309" s="49" t="str">
        <f>_xlfn.XLOOKUP(C309,Tab_Def_Flows[Name(EN)],Tab_Def_Flows[Flow_ID],,0,)</f>
        <v>F_21_21</v>
      </c>
      <c r="C309" s="51"/>
      <c r="D309" s="49">
        <f>_xlfn.XLOOKUP(C309,Tab_Def_Flows[Name(EN)],Tab_Def_Flows[Type_Biomass],,0,)</f>
        <v>0</v>
      </c>
      <c r="E309" s="49">
        <f>_xlfn.XLOOKUP(C309,Tab_Def_Flows[Name(EN)],Tab_Def_Flows[Output_Process],,0,)</f>
        <v>0</v>
      </c>
      <c r="F309" s="49" t="str">
        <f>_xlfn.XLOOKUP(C309,Tab_Def_Flows[Name(EN)],Tab_Def_Flows[Process_ID_O],,0,)</f>
        <v>21__</v>
      </c>
      <c r="G309" s="49">
        <f>_xlfn.XLOOKUP(C309,Tab_Def_Flows[Name(EN)],Tab_Def_Flows[Input_Process],,0,)</f>
        <v>0</v>
      </c>
      <c r="H309" s="61" t="str">
        <f>_xlfn.XLOOKUP(C309,Tab_Def_Flows[Name(EN)],Tab_Def_Flows[Process_ID_I],,0,)</f>
        <v>21__</v>
      </c>
      <c r="I309" s="49">
        <f>_xlfn.XLOOKUP(C309,Tab_Def_Flows[Name(EN)],Tab_Def_Flows[Value_Source],,0,)</f>
        <v>0</v>
      </c>
      <c r="J309" s="49">
        <f>_xlfn.XLOOKUP(C309,Tab_Def_Flows[Name(EN)],Tab_Def_Flows[WC?],,0,)</f>
        <v>0</v>
      </c>
      <c r="K309" s="49">
        <f>_xlfn.XLOOKUP(C309,Tab_Def_Flows[Name(EN)],Tab_Def_Flows[DM?],,0,)</f>
        <v>0</v>
      </c>
      <c r="L309" s="49">
        <f>_xlfn.XLOOKUP(C309,Tab_Def_Flows[Name(EN)],Tab_Def_Flows[CC?],,0,)</f>
        <v>0</v>
      </c>
      <c r="M309" s="51"/>
      <c r="N309" s="51"/>
      <c r="O309" s="88"/>
      <c r="P309" s="51"/>
      <c r="Q309" s="51"/>
      <c r="R309" s="51"/>
      <c r="S309" s="51"/>
      <c r="T309" s="51"/>
      <c r="U309" s="51"/>
      <c r="V309" s="51"/>
      <c r="W309" s="51"/>
      <c r="X309" s="51"/>
      <c r="Y309" s="51"/>
      <c r="Z309" s="51"/>
      <c r="AA309" s="89">
        <f t="shared" si="39"/>
        <v>0</v>
      </c>
      <c r="AB309" s="51"/>
      <c r="AC309" s="114" t="e">
        <f>INDEX(Tab_Def_Flows[[Flow_ID]:[CC_DM_source]],MATCH(Tab_Data_Flows[[#This Row],[Name(EN)]],Tab_Def_Flows[Name(EN)],0),16)</f>
        <v>#N/A</v>
      </c>
      <c r="AD309" s="115" t="str">
        <f>IF(J309="Yes",AA309*Tab_Data_Flows[[#This Row],[WC_'[%']]],"N.A.")</f>
        <v>N.A.</v>
      </c>
      <c r="AE309" s="61">
        <f>Tab_Data_Flows[[#This Row],[UoM_Flow_Py]]</f>
        <v>0</v>
      </c>
      <c r="AF309" s="114" t="e">
        <f>INDEX(Tab_Def_Flows[[Flow_ID]:[CC_DM_source]],MATCH(Tab_Data_Flows[[#This Row],[Name(EN)]],Tab_Def_Flows[Name(EN)],0),18)</f>
        <v>#N/A</v>
      </c>
      <c r="AG309" s="115" t="str">
        <f>IF(K309="Yes",AF309*Tab_Data_Flows[[#This Row],[Flow_Py]],"N.A.")</f>
        <v>N.A.</v>
      </c>
      <c r="AH309" s="61">
        <f>Tab_Data_Flows[[#This Row],[UoM_Flow_Py]]</f>
        <v>0</v>
      </c>
      <c r="AI309" s="114" t="e">
        <f>INDEX(Tab_Def_Flows[[Flow_ID]:[CC_DM_source]],MATCH(Tab_Data_Flows[[#This Row],[Name(EN)]],Tab_Def_Flows[Name(EN)],0),20)</f>
        <v>#N/A</v>
      </c>
      <c r="AJ309" s="115" t="str">
        <f>IF(L309="Yes",AI309*Tab_Data_Flows[[#This Row],[Flow_Py]],"N.A.")</f>
        <v>N.A.</v>
      </c>
      <c r="AK309" s="61">
        <f>Tab_Data_Flows[[#This Row],[UoM_Flow_Py]]</f>
        <v>0</v>
      </c>
    </row>
    <row r="310" spans="1:37" x14ac:dyDescent="0.35">
      <c r="A310" s="60">
        <f t="shared" si="38"/>
        <v>309</v>
      </c>
      <c r="B310" s="49" t="str">
        <f>_xlfn.XLOOKUP(C310,Tab_Def_Flows[Name(EN)],Tab_Def_Flows[Flow_ID],,0,)</f>
        <v>F_21_21</v>
      </c>
      <c r="C310" s="51"/>
      <c r="D310" s="49">
        <f>_xlfn.XLOOKUP(C310,Tab_Def_Flows[Name(EN)],Tab_Def_Flows[Type_Biomass],,0,)</f>
        <v>0</v>
      </c>
      <c r="E310" s="49">
        <f>_xlfn.XLOOKUP(C310,Tab_Def_Flows[Name(EN)],Tab_Def_Flows[Output_Process],,0,)</f>
        <v>0</v>
      </c>
      <c r="F310" s="49" t="str">
        <f>_xlfn.XLOOKUP(C310,Tab_Def_Flows[Name(EN)],Tab_Def_Flows[Process_ID_O],,0,)</f>
        <v>21__</v>
      </c>
      <c r="G310" s="49">
        <f>_xlfn.XLOOKUP(C310,Tab_Def_Flows[Name(EN)],Tab_Def_Flows[Input_Process],,0,)</f>
        <v>0</v>
      </c>
      <c r="H310" s="61" t="str">
        <f>_xlfn.XLOOKUP(C310,Tab_Def_Flows[Name(EN)],Tab_Def_Flows[Process_ID_I],,0,)</f>
        <v>21__</v>
      </c>
      <c r="I310" s="49">
        <f>_xlfn.XLOOKUP(C310,Tab_Def_Flows[Name(EN)],Tab_Def_Flows[Value_Source],,0,)</f>
        <v>0</v>
      </c>
      <c r="J310" s="49">
        <f>_xlfn.XLOOKUP(C310,Tab_Def_Flows[Name(EN)],Tab_Def_Flows[WC?],,0,)</f>
        <v>0</v>
      </c>
      <c r="K310" s="49">
        <f>_xlfn.XLOOKUP(C310,Tab_Def_Flows[Name(EN)],Tab_Def_Flows[DM?],,0,)</f>
        <v>0</v>
      </c>
      <c r="L310" s="49">
        <f>_xlfn.XLOOKUP(C310,Tab_Def_Flows[Name(EN)],Tab_Def_Flows[CC?],,0,)</f>
        <v>0</v>
      </c>
      <c r="M310" s="51"/>
      <c r="N310" s="51"/>
      <c r="O310" s="88"/>
      <c r="P310" s="51"/>
      <c r="Q310" s="51"/>
      <c r="R310" s="51"/>
      <c r="S310" s="51"/>
      <c r="T310" s="51"/>
      <c r="U310" s="51"/>
      <c r="V310" s="51"/>
      <c r="W310" s="51"/>
      <c r="X310" s="51"/>
      <c r="Y310" s="51"/>
      <c r="Z310" s="51"/>
      <c r="AA310" s="89">
        <f t="shared" si="39"/>
        <v>0</v>
      </c>
      <c r="AB310" s="51"/>
      <c r="AC310" s="114" t="e">
        <f>INDEX(Tab_Def_Flows[[Flow_ID]:[CC_DM_source]],MATCH(Tab_Data_Flows[[#This Row],[Name(EN)]],Tab_Def_Flows[Name(EN)],0),16)</f>
        <v>#N/A</v>
      </c>
      <c r="AD310" s="115" t="str">
        <f>IF(J310="Yes",AA310*Tab_Data_Flows[[#This Row],[WC_'[%']]],"N.A.")</f>
        <v>N.A.</v>
      </c>
      <c r="AE310" s="61">
        <f>Tab_Data_Flows[[#This Row],[UoM_Flow_Py]]</f>
        <v>0</v>
      </c>
      <c r="AF310" s="114" t="e">
        <f>INDEX(Tab_Def_Flows[[Flow_ID]:[CC_DM_source]],MATCH(Tab_Data_Flows[[#This Row],[Name(EN)]],Tab_Def_Flows[Name(EN)],0),18)</f>
        <v>#N/A</v>
      </c>
      <c r="AG310" s="115" t="str">
        <f>IF(K310="Yes",AF310*Tab_Data_Flows[[#This Row],[Flow_Py]],"N.A.")</f>
        <v>N.A.</v>
      </c>
      <c r="AH310" s="61">
        <f>Tab_Data_Flows[[#This Row],[UoM_Flow_Py]]</f>
        <v>0</v>
      </c>
      <c r="AI310" s="114" t="e">
        <f>INDEX(Tab_Def_Flows[[Flow_ID]:[CC_DM_source]],MATCH(Tab_Data_Flows[[#This Row],[Name(EN)]],Tab_Def_Flows[Name(EN)],0),20)</f>
        <v>#N/A</v>
      </c>
      <c r="AJ310" s="115" t="str">
        <f>IF(L310="Yes",AI310*Tab_Data_Flows[[#This Row],[Flow_Py]],"N.A.")</f>
        <v>N.A.</v>
      </c>
      <c r="AK310" s="61">
        <f>Tab_Data_Flows[[#This Row],[UoM_Flow_Py]]</f>
        <v>0</v>
      </c>
    </row>
    <row r="311" spans="1:37" x14ac:dyDescent="0.35">
      <c r="A311" s="60">
        <f t="shared" si="38"/>
        <v>310</v>
      </c>
      <c r="B311" s="49" t="str">
        <f>_xlfn.XLOOKUP(C311,Tab_Def_Flows[Name(EN)],Tab_Def_Flows[Flow_ID],,0,)</f>
        <v>F_21_21</v>
      </c>
      <c r="C311" s="51"/>
      <c r="D311" s="49">
        <f>_xlfn.XLOOKUP(C311,Tab_Def_Flows[Name(EN)],Tab_Def_Flows[Type_Biomass],,0,)</f>
        <v>0</v>
      </c>
      <c r="E311" s="49">
        <f>_xlfn.XLOOKUP(C311,Tab_Def_Flows[Name(EN)],Tab_Def_Flows[Output_Process],,0,)</f>
        <v>0</v>
      </c>
      <c r="F311" s="49" t="str">
        <f>_xlfn.XLOOKUP(C311,Tab_Def_Flows[Name(EN)],Tab_Def_Flows[Process_ID_O],,0,)</f>
        <v>21__</v>
      </c>
      <c r="G311" s="49">
        <f>_xlfn.XLOOKUP(C311,Tab_Def_Flows[Name(EN)],Tab_Def_Flows[Input_Process],,0,)</f>
        <v>0</v>
      </c>
      <c r="H311" s="61" t="str">
        <f>_xlfn.XLOOKUP(C311,Tab_Def_Flows[Name(EN)],Tab_Def_Flows[Process_ID_I],,0,)</f>
        <v>21__</v>
      </c>
      <c r="I311" s="49">
        <f>_xlfn.XLOOKUP(C311,Tab_Def_Flows[Name(EN)],Tab_Def_Flows[Value_Source],,0,)</f>
        <v>0</v>
      </c>
      <c r="J311" s="49">
        <f>_xlfn.XLOOKUP(C311,Tab_Def_Flows[Name(EN)],Tab_Def_Flows[WC?],,0,)</f>
        <v>0</v>
      </c>
      <c r="K311" s="49">
        <f>_xlfn.XLOOKUP(C311,Tab_Def_Flows[Name(EN)],Tab_Def_Flows[DM?],,0,)</f>
        <v>0</v>
      </c>
      <c r="L311" s="49">
        <f>_xlfn.XLOOKUP(C311,Tab_Def_Flows[Name(EN)],Tab_Def_Flows[CC?],,0,)</f>
        <v>0</v>
      </c>
      <c r="M311" s="51"/>
      <c r="N311" s="51"/>
      <c r="O311" s="88"/>
      <c r="P311" s="51"/>
      <c r="Q311" s="51"/>
      <c r="R311" s="51"/>
      <c r="S311" s="51"/>
      <c r="T311" s="51"/>
      <c r="U311" s="51"/>
      <c r="V311" s="51"/>
      <c r="W311" s="51"/>
      <c r="X311" s="51"/>
      <c r="Y311" s="51"/>
      <c r="Z311" s="51"/>
      <c r="AA311" s="89">
        <f t="shared" si="39"/>
        <v>0</v>
      </c>
      <c r="AB311" s="51"/>
      <c r="AC311" s="114" t="e">
        <f>INDEX(Tab_Def_Flows[[Flow_ID]:[CC_DM_source]],MATCH(Tab_Data_Flows[[#This Row],[Name(EN)]],Tab_Def_Flows[Name(EN)],0),16)</f>
        <v>#N/A</v>
      </c>
      <c r="AD311" s="115" t="str">
        <f>IF(J311="Yes",AA311*Tab_Data_Flows[[#This Row],[WC_'[%']]],"N.A.")</f>
        <v>N.A.</v>
      </c>
      <c r="AE311" s="61">
        <f>Tab_Data_Flows[[#This Row],[UoM_Flow_Py]]</f>
        <v>0</v>
      </c>
      <c r="AF311" s="114" t="e">
        <f>INDEX(Tab_Def_Flows[[Flow_ID]:[CC_DM_source]],MATCH(Tab_Data_Flows[[#This Row],[Name(EN)]],Tab_Def_Flows[Name(EN)],0),18)</f>
        <v>#N/A</v>
      </c>
      <c r="AG311" s="115" t="str">
        <f>IF(K311="Yes",AF311*Tab_Data_Flows[[#This Row],[Flow_Py]],"N.A.")</f>
        <v>N.A.</v>
      </c>
      <c r="AH311" s="61">
        <f>Tab_Data_Flows[[#This Row],[UoM_Flow_Py]]</f>
        <v>0</v>
      </c>
      <c r="AI311" s="114" t="e">
        <f>INDEX(Tab_Def_Flows[[Flow_ID]:[CC_DM_source]],MATCH(Tab_Data_Flows[[#This Row],[Name(EN)]],Tab_Def_Flows[Name(EN)],0),20)</f>
        <v>#N/A</v>
      </c>
      <c r="AJ311" s="115" t="str">
        <f>IF(L311="Yes",AI311*Tab_Data_Flows[[#This Row],[Flow_Py]],"N.A.")</f>
        <v>N.A.</v>
      </c>
      <c r="AK311" s="61">
        <f>Tab_Data_Flows[[#This Row],[UoM_Flow_Py]]</f>
        <v>0</v>
      </c>
    </row>
    <row r="312" spans="1:37" x14ac:dyDescent="0.35">
      <c r="A312" s="60">
        <f t="shared" si="38"/>
        <v>311</v>
      </c>
      <c r="B312" s="49" t="str">
        <f>_xlfn.XLOOKUP(C312,Tab_Def_Flows[Name(EN)],Tab_Def_Flows[Flow_ID],,0,)</f>
        <v>F_21_21</v>
      </c>
      <c r="C312" s="51"/>
      <c r="D312" s="49">
        <f>_xlfn.XLOOKUP(C312,Tab_Def_Flows[Name(EN)],Tab_Def_Flows[Type_Biomass],,0,)</f>
        <v>0</v>
      </c>
      <c r="E312" s="49">
        <f>_xlfn.XLOOKUP(C312,Tab_Def_Flows[Name(EN)],Tab_Def_Flows[Output_Process],,0,)</f>
        <v>0</v>
      </c>
      <c r="F312" s="49" t="str">
        <f>_xlfn.XLOOKUP(C312,Tab_Def_Flows[Name(EN)],Tab_Def_Flows[Process_ID_O],,0,)</f>
        <v>21__</v>
      </c>
      <c r="G312" s="49">
        <f>_xlfn.XLOOKUP(C312,Tab_Def_Flows[Name(EN)],Tab_Def_Flows[Input_Process],,0,)</f>
        <v>0</v>
      </c>
      <c r="H312" s="61" t="str">
        <f>_xlfn.XLOOKUP(C312,Tab_Def_Flows[Name(EN)],Tab_Def_Flows[Process_ID_I],,0,)</f>
        <v>21__</v>
      </c>
      <c r="I312" s="49">
        <f>_xlfn.XLOOKUP(C312,Tab_Def_Flows[Name(EN)],Tab_Def_Flows[Value_Source],,0,)</f>
        <v>0</v>
      </c>
      <c r="J312" s="49">
        <f>_xlfn.XLOOKUP(C312,Tab_Def_Flows[Name(EN)],Tab_Def_Flows[WC?],,0,)</f>
        <v>0</v>
      </c>
      <c r="K312" s="49">
        <f>_xlfn.XLOOKUP(C312,Tab_Def_Flows[Name(EN)],Tab_Def_Flows[DM?],,0,)</f>
        <v>0</v>
      </c>
      <c r="L312" s="49">
        <f>_xlfn.XLOOKUP(C312,Tab_Def_Flows[Name(EN)],Tab_Def_Flows[CC?],,0,)</f>
        <v>0</v>
      </c>
      <c r="M312" s="51"/>
      <c r="N312" s="51"/>
      <c r="O312" s="88"/>
      <c r="P312" s="51"/>
      <c r="Q312" s="51"/>
      <c r="R312" s="51"/>
      <c r="S312" s="51"/>
      <c r="T312" s="51"/>
      <c r="U312" s="51"/>
      <c r="V312" s="51"/>
      <c r="W312" s="51"/>
      <c r="X312" s="51"/>
      <c r="Y312" s="51"/>
      <c r="Z312" s="51"/>
      <c r="AA312" s="89">
        <f t="shared" si="39"/>
        <v>0</v>
      </c>
      <c r="AB312" s="51"/>
      <c r="AC312" s="114" t="e">
        <f>INDEX(Tab_Def_Flows[[Flow_ID]:[CC_DM_source]],MATCH(Tab_Data_Flows[[#This Row],[Name(EN)]],Tab_Def_Flows[Name(EN)],0),16)</f>
        <v>#N/A</v>
      </c>
      <c r="AD312" s="115" t="str">
        <f>IF(J312="Yes",AA312*Tab_Data_Flows[[#This Row],[WC_'[%']]],"N.A.")</f>
        <v>N.A.</v>
      </c>
      <c r="AE312" s="61">
        <f>Tab_Data_Flows[[#This Row],[UoM_Flow_Py]]</f>
        <v>0</v>
      </c>
      <c r="AF312" s="114" t="e">
        <f>INDEX(Tab_Def_Flows[[Flow_ID]:[CC_DM_source]],MATCH(Tab_Data_Flows[[#This Row],[Name(EN)]],Tab_Def_Flows[Name(EN)],0),18)</f>
        <v>#N/A</v>
      </c>
      <c r="AG312" s="115" t="str">
        <f>IF(K312="Yes",AF312*Tab_Data_Flows[[#This Row],[Flow_Py]],"N.A.")</f>
        <v>N.A.</v>
      </c>
      <c r="AH312" s="61">
        <f>Tab_Data_Flows[[#This Row],[UoM_Flow_Py]]</f>
        <v>0</v>
      </c>
      <c r="AI312" s="114" t="e">
        <f>INDEX(Tab_Def_Flows[[Flow_ID]:[CC_DM_source]],MATCH(Tab_Data_Flows[[#This Row],[Name(EN)]],Tab_Def_Flows[Name(EN)],0),20)</f>
        <v>#N/A</v>
      </c>
      <c r="AJ312" s="115" t="str">
        <f>IF(L312="Yes",AI312*Tab_Data_Flows[[#This Row],[Flow_Py]],"N.A.")</f>
        <v>N.A.</v>
      </c>
      <c r="AK312" s="61">
        <f>Tab_Data_Flows[[#This Row],[UoM_Flow_Py]]</f>
        <v>0</v>
      </c>
    </row>
    <row r="313" spans="1:37" x14ac:dyDescent="0.35">
      <c r="A313" s="60">
        <f t="shared" si="38"/>
        <v>312</v>
      </c>
      <c r="B313" s="49" t="str">
        <f>_xlfn.XLOOKUP(C313,Tab_Def_Flows[Name(EN)],Tab_Def_Flows[Flow_ID],,0,)</f>
        <v>F_21_21</v>
      </c>
      <c r="C313" s="51"/>
      <c r="D313" s="49">
        <f>_xlfn.XLOOKUP(C313,Tab_Def_Flows[Name(EN)],Tab_Def_Flows[Type_Biomass],,0,)</f>
        <v>0</v>
      </c>
      <c r="E313" s="49">
        <f>_xlfn.XLOOKUP(C313,Tab_Def_Flows[Name(EN)],Tab_Def_Flows[Output_Process],,0,)</f>
        <v>0</v>
      </c>
      <c r="F313" s="49" t="str">
        <f>_xlfn.XLOOKUP(C313,Tab_Def_Flows[Name(EN)],Tab_Def_Flows[Process_ID_O],,0,)</f>
        <v>21__</v>
      </c>
      <c r="G313" s="49">
        <f>_xlfn.XLOOKUP(C313,Tab_Def_Flows[Name(EN)],Tab_Def_Flows[Input_Process],,0,)</f>
        <v>0</v>
      </c>
      <c r="H313" s="61" t="str">
        <f>_xlfn.XLOOKUP(C313,Tab_Def_Flows[Name(EN)],Tab_Def_Flows[Process_ID_I],,0,)</f>
        <v>21__</v>
      </c>
      <c r="I313" s="49">
        <f>_xlfn.XLOOKUP(C313,Tab_Def_Flows[Name(EN)],Tab_Def_Flows[Value_Source],,0,)</f>
        <v>0</v>
      </c>
      <c r="J313" s="49">
        <f>_xlfn.XLOOKUP(C313,Tab_Def_Flows[Name(EN)],Tab_Def_Flows[WC?],,0,)</f>
        <v>0</v>
      </c>
      <c r="K313" s="49">
        <f>_xlfn.XLOOKUP(C313,Tab_Def_Flows[Name(EN)],Tab_Def_Flows[DM?],,0,)</f>
        <v>0</v>
      </c>
      <c r="L313" s="49">
        <f>_xlfn.XLOOKUP(C313,Tab_Def_Flows[Name(EN)],Tab_Def_Flows[CC?],,0,)</f>
        <v>0</v>
      </c>
      <c r="M313" s="51"/>
      <c r="N313" s="51"/>
      <c r="O313" s="88"/>
      <c r="P313" s="51"/>
      <c r="Q313" s="51"/>
      <c r="R313" s="51"/>
      <c r="S313" s="51"/>
      <c r="T313" s="51"/>
      <c r="U313" s="51"/>
      <c r="V313" s="51"/>
      <c r="W313" s="51"/>
      <c r="X313" s="51"/>
      <c r="Y313" s="51"/>
      <c r="Z313" s="51"/>
      <c r="AA313" s="89">
        <f t="shared" si="39"/>
        <v>0</v>
      </c>
      <c r="AB313" s="51"/>
      <c r="AC313" s="114" t="e">
        <f>INDEX(Tab_Def_Flows[[Flow_ID]:[CC_DM_source]],MATCH(Tab_Data_Flows[[#This Row],[Name(EN)]],Tab_Def_Flows[Name(EN)],0),16)</f>
        <v>#N/A</v>
      </c>
      <c r="AD313" s="115" t="str">
        <f>IF(J313="Yes",AA313*Tab_Data_Flows[[#This Row],[WC_'[%']]],"N.A.")</f>
        <v>N.A.</v>
      </c>
      <c r="AE313" s="61">
        <f>Tab_Data_Flows[[#This Row],[UoM_Flow_Py]]</f>
        <v>0</v>
      </c>
      <c r="AF313" s="114" t="e">
        <f>INDEX(Tab_Def_Flows[[Flow_ID]:[CC_DM_source]],MATCH(Tab_Data_Flows[[#This Row],[Name(EN)]],Tab_Def_Flows[Name(EN)],0),18)</f>
        <v>#N/A</v>
      </c>
      <c r="AG313" s="115" t="str">
        <f>IF(K313="Yes",AF313*Tab_Data_Flows[[#This Row],[Flow_Py]],"N.A.")</f>
        <v>N.A.</v>
      </c>
      <c r="AH313" s="61">
        <f>Tab_Data_Flows[[#This Row],[UoM_Flow_Py]]</f>
        <v>0</v>
      </c>
      <c r="AI313" s="114" t="e">
        <f>INDEX(Tab_Def_Flows[[Flow_ID]:[CC_DM_source]],MATCH(Tab_Data_Flows[[#This Row],[Name(EN)]],Tab_Def_Flows[Name(EN)],0),20)</f>
        <v>#N/A</v>
      </c>
      <c r="AJ313" s="115" t="str">
        <f>IF(L313="Yes",AI313*Tab_Data_Flows[[#This Row],[Flow_Py]],"N.A.")</f>
        <v>N.A.</v>
      </c>
      <c r="AK313" s="61">
        <f>Tab_Data_Flows[[#This Row],[UoM_Flow_Py]]</f>
        <v>0</v>
      </c>
    </row>
    <row r="314" spans="1:37" x14ac:dyDescent="0.35">
      <c r="A314" s="60">
        <f t="shared" si="38"/>
        <v>313</v>
      </c>
      <c r="B314" s="49" t="str">
        <f>_xlfn.XLOOKUP(C314,Tab_Def_Flows[Name(EN)],Tab_Def_Flows[Flow_ID],,0,)</f>
        <v>F_21_21</v>
      </c>
      <c r="C314" s="51"/>
      <c r="D314" s="49">
        <f>_xlfn.XLOOKUP(C314,Tab_Def_Flows[Name(EN)],Tab_Def_Flows[Type_Biomass],,0,)</f>
        <v>0</v>
      </c>
      <c r="E314" s="49">
        <f>_xlfn.XLOOKUP(C314,Tab_Def_Flows[Name(EN)],Tab_Def_Flows[Output_Process],,0,)</f>
        <v>0</v>
      </c>
      <c r="F314" s="49" t="str">
        <f>_xlfn.XLOOKUP(C314,Tab_Def_Flows[Name(EN)],Tab_Def_Flows[Process_ID_O],,0,)</f>
        <v>21__</v>
      </c>
      <c r="G314" s="49">
        <f>_xlfn.XLOOKUP(C314,Tab_Def_Flows[Name(EN)],Tab_Def_Flows[Input_Process],,0,)</f>
        <v>0</v>
      </c>
      <c r="H314" s="61" t="str">
        <f>_xlfn.XLOOKUP(C314,Tab_Def_Flows[Name(EN)],Tab_Def_Flows[Process_ID_I],,0,)</f>
        <v>21__</v>
      </c>
      <c r="I314" s="49">
        <f>_xlfn.XLOOKUP(C314,Tab_Def_Flows[Name(EN)],Tab_Def_Flows[Value_Source],,0,)</f>
        <v>0</v>
      </c>
      <c r="J314" s="49">
        <f>_xlfn.XLOOKUP(C314,Tab_Def_Flows[Name(EN)],Tab_Def_Flows[WC?],,0,)</f>
        <v>0</v>
      </c>
      <c r="K314" s="49">
        <f>_xlfn.XLOOKUP(C314,Tab_Def_Flows[Name(EN)],Tab_Def_Flows[DM?],,0,)</f>
        <v>0</v>
      </c>
      <c r="L314" s="49">
        <f>_xlfn.XLOOKUP(C314,Tab_Def_Flows[Name(EN)],Tab_Def_Flows[CC?],,0,)</f>
        <v>0</v>
      </c>
      <c r="M314" s="51"/>
      <c r="N314" s="51"/>
      <c r="O314" s="88"/>
      <c r="P314" s="51"/>
      <c r="Q314" s="51"/>
      <c r="R314" s="51"/>
      <c r="S314" s="51"/>
      <c r="T314" s="51"/>
      <c r="U314" s="51"/>
      <c r="V314" s="51"/>
      <c r="W314" s="51"/>
      <c r="X314" s="51"/>
      <c r="Y314" s="51"/>
      <c r="Z314" s="51"/>
      <c r="AA314" s="89">
        <f t="shared" si="39"/>
        <v>0</v>
      </c>
      <c r="AB314" s="51"/>
      <c r="AC314" s="114" t="e">
        <f>INDEX(Tab_Def_Flows[[Flow_ID]:[CC_DM_source]],MATCH(Tab_Data_Flows[[#This Row],[Name(EN)]],Tab_Def_Flows[Name(EN)],0),16)</f>
        <v>#N/A</v>
      </c>
      <c r="AD314" s="115" t="str">
        <f>IF(J314="Yes",AA314*Tab_Data_Flows[[#This Row],[WC_'[%']]],"N.A.")</f>
        <v>N.A.</v>
      </c>
      <c r="AE314" s="61">
        <f>Tab_Data_Flows[[#This Row],[UoM_Flow_Py]]</f>
        <v>0</v>
      </c>
      <c r="AF314" s="114" t="e">
        <f>INDEX(Tab_Def_Flows[[Flow_ID]:[CC_DM_source]],MATCH(Tab_Data_Flows[[#This Row],[Name(EN)]],Tab_Def_Flows[Name(EN)],0),18)</f>
        <v>#N/A</v>
      </c>
      <c r="AG314" s="115" t="str">
        <f>IF(K314="Yes",AF314*Tab_Data_Flows[[#This Row],[Flow_Py]],"N.A.")</f>
        <v>N.A.</v>
      </c>
      <c r="AH314" s="61">
        <f>Tab_Data_Flows[[#This Row],[UoM_Flow_Py]]</f>
        <v>0</v>
      </c>
      <c r="AI314" s="114" t="e">
        <f>INDEX(Tab_Def_Flows[[Flow_ID]:[CC_DM_source]],MATCH(Tab_Data_Flows[[#This Row],[Name(EN)]],Tab_Def_Flows[Name(EN)],0),20)</f>
        <v>#N/A</v>
      </c>
      <c r="AJ314" s="115" t="str">
        <f>IF(L314="Yes",AI314*Tab_Data_Flows[[#This Row],[Flow_Py]],"N.A.")</f>
        <v>N.A.</v>
      </c>
      <c r="AK314" s="61">
        <f>Tab_Data_Flows[[#This Row],[UoM_Flow_Py]]</f>
        <v>0</v>
      </c>
    </row>
    <row r="315" spans="1:37" x14ac:dyDescent="0.35">
      <c r="A315" s="60">
        <f t="shared" si="38"/>
        <v>314</v>
      </c>
      <c r="B315" s="49" t="str">
        <f>_xlfn.XLOOKUP(C315,Tab_Def_Flows[Name(EN)],Tab_Def_Flows[Flow_ID],,0,)</f>
        <v>F_21_21</v>
      </c>
      <c r="C315" s="51"/>
      <c r="D315" s="49">
        <f>_xlfn.XLOOKUP(C315,Tab_Def_Flows[Name(EN)],Tab_Def_Flows[Type_Biomass],,0,)</f>
        <v>0</v>
      </c>
      <c r="E315" s="49">
        <f>_xlfn.XLOOKUP(C315,Tab_Def_Flows[Name(EN)],Tab_Def_Flows[Output_Process],,0,)</f>
        <v>0</v>
      </c>
      <c r="F315" s="49" t="str">
        <f>_xlfn.XLOOKUP(C315,Tab_Def_Flows[Name(EN)],Tab_Def_Flows[Process_ID_O],,0,)</f>
        <v>21__</v>
      </c>
      <c r="G315" s="49">
        <f>_xlfn.XLOOKUP(C315,Tab_Def_Flows[Name(EN)],Tab_Def_Flows[Input_Process],,0,)</f>
        <v>0</v>
      </c>
      <c r="H315" s="61" t="str">
        <f>_xlfn.XLOOKUP(C315,Tab_Def_Flows[Name(EN)],Tab_Def_Flows[Process_ID_I],,0,)</f>
        <v>21__</v>
      </c>
      <c r="I315" s="49">
        <f>_xlfn.XLOOKUP(C315,Tab_Def_Flows[Name(EN)],Tab_Def_Flows[Value_Source],,0,)</f>
        <v>0</v>
      </c>
      <c r="J315" s="49">
        <f>_xlfn.XLOOKUP(C315,Tab_Def_Flows[Name(EN)],Tab_Def_Flows[WC?],,0,)</f>
        <v>0</v>
      </c>
      <c r="K315" s="49">
        <f>_xlfn.XLOOKUP(C315,Tab_Def_Flows[Name(EN)],Tab_Def_Flows[DM?],,0,)</f>
        <v>0</v>
      </c>
      <c r="L315" s="49">
        <f>_xlfn.XLOOKUP(C315,Tab_Def_Flows[Name(EN)],Tab_Def_Flows[CC?],,0,)</f>
        <v>0</v>
      </c>
      <c r="M315" s="51"/>
      <c r="N315" s="51"/>
      <c r="O315" s="88"/>
      <c r="P315" s="51"/>
      <c r="Q315" s="51"/>
      <c r="R315" s="51"/>
      <c r="S315" s="51"/>
      <c r="T315" s="51"/>
      <c r="U315" s="51"/>
      <c r="V315" s="51"/>
      <c r="W315" s="51"/>
      <c r="X315" s="51"/>
      <c r="Y315" s="51"/>
      <c r="Z315" s="51"/>
      <c r="AA315" s="89">
        <f t="shared" si="39"/>
        <v>0</v>
      </c>
      <c r="AB315" s="51"/>
      <c r="AC315" s="114" t="e">
        <f>INDEX(Tab_Def_Flows[[Flow_ID]:[CC_DM_source]],MATCH(Tab_Data_Flows[[#This Row],[Name(EN)]],Tab_Def_Flows[Name(EN)],0),16)</f>
        <v>#N/A</v>
      </c>
      <c r="AD315" s="115" t="str">
        <f>IF(J315="Yes",AA315*Tab_Data_Flows[[#This Row],[WC_'[%']]],"N.A.")</f>
        <v>N.A.</v>
      </c>
      <c r="AE315" s="61">
        <f>Tab_Data_Flows[[#This Row],[UoM_Flow_Py]]</f>
        <v>0</v>
      </c>
      <c r="AF315" s="114" t="e">
        <f>INDEX(Tab_Def_Flows[[Flow_ID]:[CC_DM_source]],MATCH(Tab_Data_Flows[[#This Row],[Name(EN)]],Tab_Def_Flows[Name(EN)],0),18)</f>
        <v>#N/A</v>
      </c>
      <c r="AG315" s="115" t="str">
        <f>IF(K315="Yes",AF315*Tab_Data_Flows[[#This Row],[Flow_Py]],"N.A.")</f>
        <v>N.A.</v>
      </c>
      <c r="AH315" s="61">
        <f>Tab_Data_Flows[[#This Row],[UoM_Flow_Py]]</f>
        <v>0</v>
      </c>
      <c r="AI315" s="114" t="e">
        <f>INDEX(Tab_Def_Flows[[Flow_ID]:[CC_DM_source]],MATCH(Tab_Data_Flows[[#This Row],[Name(EN)]],Tab_Def_Flows[Name(EN)],0),20)</f>
        <v>#N/A</v>
      </c>
      <c r="AJ315" s="115" t="str">
        <f>IF(L315="Yes",AI315*Tab_Data_Flows[[#This Row],[Flow_Py]],"N.A.")</f>
        <v>N.A.</v>
      </c>
      <c r="AK315" s="61">
        <f>Tab_Data_Flows[[#This Row],[UoM_Flow_Py]]</f>
        <v>0</v>
      </c>
    </row>
    <row r="316" spans="1:37" x14ac:dyDescent="0.35">
      <c r="A316" s="60">
        <f t="shared" si="38"/>
        <v>315</v>
      </c>
      <c r="B316" s="49" t="str">
        <f>_xlfn.XLOOKUP(C316,Tab_Def_Flows[Name(EN)],Tab_Def_Flows[Flow_ID],,0,)</f>
        <v>F_21_21</v>
      </c>
      <c r="C316" s="51"/>
      <c r="D316" s="49">
        <f>_xlfn.XLOOKUP(C316,Tab_Def_Flows[Name(EN)],Tab_Def_Flows[Type_Biomass],,0,)</f>
        <v>0</v>
      </c>
      <c r="E316" s="49">
        <f>_xlfn.XLOOKUP(C316,Tab_Def_Flows[Name(EN)],Tab_Def_Flows[Output_Process],,0,)</f>
        <v>0</v>
      </c>
      <c r="F316" s="49" t="str">
        <f>_xlfn.XLOOKUP(C316,Tab_Def_Flows[Name(EN)],Tab_Def_Flows[Process_ID_O],,0,)</f>
        <v>21__</v>
      </c>
      <c r="G316" s="49">
        <f>_xlfn.XLOOKUP(C316,Tab_Def_Flows[Name(EN)],Tab_Def_Flows[Input_Process],,0,)</f>
        <v>0</v>
      </c>
      <c r="H316" s="61" t="str">
        <f>_xlfn.XLOOKUP(C316,Tab_Def_Flows[Name(EN)],Tab_Def_Flows[Process_ID_I],,0,)</f>
        <v>21__</v>
      </c>
      <c r="I316" s="49">
        <f>_xlfn.XLOOKUP(C316,Tab_Def_Flows[Name(EN)],Tab_Def_Flows[Value_Source],,0,)</f>
        <v>0</v>
      </c>
      <c r="J316" s="49">
        <f>_xlfn.XLOOKUP(C316,Tab_Def_Flows[Name(EN)],Tab_Def_Flows[WC?],,0,)</f>
        <v>0</v>
      </c>
      <c r="K316" s="49">
        <f>_xlfn.XLOOKUP(C316,Tab_Def_Flows[Name(EN)],Tab_Def_Flows[DM?],,0,)</f>
        <v>0</v>
      </c>
      <c r="L316" s="49">
        <f>_xlfn.XLOOKUP(C316,Tab_Def_Flows[Name(EN)],Tab_Def_Flows[CC?],,0,)</f>
        <v>0</v>
      </c>
      <c r="M316" s="51"/>
      <c r="N316" s="51"/>
      <c r="O316" s="88"/>
      <c r="P316" s="51"/>
      <c r="Q316" s="51"/>
      <c r="R316" s="51"/>
      <c r="S316" s="51"/>
      <c r="T316" s="51"/>
      <c r="U316" s="51"/>
      <c r="V316" s="51"/>
      <c r="W316" s="51"/>
      <c r="X316" s="51"/>
      <c r="Y316" s="51"/>
      <c r="Z316" s="51"/>
      <c r="AA316" s="89">
        <f t="shared" si="39"/>
        <v>0</v>
      </c>
      <c r="AB316" s="51"/>
      <c r="AC316" s="114" t="e">
        <f>INDEX(Tab_Def_Flows[[Flow_ID]:[CC_DM_source]],MATCH(Tab_Data_Flows[[#This Row],[Name(EN)]],Tab_Def_Flows[Name(EN)],0),16)</f>
        <v>#N/A</v>
      </c>
      <c r="AD316" s="115" t="str">
        <f>IF(J316="Yes",AA316*Tab_Data_Flows[[#This Row],[WC_'[%']]],"N.A.")</f>
        <v>N.A.</v>
      </c>
      <c r="AE316" s="61">
        <f>Tab_Data_Flows[[#This Row],[UoM_Flow_Py]]</f>
        <v>0</v>
      </c>
      <c r="AF316" s="114" t="e">
        <f>INDEX(Tab_Def_Flows[[Flow_ID]:[CC_DM_source]],MATCH(Tab_Data_Flows[[#This Row],[Name(EN)]],Tab_Def_Flows[Name(EN)],0),18)</f>
        <v>#N/A</v>
      </c>
      <c r="AG316" s="115" t="str">
        <f>IF(K316="Yes",AF316*Tab_Data_Flows[[#This Row],[Flow_Py]],"N.A.")</f>
        <v>N.A.</v>
      </c>
      <c r="AH316" s="61">
        <f>Tab_Data_Flows[[#This Row],[UoM_Flow_Py]]</f>
        <v>0</v>
      </c>
      <c r="AI316" s="114" t="e">
        <f>INDEX(Tab_Def_Flows[[Flow_ID]:[CC_DM_source]],MATCH(Tab_Data_Flows[[#This Row],[Name(EN)]],Tab_Def_Flows[Name(EN)],0),20)</f>
        <v>#N/A</v>
      </c>
      <c r="AJ316" s="115" t="str">
        <f>IF(L316="Yes",AI316*Tab_Data_Flows[[#This Row],[Flow_Py]],"N.A.")</f>
        <v>N.A.</v>
      </c>
      <c r="AK316" s="61">
        <f>Tab_Data_Flows[[#This Row],[UoM_Flow_Py]]</f>
        <v>0</v>
      </c>
    </row>
    <row r="317" spans="1:37" x14ac:dyDescent="0.35">
      <c r="A317" s="60">
        <f t="shared" si="38"/>
        <v>316</v>
      </c>
      <c r="B317" s="49" t="str">
        <f>_xlfn.XLOOKUP(C317,Tab_Def_Flows[Name(EN)],Tab_Def_Flows[Flow_ID],,0,)</f>
        <v>F_21_21</v>
      </c>
      <c r="C317" s="51"/>
      <c r="D317" s="49">
        <f>_xlfn.XLOOKUP(C317,Tab_Def_Flows[Name(EN)],Tab_Def_Flows[Type_Biomass],,0,)</f>
        <v>0</v>
      </c>
      <c r="E317" s="49">
        <f>_xlfn.XLOOKUP(C317,Tab_Def_Flows[Name(EN)],Tab_Def_Flows[Output_Process],,0,)</f>
        <v>0</v>
      </c>
      <c r="F317" s="49" t="str">
        <f>_xlfn.XLOOKUP(C317,Tab_Def_Flows[Name(EN)],Tab_Def_Flows[Process_ID_O],,0,)</f>
        <v>21__</v>
      </c>
      <c r="G317" s="49">
        <f>_xlfn.XLOOKUP(C317,Tab_Def_Flows[Name(EN)],Tab_Def_Flows[Input_Process],,0,)</f>
        <v>0</v>
      </c>
      <c r="H317" s="61" t="str">
        <f>_xlfn.XLOOKUP(C317,Tab_Def_Flows[Name(EN)],Tab_Def_Flows[Process_ID_I],,0,)</f>
        <v>21__</v>
      </c>
      <c r="I317" s="49">
        <f>_xlfn.XLOOKUP(C317,Tab_Def_Flows[Name(EN)],Tab_Def_Flows[Value_Source],,0,)</f>
        <v>0</v>
      </c>
      <c r="J317" s="49">
        <f>_xlfn.XLOOKUP(C317,Tab_Def_Flows[Name(EN)],Tab_Def_Flows[WC?],,0,)</f>
        <v>0</v>
      </c>
      <c r="K317" s="49">
        <f>_xlfn.XLOOKUP(C317,Tab_Def_Flows[Name(EN)],Tab_Def_Flows[DM?],,0,)</f>
        <v>0</v>
      </c>
      <c r="L317" s="49">
        <f>_xlfn.XLOOKUP(C317,Tab_Def_Flows[Name(EN)],Tab_Def_Flows[CC?],,0,)</f>
        <v>0</v>
      </c>
      <c r="M317" s="51"/>
      <c r="N317" s="51"/>
      <c r="O317" s="88"/>
      <c r="P317" s="51"/>
      <c r="Q317" s="51"/>
      <c r="R317" s="51"/>
      <c r="S317" s="51"/>
      <c r="T317" s="51"/>
      <c r="U317" s="51"/>
      <c r="V317" s="51"/>
      <c r="W317" s="51"/>
      <c r="X317" s="51"/>
      <c r="Y317" s="51"/>
      <c r="Z317" s="51"/>
      <c r="AA317" s="89">
        <f t="shared" si="39"/>
        <v>0</v>
      </c>
      <c r="AB317" s="51"/>
      <c r="AC317" s="114" t="e">
        <f>INDEX(Tab_Def_Flows[[Flow_ID]:[CC_DM_source]],MATCH(Tab_Data_Flows[[#This Row],[Name(EN)]],Tab_Def_Flows[Name(EN)],0),16)</f>
        <v>#N/A</v>
      </c>
      <c r="AD317" s="115" t="str">
        <f>IF(J317="Yes",AA317*Tab_Data_Flows[[#This Row],[WC_'[%']]],"N.A.")</f>
        <v>N.A.</v>
      </c>
      <c r="AE317" s="61">
        <f>Tab_Data_Flows[[#This Row],[UoM_Flow_Py]]</f>
        <v>0</v>
      </c>
      <c r="AF317" s="114" t="e">
        <f>INDEX(Tab_Def_Flows[[Flow_ID]:[CC_DM_source]],MATCH(Tab_Data_Flows[[#This Row],[Name(EN)]],Tab_Def_Flows[Name(EN)],0),18)</f>
        <v>#N/A</v>
      </c>
      <c r="AG317" s="115" t="str">
        <f>IF(K317="Yes",AF317*Tab_Data_Flows[[#This Row],[Flow_Py]],"N.A.")</f>
        <v>N.A.</v>
      </c>
      <c r="AH317" s="61">
        <f>Tab_Data_Flows[[#This Row],[UoM_Flow_Py]]</f>
        <v>0</v>
      </c>
      <c r="AI317" s="114" t="e">
        <f>INDEX(Tab_Def_Flows[[Flow_ID]:[CC_DM_source]],MATCH(Tab_Data_Flows[[#This Row],[Name(EN)]],Tab_Def_Flows[Name(EN)],0),20)</f>
        <v>#N/A</v>
      </c>
      <c r="AJ317" s="115" t="str">
        <f>IF(L317="Yes",AI317*Tab_Data_Flows[[#This Row],[Flow_Py]],"N.A.")</f>
        <v>N.A.</v>
      </c>
      <c r="AK317" s="61">
        <f>Tab_Data_Flows[[#This Row],[UoM_Flow_Py]]</f>
        <v>0</v>
      </c>
    </row>
    <row r="318" spans="1:37" x14ac:dyDescent="0.35">
      <c r="A318" s="60">
        <f t="shared" si="38"/>
        <v>317</v>
      </c>
      <c r="B318" s="49" t="str">
        <f>_xlfn.XLOOKUP(C318,Tab_Def_Flows[Name(EN)],Tab_Def_Flows[Flow_ID],,0,)</f>
        <v>F_21_21</v>
      </c>
      <c r="C318" s="51"/>
      <c r="D318" s="49">
        <f>_xlfn.XLOOKUP(C318,Tab_Def_Flows[Name(EN)],Tab_Def_Flows[Type_Biomass],,0,)</f>
        <v>0</v>
      </c>
      <c r="E318" s="49">
        <f>_xlfn.XLOOKUP(C318,Tab_Def_Flows[Name(EN)],Tab_Def_Flows[Output_Process],,0,)</f>
        <v>0</v>
      </c>
      <c r="F318" s="49" t="str">
        <f>_xlfn.XLOOKUP(C318,Tab_Def_Flows[Name(EN)],Tab_Def_Flows[Process_ID_O],,0,)</f>
        <v>21__</v>
      </c>
      <c r="G318" s="49">
        <f>_xlfn.XLOOKUP(C318,Tab_Def_Flows[Name(EN)],Tab_Def_Flows[Input_Process],,0,)</f>
        <v>0</v>
      </c>
      <c r="H318" s="61" t="str">
        <f>_xlfn.XLOOKUP(C318,Tab_Def_Flows[Name(EN)],Tab_Def_Flows[Process_ID_I],,0,)</f>
        <v>21__</v>
      </c>
      <c r="I318" s="49">
        <f>_xlfn.XLOOKUP(C318,Tab_Def_Flows[Name(EN)],Tab_Def_Flows[Value_Source],,0,)</f>
        <v>0</v>
      </c>
      <c r="J318" s="49">
        <f>_xlfn.XLOOKUP(C318,Tab_Def_Flows[Name(EN)],Tab_Def_Flows[WC?],,0,)</f>
        <v>0</v>
      </c>
      <c r="K318" s="49">
        <f>_xlfn.XLOOKUP(C318,Tab_Def_Flows[Name(EN)],Tab_Def_Flows[DM?],,0,)</f>
        <v>0</v>
      </c>
      <c r="L318" s="49">
        <f>_xlfn.XLOOKUP(C318,Tab_Def_Flows[Name(EN)],Tab_Def_Flows[CC?],,0,)</f>
        <v>0</v>
      </c>
      <c r="M318" s="51"/>
      <c r="N318" s="51"/>
      <c r="O318" s="88"/>
      <c r="P318" s="51"/>
      <c r="Q318" s="51"/>
      <c r="R318" s="51"/>
      <c r="S318" s="51"/>
      <c r="T318" s="51"/>
      <c r="U318" s="51"/>
      <c r="V318" s="51"/>
      <c r="W318" s="51"/>
      <c r="X318" s="51"/>
      <c r="Y318" s="51"/>
      <c r="Z318" s="51"/>
      <c r="AA318" s="89">
        <f t="shared" si="39"/>
        <v>0</v>
      </c>
      <c r="AB318" s="51"/>
      <c r="AC318" s="114" t="e">
        <f>INDEX(Tab_Def_Flows[[Flow_ID]:[CC_DM_source]],MATCH(Tab_Data_Flows[[#This Row],[Name(EN)]],Tab_Def_Flows[Name(EN)],0),16)</f>
        <v>#N/A</v>
      </c>
      <c r="AD318" s="115" t="str">
        <f>IF(J318="Yes",AA318*Tab_Data_Flows[[#This Row],[WC_'[%']]],"N.A.")</f>
        <v>N.A.</v>
      </c>
      <c r="AE318" s="61">
        <f>Tab_Data_Flows[[#This Row],[UoM_Flow_Py]]</f>
        <v>0</v>
      </c>
      <c r="AF318" s="114" t="e">
        <f>INDEX(Tab_Def_Flows[[Flow_ID]:[CC_DM_source]],MATCH(Tab_Data_Flows[[#This Row],[Name(EN)]],Tab_Def_Flows[Name(EN)],0),18)</f>
        <v>#N/A</v>
      </c>
      <c r="AG318" s="115" t="str">
        <f>IF(K318="Yes",AF318*Tab_Data_Flows[[#This Row],[Flow_Py]],"N.A.")</f>
        <v>N.A.</v>
      </c>
      <c r="AH318" s="61">
        <f>Tab_Data_Flows[[#This Row],[UoM_Flow_Py]]</f>
        <v>0</v>
      </c>
      <c r="AI318" s="114" t="e">
        <f>INDEX(Tab_Def_Flows[[Flow_ID]:[CC_DM_source]],MATCH(Tab_Data_Flows[[#This Row],[Name(EN)]],Tab_Def_Flows[Name(EN)],0),20)</f>
        <v>#N/A</v>
      </c>
      <c r="AJ318" s="115" t="str">
        <f>IF(L318="Yes",AI318*Tab_Data_Flows[[#This Row],[Flow_Py]],"N.A.")</f>
        <v>N.A.</v>
      </c>
      <c r="AK318" s="61">
        <f>Tab_Data_Flows[[#This Row],[UoM_Flow_Py]]</f>
        <v>0</v>
      </c>
    </row>
    <row r="319" spans="1:37" x14ac:dyDescent="0.35">
      <c r="A319" s="60">
        <f t="shared" si="38"/>
        <v>318</v>
      </c>
      <c r="B319" s="49" t="str">
        <f>_xlfn.XLOOKUP(C319,Tab_Def_Flows[Name(EN)],Tab_Def_Flows[Flow_ID],,0,)</f>
        <v>F_21_21</v>
      </c>
      <c r="C319" s="51"/>
      <c r="D319" s="49">
        <f>_xlfn.XLOOKUP(C319,Tab_Def_Flows[Name(EN)],Tab_Def_Flows[Type_Biomass],,0,)</f>
        <v>0</v>
      </c>
      <c r="E319" s="49">
        <f>_xlfn.XLOOKUP(C319,Tab_Def_Flows[Name(EN)],Tab_Def_Flows[Output_Process],,0,)</f>
        <v>0</v>
      </c>
      <c r="F319" s="49" t="str">
        <f>_xlfn.XLOOKUP(C319,Tab_Def_Flows[Name(EN)],Tab_Def_Flows[Process_ID_O],,0,)</f>
        <v>21__</v>
      </c>
      <c r="G319" s="49">
        <f>_xlfn.XLOOKUP(C319,Tab_Def_Flows[Name(EN)],Tab_Def_Flows[Input_Process],,0,)</f>
        <v>0</v>
      </c>
      <c r="H319" s="61" t="str">
        <f>_xlfn.XLOOKUP(C319,Tab_Def_Flows[Name(EN)],Tab_Def_Flows[Process_ID_I],,0,)</f>
        <v>21__</v>
      </c>
      <c r="I319" s="49">
        <f>_xlfn.XLOOKUP(C319,Tab_Def_Flows[Name(EN)],Tab_Def_Flows[Value_Source],,0,)</f>
        <v>0</v>
      </c>
      <c r="J319" s="49">
        <f>_xlfn.XLOOKUP(C319,Tab_Def_Flows[Name(EN)],Tab_Def_Flows[WC?],,0,)</f>
        <v>0</v>
      </c>
      <c r="K319" s="49">
        <f>_xlfn.XLOOKUP(C319,Tab_Def_Flows[Name(EN)],Tab_Def_Flows[DM?],,0,)</f>
        <v>0</v>
      </c>
      <c r="L319" s="49">
        <f>_xlfn.XLOOKUP(C319,Tab_Def_Flows[Name(EN)],Tab_Def_Flows[CC?],,0,)</f>
        <v>0</v>
      </c>
      <c r="M319" s="51"/>
      <c r="N319" s="51"/>
      <c r="O319" s="88"/>
      <c r="P319" s="51"/>
      <c r="Q319" s="51"/>
      <c r="R319" s="51"/>
      <c r="S319" s="51"/>
      <c r="T319" s="51"/>
      <c r="U319" s="51"/>
      <c r="V319" s="51"/>
      <c r="W319" s="51"/>
      <c r="X319" s="51"/>
      <c r="Y319" s="51"/>
      <c r="Z319" s="51"/>
      <c r="AA319" s="89">
        <f t="shared" si="39"/>
        <v>0</v>
      </c>
      <c r="AB319" s="51"/>
      <c r="AC319" s="114" t="e">
        <f>INDEX(Tab_Def_Flows[[Flow_ID]:[CC_DM_source]],MATCH(Tab_Data_Flows[[#This Row],[Name(EN)]],Tab_Def_Flows[Name(EN)],0),16)</f>
        <v>#N/A</v>
      </c>
      <c r="AD319" s="115" t="str">
        <f>IF(J319="Yes",AA319*Tab_Data_Flows[[#This Row],[WC_'[%']]],"N.A.")</f>
        <v>N.A.</v>
      </c>
      <c r="AE319" s="61">
        <f>Tab_Data_Flows[[#This Row],[UoM_Flow_Py]]</f>
        <v>0</v>
      </c>
      <c r="AF319" s="114" t="e">
        <f>INDEX(Tab_Def_Flows[[Flow_ID]:[CC_DM_source]],MATCH(Tab_Data_Flows[[#This Row],[Name(EN)]],Tab_Def_Flows[Name(EN)],0),18)</f>
        <v>#N/A</v>
      </c>
      <c r="AG319" s="115" t="str">
        <f>IF(K319="Yes",AF319*Tab_Data_Flows[[#This Row],[Flow_Py]],"N.A.")</f>
        <v>N.A.</v>
      </c>
      <c r="AH319" s="61">
        <f>Tab_Data_Flows[[#This Row],[UoM_Flow_Py]]</f>
        <v>0</v>
      </c>
      <c r="AI319" s="114" t="e">
        <f>INDEX(Tab_Def_Flows[[Flow_ID]:[CC_DM_source]],MATCH(Tab_Data_Flows[[#This Row],[Name(EN)]],Tab_Def_Flows[Name(EN)],0),20)</f>
        <v>#N/A</v>
      </c>
      <c r="AJ319" s="115" t="str">
        <f>IF(L319="Yes",AI319*Tab_Data_Flows[[#This Row],[Flow_Py]],"N.A.")</f>
        <v>N.A.</v>
      </c>
      <c r="AK319" s="61">
        <f>Tab_Data_Flows[[#This Row],[UoM_Flow_Py]]</f>
        <v>0</v>
      </c>
    </row>
    <row r="320" spans="1:37" x14ac:dyDescent="0.35">
      <c r="A320" s="60">
        <f t="shared" si="38"/>
        <v>319</v>
      </c>
      <c r="B320" s="49" t="str">
        <f>_xlfn.XLOOKUP(C320,Tab_Def_Flows[Name(EN)],Tab_Def_Flows[Flow_ID],,0,)</f>
        <v>F_21_21</v>
      </c>
      <c r="C320" s="51"/>
      <c r="D320" s="49">
        <f>_xlfn.XLOOKUP(C320,Tab_Def_Flows[Name(EN)],Tab_Def_Flows[Type_Biomass],,0,)</f>
        <v>0</v>
      </c>
      <c r="E320" s="49">
        <f>_xlfn.XLOOKUP(C320,Tab_Def_Flows[Name(EN)],Tab_Def_Flows[Output_Process],,0,)</f>
        <v>0</v>
      </c>
      <c r="F320" s="49" t="str">
        <f>_xlfn.XLOOKUP(C320,Tab_Def_Flows[Name(EN)],Tab_Def_Flows[Process_ID_O],,0,)</f>
        <v>21__</v>
      </c>
      <c r="G320" s="49">
        <f>_xlfn.XLOOKUP(C320,Tab_Def_Flows[Name(EN)],Tab_Def_Flows[Input_Process],,0,)</f>
        <v>0</v>
      </c>
      <c r="H320" s="61" t="str">
        <f>_xlfn.XLOOKUP(C320,Tab_Def_Flows[Name(EN)],Tab_Def_Flows[Process_ID_I],,0,)</f>
        <v>21__</v>
      </c>
      <c r="I320" s="49">
        <f>_xlfn.XLOOKUP(C320,Tab_Def_Flows[Name(EN)],Tab_Def_Flows[Value_Source],,0,)</f>
        <v>0</v>
      </c>
      <c r="J320" s="49">
        <f>_xlfn.XLOOKUP(C320,Tab_Def_Flows[Name(EN)],Tab_Def_Flows[WC?],,0,)</f>
        <v>0</v>
      </c>
      <c r="K320" s="49">
        <f>_xlfn.XLOOKUP(C320,Tab_Def_Flows[Name(EN)],Tab_Def_Flows[DM?],,0,)</f>
        <v>0</v>
      </c>
      <c r="L320" s="49">
        <f>_xlfn.XLOOKUP(C320,Tab_Def_Flows[Name(EN)],Tab_Def_Flows[CC?],,0,)</f>
        <v>0</v>
      </c>
      <c r="M320" s="51"/>
      <c r="N320" s="51"/>
      <c r="O320" s="88"/>
      <c r="P320" s="51"/>
      <c r="Q320" s="51"/>
      <c r="R320" s="51"/>
      <c r="S320" s="51"/>
      <c r="T320" s="51"/>
      <c r="U320" s="51"/>
      <c r="V320" s="51"/>
      <c r="W320" s="51"/>
      <c r="X320" s="51"/>
      <c r="Y320" s="51"/>
      <c r="Z320" s="51"/>
      <c r="AA320" s="89">
        <f t="shared" si="39"/>
        <v>0</v>
      </c>
      <c r="AB320" s="51"/>
      <c r="AC320" s="114" t="e">
        <f>INDEX(Tab_Def_Flows[[Flow_ID]:[CC_DM_source]],MATCH(Tab_Data_Flows[[#This Row],[Name(EN)]],Tab_Def_Flows[Name(EN)],0),16)</f>
        <v>#N/A</v>
      </c>
      <c r="AD320" s="115" t="str">
        <f>IF(J320="Yes",AA320*Tab_Data_Flows[[#This Row],[WC_'[%']]],"N.A.")</f>
        <v>N.A.</v>
      </c>
      <c r="AE320" s="61">
        <f>Tab_Data_Flows[[#This Row],[UoM_Flow_Py]]</f>
        <v>0</v>
      </c>
      <c r="AF320" s="114" t="e">
        <f>INDEX(Tab_Def_Flows[[Flow_ID]:[CC_DM_source]],MATCH(Tab_Data_Flows[[#This Row],[Name(EN)]],Tab_Def_Flows[Name(EN)],0),18)</f>
        <v>#N/A</v>
      </c>
      <c r="AG320" s="115" t="str">
        <f>IF(K320="Yes",AF320*Tab_Data_Flows[[#This Row],[Flow_Py]],"N.A.")</f>
        <v>N.A.</v>
      </c>
      <c r="AH320" s="61">
        <f>Tab_Data_Flows[[#This Row],[UoM_Flow_Py]]</f>
        <v>0</v>
      </c>
      <c r="AI320" s="114" t="e">
        <f>INDEX(Tab_Def_Flows[[Flow_ID]:[CC_DM_source]],MATCH(Tab_Data_Flows[[#This Row],[Name(EN)]],Tab_Def_Flows[Name(EN)],0),20)</f>
        <v>#N/A</v>
      </c>
      <c r="AJ320" s="115" t="str">
        <f>IF(L320="Yes",AI320*Tab_Data_Flows[[#This Row],[Flow_Py]],"N.A.")</f>
        <v>N.A.</v>
      </c>
      <c r="AK320" s="61">
        <f>Tab_Data_Flows[[#This Row],[UoM_Flow_Py]]</f>
        <v>0</v>
      </c>
    </row>
    <row r="321" spans="1:37" x14ac:dyDescent="0.35">
      <c r="A321" s="60">
        <f t="shared" si="38"/>
        <v>320</v>
      </c>
      <c r="B321" s="49" t="str">
        <f>_xlfn.XLOOKUP(C321,Tab_Def_Flows[Name(EN)],Tab_Def_Flows[Flow_ID],,0,)</f>
        <v>F_21_21</v>
      </c>
      <c r="C321" s="51"/>
      <c r="D321" s="49">
        <f>_xlfn.XLOOKUP(C321,Tab_Def_Flows[Name(EN)],Tab_Def_Flows[Type_Biomass],,0,)</f>
        <v>0</v>
      </c>
      <c r="E321" s="49">
        <f>_xlfn.XLOOKUP(C321,Tab_Def_Flows[Name(EN)],Tab_Def_Flows[Output_Process],,0,)</f>
        <v>0</v>
      </c>
      <c r="F321" s="49" t="str">
        <f>_xlfn.XLOOKUP(C321,Tab_Def_Flows[Name(EN)],Tab_Def_Flows[Process_ID_O],,0,)</f>
        <v>21__</v>
      </c>
      <c r="G321" s="49">
        <f>_xlfn.XLOOKUP(C321,Tab_Def_Flows[Name(EN)],Tab_Def_Flows[Input_Process],,0,)</f>
        <v>0</v>
      </c>
      <c r="H321" s="61" t="str">
        <f>_xlfn.XLOOKUP(C321,Tab_Def_Flows[Name(EN)],Tab_Def_Flows[Process_ID_I],,0,)</f>
        <v>21__</v>
      </c>
      <c r="I321" s="49">
        <f>_xlfn.XLOOKUP(C321,Tab_Def_Flows[Name(EN)],Tab_Def_Flows[Value_Source],,0,)</f>
        <v>0</v>
      </c>
      <c r="J321" s="49">
        <f>_xlfn.XLOOKUP(C321,Tab_Def_Flows[Name(EN)],Tab_Def_Flows[WC?],,0,)</f>
        <v>0</v>
      </c>
      <c r="K321" s="49">
        <f>_xlfn.XLOOKUP(C321,Tab_Def_Flows[Name(EN)],Tab_Def_Flows[DM?],,0,)</f>
        <v>0</v>
      </c>
      <c r="L321" s="49">
        <f>_xlfn.XLOOKUP(C321,Tab_Def_Flows[Name(EN)],Tab_Def_Flows[CC?],,0,)</f>
        <v>0</v>
      </c>
      <c r="M321" s="51"/>
      <c r="N321" s="51"/>
      <c r="O321" s="88"/>
      <c r="P321" s="51"/>
      <c r="Q321" s="51"/>
      <c r="R321" s="51"/>
      <c r="S321" s="51"/>
      <c r="T321" s="51"/>
      <c r="U321" s="51"/>
      <c r="V321" s="51"/>
      <c r="W321" s="51"/>
      <c r="X321" s="51"/>
      <c r="Y321" s="51"/>
      <c r="Z321" s="51"/>
      <c r="AA321" s="89">
        <f t="shared" si="39"/>
        <v>0</v>
      </c>
      <c r="AB321" s="51"/>
      <c r="AC321" s="114" t="e">
        <f>INDEX(Tab_Def_Flows[[Flow_ID]:[CC_DM_source]],MATCH(Tab_Data_Flows[[#This Row],[Name(EN)]],Tab_Def_Flows[Name(EN)],0),16)</f>
        <v>#N/A</v>
      </c>
      <c r="AD321" s="115" t="str">
        <f>IF(J321="Yes",AA321*Tab_Data_Flows[[#This Row],[WC_'[%']]],"N.A.")</f>
        <v>N.A.</v>
      </c>
      <c r="AE321" s="61">
        <f>Tab_Data_Flows[[#This Row],[UoM_Flow_Py]]</f>
        <v>0</v>
      </c>
      <c r="AF321" s="114" t="e">
        <f>INDEX(Tab_Def_Flows[[Flow_ID]:[CC_DM_source]],MATCH(Tab_Data_Flows[[#This Row],[Name(EN)]],Tab_Def_Flows[Name(EN)],0),18)</f>
        <v>#N/A</v>
      </c>
      <c r="AG321" s="115" t="str">
        <f>IF(K321="Yes",AF321*Tab_Data_Flows[[#This Row],[Flow_Py]],"N.A.")</f>
        <v>N.A.</v>
      </c>
      <c r="AH321" s="61">
        <f>Tab_Data_Flows[[#This Row],[UoM_Flow_Py]]</f>
        <v>0</v>
      </c>
      <c r="AI321" s="114" t="e">
        <f>INDEX(Tab_Def_Flows[[Flow_ID]:[CC_DM_source]],MATCH(Tab_Data_Flows[[#This Row],[Name(EN)]],Tab_Def_Flows[Name(EN)],0),20)</f>
        <v>#N/A</v>
      </c>
      <c r="AJ321" s="115" t="str">
        <f>IF(L321="Yes",AI321*Tab_Data_Flows[[#This Row],[Flow_Py]],"N.A.")</f>
        <v>N.A.</v>
      </c>
      <c r="AK321" s="61">
        <f>Tab_Data_Flows[[#This Row],[UoM_Flow_Py]]</f>
        <v>0</v>
      </c>
    </row>
    <row r="322" spans="1:37" x14ac:dyDescent="0.35">
      <c r="A322" s="60">
        <f t="shared" si="38"/>
        <v>321</v>
      </c>
      <c r="B322" s="49" t="str">
        <f>_xlfn.XLOOKUP(C322,Tab_Def_Flows[Name(EN)],Tab_Def_Flows[Flow_ID],,0,)</f>
        <v>F_21_21</v>
      </c>
      <c r="C322" s="51"/>
      <c r="D322" s="49">
        <f>_xlfn.XLOOKUP(C322,Tab_Def_Flows[Name(EN)],Tab_Def_Flows[Type_Biomass],,0,)</f>
        <v>0</v>
      </c>
      <c r="E322" s="49">
        <f>_xlfn.XLOOKUP(C322,Tab_Def_Flows[Name(EN)],Tab_Def_Flows[Output_Process],,0,)</f>
        <v>0</v>
      </c>
      <c r="F322" s="49" t="str">
        <f>_xlfn.XLOOKUP(C322,Tab_Def_Flows[Name(EN)],Tab_Def_Flows[Process_ID_O],,0,)</f>
        <v>21__</v>
      </c>
      <c r="G322" s="49">
        <f>_xlfn.XLOOKUP(C322,Tab_Def_Flows[Name(EN)],Tab_Def_Flows[Input_Process],,0,)</f>
        <v>0</v>
      </c>
      <c r="H322" s="61" t="str">
        <f>_xlfn.XLOOKUP(C322,Tab_Def_Flows[Name(EN)],Tab_Def_Flows[Process_ID_I],,0,)</f>
        <v>21__</v>
      </c>
      <c r="I322" s="49">
        <f>_xlfn.XLOOKUP(C322,Tab_Def_Flows[Name(EN)],Tab_Def_Flows[Value_Source],,0,)</f>
        <v>0</v>
      </c>
      <c r="J322" s="49">
        <f>_xlfn.XLOOKUP(C322,Tab_Def_Flows[Name(EN)],Tab_Def_Flows[WC?],,0,)</f>
        <v>0</v>
      </c>
      <c r="K322" s="49">
        <f>_xlfn.XLOOKUP(C322,Tab_Def_Flows[Name(EN)],Tab_Def_Flows[DM?],,0,)</f>
        <v>0</v>
      </c>
      <c r="L322" s="49">
        <f>_xlfn.XLOOKUP(C322,Tab_Def_Flows[Name(EN)],Tab_Def_Flows[CC?],,0,)</f>
        <v>0</v>
      </c>
      <c r="M322" s="51"/>
      <c r="N322" s="51"/>
      <c r="O322" s="88"/>
      <c r="P322" s="51"/>
      <c r="Q322" s="51"/>
      <c r="R322" s="51"/>
      <c r="S322" s="51"/>
      <c r="T322" s="51"/>
      <c r="U322" s="51"/>
      <c r="V322" s="51"/>
      <c r="W322" s="51"/>
      <c r="X322" s="51"/>
      <c r="Y322" s="51"/>
      <c r="Z322" s="51"/>
      <c r="AA322" s="89">
        <f t="shared" si="39"/>
        <v>0</v>
      </c>
      <c r="AB322" s="51"/>
      <c r="AC322" s="114" t="e">
        <f>INDEX(Tab_Def_Flows[[Flow_ID]:[CC_DM_source]],MATCH(Tab_Data_Flows[[#This Row],[Name(EN)]],Tab_Def_Flows[Name(EN)],0),16)</f>
        <v>#N/A</v>
      </c>
      <c r="AD322" s="115" t="str">
        <f>IF(J322="Yes",AA322*Tab_Data_Flows[[#This Row],[WC_'[%']]],"N.A.")</f>
        <v>N.A.</v>
      </c>
      <c r="AE322" s="61">
        <f>Tab_Data_Flows[[#This Row],[UoM_Flow_Py]]</f>
        <v>0</v>
      </c>
      <c r="AF322" s="114" t="e">
        <f>INDEX(Tab_Def_Flows[[Flow_ID]:[CC_DM_source]],MATCH(Tab_Data_Flows[[#This Row],[Name(EN)]],Tab_Def_Flows[Name(EN)],0),18)</f>
        <v>#N/A</v>
      </c>
      <c r="AG322" s="115" t="str">
        <f>IF(K322="Yes",AF322*Tab_Data_Flows[[#This Row],[Flow_Py]],"N.A.")</f>
        <v>N.A.</v>
      </c>
      <c r="AH322" s="61">
        <f>Tab_Data_Flows[[#This Row],[UoM_Flow_Py]]</f>
        <v>0</v>
      </c>
      <c r="AI322" s="114" t="e">
        <f>INDEX(Tab_Def_Flows[[Flow_ID]:[CC_DM_source]],MATCH(Tab_Data_Flows[[#This Row],[Name(EN)]],Tab_Def_Flows[Name(EN)],0),20)</f>
        <v>#N/A</v>
      </c>
      <c r="AJ322" s="115" t="str">
        <f>IF(L322="Yes",AI322*Tab_Data_Flows[[#This Row],[Flow_Py]],"N.A.")</f>
        <v>N.A.</v>
      </c>
      <c r="AK322" s="61">
        <f>Tab_Data_Flows[[#This Row],[UoM_Flow_Py]]</f>
        <v>0</v>
      </c>
    </row>
    <row r="323" spans="1:37" x14ac:dyDescent="0.35">
      <c r="A323" s="60">
        <f t="shared" si="38"/>
        <v>322</v>
      </c>
      <c r="B323" s="49" t="str">
        <f>_xlfn.XLOOKUP(C323,Tab_Def_Flows[Name(EN)],Tab_Def_Flows[Flow_ID],,0,)</f>
        <v>F_21_21</v>
      </c>
      <c r="C323" s="51"/>
      <c r="D323" s="49">
        <f>_xlfn.XLOOKUP(C323,Tab_Def_Flows[Name(EN)],Tab_Def_Flows[Type_Biomass],,0,)</f>
        <v>0</v>
      </c>
      <c r="E323" s="49">
        <f>_xlfn.XLOOKUP(C323,Tab_Def_Flows[Name(EN)],Tab_Def_Flows[Output_Process],,0,)</f>
        <v>0</v>
      </c>
      <c r="F323" s="49" t="str">
        <f>_xlfn.XLOOKUP(C323,Tab_Def_Flows[Name(EN)],Tab_Def_Flows[Process_ID_O],,0,)</f>
        <v>21__</v>
      </c>
      <c r="G323" s="49">
        <f>_xlfn.XLOOKUP(C323,Tab_Def_Flows[Name(EN)],Tab_Def_Flows[Input_Process],,0,)</f>
        <v>0</v>
      </c>
      <c r="H323" s="61" t="str">
        <f>_xlfn.XLOOKUP(C323,Tab_Def_Flows[Name(EN)],Tab_Def_Flows[Process_ID_I],,0,)</f>
        <v>21__</v>
      </c>
      <c r="I323" s="49">
        <f>_xlfn.XLOOKUP(C323,Tab_Def_Flows[Name(EN)],Tab_Def_Flows[Value_Source],,0,)</f>
        <v>0</v>
      </c>
      <c r="J323" s="49">
        <f>_xlfn.XLOOKUP(C323,Tab_Def_Flows[Name(EN)],Tab_Def_Flows[WC?],,0,)</f>
        <v>0</v>
      </c>
      <c r="K323" s="49">
        <f>_xlfn.XLOOKUP(C323,Tab_Def_Flows[Name(EN)],Tab_Def_Flows[DM?],,0,)</f>
        <v>0</v>
      </c>
      <c r="L323" s="49">
        <f>_xlfn.XLOOKUP(C323,Tab_Def_Flows[Name(EN)],Tab_Def_Flows[CC?],,0,)</f>
        <v>0</v>
      </c>
      <c r="M323" s="51"/>
      <c r="N323" s="51"/>
      <c r="O323" s="88"/>
      <c r="P323" s="51"/>
      <c r="Q323" s="51"/>
      <c r="R323" s="51"/>
      <c r="S323" s="51"/>
      <c r="T323" s="51"/>
      <c r="U323" s="51"/>
      <c r="V323" s="51"/>
      <c r="W323" s="51"/>
      <c r="X323" s="51"/>
      <c r="Y323" s="51"/>
      <c r="Z323" s="51"/>
      <c r="AA323" s="89">
        <f t="shared" si="39"/>
        <v>0</v>
      </c>
      <c r="AB323" s="51"/>
      <c r="AC323" s="114" t="e">
        <f>INDEX(Tab_Def_Flows[[Flow_ID]:[CC_DM_source]],MATCH(Tab_Data_Flows[[#This Row],[Name(EN)]],Tab_Def_Flows[Name(EN)],0),16)</f>
        <v>#N/A</v>
      </c>
      <c r="AD323" s="115" t="str">
        <f>IF(J323="Yes",AA323*Tab_Data_Flows[[#This Row],[WC_'[%']]],"N.A.")</f>
        <v>N.A.</v>
      </c>
      <c r="AE323" s="61">
        <f>Tab_Data_Flows[[#This Row],[UoM_Flow_Py]]</f>
        <v>0</v>
      </c>
      <c r="AF323" s="114" t="e">
        <f>INDEX(Tab_Def_Flows[[Flow_ID]:[CC_DM_source]],MATCH(Tab_Data_Flows[[#This Row],[Name(EN)]],Tab_Def_Flows[Name(EN)],0),18)</f>
        <v>#N/A</v>
      </c>
      <c r="AG323" s="115" t="str">
        <f>IF(K323="Yes",AF323*Tab_Data_Flows[[#This Row],[Flow_Py]],"N.A.")</f>
        <v>N.A.</v>
      </c>
      <c r="AH323" s="61">
        <f>Tab_Data_Flows[[#This Row],[UoM_Flow_Py]]</f>
        <v>0</v>
      </c>
      <c r="AI323" s="114" t="e">
        <f>INDEX(Tab_Def_Flows[[Flow_ID]:[CC_DM_source]],MATCH(Tab_Data_Flows[[#This Row],[Name(EN)]],Tab_Def_Flows[Name(EN)],0),20)</f>
        <v>#N/A</v>
      </c>
      <c r="AJ323" s="115" t="str">
        <f>IF(L323="Yes",AI323*Tab_Data_Flows[[#This Row],[Flow_Py]],"N.A.")</f>
        <v>N.A.</v>
      </c>
      <c r="AK323" s="61">
        <f>Tab_Data_Flows[[#This Row],[UoM_Flow_Py]]</f>
        <v>0</v>
      </c>
    </row>
    <row r="324" spans="1:37" x14ac:dyDescent="0.35">
      <c r="A324" s="60">
        <f t="shared" si="38"/>
        <v>323</v>
      </c>
      <c r="B324" s="49" t="str">
        <f>_xlfn.XLOOKUP(C324,Tab_Def_Flows[Name(EN)],Tab_Def_Flows[Flow_ID],,0,)</f>
        <v>F_21_21</v>
      </c>
      <c r="C324" s="51"/>
      <c r="D324" s="49">
        <f>_xlfn.XLOOKUP(C324,Tab_Def_Flows[Name(EN)],Tab_Def_Flows[Type_Biomass],,0,)</f>
        <v>0</v>
      </c>
      <c r="E324" s="49">
        <f>_xlfn.XLOOKUP(C324,Tab_Def_Flows[Name(EN)],Tab_Def_Flows[Output_Process],,0,)</f>
        <v>0</v>
      </c>
      <c r="F324" s="49" t="str">
        <f>_xlfn.XLOOKUP(C324,Tab_Def_Flows[Name(EN)],Tab_Def_Flows[Process_ID_O],,0,)</f>
        <v>21__</v>
      </c>
      <c r="G324" s="49">
        <f>_xlfn.XLOOKUP(C324,Tab_Def_Flows[Name(EN)],Tab_Def_Flows[Input_Process],,0,)</f>
        <v>0</v>
      </c>
      <c r="H324" s="61" t="str">
        <f>_xlfn.XLOOKUP(C324,Tab_Def_Flows[Name(EN)],Tab_Def_Flows[Process_ID_I],,0,)</f>
        <v>21__</v>
      </c>
      <c r="I324" s="49">
        <f>_xlfn.XLOOKUP(C324,Tab_Def_Flows[Name(EN)],Tab_Def_Flows[Value_Source],,0,)</f>
        <v>0</v>
      </c>
      <c r="J324" s="49">
        <f>_xlfn.XLOOKUP(C324,Tab_Def_Flows[Name(EN)],Tab_Def_Flows[WC?],,0,)</f>
        <v>0</v>
      </c>
      <c r="K324" s="49">
        <f>_xlfn.XLOOKUP(C324,Tab_Def_Flows[Name(EN)],Tab_Def_Flows[DM?],,0,)</f>
        <v>0</v>
      </c>
      <c r="L324" s="49">
        <f>_xlfn.XLOOKUP(C324,Tab_Def_Flows[Name(EN)],Tab_Def_Flows[CC?],,0,)</f>
        <v>0</v>
      </c>
      <c r="M324" s="51"/>
      <c r="N324" s="51"/>
      <c r="O324" s="88"/>
      <c r="P324" s="51"/>
      <c r="Q324" s="51"/>
      <c r="R324" s="51"/>
      <c r="S324" s="51"/>
      <c r="T324" s="51"/>
      <c r="U324" s="51"/>
      <c r="V324" s="51"/>
      <c r="W324" s="51"/>
      <c r="X324" s="51"/>
      <c r="Y324" s="51"/>
      <c r="Z324" s="51"/>
      <c r="AA324" s="89">
        <f t="shared" si="39"/>
        <v>0</v>
      </c>
      <c r="AB324" s="51"/>
      <c r="AC324" s="114" t="e">
        <f>INDEX(Tab_Def_Flows[[Flow_ID]:[CC_DM_source]],MATCH(Tab_Data_Flows[[#This Row],[Name(EN)]],Tab_Def_Flows[Name(EN)],0),16)</f>
        <v>#N/A</v>
      </c>
      <c r="AD324" s="115" t="str">
        <f>IF(J324="Yes",AA324*Tab_Data_Flows[[#This Row],[WC_'[%']]],"N.A.")</f>
        <v>N.A.</v>
      </c>
      <c r="AE324" s="61">
        <f>Tab_Data_Flows[[#This Row],[UoM_Flow_Py]]</f>
        <v>0</v>
      </c>
      <c r="AF324" s="114" t="e">
        <f>INDEX(Tab_Def_Flows[[Flow_ID]:[CC_DM_source]],MATCH(Tab_Data_Flows[[#This Row],[Name(EN)]],Tab_Def_Flows[Name(EN)],0),18)</f>
        <v>#N/A</v>
      </c>
      <c r="AG324" s="115" t="str">
        <f>IF(K324="Yes",AF324*Tab_Data_Flows[[#This Row],[Flow_Py]],"N.A.")</f>
        <v>N.A.</v>
      </c>
      <c r="AH324" s="61">
        <f>Tab_Data_Flows[[#This Row],[UoM_Flow_Py]]</f>
        <v>0</v>
      </c>
      <c r="AI324" s="114" t="e">
        <f>INDEX(Tab_Def_Flows[[Flow_ID]:[CC_DM_source]],MATCH(Tab_Data_Flows[[#This Row],[Name(EN)]],Tab_Def_Flows[Name(EN)],0),20)</f>
        <v>#N/A</v>
      </c>
      <c r="AJ324" s="115" t="str">
        <f>IF(L324="Yes",AI324*Tab_Data_Flows[[#This Row],[Flow_Py]],"N.A.")</f>
        <v>N.A.</v>
      </c>
      <c r="AK324" s="61">
        <f>Tab_Data_Flows[[#This Row],[UoM_Flow_Py]]</f>
        <v>0</v>
      </c>
    </row>
    <row r="325" spans="1:37" x14ac:dyDescent="0.35">
      <c r="A325" s="60">
        <f t="shared" si="38"/>
        <v>324</v>
      </c>
      <c r="B325" s="49" t="str">
        <f>_xlfn.XLOOKUP(C325,Tab_Def_Flows[Name(EN)],Tab_Def_Flows[Flow_ID],,0,)</f>
        <v>F_21_21</v>
      </c>
      <c r="C325" s="51"/>
      <c r="D325" s="49">
        <f>_xlfn.XLOOKUP(C325,Tab_Def_Flows[Name(EN)],Tab_Def_Flows[Type_Biomass],,0,)</f>
        <v>0</v>
      </c>
      <c r="E325" s="49">
        <f>_xlfn.XLOOKUP(C325,Tab_Def_Flows[Name(EN)],Tab_Def_Flows[Output_Process],,0,)</f>
        <v>0</v>
      </c>
      <c r="F325" s="49" t="str">
        <f>_xlfn.XLOOKUP(C325,Tab_Def_Flows[Name(EN)],Tab_Def_Flows[Process_ID_O],,0,)</f>
        <v>21__</v>
      </c>
      <c r="G325" s="49">
        <f>_xlfn.XLOOKUP(C325,Tab_Def_Flows[Name(EN)],Tab_Def_Flows[Input_Process],,0,)</f>
        <v>0</v>
      </c>
      <c r="H325" s="61" t="str">
        <f>_xlfn.XLOOKUP(C325,Tab_Def_Flows[Name(EN)],Tab_Def_Flows[Process_ID_I],,0,)</f>
        <v>21__</v>
      </c>
      <c r="I325" s="49">
        <f>_xlfn.XLOOKUP(C325,Tab_Def_Flows[Name(EN)],Tab_Def_Flows[Value_Source],,0,)</f>
        <v>0</v>
      </c>
      <c r="J325" s="49">
        <f>_xlfn.XLOOKUP(C325,Tab_Def_Flows[Name(EN)],Tab_Def_Flows[WC?],,0,)</f>
        <v>0</v>
      </c>
      <c r="K325" s="49">
        <f>_xlfn.XLOOKUP(C325,Tab_Def_Flows[Name(EN)],Tab_Def_Flows[DM?],,0,)</f>
        <v>0</v>
      </c>
      <c r="L325" s="49">
        <f>_xlfn.XLOOKUP(C325,Tab_Def_Flows[Name(EN)],Tab_Def_Flows[CC?],,0,)</f>
        <v>0</v>
      </c>
      <c r="M325" s="51"/>
      <c r="N325" s="51"/>
      <c r="O325" s="88"/>
      <c r="P325" s="51"/>
      <c r="Q325" s="51"/>
      <c r="R325" s="51"/>
      <c r="S325" s="51"/>
      <c r="T325" s="51"/>
      <c r="U325" s="51"/>
      <c r="V325" s="51"/>
      <c r="W325" s="51"/>
      <c r="X325" s="51"/>
      <c r="Y325" s="51"/>
      <c r="Z325" s="51"/>
      <c r="AA325" s="89">
        <f t="shared" si="39"/>
        <v>0</v>
      </c>
      <c r="AB325" s="51"/>
      <c r="AC325" s="114" t="e">
        <f>INDEX(Tab_Def_Flows[[Flow_ID]:[CC_DM_source]],MATCH(Tab_Data_Flows[[#This Row],[Name(EN)]],Tab_Def_Flows[Name(EN)],0),16)</f>
        <v>#N/A</v>
      </c>
      <c r="AD325" s="115" t="str">
        <f>IF(J325="Yes",AA325*Tab_Data_Flows[[#This Row],[WC_'[%']]],"N.A.")</f>
        <v>N.A.</v>
      </c>
      <c r="AE325" s="61">
        <f>Tab_Data_Flows[[#This Row],[UoM_Flow_Py]]</f>
        <v>0</v>
      </c>
      <c r="AF325" s="114" t="e">
        <f>INDEX(Tab_Def_Flows[[Flow_ID]:[CC_DM_source]],MATCH(Tab_Data_Flows[[#This Row],[Name(EN)]],Tab_Def_Flows[Name(EN)],0),18)</f>
        <v>#N/A</v>
      </c>
      <c r="AG325" s="115" t="str">
        <f>IF(K325="Yes",AF325*Tab_Data_Flows[[#This Row],[Flow_Py]],"N.A.")</f>
        <v>N.A.</v>
      </c>
      <c r="AH325" s="61">
        <f>Tab_Data_Flows[[#This Row],[UoM_Flow_Py]]</f>
        <v>0</v>
      </c>
      <c r="AI325" s="114" t="e">
        <f>INDEX(Tab_Def_Flows[[Flow_ID]:[CC_DM_source]],MATCH(Tab_Data_Flows[[#This Row],[Name(EN)]],Tab_Def_Flows[Name(EN)],0),20)</f>
        <v>#N/A</v>
      </c>
      <c r="AJ325" s="115" t="str">
        <f>IF(L325="Yes",AI325*Tab_Data_Flows[[#This Row],[Flow_Py]],"N.A.")</f>
        <v>N.A.</v>
      </c>
      <c r="AK325" s="61">
        <f>Tab_Data_Flows[[#This Row],[UoM_Flow_Py]]</f>
        <v>0</v>
      </c>
    </row>
    <row r="326" spans="1:37" x14ac:dyDescent="0.35">
      <c r="A326" s="60">
        <f t="shared" si="38"/>
        <v>325</v>
      </c>
      <c r="B326" s="49" t="str">
        <f>_xlfn.XLOOKUP(C326,Tab_Def_Flows[Name(EN)],Tab_Def_Flows[Flow_ID],,0,)</f>
        <v>F_21_21</v>
      </c>
      <c r="C326" s="51"/>
      <c r="D326" s="49">
        <f>_xlfn.XLOOKUP(C326,Tab_Def_Flows[Name(EN)],Tab_Def_Flows[Type_Biomass],,0,)</f>
        <v>0</v>
      </c>
      <c r="E326" s="49">
        <f>_xlfn.XLOOKUP(C326,Tab_Def_Flows[Name(EN)],Tab_Def_Flows[Output_Process],,0,)</f>
        <v>0</v>
      </c>
      <c r="F326" s="49" t="str">
        <f>_xlfn.XLOOKUP(C326,Tab_Def_Flows[Name(EN)],Tab_Def_Flows[Process_ID_O],,0,)</f>
        <v>21__</v>
      </c>
      <c r="G326" s="49">
        <f>_xlfn.XLOOKUP(C326,Tab_Def_Flows[Name(EN)],Tab_Def_Flows[Input_Process],,0,)</f>
        <v>0</v>
      </c>
      <c r="H326" s="61" t="str">
        <f>_xlfn.XLOOKUP(C326,Tab_Def_Flows[Name(EN)],Tab_Def_Flows[Process_ID_I],,0,)</f>
        <v>21__</v>
      </c>
      <c r="I326" s="49">
        <f>_xlfn.XLOOKUP(C326,Tab_Def_Flows[Name(EN)],Tab_Def_Flows[Value_Source],,0,)</f>
        <v>0</v>
      </c>
      <c r="J326" s="49">
        <f>_xlfn.XLOOKUP(C326,Tab_Def_Flows[Name(EN)],Tab_Def_Flows[WC?],,0,)</f>
        <v>0</v>
      </c>
      <c r="K326" s="49">
        <f>_xlfn.XLOOKUP(C326,Tab_Def_Flows[Name(EN)],Tab_Def_Flows[DM?],,0,)</f>
        <v>0</v>
      </c>
      <c r="L326" s="49">
        <f>_xlfn.XLOOKUP(C326,Tab_Def_Flows[Name(EN)],Tab_Def_Flows[CC?],,0,)</f>
        <v>0</v>
      </c>
      <c r="M326" s="51"/>
      <c r="N326" s="51"/>
      <c r="O326" s="88"/>
      <c r="P326" s="51"/>
      <c r="Q326" s="51"/>
      <c r="R326" s="51"/>
      <c r="S326" s="51"/>
      <c r="T326" s="51"/>
      <c r="U326" s="51"/>
      <c r="V326" s="51"/>
      <c r="W326" s="51"/>
      <c r="X326" s="51"/>
      <c r="Y326" s="51"/>
      <c r="Z326" s="51"/>
      <c r="AA326" s="89">
        <f t="shared" si="39"/>
        <v>0</v>
      </c>
      <c r="AB326" s="51"/>
      <c r="AC326" s="114" t="e">
        <f>INDEX(Tab_Def_Flows[[Flow_ID]:[CC_DM_source]],MATCH(Tab_Data_Flows[[#This Row],[Name(EN)]],Tab_Def_Flows[Name(EN)],0),16)</f>
        <v>#N/A</v>
      </c>
      <c r="AD326" s="115" t="str">
        <f>IF(J326="Yes",AA326*Tab_Data_Flows[[#This Row],[WC_'[%']]],"N.A.")</f>
        <v>N.A.</v>
      </c>
      <c r="AE326" s="61">
        <f>Tab_Data_Flows[[#This Row],[UoM_Flow_Py]]</f>
        <v>0</v>
      </c>
      <c r="AF326" s="114" t="e">
        <f>INDEX(Tab_Def_Flows[[Flow_ID]:[CC_DM_source]],MATCH(Tab_Data_Flows[[#This Row],[Name(EN)]],Tab_Def_Flows[Name(EN)],0),18)</f>
        <v>#N/A</v>
      </c>
      <c r="AG326" s="115" t="str">
        <f>IF(K326="Yes",AF326*Tab_Data_Flows[[#This Row],[Flow_Py]],"N.A.")</f>
        <v>N.A.</v>
      </c>
      <c r="AH326" s="61">
        <f>Tab_Data_Flows[[#This Row],[UoM_Flow_Py]]</f>
        <v>0</v>
      </c>
      <c r="AI326" s="114" t="e">
        <f>INDEX(Tab_Def_Flows[[Flow_ID]:[CC_DM_source]],MATCH(Tab_Data_Flows[[#This Row],[Name(EN)]],Tab_Def_Flows[Name(EN)],0),20)</f>
        <v>#N/A</v>
      </c>
      <c r="AJ326" s="115" t="str">
        <f>IF(L326="Yes",AI326*Tab_Data_Flows[[#This Row],[Flow_Py]],"N.A.")</f>
        <v>N.A.</v>
      </c>
      <c r="AK326" s="61">
        <f>Tab_Data_Flows[[#This Row],[UoM_Flow_Py]]</f>
        <v>0</v>
      </c>
    </row>
    <row r="327" spans="1:37" x14ac:dyDescent="0.35">
      <c r="A327" s="60">
        <f t="shared" si="38"/>
        <v>326</v>
      </c>
      <c r="B327" s="49" t="str">
        <f>_xlfn.XLOOKUP(C327,Tab_Def_Flows[Name(EN)],Tab_Def_Flows[Flow_ID],,0,)</f>
        <v>F_21_21</v>
      </c>
      <c r="C327" s="51"/>
      <c r="D327" s="49">
        <f>_xlfn.XLOOKUP(C327,Tab_Def_Flows[Name(EN)],Tab_Def_Flows[Type_Biomass],,0,)</f>
        <v>0</v>
      </c>
      <c r="E327" s="49">
        <f>_xlfn.XLOOKUP(C327,Tab_Def_Flows[Name(EN)],Tab_Def_Flows[Output_Process],,0,)</f>
        <v>0</v>
      </c>
      <c r="F327" s="49" t="str">
        <f>_xlfn.XLOOKUP(C327,Tab_Def_Flows[Name(EN)],Tab_Def_Flows[Process_ID_O],,0,)</f>
        <v>21__</v>
      </c>
      <c r="G327" s="49">
        <f>_xlfn.XLOOKUP(C327,Tab_Def_Flows[Name(EN)],Tab_Def_Flows[Input_Process],,0,)</f>
        <v>0</v>
      </c>
      <c r="H327" s="61" t="str">
        <f>_xlfn.XLOOKUP(C327,Tab_Def_Flows[Name(EN)],Tab_Def_Flows[Process_ID_I],,0,)</f>
        <v>21__</v>
      </c>
      <c r="I327" s="49">
        <f>_xlfn.XLOOKUP(C327,Tab_Def_Flows[Name(EN)],Tab_Def_Flows[Value_Source],,0,)</f>
        <v>0</v>
      </c>
      <c r="J327" s="49">
        <f>_xlfn.XLOOKUP(C327,Tab_Def_Flows[Name(EN)],Tab_Def_Flows[WC?],,0,)</f>
        <v>0</v>
      </c>
      <c r="K327" s="49">
        <f>_xlfn.XLOOKUP(C327,Tab_Def_Flows[Name(EN)],Tab_Def_Flows[DM?],,0,)</f>
        <v>0</v>
      </c>
      <c r="L327" s="49">
        <f>_xlfn.XLOOKUP(C327,Tab_Def_Flows[Name(EN)],Tab_Def_Flows[CC?],,0,)</f>
        <v>0</v>
      </c>
      <c r="M327" s="51"/>
      <c r="N327" s="51"/>
      <c r="O327" s="88"/>
      <c r="P327" s="51"/>
      <c r="Q327" s="51"/>
      <c r="R327" s="51"/>
      <c r="S327" s="51"/>
      <c r="T327" s="51"/>
      <c r="U327" s="51"/>
      <c r="V327" s="51"/>
      <c r="W327" s="51"/>
      <c r="X327" s="51"/>
      <c r="Y327" s="51"/>
      <c r="Z327" s="51"/>
      <c r="AA327" s="89">
        <f t="shared" si="39"/>
        <v>0</v>
      </c>
      <c r="AB327" s="51"/>
      <c r="AC327" s="114" t="e">
        <f>INDEX(Tab_Def_Flows[[Flow_ID]:[CC_DM_source]],MATCH(Tab_Data_Flows[[#This Row],[Name(EN)]],Tab_Def_Flows[Name(EN)],0),16)</f>
        <v>#N/A</v>
      </c>
      <c r="AD327" s="115" t="str">
        <f>IF(J327="Yes",AA327*Tab_Data_Flows[[#This Row],[WC_'[%']]],"N.A.")</f>
        <v>N.A.</v>
      </c>
      <c r="AE327" s="61">
        <f>Tab_Data_Flows[[#This Row],[UoM_Flow_Py]]</f>
        <v>0</v>
      </c>
      <c r="AF327" s="114" t="e">
        <f>INDEX(Tab_Def_Flows[[Flow_ID]:[CC_DM_source]],MATCH(Tab_Data_Flows[[#This Row],[Name(EN)]],Tab_Def_Flows[Name(EN)],0),18)</f>
        <v>#N/A</v>
      </c>
      <c r="AG327" s="115" t="str">
        <f>IF(K327="Yes",AF327*Tab_Data_Flows[[#This Row],[Flow_Py]],"N.A.")</f>
        <v>N.A.</v>
      </c>
      <c r="AH327" s="61">
        <f>Tab_Data_Flows[[#This Row],[UoM_Flow_Py]]</f>
        <v>0</v>
      </c>
      <c r="AI327" s="114" t="e">
        <f>INDEX(Tab_Def_Flows[[Flow_ID]:[CC_DM_source]],MATCH(Tab_Data_Flows[[#This Row],[Name(EN)]],Tab_Def_Flows[Name(EN)],0),20)</f>
        <v>#N/A</v>
      </c>
      <c r="AJ327" s="115" t="str">
        <f>IF(L327="Yes",AI327*Tab_Data_Flows[[#This Row],[Flow_Py]],"N.A.")</f>
        <v>N.A.</v>
      </c>
      <c r="AK327" s="61">
        <f>Tab_Data_Flows[[#This Row],[UoM_Flow_Py]]</f>
        <v>0</v>
      </c>
    </row>
    <row r="328" spans="1:37" x14ac:dyDescent="0.35">
      <c r="A328" s="60">
        <f t="shared" si="38"/>
        <v>327</v>
      </c>
      <c r="B328" s="49" t="str">
        <f>_xlfn.XLOOKUP(C328,Tab_Def_Flows[Name(EN)],Tab_Def_Flows[Flow_ID],,0,)</f>
        <v>F_21_21</v>
      </c>
      <c r="C328" s="51"/>
      <c r="D328" s="49">
        <f>_xlfn.XLOOKUP(C328,Tab_Def_Flows[Name(EN)],Tab_Def_Flows[Type_Biomass],,0,)</f>
        <v>0</v>
      </c>
      <c r="E328" s="49">
        <f>_xlfn.XLOOKUP(C328,Tab_Def_Flows[Name(EN)],Tab_Def_Flows[Output_Process],,0,)</f>
        <v>0</v>
      </c>
      <c r="F328" s="49" t="str">
        <f>_xlfn.XLOOKUP(C328,Tab_Def_Flows[Name(EN)],Tab_Def_Flows[Process_ID_O],,0,)</f>
        <v>21__</v>
      </c>
      <c r="G328" s="49">
        <f>_xlfn.XLOOKUP(C328,Tab_Def_Flows[Name(EN)],Tab_Def_Flows[Input_Process],,0,)</f>
        <v>0</v>
      </c>
      <c r="H328" s="61" t="str">
        <f>_xlfn.XLOOKUP(C328,Tab_Def_Flows[Name(EN)],Tab_Def_Flows[Process_ID_I],,0,)</f>
        <v>21__</v>
      </c>
      <c r="I328" s="49">
        <f>_xlfn.XLOOKUP(C328,Tab_Def_Flows[Name(EN)],Tab_Def_Flows[Value_Source],,0,)</f>
        <v>0</v>
      </c>
      <c r="J328" s="49">
        <f>_xlfn.XLOOKUP(C328,Tab_Def_Flows[Name(EN)],Tab_Def_Flows[WC?],,0,)</f>
        <v>0</v>
      </c>
      <c r="K328" s="49">
        <f>_xlfn.XLOOKUP(C328,Tab_Def_Flows[Name(EN)],Tab_Def_Flows[DM?],,0,)</f>
        <v>0</v>
      </c>
      <c r="L328" s="49">
        <f>_xlfn.XLOOKUP(C328,Tab_Def_Flows[Name(EN)],Tab_Def_Flows[CC?],,0,)</f>
        <v>0</v>
      </c>
      <c r="M328" s="51"/>
      <c r="N328" s="51"/>
      <c r="O328" s="88"/>
      <c r="P328" s="51"/>
      <c r="Q328" s="51"/>
      <c r="R328" s="51"/>
      <c r="S328" s="51"/>
      <c r="T328" s="51"/>
      <c r="U328" s="51"/>
      <c r="V328" s="51"/>
      <c r="W328" s="51"/>
      <c r="X328" s="51"/>
      <c r="Y328" s="51"/>
      <c r="Z328" s="51"/>
      <c r="AA328" s="89">
        <f t="shared" si="39"/>
        <v>0</v>
      </c>
      <c r="AB328" s="51"/>
      <c r="AC328" s="114" t="e">
        <f>INDEX(Tab_Def_Flows[[Flow_ID]:[CC_DM_source]],MATCH(Tab_Data_Flows[[#This Row],[Name(EN)]],Tab_Def_Flows[Name(EN)],0),16)</f>
        <v>#N/A</v>
      </c>
      <c r="AD328" s="115" t="str">
        <f>IF(J328="Yes",AA328*Tab_Data_Flows[[#This Row],[WC_'[%']]],"N.A.")</f>
        <v>N.A.</v>
      </c>
      <c r="AE328" s="61">
        <f>Tab_Data_Flows[[#This Row],[UoM_Flow_Py]]</f>
        <v>0</v>
      </c>
      <c r="AF328" s="114" t="e">
        <f>INDEX(Tab_Def_Flows[[Flow_ID]:[CC_DM_source]],MATCH(Tab_Data_Flows[[#This Row],[Name(EN)]],Tab_Def_Flows[Name(EN)],0),18)</f>
        <v>#N/A</v>
      </c>
      <c r="AG328" s="115" t="str">
        <f>IF(K328="Yes",AF328*Tab_Data_Flows[[#This Row],[Flow_Py]],"N.A.")</f>
        <v>N.A.</v>
      </c>
      <c r="AH328" s="61">
        <f>Tab_Data_Flows[[#This Row],[UoM_Flow_Py]]</f>
        <v>0</v>
      </c>
      <c r="AI328" s="114" t="e">
        <f>INDEX(Tab_Def_Flows[[Flow_ID]:[CC_DM_source]],MATCH(Tab_Data_Flows[[#This Row],[Name(EN)]],Tab_Def_Flows[Name(EN)],0),20)</f>
        <v>#N/A</v>
      </c>
      <c r="AJ328" s="115" t="str">
        <f>IF(L328="Yes",AI328*Tab_Data_Flows[[#This Row],[Flow_Py]],"N.A.")</f>
        <v>N.A.</v>
      </c>
      <c r="AK328" s="61">
        <f>Tab_Data_Flows[[#This Row],[UoM_Flow_Py]]</f>
        <v>0</v>
      </c>
    </row>
    <row r="329" spans="1:37" x14ac:dyDescent="0.35">
      <c r="A329" s="60">
        <f t="shared" si="38"/>
        <v>328</v>
      </c>
      <c r="B329" s="49" t="str">
        <f>_xlfn.XLOOKUP(C329,Tab_Def_Flows[Name(EN)],Tab_Def_Flows[Flow_ID],,0,)</f>
        <v>F_21_21</v>
      </c>
      <c r="C329" s="51"/>
      <c r="D329" s="49">
        <f>_xlfn.XLOOKUP(C329,Tab_Def_Flows[Name(EN)],Tab_Def_Flows[Type_Biomass],,0,)</f>
        <v>0</v>
      </c>
      <c r="E329" s="49">
        <f>_xlfn.XLOOKUP(C329,Tab_Def_Flows[Name(EN)],Tab_Def_Flows[Output_Process],,0,)</f>
        <v>0</v>
      </c>
      <c r="F329" s="49" t="str">
        <f>_xlfn.XLOOKUP(C329,Tab_Def_Flows[Name(EN)],Tab_Def_Flows[Process_ID_O],,0,)</f>
        <v>21__</v>
      </c>
      <c r="G329" s="49">
        <f>_xlfn.XLOOKUP(C329,Tab_Def_Flows[Name(EN)],Tab_Def_Flows[Input_Process],,0,)</f>
        <v>0</v>
      </c>
      <c r="H329" s="61" t="str">
        <f>_xlfn.XLOOKUP(C329,Tab_Def_Flows[Name(EN)],Tab_Def_Flows[Process_ID_I],,0,)</f>
        <v>21__</v>
      </c>
      <c r="I329" s="49">
        <f>_xlfn.XLOOKUP(C329,Tab_Def_Flows[Name(EN)],Tab_Def_Flows[Value_Source],,0,)</f>
        <v>0</v>
      </c>
      <c r="J329" s="49">
        <f>_xlfn.XLOOKUP(C329,Tab_Def_Flows[Name(EN)],Tab_Def_Flows[WC?],,0,)</f>
        <v>0</v>
      </c>
      <c r="K329" s="49">
        <f>_xlfn.XLOOKUP(C329,Tab_Def_Flows[Name(EN)],Tab_Def_Flows[DM?],,0,)</f>
        <v>0</v>
      </c>
      <c r="L329" s="49">
        <f>_xlfn.XLOOKUP(C329,Tab_Def_Flows[Name(EN)],Tab_Def_Flows[CC?],,0,)</f>
        <v>0</v>
      </c>
      <c r="M329" s="51"/>
      <c r="N329" s="51"/>
      <c r="O329" s="88"/>
      <c r="P329" s="51"/>
      <c r="Q329" s="51"/>
      <c r="R329" s="51"/>
      <c r="S329" s="51"/>
      <c r="T329" s="51"/>
      <c r="U329" s="51"/>
      <c r="V329" s="51"/>
      <c r="W329" s="51"/>
      <c r="X329" s="51"/>
      <c r="Y329" s="51"/>
      <c r="Z329" s="51"/>
      <c r="AA329" s="89">
        <f t="shared" si="39"/>
        <v>0</v>
      </c>
      <c r="AB329" s="51"/>
      <c r="AC329" s="114" t="e">
        <f>INDEX(Tab_Def_Flows[[Flow_ID]:[CC_DM_source]],MATCH(Tab_Data_Flows[[#This Row],[Name(EN)]],Tab_Def_Flows[Name(EN)],0),16)</f>
        <v>#N/A</v>
      </c>
      <c r="AD329" s="115" t="str">
        <f>IF(J329="Yes",AA329*Tab_Data_Flows[[#This Row],[WC_'[%']]],"N.A.")</f>
        <v>N.A.</v>
      </c>
      <c r="AE329" s="61">
        <f>Tab_Data_Flows[[#This Row],[UoM_Flow_Py]]</f>
        <v>0</v>
      </c>
      <c r="AF329" s="114" t="e">
        <f>INDEX(Tab_Def_Flows[[Flow_ID]:[CC_DM_source]],MATCH(Tab_Data_Flows[[#This Row],[Name(EN)]],Tab_Def_Flows[Name(EN)],0),18)</f>
        <v>#N/A</v>
      </c>
      <c r="AG329" s="115" t="str">
        <f>IF(K329="Yes",AF329*Tab_Data_Flows[[#This Row],[Flow_Py]],"N.A.")</f>
        <v>N.A.</v>
      </c>
      <c r="AH329" s="61">
        <f>Tab_Data_Flows[[#This Row],[UoM_Flow_Py]]</f>
        <v>0</v>
      </c>
      <c r="AI329" s="114" t="e">
        <f>INDEX(Tab_Def_Flows[[Flow_ID]:[CC_DM_source]],MATCH(Tab_Data_Flows[[#This Row],[Name(EN)]],Tab_Def_Flows[Name(EN)],0),20)</f>
        <v>#N/A</v>
      </c>
      <c r="AJ329" s="115" t="str">
        <f>IF(L329="Yes",AI329*Tab_Data_Flows[[#This Row],[Flow_Py]],"N.A.")</f>
        <v>N.A.</v>
      </c>
      <c r="AK329" s="61">
        <f>Tab_Data_Flows[[#This Row],[UoM_Flow_Py]]</f>
        <v>0</v>
      </c>
    </row>
    <row r="330" spans="1:37" x14ac:dyDescent="0.35">
      <c r="A330" s="60">
        <f t="shared" si="38"/>
        <v>329</v>
      </c>
      <c r="B330" s="49" t="str">
        <f>_xlfn.XLOOKUP(C330,Tab_Def_Flows[Name(EN)],Tab_Def_Flows[Flow_ID],,0,)</f>
        <v>F_21_21</v>
      </c>
      <c r="C330" s="51"/>
      <c r="D330" s="49">
        <f>_xlfn.XLOOKUP(C330,Tab_Def_Flows[Name(EN)],Tab_Def_Flows[Type_Biomass],,0,)</f>
        <v>0</v>
      </c>
      <c r="E330" s="49">
        <f>_xlfn.XLOOKUP(C330,Tab_Def_Flows[Name(EN)],Tab_Def_Flows[Output_Process],,0,)</f>
        <v>0</v>
      </c>
      <c r="F330" s="49" t="str">
        <f>_xlfn.XLOOKUP(C330,Tab_Def_Flows[Name(EN)],Tab_Def_Flows[Process_ID_O],,0,)</f>
        <v>21__</v>
      </c>
      <c r="G330" s="49">
        <f>_xlfn.XLOOKUP(C330,Tab_Def_Flows[Name(EN)],Tab_Def_Flows[Input_Process],,0,)</f>
        <v>0</v>
      </c>
      <c r="H330" s="61" t="str">
        <f>_xlfn.XLOOKUP(C330,Tab_Def_Flows[Name(EN)],Tab_Def_Flows[Process_ID_I],,0,)</f>
        <v>21__</v>
      </c>
      <c r="I330" s="49">
        <f>_xlfn.XLOOKUP(C330,Tab_Def_Flows[Name(EN)],Tab_Def_Flows[Value_Source],,0,)</f>
        <v>0</v>
      </c>
      <c r="J330" s="49">
        <f>_xlfn.XLOOKUP(C330,Tab_Def_Flows[Name(EN)],Tab_Def_Flows[WC?],,0,)</f>
        <v>0</v>
      </c>
      <c r="K330" s="49">
        <f>_xlfn.XLOOKUP(C330,Tab_Def_Flows[Name(EN)],Tab_Def_Flows[DM?],,0,)</f>
        <v>0</v>
      </c>
      <c r="L330" s="49">
        <f>_xlfn.XLOOKUP(C330,Tab_Def_Flows[Name(EN)],Tab_Def_Flows[CC?],,0,)</f>
        <v>0</v>
      </c>
      <c r="M330" s="51"/>
      <c r="N330" s="51"/>
      <c r="O330" s="88"/>
      <c r="P330" s="51"/>
      <c r="Q330" s="51"/>
      <c r="R330" s="51"/>
      <c r="S330" s="51"/>
      <c r="T330" s="51"/>
      <c r="U330" s="51"/>
      <c r="V330" s="51"/>
      <c r="W330" s="51"/>
      <c r="X330" s="51"/>
      <c r="Y330" s="51"/>
      <c r="Z330" s="51"/>
      <c r="AA330" s="89">
        <f t="shared" si="39"/>
        <v>0</v>
      </c>
      <c r="AB330" s="51"/>
      <c r="AC330" s="114" t="e">
        <f>INDEX(Tab_Def_Flows[[Flow_ID]:[CC_DM_source]],MATCH(Tab_Data_Flows[[#This Row],[Name(EN)]],Tab_Def_Flows[Name(EN)],0),16)</f>
        <v>#N/A</v>
      </c>
      <c r="AD330" s="115" t="str">
        <f>IF(J330="Yes",AA330*Tab_Data_Flows[[#This Row],[WC_'[%']]],"N.A.")</f>
        <v>N.A.</v>
      </c>
      <c r="AE330" s="61">
        <f>Tab_Data_Flows[[#This Row],[UoM_Flow_Py]]</f>
        <v>0</v>
      </c>
      <c r="AF330" s="114" t="e">
        <f>INDEX(Tab_Def_Flows[[Flow_ID]:[CC_DM_source]],MATCH(Tab_Data_Flows[[#This Row],[Name(EN)]],Tab_Def_Flows[Name(EN)],0),18)</f>
        <v>#N/A</v>
      </c>
      <c r="AG330" s="115" t="str">
        <f>IF(K330="Yes",AF330*Tab_Data_Flows[[#This Row],[Flow_Py]],"N.A.")</f>
        <v>N.A.</v>
      </c>
      <c r="AH330" s="61">
        <f>Tab_Data_Flows[[#This Row],[UoM_Flow_Py]]</f>
        <v>0</v>
      </c>
      <c r="AI330" s="114" t="e">
        <f>INDEX(Tab_Def_Flows[[Flow_ID]:[CC_DM_source]],MATCH(Tab_Data_Flows[[#This Row],[Name(EN)]],Tab_Def_Flows[Name(EN)],0),20)</f>
        <v>#N/A</v>
      </c>
      <c r="AJ330" s="115" t="str">
        <f>IF(L330="Yes",AI330*Tab_Data_Flows[[#This Row],[Flow_Py]],"N.A.")</f>
        <v>N.A.</v>
      </c>
      <c r="AK330" s="61">
        <f>Tab_Data_Flows[[#This Row],[UoM_Flow_Py]]</f>
        <v>0</v>
      </c>
    </row>
    <row r="331" spans="1:37" x14ac:dyDescent="0.35">
      <c r="A331" s="60">
        <f t="shared" si="38"/>
        <v>330</v>
      </c>
      <c r="B331" s="49" t="str">
        <f>_xlfn.XLOOKUP(C331,Tab_Def_Flows[Name(EN)],Tab_Def_Flows[Flow_ID],,0,)</f>
        <v>F_21_21</v>
      </c>
      <c r="C331" s="51"/>
      <c r="D331" s="49">
        <f>_xlfn.XLOOKUP(C331,Tab_Def_Flows[Name(EN)],Tab_Def_Flows[Type_Biomass],,0,)</f>
        <v>0</v>
      </c>
      <c r="E331" s="49">
        <f>_xlfn.XLOOKUP(C331,Tab_Def_Flows[Name(EN)],Tab_Def_Flows[Output_Process],,0,)</f>
        <v>0</v>
      </c>
      <c r="F331" s="49" t="str">
        <f>_xlfn.XLOOKUP(C331,Tab_Def_Flows[Name(EN)],Tab_Def_Flows[Process_ID_O],,0,)</f>
        <v>21__</v>
      </c>
      <c r="G331" s="49">
        <f>_xlfn.XLOOKUP(C331,Tab_Def_Flows[Name(EN)],Tab_Def_Flows[Input_Process],,0,)</f>
        <v>0</v>
      </c>
      <c r="H331" s="61" t="str">
        <f>_xlfn.XLOOKUP(C331,Tab_Def_Flows[Name(EN)],Tab_Def_Flows[Process_ID_I],,0,)</f>
        <v>21__</v>
      </c>
      <c r="I331" s="49">
        <f>_xlfn.XLOOKUP(C331,Tab_Def_Flows[Name(EN)],Tab_Def_Flows[Value_Source],,0,)</f>
        <v>0</v>
      </c>
      <c r="J331" s="49">
        <f>_xlfn.XLOOKUP(C331,Tab_Def_Flows[Name(EN)],Tab_Def_Flows[WC?],,0,)</f>
        <v>0</v>
      </c>
      <c r="K331" s="49">
        <f>_xlfn.XLOOKUP(C331,Tab_Def_Flows[Name(EN)],Tab_Def_Flows[DM?],,0,)</f>
        <v>0</v>
      </c>
      <c r="L331" s="49">
        <f>_xlfn.XLOOKUP(C331,Tab_Def_Flows[Name(EN)],Tab_Def_Flows[CC?],,0,)</f>
        <v>0</v>
      </c>
      <c r="M331" s="51"/>
      <c r="N331" s="51"/>
      <c r="O331" s="88"/>
      <c r="P331" s="51"/>
      <c r="Q331" s="51"/>
      <c r="R331" s="51"/>
      <c r="S331" s="51"/>
      <c r="T331" s="51"/>
      <c r="U331" s="51"/>
      <c r="V331" s="51"/>
      <c r="W331" s="51"/>
      <c r="X331" s="51"/>
      <c r="Y331" s="51"/>
      <c r="Z331" s="51"/>
      <c r="AA331" s="89">
        <f t="shared" si="39"/>
        <v>0</v>
      </c>
      <c r="AB331" s="51"/>
      <c r="AC331" s="114" t="e">
        <f>INDEX(Tab_Def_Flows[[Flow_ID]:[CC_DM_source]],MATCH(Tab_Data_Flows[[#This Row],[Name(EN)]],Tab_Def_Flows[Name(EN)],0),16)</f>
        <v>#N/A</v>
      </c>
      <c r="AD331" s="115" t="str">
        <f>IF(J331="Yes",AA331*Tab_Data_Flows[[#This Row],[WC_'[%']]],"N.A.")</f>
        <v>N.A.</v>
      </c>
      <c r="AE331" s="61">
        <f>Tab_Data_Flows[[#This Row],[UoM_Flow_Py]]</f>
        <v>0</v>
      </c>
      <c r="AF331" s="114" t="e">
        <f>INDEX(Tab_Def_Flows[[Flow_ID]:[CC_DM_source]],MATCH(Tab_Data_Flows[[#This Row],[Name(EN)]],Tab_Def_Flows[Name(EN)],0),18)</f>
        <v>#N/A</v>
      </c>
      <c r="AG331" s="115" t="str">
        <f>IF(K331="Yes",AF331*Tab_Data_Flows[[#This Row],[Flow_Py]],"N.A.")</f>
        <v>N.A.</v>
      </c>
      <c r="AH331" s="61">
        <f>Tab_Data_Flows[[#This Row],[UoM_Flow_Py]]</f>
        <v>0</v>
      </c>
      <c r="AI331" s="114" t="e">
        <f>INDEX(Tab_Def_Flows[[Flow_ID]:[CC_DM_source]],MATCH(Tab_Data_Flows[[#This Row],[Name(EN)]],Tab_Def_Flows[Name(EN)],0),20)</f>
        <v>#N/A</v>
      </c>
      <c r="AJ331" s="115" t="str">
        <f>IF(L331="Yes",AI331*Tab_Data_Flows[[#This Row],[Flow_Py]],"N.A.")</f>
        <v>N.A.</v>
      </c>
      <c r="AK331" s="61">
        <f>Tab_Data_Flows[[#This Row],[UoM_Flow_Py]]</f>
        <v>0</v>
      </c>
    </row>
    <row r="332" spans="1:37" x14ac:dyDescent="0.35">
      <c r="A332" s="60">
        <f t="shared" si="38"/>
        <v>331</v>
      </c>
      <c r="B332" s="49" t="str">
        <f>_xlfn.XLOOKUP(C332,Tab_Def_Flows[Name(EN)],Tab_Def_Flows[Flow_ID],,0,)</f>
        <v>F_21_21</v>
      </c>
      <c r="C332" s="51"/>
      <c r="D332" s="49">
        <f>_xlfn.XLOOKUP(C332,Tab_Def_Flows[Name(EN)],Tab_Def_Flows[Type_Biomass],,0,)</f>
        <v>0</v>
      </c>
      <c r="E332" s="49">
        <f>_xlfn.XLOOKUP(C332,Tab_Def_Flows[Name(EN)],Tab_Def_Flows[Output_Process],,0,)</f>
        <v>0</v>
      </c>
      <c r="F332" s="49" t="str">
        <f>_xlfn.XLOOKUP(C332,Tab_Def_Flows[Name(EN)],Tab_Def_Flows[Process_ID_O],,0,)</f>
        <v>21__</v>
      </c>
      <c r="G332" s="49">
        <f>_xlfn.XLOOKUP(C332,Tab_Def_Flows[Name(EN)],Tab_Def_Flows[Input_Process],,0,)</f>
        <v>0</v>
      </c>
      <c r="H332" s="61" t="str">
        <f>_xlfn.XLOOKUP(C332,Tab_Def_Flows[Name(EN)],Tab_Def_Flows[Process_ID_I],,0,)</f>
        <v>21__</v>
      </c>
      <c r="I332" s="49">
        <f>_xlfn.XLOOKUP(C332,Tab_Def_Flows[Name(EN)],Tab_Def_Flows[Value_Source],,0,)</f>
        <v>0</v>
      </c>
      <c r="J332" s="49">
        <f>_xlfn.XLOOKUP(C332,Tab_Def_Flows[Name(EN)],Tab_Def_Flows[WC?],,0,)</f>
        <v>0</v>
      </c>
      <c r="K332" s="49">
        <f>_xlfn.XLOOKUP(C332,Tab_Def_Flows[Name(EN)],Tab_Def_Flows[DM?],,0,)</f>
        <v>0</v>
      </c>
      <c r="L332" s="49">
        <f>_xlfn.XLOOKUP(C332,Tab_Def_Flows[Name(EN)],Tab_Def_Flows[CC?],,0,)</f>
        <v>0</v>
      </c>
      <c r="M332" s="51"/>
      <c r="N332" s="51"/>
      <c r="O332" s="88"/>
      <c r="P332" s="51"/>
      <c r="Q332" s="51"/>
      <c r="R332" s="51"/>
      <c r="S332" s="51"/>
      <c r="T332" s="51"/>
      <c r="U332" s="51"/>
      <c r="V332" s="51"/>
      <c r="W332" s="51"/>
      <c r="X332" s="51"/>
      <c r="Y332" s="51"/>
      <c r="Z332" s="51"/>
      <c r="AA332" s="89">
        <f t="shared" si="39"/>
        <v>0</v>
      </c>
      <c r="AB332" s="51"/>
      <c r="AC332" s="114" t="e">
        <f>INDEX(Tab_Def_Flows[[Flow_ID]:[CC_DM_source]],MATCH(Tab_Data_Flows[[#This Row],[Name(EN)]],Tab_Def_Flows[Name(EN)],0),16)</f>
        <v>#N/A</v>
      </c>
      <c r="AD332" s="115" t="str">
        <f>IF(J332="Yes",AA332*Tab_Data_Flows[[#This Row],[WC_'[%']]],"N.A.")</f>
        <v>N.A.</v>
      </c>
      <c r="AE332" s="61">
        <f>Tab_Data_Flows[[#This Row],[UoM_Flow_Py]]</f>
        <v>0</v>
      </c>
      <c r="AF332" s="114" t="e">
        <f>INDEX(Tab_Def_Flows[[Flow_ID]:[CC_DM_source]],MATCH(Tab_Data_Flows[[#This Row],[Name(EN)]],Tab_Def_Flows[Name(EN)],0),18)</f>
        <v>#N/A</v>
      </c>
      <c r="AG332" s="115" t="str">
        <f>IF(K332="Yes",AF332*Tab_Data_Flows[[#This Row],[Flow_Py]],"N.A.")</f>
        <v>N.A.</v>
      </c>
      <c r="AH332" s="61">
        <f>Tab_Data_Flows[[#This Row],[UoM_Flow_Py]]</f>
        <v>0</v>
      </c>
      <c r="AI332" s="114" t="e">
        <f>INDEX(Tab_Def_Flows[[Flow_ID]:[CC_DM_source]],MATCH(Tab_Data_Flows[[#This Row],[Name(EN)]],Tab_Def_Flows[Name(EN)],0),20)</f>
        <v>#N/A</v>
      </c>
      <c r="AJ332" s="115" t="str">
        <f>IF(L332="Yes",AI332*Tab_Data_Flows[[#This Row],[Flow_Py]],"N.A.")</f>
        <v>N.A.</v>
      </c>
      <c r="AK332" s="61">
        <f>Tab_Data_Flows[[#This Row],[UoM_Flow_Py]]</f>
        <v>0</v>
      </c>
    </row>
    <row r="333" spans="1:37" x14ac:dyDescent="0.35">
      <c r="A333" s="60">
        <f t="shared" si="38"/>
        <v>332</v>
      </c>
      <c r="B333" s="49" t="str">
        <f>_xlfn.XLOOKUP(C333,Tab_Def_Flows[Name(EN)],Tab_Def_Flows[Flow_ID],,0,)</f>
        <v>F_21_21</v>
      </c>
      <c r="C333" s="51"/>
      <c r="D333" s="49">
        <f>_xlfn.XLOOKUP(C333,Tab_Def_Flows[Name(EN)],Tab_Def_Flows[Type_Biomass],,0,)</f>
        <v>0</v>
      </c>
      <c r="E333" s="49">
        <f>_xlfn.XLOOKUP(C333,Tab_Def_Flows[Name(EN)],Tab_Def_Flows[Output_Process],,0,)</f>
        <v>0</v>
      </c>
      <c r="F333" s="49" t="str">
        <f>_xlfn.XLOOKUP(C333,Tab_Def_Flows[Name(EN)],Tab_Def_Flows[Process_ID_O],,0,)</f>
        <v>21__</v>
      </c>
      <c r="G333" s="49">
        <f>_xlfn.XLOOKUP(C333,Tab_Def_Flows[Name(EN)],Tab_Def_Flows[Input_Process],,0,)</f>
        <v>0</v>
      </c>
      <c r="H333" s="61" t="str">
        <f>_xlfn.XLOOKUP(C333,Tab_Def_Flows[Name(EN)],Tab_Def_Flows[Process_ID_I],,0,)</f>
        <v>21__</v>
      </c>
      <c r="I333" s="49">
        <f>_xlfn.XLOOKUP(C333,Tab_Def_Flows[Name(EN)],Tab_Def_Flows[Value_Source],,0,)</f>
        <v>0</v>
      </c>
      <c r="J333" s="49">
        <f>_xlfn.XLOOKUP(C333,Tab_Def_Flows[Name(EN)],Tab_Def_Flows[WC?],,0,)</f>
        <v>0</v>
      </c>
      <c r="K333" s="49">
        <f>_xlfn.XLOOKUP(C333,Tab_Def_Flows[Name(EN)],Tab_Def_Flows[DM?],,0,)</f>
        <v>0</v>
      </c>
      <c r="L333" s="49">
        <f>_xlfn.XLOOKUP(C333,Tab_Def_Flows[Name(EN)],Tab_Def_Flows[CC?],,0,)</f>
        <v>0</v>
      </c>
      <c r="M333" s="51"/>
      <c r="N333" s="51"/>
      <c r="O333" s="88"/>
      <c r="P333" s="51"/>
      <c r="Q333" s="51"/>
      <c r="R333" s="51"/>
      <c r="S333" s="51"/>
      <c r="T333" s="51"/>
      <c r="U333" s="51"/>
      <c r="V333" s="51"/>
      <c r="W333" s="51"/>
      <c r="X333" s="51"/>
      <c r="Y333" s="51"/>
      <c r="Z333" s="51"/>
      <c r="AA333" s="89">
        <f t="shared" si="39"/>
        <v>0</v>
      </c>
      <c r="AB333" s="51"/>
      <c r="AC333" s="114" t="e">
        <f>INDEX(Tab_Def_Flows[[Flow_ID]:[CC_DM_source]],MATCH(Tab_Data_Flows[[#This Row],[Name(EN)]],Tab_Def_Flows[Name(EN)],0),16)</f>
        <v>#N/A</v>
      </c>
      <c r="AD333" s="115" t="str">
        <f>IF(J333="Yes",AA333*Tab_Data_Flows[[#This Row],[WC_'[%']]],"N.A.")</f>
        <v>N.A.</v>
      </c>
      <c r="AE333" s="61">
        <f>Tab_Data_Flows[[#This Row],[UoM_Flow_Py]]</f>
        <v>0</v>
      </c>
      <c r="AF333" s="114" t="e">
        <f>INDEX(Tab_Def_Flows[[Flow_ID]:[CC_DM_source]],MATCH(Tab_Data_Flows[[#This Row],[Name(EN)]],Tab_Def_Flows[Name(EN)],0),18)</f>
        <v>#N/A</v>
      </c>
      <c r="AG333" s="115" t="str">
        <f>IF(K333="Yes",AF333*Tab_Data_Flows[[#This Row],[Flow_Py]],"N.A.")</f>
        <v>N.A.</v>
      </c>
      <c r="AH333" s="61">
        <f>Tab_Data_Flows[[#This Row],[UoM_Flow_Py]]</f>
        <v>0</v>
      </c>
      <c r="AI333" s="114" t="e">
        <f>INDEX(Tab_Def_Flows[[Flow_ID]:[CC_DM_source]],MATCH(Tab_Data_Flows[[#This Row],[Name(EN)]],Tab_Def_Flows[Name(EN)],0),20)</f>
        <v>#N/A</v>
      </c>
      <c r="AJ333" s="115" t="str">
        <f>IF(L333="Yes",AI333*Tab_Data_Flows[[#This Row],[Flow_Py]],"N.A.")</f>
        <v>N.A.</v>
      </c>
      <c r="AK333" s="61">
        <f>Tab_Data_Flows[[#This Row],[UoM_Flow_Py]]</f>
        <v>0</v>
      </c>
    </row>
    <row r="334" spans="1:37" x14ac:dyDescent="0.35">
      <c r="A334" s="60">
        <f t="shared" si="38"/>
        <v>333</v>
      </c>
      <c r="B334" s="49" t="str">
        <f>_xlfn.XLOOKUP(C334,Tab_Def_Flows[Name(EN)],Tab_Def_Flows[Flow_ID],,0,)</f>
        <v>F_21_21</v>
      </c>
      <c r="C334" s="51"/>
      <c r="D334" s="49">
        <f>_xlfn.XLOOKUP(C334,Tab_Def_Flows[Name(EN)],Tab_Def_Flows[Type_Biomass],,0,)</f>
        <v>0</v>
      </c>
      <c r="E334" s="49">
        <f>_xlfn.XLOOKUP(C334,Tab_Def_Flows[Name(EN)],Tab_Def_Flows[Output_Process],,0,)</f>
        <v>0</v>
      </c>
      <c r="F334" s="49" t="str">
        <f>_xlfn.XLOOKUP(C334,Tab_Def_Flows[Name(EN)],Tab_Def_Flows[Process_ID_O],,0,)</f>
        <v>21__</v>
      </c>
      <c r="G334" s="49">
        <f>_xlfn.XLOOKUP(C334,Tab_Def_Flows[Name(EN)],Tab_Def_Flows[Input_Process],,0,)</f>
        <v>0</v>
      </c>
      <c r="H334" s="61" t="str">
        <f>_xlfn.XLOOKUP(C334,Tab_Def_Flows[Name(EN)],Tab_Def_Flows[Process_ID_I],,0,)</f>
        <v>21__</v>
      </c>
      <c r="I334" s="49">
        <f>_xlfn.XLOOKUP(C334,Tab_Def_Flows[Name(EN)],Tab_Def_Flows[Value_Source],,0,)</f>
        <v>0</v>
      </c>
      <c r="J334" s="49">
        <f>_xlfn.XLOOKUP(C334,Tab_Def_Flows[Name(EN)],Tab_Def_Flows[WC?],,0,)</f>
        <v>0</v>
      </c>
      <c r="K334" s="49">
        <f>_xlfn.XLOOKUP(C334,Tab_Def_Flows[Name(EN)],Tab_Def_Flows[DM?],,0,)</f>
        <v>0</v>
      </c>
      <c r="L334" s="49">
        <f>_xlfn.XLOOKUP(C334,Tab_Def_Flows[Name(EN)],Tab_Def_Flows[CC?],,0,)</f>
        <v>0</v>
      </c>
      <c r="M334" s="51"/>
      <c r="N334" s="51"/>
      <c r="O334" s="88"/>
      <c r="P334" s="51"/>
      <c r="Q334" s="51"/>
      <c r="R334" s="51"/>
      <c r="S334" s="51"/>
      <c r="T334" s="51"/>
      <c r="U334" s="51"/>
      <c r="V334" s="51"/>
      <c r="W334" s="51"/>
      <c r="X334" s="51"/>
      <c r="Y334" s="51"/>
      <c r="Z334" s="51"/>
      <c r="AA334" s="89">
        <f t="shared" si="39"/>
        <v>0</v>
      </c>
      <c r="AB334" s="51"/>
      <c r="AC334" s="114" t="e">
        <f>INDEX(Tab_Def_Flows[[Flow_ID]:[CC_DM_source]],MATCH(Tab_Data_Flows[[#This Row],[Name(EN)]],Tab_Def_Flows[Name(EN)],0),16)</f>
        <v>#N/A</v>
      </c>
      <c r="AD334" s="115" t="str">
        <f>IF(J334="Yes",AA334*Tab_Data_Flows[[#This Row],[WC_'[%']]],"N.A.")</f>
        <v>N.A.</v>
      </c>
      <c r="AE334" s="61">
        <f>Tab_Data_Flows[[#This Row],[UoM_Flow_Py]]</f>
        <v>0</v>
      </c>
      <c r="AF334" s="114" t="e">
        <f>INDEX(Tab_Def_Flows[[Flow_ID]:[CC_DM_source]],MATCH(Tab_Data_Flows[[#This Row],[Name(EN)]],Tab_Def_Flows[Name(EN)],0),18)</f>
        <v>#N/A</v>
      </c>
      <c r="AG334" s="115" t="str">
        <f>IF(K334="Yes",AF334*Tab_Data_Flows[[#This Row],[Flow_Py]],"N.A.")</f>
        <v>N.A.</v>
      </c>
      <c r="AH334" s="61">
        <f>Tab_Data_Flows[[#This Row],[UoM_Flow_Py]]</f>
        <v>0</v>
      </c>
      <c r="AI334" s="114" t="e">
        <f>INDEX(Tab_Def_Flows[[Flow_ID]:[CC_DM_source]],MATCH(Tab_Data_Flows[[#This Row],[Name(EN)]],Tab_Def_Flows[Name(EN)],0),20)</f>
        <v>#N/A</v>
      </c>
      <c r="AJ334" s="115" t="str">
        <f>IF(L334="Yes",AI334*Tab_Data_Flows[[#This Row],[Flow_Py]],"N.A.")</f>
        <v>N.A.</v>
      </c>
      <c r="AK334" s="61">
        <f>Tab_Data_Flows[[#This Row],[UoM_Flow_Py]]</f>
        <v>0</v>
      </c>
    </row>
    <row r="335" spans="1:37" x14ac:dyDescent="0.35">
      <c r="A335" s="60">
        <f t="shared" si="38"/>
        <v>334</v>
      </c>
      <c r="B335" s="49" t="str">
        <f>_xlfn.XLOOKUP(C335,Tab_Def_Flows[Name(EN)],Tab_Def_Flows[Flow_ID],,0,)</f>
        <v>F_21_21</v>
      </c>
      <c r="C335" s="51"/>
      <c r="D335" s="49">
        <f>_xlfn.XLOOKUP(C335,Tab_Def_Flows[Name(EN)],Tab_Def_Flows[Type_Biomass],,0,)</f>
        <v>0</v>
      </c>
      <c r="E335" s="49">
        <f>_xlfn.XLOOKUP(C335,Tab_Def_Flows[Name(EN)],Tab_Def_Flows[Output_Process],,0,)</f>
        <v>0</v>
      </c>
      <c r="F335" s="49" t="str">
        <f>_xlfn.XLOOKUP(C335,Tab_Def_Flows[Name(EN)],Tab_Def_Flows[Process_ID_O],,0,)</f>
        <v>21__</v>
      </c>
      <c r="G335" s="49">
        <f>_xlfn.XLOOKUP(C335,Tab_Def_Flows[Name(EN)],Tab_Def_Flows[Input_Process],,0,)</f>
        <v>0</v>
      </c>
      <c r="H335" s="61" t="str">
        <f>_xlfn.XLOOKUP(C335,Tab_Def_Flows[Name(EN)],Tab_Def_Flows[Process_ID_I],,0,)</f>
        <v>21__</v>
      </c>
      <c r="I335" s="49">
        <f>_xlfn.XLOOKUP(C335,Tab_Def_Flows[Name(EN)],Tab_Def_Flows[Value_Source],,0,)</f>
        <v>0</v>
      </c>
      <c r="J335" s="49">
        <f>_xlfn.XLOOKUP(C335,Tab_Def_Flows[Name(EN)],Tab_Def_Flows[WC?],,0,)</f>
        <v>0</v>
      </c>
      <c r="K335" s="49">
        <f>_xlfn.XLOOKUP(C335,Tab_Def_Flows[Name(EN)],Tab_Def_Flows[DM?],,0,)</f>
        <v>0</v>
      </c>
      <c r="L335" s="49">
        <f>_xlfn.XLOOKUP(C335,Tab_Def_Flows[Name(EN)],Tab_Def_Flows[CC?],,0,)</f>
        <v>0</v>
      </c>
      <c r="M335" s="51"/>
      <c r="N335" s="51"/>
      <c r="O335" s="88"/>
      <c r="P335" s="51"/>
      <c r="Q335" s="51"/>
      <c r="R335" s="51"/>
      <c r="S335" s="51"/>
      <c r="T335" s="51"/>
      <c r="U335" s="51"/>
      <c r="V335" s="51"/>
      <c r="W335" s="51"/>
      <c r="X335" s="51"/>
      <c r="Y335" s="51"/>
      <c r="Z335" s="51"/>
      <c r="AA335" s="89">
        <f t="shared" si="39"/>
        <v>0</v>
      </c>
      <c r="AB335" s="51"/>
      <c r="AC335" s="114" t="e">
        <f>INDEX(Tab_Def_Flows[[Flow_ID]:[CC_DM_source]],MATCH(Tab_Data_Flows[[#This Row],[Name(EN)]],Tab_Def_Flows[Name(EN)],0),16)</f>
        <v>#N/A</v>
      </c>
      <c r="AD335" s="115" t="str">
        <f>IF(J335="Yes",AA335*Tab_Data_Flows[[#This Row],[WC_'[%']]],"N.A.")</f>
        <v>N.A.</v>
      </c>
      <c r="AE335" s="61">
        <f>Tab_Data_Flows[[#This Row],[UoM_Flow_Py]]</f>
        <v>0</v>
      </c>
      <c r="AF335" s="114" t="e">
        <f>INDEX(Tab_Def_Flows[[Flow_ID]:[CC_DM_source]],MATCH(Tab_Data_Flows[[#This Row],[Name(EN)]],Tab_Def_Flows[Name(EN)],0),18)</f>
        <v>#N/A</v>
      </c>
      <c r="AG335" s="115" t="str">
        <f>IF(K335="Yes",AF335*Tab_Data_Flows[[#This Row],[Flow_Py]],"N.A.")</f>
        <v>N.A.</v>
      </c>
      <c r="AH335" s="61">
        <f>Tab_Data_Flows[[#This Row],[UoM_Flow_Py]]</f>
        <v>0</v>
      </c>
      <c r="AI335" s="114" t="e">
        <f>INDEX(Tab_Def_Flows[[Flow_ID]:[CC_DM_source]],MATCH(Tab_Data_Flows[[#This Row],[Name(EN)]],Tab_Def_Flows[Name(EN)],0),20)</f>
        <v>#N/A</v>
      </c>
      <c r="AJ335" s="115" t="str">
        <f>IF(L335="Yes",AI335*Tab_Data_Flows[[#This Row],[Flow_Py]],"N.A.")</f>
        <v>N.A.</v>
      </c>
      <c r="AK335" s="61">
        <f>Tab_Data_Flows[[#This Row],[UoM_Flow_Py]]</f>
        <v>0</v>
      </c>
    </row>
    <row r="336" spans="1:37" x14ac:dyDescent="0.35">
      <c r="A336" s="60">
        <f t="shared" si="38"/>
        <v>335</v>
      </c>
      <c r="B336" s="49" t="str">
        <f>_xlfn.XLOOKUP(C336,Tab_Def_Flows[Name(EN)],Tab_Def_Flows[Flow_ID],,0,)</f>
        <v>F_21_21</v>
      </c>
      <c r="C336" s="51"/>
      <c r="D336" s="49">
        <f>_xlfn.XLOOKUP(C336,Tab_Def_Flows[Name(EN)],Tab_Def_Flows[Type_Biomass],,0,)</f>
        <v>0</v>
      </c>
      <c r="E336" s="49">
        <f>_xlfn.XLOOKUP(C336,Tab_Def_Flows[Name(EN)],Tab_Def_Flows[Output_Process],,0,)</f>
        <v>0</v>
      </c>
      <c r="F336" s="49" t="str">
        <f>_xlfn.XLOOKUP(C336,Tab_Def_Flows[Name(EN)],Tab_Def_Flows[Process_ID_O],,0,)</f>
        <v>21__</v>
      </c>
      <c r="G336" s="49">
        <f>_xlfn.XLOOKUP(C336,Tab_Def_Flows[Name(EN)],Tab_Def_Flows[Input_Process],,0,)</f>
        <v>0</v>
      </c>
      <c r="H336" s="61" t="str">
        <f>_xlfn.XLOOKUP(C336,Tab_Def_Flows[Name(EN)],Tab_Def_Flows[Process_ID_I],,0,)</f>
        <v>21__</v>
      </c>
      <c r="I336" s="49">
        <f>_xlfn.XLOOKUP(C336,Tab_Def_Flows[Name(EN)],Tab_Def_Flows[Value_Source],,0,)</f>
        <v>0</v>
      </c>
      <c r="J336" s="49">
        <f>_xlfn.XLOOKUP(C336,Tab_Def_Flows[Name(EN)],Tab_Def_Flows[WC?],,0,)</f>
        <v>0</v>
      </c>
      <c r="K336" s="49">
        <f>_xlfn.XLOOKUP(C336,Tab_Def_Flows[Name(EN)],Tab_Def_Flows[DM?],,0,)</f>
        <v>0</v>
      </c>
      <c r="L336" s="49">
        <f>_xlfn.XLOOKUP(C336,Tab_Def_Flows[Name(EN)],Tab_Def_Flows[CC?],,0,)</f>
        <v>0</v>
      </c>
      <c r="M336" s="51"/>
      <c r="N336" s="51"/>
      <c r="O336" s="88"/>
      <c r="P336" s="51"/>
      <c r="Q336" s="51"/>
      <c r="R336" s="51"/>
      <c r="S336" s="51"/>
      <c r="T336" s="51"/>
      <c r="U336" s="51"/>
      <c r="V336" s="51"/>
      <c r="W336" s="51"/>
      <c r="X336" s="51"/>
      <c r="Y336" s="51"/>
      <c r="Z336" s="51"/>
      <c r="AA336" s="89">
        <f t="shared" si="39"/>
        <v>0</v>
      </c>
      <c r="AB336" s="51"/>
      <c r="AC336" s="114" t="e">
        <f>INDEX(Tab_Def_Flows[[Flow_ID]:[CC_DM_source]],MATCH(Tab_Data_Flows[[#This Row],[Name(EN)]],Tab_Def_Flows[Name(EN)],0),16)</f>
        <v>#N/A</v>
      </c>
      <c r="AD336" s="115" t="str">
        <f>IF(J336="Yes",AA336*Tab_Data_Flows[[#This Row],[WC_'[%']]],"N.A.")</f>
        <v>N.A.</v>
      </c>
      <c r="AE336" s="61">
        <f>Tab_Data_Flows[[#This Row],[UoM_Flow_Py]]</f>
        <v>0</v>
      </c>
      <c r="AF336" s="114" t="e">
        <f>INDEX(Tab_Def_Flows[[Flow_ID]:[CC_DM_source]],MATCH(Tab_Data_Flows[[#This Row],[Name(EN)]],Tab_Def_Flows[Name(EN)],0),18)</f>
        <v>#N/A</v>
      </c>
      <c r="AG336" s="115" t="str">
        <f>IF(K336="Yes",AF336*Tab_Data_Flows[[#This Row],[Flow_Py]],"N.A.")</f>
        <v>N.A.</v>
      </c>
      <c r="AH336" s="61">
        <f>Tab_Data_Flows[[#This Row],[UoM_Flow_Py]]</f>
        <v>0</v>
      </c>
      <c r="AI336" s="114" t="e">
        <f>INDEX(Tab_Def_Flows[[Flow_ID]:[CC_DM_source]],MATCH(Tab_Data_Flows[[#This Row],[Name(EN)]],Tab_Def_Flows[Name(EN)],0),20)</f>
        <v>#N/A</v>
      </c>
      <c r="AJ336" s="115" t="str">
        <f>IF(L336="Yes",AI336*Tab_Data_Flows[[#This Row],[Flow_Py]],"N.A.")</f>
        <v>N.A.</v>
      </c>
      <c r="AK336" s="61">
        <f>Tab_Data_Flows[[#This Row],[UoM_Flow_Py]]</f>
        <v>0</v>
      </c>
    </row>
    <row r="337" spans="1:37" x14ac:dyDescent="0.35">
      <c r="A337" s="60">
        <f t="shared" si="38"/>
        <v>336</v>
      </c>
      <c r="B337" s="49" t="str">
        <f>_xlfn.XLOOKUP(C337,Tab_Def_Flows[Name(EN)],Tab_Def_Flows[Flow_ID],,0,)</f>
        <v>F_21_21</v>
      </c>
      <c r="C337" s="51"/>
      <c r="D337" s="49">
        <f>_xlfn.XLOOKUP(C337,Tab_Def_Flows[Name(EN)],Tab_Def_Flows[Type_Biomass],,0,)</f>
        <v>0</v>
      </c>
      <c r="E337" s="49">
        <f>_xlfn.XLOOKUP(C337,Tab_Def_Flows[Name(EN)],Tab_Def_Flows[Output_Process],,0,)</f>
        <v>0</v>
      </c>
      <c r="F337" s="49" t="str">
        <f>_xlfn.XLOOKUP(C337,Tab_Def_Flows[Name(EN)],Tab_Def_Flows[Process_ID_O],,0,)</f>
        <v>21__</v>
      </c>
      <c r="G337" s="49">
        <f>_xlfn.XLOOKUP(C337,Tab_Def_Flows[Name(EN)],Tab_Def_Flows[Input_Process],,0,)</f>
        <v>0</v>
      </c>
      <c r="H337" s="61" t="str">
        <f>_xlfn.XLOOKUP(C337,Tab_Def_Flows[Name(EN)],Tab_Def_Flows[Process_ID_I],,0,)</f>
        <v>21__</v>
      </c>
      <c r="I337" s="49">
        <f>_xlfn.XLOOKUP(C337,Tab_Def_Flows[Name(EN)],Tab_Def_Flows[Value_Source],,0,)</f>
        <v>0</v>
      </c>
      <c r="J337" s="49">
        <f>_xlfn.XLOOKUP(C337,Tab_Def_Flows[Name(EN)],Tab_Def_Flows[WC?],,0,)</f>
        <v>0</v>
      </c>
      <c r="K337" s="49">
        <f>_xlfn.XLOOKUP(C337,Tab_Def_Flows[Name(EN)],Tab_Def_Flows[DM?],,0,)</f>
        <v>0</v>
      </c>
      <c r="L337" s="49">
        <f>_xlfn.XLOOKUP(C337,Tab_Def_Flows[Name(EN)],Tab_Def_Flows[CC?],,0,)</f>
        <v>0</v>
      </c>
      <c r="M337" s="51"/>
      <c r="N337" s="51"/>
      <c r="O337" s="88"/>
      <c r="P337" s="51"/>
      <c r="Q337" s="51"/>
      <c r="R337" s="51"/>
      <c r="S337" s="51"/>
      <c r="T337" s="51"/>
      <c r="U337" s="51"/>
      <c r="V337" s="51"/>
      <c r="W337" s="51"/>
      <c r="X337" s="51"/>
      <c r="Y337" s="51"/>
      <c r="Z337" s="51"/>
      <c r="AA337" s="89">
        <f t="shared" si="39"/>
        <v>0</v>
      </c>
      <c r="AB337" s="51"/>
      <c r="AC337" s="114" t="e">
        <f>INDEX(Tab_Def_Flows[[Flow_ID]:[CC_DM_source]],MATCH(Tab_Data_Flows[[#This Row],[Name(EN)]],Tab_Def_Flows[Name(EN)],0),16)</f>
        <v>#N/A</v>
      </c>
      <c r="AD337" s="115" t="str">
        <f>IF(J337="Yes",AA337*Tab_Data_Flows[[#This Row],[WC_'[%']]],"N.A.")</f>
        <v>N.A.</v>
      </c>
      <c r="AE337" s="61">
        <f>Tab_Data_Flows[[#This Row],[UoM_Flow_Py]]</f>
        <v>0</v>
      </c>
      <c r="AF337" s="114" t="e">
        <f>INDEX(Tab_Def_Flows[[Flow_ID]:[CC_DM_source]],MATCH(Tab_Data_Flows[[#This Row],[Name(EN)]],Tab_Def_Flows[Name(EN)],0),18)</f>
        <v>#N/A</v>
      </c>
      <c r="AG337" s="115" t="str">
        <f>IF(K337="Yes",AF337*Tab_Data_Flows[[#This Row],[Flow_Py]],"N.A.")</f>
        <v>N.A.</v>
      </c>
      <c r="AH337" s="61">
        <f>Tab_Data_Flows[[#This Row],[UoM_Flow_Py]]</f>
        <v>0</v>
      </c>
      <c r="AI337" s="114" t="e">
        <f>INDEX(Tab_Def_Flows[[Flow_ID]:[CC_DM_source]],MATCH(Tab_Data_Flows[[#This Row],[Name(EN)]],Tab_Def_Flows[Name(EN)],0),20)</f>
        <v>#N/A</v>
      </c>
      <c r="AJ337" s="115" t="str">
        <f>IF(L337="Yes",AI337*Tab_Data_Flows[[#This Row],[Flow_Py]],"N.A.")</f>
        <v>N.A.</v>
      </c>
      <c r="AK337" s="61">
        <f>Tab_Data_Flows[[#This Row],[UoM_Flow_Py]]</f>
        <v>0</v>
      </c>
    </row>
    <row r="338" spans="1:37" x14ac:dyDescent="0.35">
      <c r="A338" s="60">
        <f t="shared" si="38"/>
        <v>337</v>
      </c>
      <c r="B338" s="49" t="str">
        <f>_xlfn.XLOOKUP(C338,Tab_Def_Flows[Name(EN)],Tab_Def_Flows[Flow_ID],,0,)</f>
        <v>F_21_21</v>
      </c>
      <c r="C338" s="51"/>
      <c r="D338" s="49">
        <f>_xlfn.XLOOKUP(C338,Tab_Def_Flows[Name(EN)],Tab_Def_Flows[Type_Biomass],,0,)</f>
        <v>0</v>
      </c>
      <c r="E338" s="49">
        <f>_xlfn.XLOOKUP(C338,Tab_Def_Flows[Name(EN)],Tab_Def_Flows[Output_Process],,0,)</f>
        <v>0</v>
      </c>
      <c r="F338" s="49" t="str">
        <f>_xlfn.XLOOKUP(C338,Tab_Def_Flows[Name(EN)],Tab_Def_Flows[Process_ID_O],,0,)</f>
        <v>21__</v>
      </c>
      <c r="G338" s="49">
        <f>_xlfn.XLOOKUP(C338,Tab_Def_Flows[Name(EN)],Tab_Def_Flows[Input_Process],,0,)</f>
        <v>0</v>
      </c>
      <c r="H338" s="61" t="str">
        <f>_xlfn.XLOOKUP(C338,Tab_Def_Flows[Name(EN)],Tab_Def_Flows[Process_ID_I],,0,)</f>
        <v>21__</v>
      </c>
      <c r="I338" s="49">
        <f>_xlfn.XLOOKUP(C338,Tab_Def_Flows[Name(EN)],Tab_Def_Flows[Value_Source],,0,)</f>
        <v>0</v>
      </c>
      <c r="J338" s="49">
        <f>_xlfn.XLOOKUP(C338,Tab_Def_Flows[Name(EN)],Tab_Def_Flows[WC?],,0,)</f>
        <v>0</v>
      </c>
      <c r="K338" s="49">
        <f>_xlfn.XLOOKUP(C338,Tab_Def_Flows[Name(EN)],Tab_Def_Flows[DM?],,0,)</f>
        <v>0</v>
      </c>
      <c r="L338" s="49">
        <f>_xlfn.XLOOKUP(C338,Tab_Def_Flows[Name(EN)],Tab_Def_Flows[CC?],,0,)</f>
        <v>0</v>
      </c>
      <c r="M338" s="51"/>
      <c r="N338" s="51"/>
      <c r="O338" s="88"/>
      <c r="P338" s="51"/>
      <c r="Q338" s="51"/>
      <c r="R338" s="51"/>
      <c r="S338" s="51"/>
      <c r="T338" s="51"/>
      <c r="U338" s="51"/>
      <c r="V338" s="51"/>
      <c r="W338" s="51"/>
      <c r="X338" s="51"/>
      <c r="Y338" s="51"/>
      <c r="Z338" s="51"/>
      <c r="AA338" s="89">
        <f t="shared" ref="AA338:AA369" si="40">IF(X338="no",O338,O338*Y338)</f>
        <v>0</v>
      </c>
      <c r="AB338" s="51"/>
      <c r="AC338" s="114" t="e">
        <f>INDEX(Tab_Def_Flows[[Flow_ID]:[CC_DM_source]],MATCH(Tab_Data_Flows[[#This Row],[Name(EN)]],Tab_Def_Flows[Name(EN)],0),16)</f>
        <v>#N/A</v>
      </c>
      <c r="AD338" s="115" t="str">
        <f>IF(J338="Yes",AA338*Tab_Data_Flows[[#This Row],[WC_'[%']]],"N.A.")</f>
        <v>N.A.</v>
      </c>
      <c r="AE338" s="61">
        <f>Tab_Data_Flows[[#This Row],[UoM_Flow_Py]]</f>
        <v>0</v>
      </c>
      <c r="AF338" s="114" t="e">
        <f>INDEX(Tab_Def_Flows[[Flow_ID]:[CC_DM_source]],MATCH(Tab_Data_Flows[[#This Row],[Name(EN)]],Tab_Def_Flows[Name(EN)],0),18)</f>
        <v>#N/A</v>
      </c>
      <c r="AG338" s="115" t="str">
        <f>IF(K338="Yes",AF338*Tab_Data_Flows[[#This Row],[Flow_Py]],"N.A.")</f>
        <v>N.A.</v>
      </c>
      <c r="AH338" s="61">
        <f>Tab_Data_Flows[[#This Row],[UoM_Flow_Py]]</f>
        <v>0</v>
      </c>
      <c r="AI338" s="114" t="e">
        <f>INDEX(Tab_Def_Flows[[Flow_ID]:[CC_DM_source]],MATCH(Tab_Data_Flows[[#This Row],[Name(EN)]],Tab_Def_Flows[Name(EN)],0),20)</f>
        <v>#N/A</v>
      </c>
      <c r="AJ338" s="115" t="str">
        <f>IF(L338="Yes",AI338*Tab_Data_Flows[[#This Row],[Flow_Py]],"N.A.")</f>
        <v>N.A.</v>
      </c>
      <c r="AK338" s="61">
        <f>Tab_Data_Flows[[#This Row],[UoM_Flow_Py]]</f>
        <v>0</v>
      </c>
    </row>
    <row r="339" spans="1:37" x14ac:dyDescent="0.35">
      <c r="A339" s="60">
        <f t="shared" si="38"/>
        <v>338</v>
      </c>
      <c r="B339" s="49" t="str">
        <f>_xlfn.XLOOKUP(C339,Tab_Def_Flows[Name(EN)],Tab_Def_Flows[Flow_ID],,0,)</f>
        <v>F_21_21</v>
      </c>
      <c r="C339" s="51"/>
      <c r="D339" s="49">
        <f>_xlfn.XLOOKUP(C339,Tab_Def_Flows[Name(EN)],Tab_Def_Flows[Type_Biomass],,0,)</f>
        <v>0</v>
      </c>
      <c r="E339" s="49">
        <f>_xlfn.XLOOKUP(C339,Tab_Def_Flows[Name(EN)],Tab_Def_Flows[Output_Process],,0,)</f>
        <v>0</v>
      </c>
      <c r="F339" s="49" t="str">
        <f>_xlfn.XLOOKUP(C339,Tab_Def_Flows[Name(EN)],Tab_Def_Flows[Process_ID_O],,0,)</f>
        <v>21__</v>
      </c>
      <c r="G339" s="49">
        <f>_xlfn.XLOOKUP(C339,Tab_Def_Flows[Name(EN)],Tab_Def_Flows[Input_Process],,0,)</f>
        <v>0</v>
      </c>
      <c r="H339" s="61" t="str">
        <f>_xlfn.XLOOKUP(C339,Tab_Def_Flows[Name(EN)],Tab_Def_Flows[Process_ID_I],,0,)</f>
        <v>21__</v>
      </c>
      <c r="I339" s="49">
        <f>_xlfn.XLOOKUP(C339,Tab_Def_Flows[Name(EN)],Tab_Def_Flows[Value_Source],,0,)</f>
        <v>0</v>
      </c>
      <c r="J339" s="49">
        <f>_xlfn.XLOOKUP(C339,Tab_Def_Flows[Name(EN)],Tab_Def_Flows[WC?],,0,)</f>
        <v>0</v>
      </c>
      <c r="K339" s="49">
        <f>_xlfn.XLOOKUP(C339,Tab_Def_Flows[Name(EN)],Tab_Def_Flows[DM?],,0,)</f>
        <v>0</v>
      </c>
      <c r="L339" s="49">
        <f>_xlfn.XLOOKUP(C339,Tab_Def_Flows[Name(EN)],Tab_Def_Flows[CC?],,0,)</f>
        <v>0</v>
      </c>
      <c r="M339" s="51"/>
      <c r="N339" s="51"/>
      <c r="O339" s="88"/>
      <c r="P339" s="51"/>
      <c r="Q339" s="51"/>
      <c r="R339" s="51"/>
      <c r="S339" s="51"/>
      <c r="T339" s="51"/>
      <c r="U339" s="51"/>
      <c r="V339" s="51"/>
      <c r="W339" s="51"/>
      <c r="X339" s="51"/>
      <c r="Y339" s="51"/>
      <c r="Z339" s="51"/>
      <c r="AA339" s="89">
        <f t="shared" si="40"/>
        <v>0</v>
      </c>
      <c r="AB339" s="51"/>
      <c r="AC339" s="114" t="e">
        <f>INDEX(Tab_Def_Flows[[Flow_ID]:[CC_DM_source]],MATCH(Tab_Data_Flows[[#This Row],[Name(EN)]],Tab_Def_Flows[Name(EN)],0),16)</f>
        <v>#N/A</v>
      </c>
      <c r="AD339" s="115" t="str">
        <f>IF(J339="Yes",AA339*Tab_Data_Flows[[#This Row],[WC_'[%']]],"N.A.")</f>
        <v>N.A.</v>
      </c>
      <c r="AE339" s="61">
        <f>Tab_Data_Flows[[#This Row],[UoM_Flow_Py]]</f>
        <v>0</v>
      </c>
      <c r="AF339" s="114" t="e">
        <f>INDEX(Tab_Def_Flows[[Flow_ID]:[CC_DM_source]],MATCH(Tab_Data_Flows[[#This Row],[Name(EN)]],Tab_Def_Flows[Name(EN)],0),18)</f>
        <v>#N/A</v>
      </c>
      <c r="AG339" s="115" t="str">
        <f>IF(K339="Yes",AF339*Tab_Data_Flows[[#This Row],[Flow_Py]],"N.A.")</f>
        <v>N.A.</v>
      </c>
      <c r="AH339" s="61">
        <f>Tab_Data_Flows[[#This Row],[UoM_Flow_Py]]</f>
        <v>0</v>
      </c>
      <c r="AI339" s="114" t="e">
        <f>INDEX(Tab_Def_Flows[[Flow_ID]:[CC_DM_source]],MATCH(Tab_Data_Flows[[#This Row],[Name(EN)]],Tab_Def_Flows[Name(EN)],0),20)</f>
        <v>#N/A</v>
      </c>
      <c r="AJ339" s="115" t="str">
        <f>IF(L339="Yes",AI339*Tab_Data_Flows[[#This Row],[Flow_Py]],"N.A.")</f>
        <v>N.A.</v>
      </c>
      <c r="AK339" s="61">
        <f>Tab_Data_Flows[[#This Row],[UoM_Flow_Py]]</f>
        <v>0</v>
      </c>
    </row>
    <row r="340" spans="1:37" x14ac:dyDescent="0.35">
      <c r="A340" s="60">
        <f t="shared" si="38"/>
        <v>339</v>
      </c>
      <c r="B340" s="49" t="str">
        <f>_xlfn.XLOOKUP(C340,Tab_Def_Flows[Name(EN)],Tab_Def_Flows[Flow_ID],,0,)</f>
        <v>F_21_21</v>
      </c>
      <c r="C340" s="51"/>
      <c r="D340" s="49">
        <f>_xlfn.XLOOKUP(C340,Tab_Def_Flows[Name(EN)],Tab_Def_Flows[Type_Biomass],,0,)</f>
        <v>0</v>
      </c>
      <c r="E340" s="49">
        <f>_xlfn.XLOOKUP(C340,Tab_Def_Flows[Name(EN)],Tab_Def_Flows[Output_Process],,0,)</f>
        <v>0</v>
      </c>
      <c r="F340" s="49" t="str">
        <f>_xlfn.XLOOKUP(C340,Tab_Def_Flows[Name(EN)],Tab_Def_Flows[Process_ID_O],,0,)</f>
        <v>21__</v>
      </c>
      <c r="G340" s="49">
        <f>_xlfn.XLOOKUP(C340,Tab_Def_Flows[Name(EN)],Tab_Def_Flows[Input_Process],,0,)</f>
        <v>0</v>
      </c>
      <c r="H340" s="61" t="str">
        <f>_xlfn.XLOOKUP(C340,Tab_Def_Flows[Name(EN)],Tab_Def_Flows[Process_ID_I],,0,)</f>
        <v>21__</v>
      </c>
      <c r="I340" s="49">
        <f>_xlfn.XLOOKUP(C340,Tab_Def_Flows[Name(EN)],Tab_Def_Flows[Value_Source],,0,)</f>
        <v>0</v>
      </c>
      <c r="J340" s="49">
        <f>_xlfn.XLOOKUP(C340,Tab_Def_Flows[Name(EN)],Tab_Def_Flows[WC?],,0,)</f>
        <v>0</v>
      </c>
      <c r="K340" s="49">
        <f>_xlfn.XLOOKUP(C340,Tab_Def_Flows[Name(EN)],Tab_Def_Flows[DM?],,0,)</f>
        <v>0</v>
      </c>
      <c r="L340" s="49">
        <f>_xlfn.XLOOKUP(C340,Tab_Def_Flows[Name(EN)],Tab_Def_Flows[CC?],,0,)</f>
        <v>0</v>
      </c>
      <c r="M340" s="51"/>
      <c r="N340" s="51"/>
      <c r="O340" s="88"/>
      <c r="P340" s="51"/>
      <c r="Q340" s="51"/>
      <c r="R340" s="51"/>
      <c r="S340" s="51"/>
      <c r="T340" s="51"/>
      <c r="U340" s="51"/>
      <c r="V340" s="51"/>
      <c r="W340" s="51"/>
      <c r="X340" s="51"/>
      <c r="Y340" s="51"/>
      <c r="Z340" s="51"/>
      <c r="AA340" s="89">
        <f t="shared" si="40"/>
        <v>0</v>
      </c>
      <c r="AB340" s="51"/>
      <c r="AC340" s="114" t="e">
        <f>INDEX(Tab_Def_Flows[[Flow_ID]:[CC_DM_source]],MATCH(Tab_Data_Flows[[#This Row],[Name(EN)]],Tab_Def_Flows[Name(EN)],0),16)</f>
        <v>#N/A</v>
      </c>
      <c r="AD340" s="115" t="str">
        <f>IF(J340="Yes",AA340*Tab_Data_Flows[[#This Row],[WC_'[%']]],"N.A.")</f>
        <v>N.A.</v>
      </c>
      <c r="AE340" s="61">
        <f>Tab_Data_Flows[[#This Row],[UoM_Flow_Py]]</f>
        <v>0</v>
      </c>
      <c r="AF340" s="114" t="e">
        <f>INDEX(Tab_Def_Flows[[Flow_ID]:[CC_DM_source]],MATCH(Tab_Data_Flows[[#This Row],[Name(EN)]],Tab_Def_Flows[Name(EN)],0),18)</f>
        <v>#N/A</v>
      </c>
      <c r="AG340" s="115" t="str">
        <f>IF(K340="Yes",AF340*Tab_Data_Flows[[#This Row],[Flow_Py]],"N.A.")</f>
        <v>N.A.</v>
      </c>
      <c r="AH340" s="61">
        <f>Tab_Data_Flows[[#This Row],[UoM_Flow_Py]]</f>
        <v>0</v>
      </c>
      <c r="AI340" s="114" t="e">
        <f>INDEX(Tab_Def_Flows[[Flow_ID]:[CC_DM_source]],MATCH(Tab_Data_Flows[[#This Row],[Name(EN)]],Tab_Def_Flows[Name(EN)],0),20)</f>
        <v>#N/A</v>
      </c>
      <c r="AJ340" s="115" t="str">
        <f>IF(L340="Yes",AI340*Tab_Data_Flows[[#This Row],[Flow_Py]],"N.A.")</f>
        <v>N.A.</v>
      </c>
      <c r="AK340" s="61">
        <f>Tab_Data_Flows[[#This Row],[UoM_Flow_Py]]</f>
        <v>0</v>
      </c>
    </row>
    <row r="341" spans="1:37" x14ac:dyDescent="0.35">
      <c r="A341" s="60">
        <f t="shared" si="38"/>
        <v>340</v>
      </c>
      <c r="B341" s="49" t="str">
        <f>_xlfn.XLOOKUP(C341,Tab_Def_Flows[Name(EN)],Tab_Def_Flows[Flow_ID],,0,)</f>
        <v>F_21_21</v>
      </c>
      <c r="C341" s="51"/>
      <c r="D341" s="49">
        <f>_xlfn.XLOOKUP(C341,Tab_Def_Flows[Name(EN)],Tab_Def_Flows[Type_Biomass],,0,)</f>
        <v>0</v>
      </c>
      <c r="E341" s="49">
        <f>_xlfn.XLOOKUP(C341,Tab_Def_Flows[Name(EN)],Tab_Def_Flows[Output_Process],,0,)</f>
        <v>0</v>
      </c>
      <c r="F341" s="49" t="str">
        <f>_xlfn.XLOOKUP(C341,Tab_Def_Flows[Name(EN)],Tab_Def_Flows[Process_ID_O],,0,)</f>
        <v>21__</v>
      </c>
      <c r="G341" s="49">
        <f>_xlfn.XLOOKUP(C341,Tab_Def_Flows[Name(EN)],Tab_Def_Flows[Input_Process],,0,)</f>
        <v>0</v>
      </c>
      <c r="H341" s="61" t="str">
        <f>_xlfn.XLOOKUP(C341,Tab_Def_Flows[Name(EN)],Tab_Def_Flows[Process_ID_I],,0,)</f>
        <v>21__</v>
      </c>
      <c r="I341" s="49">
        <f>_xlfn.XLOOKUP(C341,Tab_Def_Flows[Name(EN)],Tab_Def_Flows[Value_Source],,0,)</f>
        <v>0</v>
      </c>
      <c r="J341" s="49">
        <f>_xlfn.XLOOKUP(C341,Tab_Def_Flows[Name(EN)],Tab_Def_Flows[WC?],,0,)</f>
        <v>0</v>
      </c>
      <c r="K341" s="49">
        <f>_xlfn.XLOOKUP(C341,Tab_Def_Flows[Name(EN)],Tab_Def_Flows[DM?],,0,)</f>
        <v>0</v>
      </c>
      <c r="L341" s="49">
        <f>_xlfn.XLOOKUP(C341,Tab_Def_Flows[Name(EN)],Tab_Def_Flows[CC?],,0,)</f>
        <v>0</v>
      </c>
      <c r="M341" s="51"/>
      <c r="N341" s="51"/>
      <c r="O341" s="88"/>
      <c r="P341" s="51"/>
      <c r="Q341" s="51"/>
      <c r="R341" s="51"/>
      <c r="S341" s="51"/>
      <c r="T341" s="51"/>
      <c r="U341" s="51"/>
      <c r="V341" s="51"/>
      <c r="W341" s="51"/>
      <c r="X341" s="51"/>
      <c r="Y341" s="51"/>
      <c r="Z341" s="51"/>
      <c r="AA341" s="89">
        <f t="shared" si="40"/>
        <v>0</v>
      </c>
      <c r="AB341" s="51"/>
      <c r="AC341" s="114" t="e">
        <f>INDEX(Tab_Def_Flows[[Flow_ID]:[CC_DM_source]],MATCH(Tab_Data_Flows[[#This Row],[Name(EN)]],Tab_Def_Flows[Name(EN)],0),16)</f>
        <v>#N/A</v>
      </c>
      <c r="AD341" s="115" t="str">
        <f>IF(J341="Yes",AA341*Tab_Data_Flows[[#This Row],[WC_'[%']]],"N.A.")</f>
        <v>N.A.</v>
      </c>
      <c r="AE341" s="61">
        <f>Tab_Data_Flows[[#This Row],[UoM_Flow_Py]]</f>
        <v>0</v>
      </c>
      <c r="AF341" s="114" t="e">
        <f>INDEX(Tab_Def_Flows[[Flow_ID]:[CC_DM_source]],MATCH(Tab_Data_Flows[[#This Row],[Name(EN)]],Tab_Def_Flows[Name(EN)],0),18)</f>
        <v>#N/A</v>
      </c>
      <c r="AG341" s="115" t="str">
        <f>IF(K341="Yes",AF341*Tab_Data_Flows[[#This Row],[Flow_Py]],"N.A.")</f>
        <v>N.A.</v>
      </c>
      <c r="AH341" s="61">
        <f>Tab_Data_Flows[[#This Row],[UoM_Flow_Py]]</f>
        <v>0</v>
      </c>
      <c r="AI341" s="114" t="e">
        <f>INDEX(Tab_Def_Flows[[Flow_ID]:[CC_DM_source]],MATCH(Tab_Data_Flows[[#This Row],[Name(EN)]],Tab_Def_Flows[Name(EN)],0),20)</f>
        <v>#N/A</v>
      </c>
      <c r="AJ341" s="115" t="str">
        <f>IF(L341="Yes",AI341*Tab_Data_Flows[[#This Row],[Flow_Py]],"N.A.")</f>
        <v>N.A.</v>
      </c>
      <c r="AK341" s="61">
        <f>Tab_Data_Flows[[#This Row],[UoM_Flow_Py]]</f>
        <v>0</v>
      </c>
    </row>
    <row r="342" spans="1:37" x14ac:dyDescent="0.35">
      <c r="A342" s="60">
        <f t="shared" si="38"/>
        <v>341</v>
      </c>
      <c r="B342" s="49" t="str">
        <f>_xlfn.XLOOKUP(C342,Tab_Def_Flows[Name(EN)],Tab_Def_Flows[Flow_ID],,0,)</f>
        <v>F_21_21</v>
      </c>
      <c r="C342" s="51"/>
      <c r="D342" s="49">
        <f>_xlfn.XLOOKUP(C342,Tab_Def_Flows[Name(EN)],Tab_Def_Flows[Type_Biomass],,0,)</f>
        <v>0</v>
      </c>
      <c r="E342" s="49">
        <f>_xlfn.XLOOKUP(C342,Tab_Def_Flows[Name(EN)],Tab_Def_Flows[Output_Process],,0,)</f>
        <v>0</v>
      </c>
      <c r="F342" s="49" t="str">
        <f>_xlfn.XLOOKUP(C342,Tab_Def_Flows[Name(EN)],Tab_Def_Flows[Process_ID_O],,0,)</f>
        <v>21__</v>
      </c>
      <c r="G342" s="49">
        <f>_xlfn.XLOOKUP(C342,Tab_Def_Flows[Name(EN)],Tab_Def_Flows[Input_Process],,0,)</f>
        <v>0</v>
      </c>
      <c r="H342" s="61" t="str">
        <f>_xlfn.XLOOKUP(C342,Tab_Def_Flows[Name(EN)],Tab_Def_Flows[Process_ID_I],,0,)</f>
        <v>21__</v>
      </c>
      <c r="I342" s="49">
        <f>_xlfn.XLOOKUP(C342,Tab_Def_Flows[Name(EN)],Tab_Def_Flows[Value_Source],,0,)</f>
        <v>0</v>
      </c>
      <c r="J342" s="49">
        <f>_xlfn.XLOOKUP(C342,Tab_Def_Flows[Name(EN)],Tab_Def_Flows[WC?],,0,)</f>
        <v>0</v>
      </c>
      <c r="K342" s="49">
        <f>_xlfn.XLOOKUP(C342,Tab_Def_Flows[Name(EN)],Tab_Def_Flows[DM?],,0,)</f>
        <v>0</v>
      </c>
      <c r="L342" s="49">
        <f>_xlfn.XLOOKUP(C342,Tab_Def_Flows[Name(EN)],Tab_Def_Flows[CC?],,0,)</f>
        <v>0</v>
      </c>
      <c r="M342" s="51"/>
      <c r="N342" s="51"/>
      <c r="O342" s="88"/>
      <c r="P342" s="51"/>
      <c r="Q342" s="51"/>
      <c r="R342" s="51"/>
      <c r="S342" s="51"/>
      <c r="T342" s="51"/>
      <c r="U342" s="51"/>
      <c r="V342" s="51"/>
      <c r="W342" s="51"/>
      <c r="X342" s="51"/>
      <c r="Y342" s="51"/>
      <c r="Z342" s="51"/>
      <c r="AA342" s="89">
        <f t="shared" si="40"/>
        <v>0</v>
      </c>
      <c r="AB342" s="51"/>
      <c r="AC342" s="114" t="e">
        <f>INDEX(Tab_Def_Flows[[Flow_ID]:[CC_DM_source]],MATCH(Tab_Data_Flows[[#This Row],[Name(EN)]],Tab_Def_Flows[Name(EN)],0),16)</f>
        <v>#N/A</v>
      </c>
      <c r="AD342" s="115" t="str">
        <f>IF(J342="Yes",AA342*Tab_Data_Flows[[#This Row],[WC_'[%']]],"N.A.")</f>
        <v>N.A.</v>
      </c>
      <c r="AE342" s="61">
        <f>Tab_Data_Flows[[#This Row],[UoM_Flow_Py]]</f>
        <v>0</v>
      </c>
      <c r="AF342" s="114" t="e">
        <f>INDEX(Tab_Def_Flows[[Flow_ID]:[CC_DM_source]],MATCH(Tab_Data_Flows[[#This Row],[Name(EN)]],Tab_Def_Flows[Name(EN)],0),18)</f>
        <v>#N/A</v>
      </c>
      <c r="AG342" s="115" t="str">
        <f>IF(K342="Yes",AF342*Tab_Data_Flows[[#This Row],[Flow_Py]],"N.A.")</f>
        <v>N.A.</v>
      </c>
      <c r="AH342" s="61">
        <f>Tab_Data_Flows[[#This Row],[UoM_Flow_Py]]</f>
        <v>0</v>
      </c>
      <c r="AI342" s="114" t="e">
        <f>INDEX(Tab_Def_Flows[[Flow_ID]:[CC_DM_source]],MATCH(Tab_Data_Flows[[#This Row],[Name(EN)]],Tab_Def_Flows[Name(EN)],0),20)</f>
        <v>#N/A</v>
      </c>
      <c r="AJ342" s="115" t="str">
        <f>IF(L342="Yes",AI342*Tab_Data_Flows[[#This Row],[Flow_Py]],"N.A.")</f>
        <v>N.A.</v>
      </c>
      <c r="AK342" s="61">
        <f>Tab_Data_Flows[[#This Row],[UoM_Flow_Py]]</f>
        <v>0</v>
      </c>
    </row>
    <row r="343" spans="1:37" x14ac:dyDescent="0.35">
      <c r="A343" s="60">
        <f t="shared" si="38"/>
        <v>342</v>
      </c>
      <c r="B343" s="49" t="str">
        <f>_xlfn.XLOOKUP(C343,Tab_Def_Flows[Name(EN)],Tab_Def_Flows[Flow_ID],,0,)</f>
        <v>F_21_21</v>
      </c>
      <c r="C343" s="51"/>
      <c r="D343" s="49">
        <f>_xlfn.XLOOKUP(C343,Tab_Def_Flows[Name(EN)],Tab_Def_Flows[Type_Biomass],,0,)</f>
        <v>0</v>
      </c>
      <c r="E343" s="49">
        <f>_xlfn.XLOOKUP(C343,Tab_Def_Flows[Name(EN)],Tab_Def_Flows[Output_Process],,0,)</f>
        <v>0</v>
      </c>
      <c r="F343" s="49" t="str">
        <f>_xlfn.XLOOKUP(C343,Tab_Def_Flows[Name(EN)],Tab_Def_Flows[Process_ID_O],,0,)</f>
        <v>21__</v>
      </c>
      <c r="G343" s="49">
        <f>_xlfn.XLOOKUP(C343,Tab_Def_Flows[Name(EN)],Tab_Def_Flows[Input_Process],,0,)</f>
        <v>0</v>
      </c>
      <c r="H343" s="61" t="str">
        <f>_xlfn.XLOOKUP(C343,Tab_Def_Flows[Name(EN)],Tab_Def_Flows[Process_ID_I],,0,)</f>
        <v>21__</v>
      </c>
      <c r="I343" s="49">
        <f>_xlfn.XLOOKUP(C343,Tab_Def_Flows[Name(EN)],Tab_Def_Flows[Value_Source],,0,)</f>
        <v>0</v>
      </c>
      <c r="J343" s="49">
        <f>_xlfn.XLOOKUP(C343,Tab_Def_Flows[Name(EN)],Tab_Def_Flows[WC?],,0,)</f>
        <v>0</v>
      </c>
      <c r="K343" s="49">
        <f>_xlfn.XLOOKUP(C343,Tab_Def_Flows[Name(EN)],Tab_Def_Flows[DM?],,0,)</f>
        <v>0</v>
      </c>
      <c r="L343" s="49">
        <f>_xlfn.XLOOKUP(C343,Tab_Def_Flows[Name(EN)],Tab_Def_Flows[CC?],,0,)</f>
        <v>0</v>
      </c>
      <c r="M343" s="51"/>
      <c r="N343" s="51"/>
      <c r="O343" s="88"/>
      <c r="P343" s="51"/>
      <c r="Q343" s="51"/>
      <c r="R343" s="51"/>
      <c r="S343" s="51"/>
      <c r="T343" s="51"/>
      <c r="U343" s="51"/>
      <c r="V343" s="51"/>
      <c r="W343" s="51"/>
      <c r="X343" s="51"/>
      <c r="Y343" s="51"/>
      <c r="Z343" s="51"/>
      <c r="AA343" s="89">
        <f t="shared" si="40"/>
        <v>0</v>
      </c>
      <c r="AB343" s="51"/>
      <c r="AC343" s="114" t="e">
        <f>INDEX(Tab_Def_Flows[[Flow_ID]:[CC_DM_source]],MATCH(Tab_Data_Flows[[#This Row],[Name(EN)]],Tab_Def_Flows[Name(EN)],0),16)</f>
        <v>#N/A</v>
      </c>
      <c r="AD343" s="115" t="str">
        <f>IF(J343="Yes",AA343*Tab_Data_Flows[[#This Row],[WC_'[%']]],"N.A.")</f>
        <v>N.A.</v>
      </c>
      <c r="AE343" s="61">
        <f>Tab_Data_Flows[[#This Row],[UoM_Flow_Py]]</f>
        <v>0</v>
      </c>
      <c r="AF343" s="114" t="e">
        <f>INDEX(Tab_Def_Flows[[Flow_ID]:[CC_DM_source]],MATCH(Tab_Data_Flows[[#This Row],[Name(EN)]],Tab_Def_Flows[Name(EN)],0),18)</f>
        <v>#N/A</v>
      </c>
      <c r="AG343" s="115" t="str">
        <f>IF(K343="Yes",AF343*Tab_Data_Flows[[#This Row],[Flow_Py]],"N.A.")</f>
        <v>N.A.</v>
      </c>
      <c r="AH343" s="61">
        <f>Tab_Data_Flows[[#This Row],[UoM_Flow_Py]]</f>
        <v>0</v>
      </c>
      <c r="AI343" s="114" t="e">
        <f>INDEX(Tab_Def_Flows[[Flow_ID]:[CC_DM_source]],MATCH(Tab_Data_Flows[[#This Row],[Name(EN)]],Tab_Def_Flows[Name(EN)],0),20)</f>
        <v>#N/A</v>
      </c>
      <c r="AJ343" s="115" t="str">
        <f>IF(L343="Yes",AI343*Tab_Data_Flows[[#This Row],[Flow_Py]],"N.A.")</f>
        <v>N.A.</v>
      </c>
      <c r="AK343" s="61">
        <f>Tab_Data_Flows[[#This Row],[UoM_Flow_Py]]</f>
        <v>0</v>
      </c>
    </row>
    <row r="344" spans="1:37" x14ac:dyDescent="0.35">
      <c r="A344" s="60">
        <f t="shared" si="38"/>
        <v>343</v>
      </c>
      <c r="B344" s="49" t="str">
        <f>_xlfn.XLOOKUP(C344,Tab_Def_Flows[Name(EN)],Tab_Def_Flows[Flow_ID],,0,)</f>
        <v>F_21_21</v>
      </c>
      <c r="C344" s="51"/>
      <c r="D344" s="49">
        <f>_xlfn.XLOOKUP(C344,Tab_Def_Flows[Name(EN)],Tab_Def_Flows[Type_Biomass],,0,)</f>
        <v>0</v>
      </c>
      <c r="E344" s="49">
        <f>_xlfn.XLOOKUP(C344,Tab_Def_Flows[Name(EN)],Tab_Def_Flows[Output_Process],,0,)</f>
        <v>0</v>
      </c>
      <c r="F344" s="49" t="str">
        <f>_xlfn.XLOOKUP(C344,Tab_Def_Flows[Name(EN)],Tab_Def_Flows[Process_ID_O],,0,)</f>
        <v>21__</v>
      </c>
      <c r="G344" s="49">
        <f>_xlfn.XLOOKUP(C344,Tab_Def_Flows[Name(EN)],Tab_Def_Flows[Input_Process],,0,)</f>
        <v>0</v>
      </c>
      <c r="H344" s="61" t="str">
        <f>_xlfn.XLOOKUP(C344,Tab_Def_Flows[Name(EN)],Tab_Def_Flows[Process_ID_I],,0,)</f>
        <v>21__</v>
      </c>
      <c r="I344" s="49">
        <f>_xlfn.XLOOKUP(C344,Tab_Def_Flows[Name(EN)],Tab_Def_Flows[Value_Source],,0,)</f>
        <v>0</v>
      </c>
      <c r="J344" s="49">
        <f>_xlfn.XLOOKUP(C344,Tab_Def_Flows[Name(EN)],Tab_Def_Flows[WC?],,0,)</f>
        <v>0</v>
      </c>
      <c r="K344" s="49">
        <f>_xlfn.XLOOKUP(C344,Tab_Def_Flows[Name(EN)],Tab_Def_Flows[DM?],,0,)</f>
        <v>0</v>
      </c>
      <c r="L344" s="49">
        <f>_xlfn.XLOOKUP(C344,Tab_Def_Flows[Name(EN)],Tab_Def_Flows[CC?],,0,)</f>
        <v>0</v>
      </c>
      <c r="M344" s="51"/>
      <c r="N344" s="51"/>
      <c r="O344" s="88"/>
      <c r="P344" s="51"/>
      <c r="Q344" s="51"/>
      <c r="R344" s="51"/>
      <c r="S344" s="51"/>
      <c r="T344" s="51"/>
      <c r="U344" s="51"/>
      <c r="V344" s="51"/>
      <c r="W344" s="51"/>
      <c r="X344" s="51"/>
      <c r="Y344" s="51"/>
      <c r="Z344" s="51"/>
      <c r="AA344" s="89">
        <f t="shared" si="40"/>
        <v>0</v>
      </c>
      <c r="AB344" s="51"/>
      <c r="AC344" s="114" t="e">
        <f>INDEX(Tab_Def_Flows[[Flow_ID]:[CC_DM_source]],MATCH(Tab_Data_Flows[[#This Row],[Name(EN)]],Tab_Def_Flows[Name(EN)],0),16)</f>
        <v>#N/A</v>
      </c>
      <c r="AD344" s="115" t="str">
        <f>IF(J344="Yes",AA344*Tab_Data_Flows[[#This Row],[WC_'[%']]],"N.A.")</f>
        <v>N.A.</v>
      </c>
      <c r="AE344" s="61">
        <f>Tab_Data_Flows[[#This Row],[UoM_Flow_Py]]</f>
        <v>0</v>
      </c>
      <c r="AF344" s="114" t="e">
        <f>INDEX(Tab_Def_Flows[[Flow_ID]:[CC_DM_source]],MATCH(Tab_Data_Flows[[#This Row],[Name(EN)]],Tab_Def_Flows[Name(EN)],0),18)</f>
        <v>#N/A</v>
      </c>
      <c r="AG344" s="115" t="str">
        <f>IF(K344="Yes",AF344*Tab_Data_Flows[[#This Row],[Flow_Py]],"N.A.")</f>
        <v>N.A.</v>
      </c>
      <c r="AH344" s="61">
        <f>Tab_Data_Flows[[#This Row],[UoM_Flow_Py]]</f>
        <v>0</v>
      </c>
      <c r="AI344" s="114" t="e">
        <f>INDEX(Tab_Def_Flows[[Flow_ID]:[CC_DM_source]],MATCH(Tab_Data_Flows[[#This Row],[Name(EN)]],Tab_Def_Flows[Name(EN)],0),20)</f>
        <v>#N/A</v>
      </c>
      <c r="AJ344" s="115" t="str">
        <f>IF(L344="Yes",AI344*Tab_Data_Flows[[#This Row],[Flow_Py]],"N.A.")</f>
        <v>N.A.</v>
      </c>
      <c r="AK344" s="61">
        <f>Tab_Data_Flows[[#This Row],[UoM_Flow_Py]]</f>
        <v>0</v>
      </c>
    </row>
    <row r="345" spans="1:37" x14ac:dyDescent="0.35">
      <c r="A345" s="60">
        <f t="shared" si="38"/>
        <v>344</v>
      </c>
      <c r="B345" s="49" t="str">
        <f>_xlfn.XLOOKUP(C345,Tab_Def_Flows[Name(EN)],Tab_Def_Flows[Flow_ID],,0,)</f>
        <v>F_21_21</v>
      </c>
      <c r="C345" s="51"/>
      <c r="D345" s="49">
        <f>_xlfn.XLOOKUP(C345,Tab_Def_Flows[Name(EN)],Tab_Def_Flows[Type_Biomass],,0,)</f>
        <v>0</v>
      </c>
      <c r="E345" s="49">
        <f>_xlfn.XLOOKUP(C345,Tab_Def_Flows[Name(EN)],Tab_Def_Flows[Output_Process],,0,)</f>
        <v>0</v>
      </c>
      <c r="F345" s="49" t="str">
        <f>_xlfn.XLOOKUP(C345,Tab_Def_Flows[Name(EN)],Tab_Def_Flows[Process_ID_O],,0,)</f>
        <v>21__</v>
      </c>
      <c r="G345" s="49">
        <f>_xlfn.XLOOKUP(C345,Tab_Def_Flows[Name(EN)],Tab_Def_Flows[Input_Process],,0,)</f>
        <v>0</v>
      </c>
      <c r="H345" s="61" t="str">
        <f>_xlfn.XLOOKUP(C345,Tab_Def_Flows[Name(EN)],Tab_Def_Flows[Process_ID_I],,0,)</f>
        <v>21__</v>
      </c>
      <c r="I345" s="49">
        <f>_xlfn.XLOOKUP(C345,Tab_Def_Flows[Name(EN)],Tab_Def_Flows[Value_Source],,0,)</f>
        <v>0</v>
      </c>
      <c r="J345" s="49">
        <f>_xlfn.XLOOKUP(C345,Tab_Def_Flows[Name(EN)],Tab_Def_Flows[WC?],,0,)</f>
        <v>0</v>
      </c>
      <c r="K345" s="49">
        <f>_xlfn.XLOOKUP(C345,Tab_Def_Flows[Name(EN)],Tab_Def_Flows[DM?],,0,)</f>
        <v>0</v>
      </c>
      <c r="L345" s="49">
        <f>_xlfn.XLOOKUP(C345,Tab_Def_Flows[Name(EN)],Tab_Def_Flows[CC?],,0,)</f>
        <v>0</v>
      </c>
      <c r="M345" s="51"/>
      <c r="N345" s="51"/>
      <c r="O345" s="88"/>
      <c r="P345" s="51"/>
      <c r="Q345" s="51"/>
      <c r="R345" s="51"/>
      <c r="S345" s="51"/>
      <c r="T345" s="51"/>
      <c r="U345" s="51"/>
      <c r="V345" s="51"/>
      <c r="W345" s="51"/>
      <c r="X345" s="51"/>
      <c r="Y345" s="51"/>
      <c r="Z345" s="51"/>
      <c r="AA345" s="89">
        <f t="shared" si="40"/>
        <v>0</v>
      </c>
      <c r="AB345" s="51"/>
      <c r="AC345" s="114" t="e">
        <f>INDEX(Tab_Def_Flows[[Flow_ID]:[CC_DM_source]],MATCH(Tab_Data_Flows[[#This Row],[Name(EN)]],Tab_Def_Flows[Name(EN)],0),16)</f>
        <v>#N/A</v>
      </c>
      <c r="AD345" s="115" t="str">
        <f>IF(J345="Yes",AA345*Tab_Data_Flows[[#This Row],[WC_'[%']]],"N.A.")</f>
        <v>N.A.</v>
      </c>
      <c r="AE345" s="61">
        <f>Tab_Data_Flows[[#This Row],[UoM_Flow_Py]]</f>
        <v>0</v>
      </c>
      <c r="AF345" s="114" t="e">
        <f>INDEX(Tab_Def_Flows[[Flow_ID]:[CC_DM_source]],MATCH(Tab_Data_Flows[[#This Row],[Name(EN)]],Tab_Def_Flows[Name(EN)],0),18)</f>
        <v>#N/A</v>
      </c>
      <c r="AG345" s="115" t="str">
        <f>IF(K345="Yes",AF345*Tab_Data_Flows[[#This Row],[Flow_Py]],"N.A.")</f>
        <v>N.A.</v>
      </c>
      <c r="AH345" s="61">
        <f>Tab_Data_Flows[[#This Row],[UoM_Flow_Py]]</f>
        <v>0</v>
      </c>
      <c r="AI345" s="114" t="e">
        <f>INDEX(Tab_Def_Flows[[Flow_ID]:[CC_DM_source]],MATCH(Tab_Data_Flows[[#This Row],[Name(EN)]],Tab_Def_Flows[Name(EN)],0),20)</f>
        <v>#N/A</v>
      </c>
      <c r="AJ345" s="115" t="str">
        <f>IF(L345="Yes",AI345*Tab_Data_Flows[[#This Row],[Flow_Py]],"N.A.")</f>
        <v>N.A.</v>
      </c>
      <c r="AK345" s="61">
        <f>Tab_Data_Flows[[#This Row],[UoM_Flow_Py]]</f>
        <v>0</v>
      </c>
    </row>
    <row r="346" spans="1:37" x14ac:dyDescent="0.35">
      <c r="A346" s="60">
        <f t="shared" si="38"/>
        <v>345</v>
      </c>
      <c r="B346" s="49" t="str">
        <f>_xlfn.XLOOKUP(C346,Tab_Def_Flows[Name(EN)],Tab_Def_Flows[Flow_ID],,0,)</f>
        <v>F_21_21</v>
      </c>
      <c r="C346" s="51"/>
      <c r="D346" s="49">
        <f>_xlfn.XLOOKUP(C346,Tab_Def_Flows[Name(EN)],Tab_Def_Flows[Type_Biomass],,0,)</f>
        <v>0</v>
      </c>
      <c r="E346" s="49">
        <f>_xlfn.XLOOKUP(C346,Tab_Def_Flows[Name(EN)],Tab_Def_Flows[Output_Process],,0,)</f>
        <v>0</v>
      </c>
      <c r="F346" s="49" t="str">
        <f>_xlfn.XLOOKUP(C346,Tab_Def_Flows[Name(EN)],Tab_Def_Flows[Process_ID_O],,0,)</f>
        <v>21__</v>
      </c>
      <c r="G346" s="49">
        <f>_xlfn.XLOOKUP(C346,Tab_Def_Flows[Name(EN)],Tab_Def_Flows[Input_Process],,0,)</f>
        <v>0</v>
      </c>
      <c r="H346" s="61" t="str">
        <f>_xlfn.XLOOKUP(C346,Tab_Def_Flows[Name(EN)],Tab_Def_Flows[Process_ID_I],,0,)</f>
        <v>21__</v>
      </c>
      <c r="I346" s="49">
        <f>_xlfn.XLOOKUP(C346,Tab_Def_Flows[Name(EN)],Tab_Def_Flows[Value_Source],,0,)</f>
        <v>0</v>
      </c>
      <c r="J346" s="49">
        <f>_xlfn.XLOOKUP(C346,Tab_Def_Flows[Name(EN)],Tab_Def_Flows[WC?],,0,)</f>
        <v>0</v>
      </c>
      <c r="K346" s="49">
        <f>_xlfn.XLOOKUP(C346,Tab_Def_Flows[Name(EN)],Tab_Def_Flows[DM?],,0,)</f>
        <v>0</v>
      </c>
      <c r="L346" s="49">
        <f>_xlfn.XLOOKUP(C346,Tab_Def_Flows[Name(EN)],Tab_Def_Flows[CC?],,0,)</f>
        <v>0</v>
      </c>
      <c r="M346" s="51"/>
      <c r="N346" s="51"/>
      <c r="O346" s="88"/>
      <c r="P346" s="51"/>
      <c r="Q346" s="51"/>
      <c r="R346" s="51"/>
      <c r="S346" s="51"/>
      <c r="T346" s="51"/>
      <c r="U346" s="51"/>
      <c r="V346" s="51"/>
      <c r="W346" s="51"/>
      <c r="X346" s="51"/>
      <c r="Y346" s="51"/>
      <c r="Z346" s="51"/>
      <c r="AA346" s="89">
        <f t="shared" si="40"/>
        <v>0</v>
      </c>
      <c r="AB346" s="51"/>
      <c r="AC346" s="114" t="e">
        <f>INDEX(Tab_Def_Flows[[Flow_ID]:[CC_DM_source]],MATCH(Tab_Data_Flows[[#This Row],[Name(EN)]],Tab_Def_Flows[Name(EN)],0),16)</f>
        <v>#N/A</v>
      </c>
      <c r="AD346" s="115" t="str">
        <f>IF(J346="Yes",AA346*Tab_Data_Flows[[#This Row],[WC_'[%']]],"N.A.")</f>
        <v>N.A.</v>
      </c>
      <c r="AE346" s="61">
        <f>Tab_Data_Flows[[#This Row],[UoM_Flow_Py]]</f>
        <v>0</v>
      </c>
      <c r="AF346" s="114" t="e">
        <f>INDEX(Tab_Def_Flows[[Flow_ID]:[CC_DM_source]],MATCH(Tab_Data_Flows[[#This Row],[Name(EN)]],Tab_Def_Flows[Name(EN)],0),18)</f>
        <v>#N/A</v>
      </c>
      <c r="AG346" s="115" t="str">
        <f>IF(K346="Yes",AF346*Tab_Data_Flows[[#This Row],[Flow_Py]],"N.A.")</f>
        <v>N.A.</v>
      </c>
      <c r="AH346" s="61">
        <f>Tab_Data_Flows[[#This Row],[UoM_Flow_Py]]</f>
        <v>0</v>
      </c>
      <c r="AI346" s="114" t="e">
        <f>INDEX(Tab_Def_Flows[[Flow_ID]:[CC_DM_source]],MATCH(Tab_Data_Flows[[#This Row],[Name(EN)]],Tab_Def_Flows[Name(EN)],0),20)</f>
        <v>#N/A</v>
      </c>
      <c r="AJ346" s="115" t="str">
        <f>IF(L346="Yes",AI346*Tab_Data_Flows[[#This Row],[Flow_Py]],"N.A.")</f>
        <v>N.A.</v>
      </c>
      <c r="AK346" s="61">
        <f>Tab_Data_Flows[[#This Row],[UoM_Flow_Py]]</f>
        <v>0</v>
      </c>
    </row>
    <row r="347" spans="1:37" x14ac:dyDescent="0.35">
      <c r="A347" s="60">
        <f t="shared" si="38"/>
        <v>346</v>
      </c>
      <c r="B347" s="49" t="str">
        <f>_xlfn.XLOOKUP(C347,Tab_Def_Flows[Name(EN)],Tab_Def_Flows[Flow_ID],,0,)</f>
        <v>F_21_21</v>
      </c>
      <c r="C347" s="51"/>
      <c r="D347" s="49">
        <f>_xlfn.XLOOKUP(C347,Tab_Def_Flows[Name(EN)],Tab_Def_Flows[Type_Biomass],,0,)</f>
        <v>0</v>
      </c>
      <c r="E347" s="49">
        <f>_xlfn.XLOOKUP(C347,Tab_Def_Flows[Name(EN)],Tab_Def_Flows[Output_Process],,0,)</f>
        <v>0</v>
      </c>
      <c r="F347" s="49" t="str">
        <f>_xlfn.XLOOKUP(C347,Tab_Def_Flows[Name(EN)],Tab_Def_Flows[Process_ID_O],,0,)</f>
        <v>21__</v>
      </c>
      <c r="G347" s="49">
        <f>_xlfn.XLOOKUP(C347,Tab_Def_Flows[Name(EN)],Tab_Def_Flows[Input_Process],,0,)</f>
        <v>0</v>
      </c>
      <c r="H347" s="61" t="str">
        <f>_xlfn.XLOOKUP(C347,Tab_Def_Flows[Name(EN)],Tab_Def_Flows[Process_ID_I],,0,)</f>
        <v>21__</v>
      </c>
      <c r="I347" s="49">
        <f>_xlfn.XLOOKUP(C347,Tab_Def_Flows[Name(EN)],Tab_Def_Flows[Value_Source],,0,)</f>
        <v>0</v>
      </c>
      <c r="J347" s="49">
        <f>_xlfn.XLOOKUP(C347,Tab_Def_Flows[Name(EN)],Tab_Def_Flows[WC?],,0,)</f>
        <v>0</v>
      </c>
      <c r="K347" s="49">
        <f>_xlfn.XLOOKUP(C347,Tab_Def_Flows[Name(EN)],Tab_Def_Flows[DM?],,0,)</f>
        <v>0</v>
      </c>
      <c r="L347" s="49">
        <f>_xlfn.XLOOKUP(C347,Tab_Def_Flows[Name(EN)],Tab_Def_Flows[CC?],,0,)</f>
        <v>0</v>
      </c>
      <c r="M347" s="51"/>
      <c r="N347" s="51"/>
      <c r="O347" s="88"/>
      <c r="P347" s="51"/>
      <c r="Q347" s="51"/>
      <c r="R347" s="51"/>
      <c r="S347" s="51"/>
      <c r="T347" s="51"/>
      <c r="U347" s="51"/>
      <c r="V347" s="51"/>
      <c r="W347" s="51"/>
      <c r="X347" s="51"/>
      <c r="Y347" s="51"/>
      <c r="Z347" s="51"/>
      <c r="AA347" s="89">
        <f t="shared" si="40"/>
        <v>0</v>
      </c>
      <c r="AB347" s="51"/>
      <c r="AC347" s="114" t="e">
        <f>INDEX(Tab_Def_Flows[[Flow_ID]:[CC_DM_source]],MATCH(Tab_Data_Flows[[#This Row],[Name(EN)]],Tab_Def_Flows[Name(EN)],0),16)</f>
        <v>#N/A</v>
      </c>
      <c r="AD347" s="115" t="str">
        <f>IF(J347="Yes",AA347*Tab_Data_Flows[[#This Row],[WC_'[%']]],"N.A.")</f>
        <v>N.A.</v>
      </c>
      <c r="AE347" s="61">
        <f>Tab_Data_Flows[[#This Row],[UoM_Flow_Py]]</f>
        <v>0</v>
      </c>
      <c r="AF347" s="114" t="e">
        <f>INDEX(Tab_Def_Flows[[Flow_ID]:[CC_DM_source]],MATCH(Tab_Data_Flows[[#This Row],[Name(EN)]],Tab_Def_Flows[Name(EN)],0),18)</f>
        <v>#N/A</v>
      </c>
      <c r="AG347" s="115" t="str">
        <f>IF(K347="Yes",AF347*Tab_Data_Flows[[#This Row],[Flow_Py]],"N.A.")</f>
        <v>N.A.</v>
      </c>
      <c r="AH347" s="61">
        <f>Tab_Data_Flows[[#This Row],[UoM_Flow_Py]]</f>
        <v>0</v>
      </c>
      <c r="AI347" s="114" t="e">
        <f>INDEX(Tab_Def_Flows[[Flow_ID]:[CC_DM_source]],MATCH(Tab_Data_Flows[[#This Row],[Name(EN)]],Tab_Def_Flows[Name(EN)],0),20)</f>
        <v>#N/A</v>
      </c>
      <c r="AJ347" s="115" t="str">
        <f>IF(L347="Yes",AI347*Tab_Data_Flows[[#This Row],[Flow_Py]],"N.A.")</f>
        <v>N.A.</v>
      </c>
      <c r="AK347" s="61">
        <f>Tab_Data_Flows[[#This Row],[UoM_Flow_Py]]</f>
        <v>0</v>
      </c>
    </row>
    <row r="348" spans="1:37" x14ac:dyDescent="0.35">
      <c r="A348" s="60">
        <f t="shared" si="38"/>
        <v>347</v>
      </c>
      <c r="B348" s="49" t="str">
        <f>_xlfn.XLOOKUP(C348,Tab_Def_Flows[Name(EN)],Tab_Def_Flows[Flow_ID],,0,)</f>
        <v>F_21_21</v>
      </c>
      <c r="C348" s="51"/>
      <c r="D348" s="49">
        <f>_xlfn.XLOOKUP(C348,Tab_Def_Flows[Name(EN)],Tab_Def_Flows[Type_Biomass],,0,)</f>
        <v>0</v>
      </c>
      <c r="E348" s="49">
        <f>_xlfn.XLOOKUP(C348,Tab_Def_Flows[Name(EN)],Tab_Def_Flows[Output_Process],,0,)</f>
        <v>0</v>
      </c>
      <c r="F348" s="49" t="str">
        <f>_xlfn.XLOOKUP(C348,Tab_Def_Flows[Name(EN)],Tab_Def_Flows[Process_ID_O],,0,)</f>
        <v>21__</v>
      </c>
      <c r="G348" s="49">
        <f>_xlfn.XLOOKUP(C348,Tab_Def_Flows[Name(EN)],Tab_Def_Flows[Input_Process],,0,)</f>
        <v>0</v>
      </c>
      <c r="H348" s="61" t="str">
        <f>_xlfn.XLOOKUP(C348,Tab_Def_Flows[Name(EN)],Tab_Def_Flows[Process_ID_I],,0,)</f>
        <v>21__</v>
      </c>
      <c r="I348" s="49">
        <f>_xlfn.XLOOKUP(C348,Tab_Def_Flows[Name(EN)],Tab_Def_Flows[Value_Source],,0,)</f>
        <v>0</v>
      </c>
      <c r="J348" s="49">
        <f>_xlfn.XLOOKUP(C348,Tab_Def_Flows[Name(EN)],Tab_Def_Flows[WC?],,0,)</f>
        <v>0</v>
      </c>
      <c r="K348" s="49">
        <f>_xlfn.XLOOKUP(C348,Tab_Def_Flows[Name(EN)],Tab_Def_Flows[DM?],,0,)</f>
        <v>0</v>
      </c>
      <c r="L348" s="49">
        <f>_xlfn.XLOOKUP(C348,Tab_Def_Flows[Name(EN)],Tab_Def_Flows[CC?],,0,)</f>
        <v>0</v>
      </c>
      <c r="M348" s="51"/>
      <c r="N348" s="51"/>
      <c r="O348" s="88"/>
      <c r="P348" s="51"/>
      <c r="Q348" s="51"/>
      <c r="R348" s="51"/>
      <c r="S348" s="51"/>
      <c r="T348" s="51"/>
      <c r="U348" s="51"/>
      <c r="V348" s="51"/>
      <c r="W348" s="51"/>
      <c r="X348" s="51"/>
      <c r="Y348" s="51"/>
      <c r="Z348" s="51"/>
      <c r="AA348" s="89">
        <f t="shared" si="40"/>
        <v>0</v>
      </c>
      <c r="AB348" s="51"/>
      <c r="AC348" s="114" t="e">
        <f>INDEX(Tab_Def_Flows[[Flow_ID]:[CC_DM_source]],MATCH(Tab_Data_Flows[[#This Row],[Name(EN)]],Tab_Def_Flows[Name(EN)],0),16)</f>
        <v>#N/A</v>
      </c>
      <c r="AD348" s="115" t="str">
        <f>IF(J348="Yes",AA348*Tab_Data_Flows[[#This Row],[WC_'[%']]],"N.A.")</f>
        <v>N.A.</v>
      </c>
      <c r="AE348" s="61">
        <f>Tab_Data_Flows[[#This Row],[UoM_Flow_Py]]</f>
        <v>0</v>
      </c>
      <c r="AF348" s="114" t="e">
        <f>INDEX(Tab_Def_Flows[[Flow_ID]:[CC_DM_source]],MATCH(Tab_Data_Flows[[#This Row],[Name(EN)]],Tab_Def_Flows[Name(EN)],0),18)</f>
        <v>#N/A</v>
      </c>
      <c r="AG348" s="115" t="str">
        <f>IF(K348="Yes",AF348*Tab_Data_Flows[[#This Row],[Flow_Py]],"N.A.")</f>
        <v>N.A.</v>
      </c>
      <c r="AH348" s="61">
        <f>Tab_Data_Flows[[#This Row],[UoM_Flow_Py]]</f>
        <v>0</v>
      </c>
      <c r="AI348" s="114" t="e">
        <f>INDEX(Tab_Def_Flows[[Flow_ID]:[CC_DM_source]],MATCH(Tab_Data_Flows[[#This Row],[Name(EN)]],Tab_Def_Flows[Name(EN)],0),20)</f>
        <v>#N/A</v>
      </c>
      <c r="AJ348" s="115" t="str">
        <f>IF(L348="Yes",AI348*Tab_Data_Flows[[#This Row],[Flow_Py]],"N.A.")</f>
        <v>N.A.</v>
      </c>
      <c r="AK348" s="61">
        <f>Tab_Data_Flows[[#This Row],[UoM_Flow_Py]]</f>
        <v>0</v>
      </c>
    </row>
    <row r="349" spans="1:37" x14ac:dyDescent="0.35">
      <c r="A349" s="60">
        <f t="shared" si="38"/>
        <v>348</v>
      </c>
      <c r="B349" s="49" t="str">
        <f>_xlfn.XLOOKUP(C349,Tab_Def_Flows[Name(EN)],Tab_Def_Flows[Flow_ID],,0,)</f>
        <v>F_21_21</v>
      </c>
      <c r="C349" s="51"/>
      <c r="D349" s="49">
        <f>_xlfn.XLOOKUP(C349,Tab_Def_Flows[Name(EN)],Tab_Def_Flows[Type_Biomass],,0,)</f>
        <v>0</v>
      </c>
      <c r="E349" s="49">
        <f>_xlfn.XLOOKUP(C349,Tab_Def_Flows[Name(EN)],Tab_Def_Flows[Output_Process],,0,)</f>
        <v>0</v>
      </c>
      <c r="F349" s="49" t="str">
        <f>_xlfn.XLOOKUP(C349,Tab_Def_Flows[Name(EN)],Tab_Def_Flows[Process_ID_O],,0,)</f>
        <v>21__</v>
      </c>
      <c r="G349" s="49">
        <f>_xlfn.XLOOKUP(C349,Tab_Def_Flows[Name(EN)],Tab_Def_Flows[Input_Process],,0,)</f>
        <v>0</v>
      </c>
      <c r="H349" s="61" t="str">
        <f>_xlfn.XLOOKUP(C349,Tab_Def_Flows[Name(EN)],Tab_Def_Flows[Process_ID_I],,0,)</f>
        <v>21__</v>
      </c>
      <c r="I349" s="49">
        <f>_xlfn.XLOOKUP(C349,Tab_Def_Flows[Name(EN)],Tab_Def_Flows[Value_Source],,0,)</f>
        <v>0</v>
      </c>
      <c r="J349" s="49">
        <f>_xlfn.XLOOKUP(C349,Tab_Def_Flows[Name(EN)],Tab_Def_Flows[WC?],,0,)</f>
        <v>0</v>
      </c>
      <c r="K349" s="49">
        <f>_xlfn.XLOOKUP(C349,Tab_Def_Flows[Name(EN)],Tab_Def_Flows[DM?],,0,)</f>
        <v>0</v>
      </c>
      <c r="L349" s="49">
        <f>_xlfn.XLOOKUP(C349,Tab_Def_Flows[Name(EN)],Tab_Def_Flows[CC?],,0,)</f>
        <v>0</v>
      </c>
      <c r="M349" s="51"/>
      <c r="N349" s="51"/>
      <c r="O349" s="88"/>
      <c r="P349" s="51"/>
      <c r="Q349" s="51"/>
      <c r="R349" s="51"/>
      <c r="S349" s="51"/>
      <c r="T349" s="51"/>
      <c r="U349" s="51"/>
      <c r="V349" s="51"/>
      <c r="W349" s="51"/>
      <c r="X349" s="51"/>
      <c r="Y349" s="51"/>
      <c r="Z349" s="51"/>
      <c r="AA349" s="89">
        <f t="shared" si="40"/>
        <v>0</v>
      </c>
      <c r="AB349" s="51"/>
      <c r="AC349" s="114" t="e">
        <f>INDEX(Tab_Def_Flows[[Flow_ID]:[CC_DM_source]],MATCH(Tab_Data_Flows[[#This Row],[Name(EN)]],Tab_Def_Flows[Name(EN)],0),16)</f>
        <v>#N/A</v>
      </c>
      <c r="AD349" s="115" t="str">
        <f>IF(J349="Yes",AA349*Tab_Data_Flows[[#This Row],[WC_'[%']]],"N.A.")</f>
        <v>N.A.</v>
      </c>
      <c r="AE349" s="61">
        <f>Tab_Data_Flows[[#This Row],[UoM_Flow_Py]]</f>
        <v>0</v>
      </c>
      <c r="AF349" s="114" t="e">
        <f>INDEX(Tab_Def_Flows[[Flow_ID]:[CC_DM_source]],MATCH(Tab_Data_Flows[[#This Row],[Name(EN)]],Tab_Def_Flows[Name(EN)],0),18)</f>
        <v>#N/A</v>
      </c>
      <c r="AG349" s="115" t="str">
        <f>IF(K349="Yes",AF349*Tab_Data_Flows[[#This Row],[Flow_Py]],"N.A.")</f>
        <v>N.A.</v>
      </c>
      <c r="AH349" s="61">
        <f>Tab_Data_Flows[[#This Row],[UoM_Flow_Py]]</f>
        <v>0</v>
      </c>
      <c r="AI349" s="114" t="e">
        <f>INDEX(Tab_Def_Flows[[Flow_ID]:[CC_DM_source]],MATCH(Tab_Data_Flows[[#This Row],[Name(EN)]],Tab_Def_Flows[Name(EN)],0),20)</f>
        <v>#N/A</v>
      </c>
      <c r="AJ349" s="115" t="str">
        <f>IF(L349="Yes",AI349*Tab_Data_Flows[[#This Row],[Flow_Py]],"N.A.")</f>
        <v>N.A.</v>
      </c>
      <c r="AK349" s="61">
        <f>Tab_Data_Flows[[#This Row],[UoM_Flow_Py]]</f>
        <v>0</v>
      </c>
    </row>
    <row r="350" spans="1:37" x14ac:dyDescent="0.35">
      <c r="A350" s="60">
        <f t="shared" si="38"/>
        <v>349</v>
      </c>
      <c r="B350" s="49" t="str">
        <f>_xlfn.XLOOKUP(C350,Tab_Def_Flows[Name(EN)],Tab_Def_Flows[Flow_ID],,0,)</f>
        <v>F_21_21</v>
      </c>
      <c r="C350" s="51"/>
      <c r="D350" s="49">
        <f>_xlfn.XLOOKUP(C350,Tab_Def_Flows[Name(EN)],Tab_Def_Flows[Type_Biomass],,0,)</f>
        <v>0</v>
      </c>
      <c r="E350" s="49">
        <f>_xlfn.XLOOKUP(C350,Tab_Def_Flows[Name(EN)],Tab_Def_Flows[Output_Process],,0,)</f>
        <v>0</v>
      </c>
      <c r="F350" s="49" t="str">
        <f>_xlfn.XLOOKUP(C350,Tab_Def_Flows[Name(EN)],Tab_Def_Flows[Process_ID_O],,0,)</f>
        <v>21__</v>
      </c>
      <c r="G350" s="49">
        <f>_xlfn.XLOOKUP(C350,Tab_Def_Flows[Name(EN)],Tab_Def_Flows[Input_Process],,0,)</f>
        <v>0</v>
      </c>
      <c r="H350" s="61" t="str">
        <f>_xlfn.XLOOKUP(C350,Tab_Def_Flows[Name(EN)],Tab_Def_Flows[Process_ID_I],,0,)</f>
        <v>21__</v>
      </c>
      <c r="I350" s="49">
        <f>_xlfn.XLOOKUP(C350,Tab_Def_Flows[Name(EN)],Tab_Def_Flows[Value_Source],,0,)</f>
        <v>0</v>
      </c>
      <c r="J350" s="49">
        <f>_xlfn.XLOOKUP(C350,Tab_Def_Flows[Name(EN)],Tab_Def_Flows[WC?],,0,)</f>
        <v>0</v>
      </c>
      <c r="K350" s="49">
        <f>_xlfn.XLOOKUP(C350,Tab_Def_Flows[Name(EN)],Tab_Def_Flows[DM?],,0,)</f>
        <v>0</v>
      </c>
      <c r="L350" s="49">
        <f>_xlfn.XLOOKUP(C350,Tab_Def_Flows[Name(EN)],Tab_Def_Flows[CC?],,0,)</f>
        <v>0</v>
      </c>
      <c r="M350" s="51"/>
      <c r="N350" s="51"/>
      <c r="O350" s="88"/>
      <c r="P350" s="51"/>
      <c r="Q350" s="51"/>
      <c r="R350" s="51"/>
      <c r="S350" s="51"/>
      <c r="T350" s="51"/>
      <c r="U350" s="51"/>
      <c r="V350" s="51"/>
      <c r="W350" s="51"/>
      <c r="X350" s="51"/>
      <c r="Y350" s="51"/>
      <c r="Z350" s="51"/>
      <c r="AA350" s="89">
        <f t="shared" si="40"/>
        <v>0</v>
      </c>
      <c r="AB350" s="51"/>
      <c r="AC350" s="114" t="e">
        <f>INDEX(Tab_Def_Flows[[Flow_ID]:[CC_DM_source]],MATCH(Tab_Data_Flows[[#This Row],[Name(EN)]],Tab_Def_Flows[Name(EN)],0),16)</f>
        <v>#N/A</v>
      </c>
      <c r="AD350" s="115" t="str">
        <f>IF(J350="Yes",AA350*Tab_Data_Flows[[#This Row],[WC_'[%']]],"N.A.")</f>
        <v>N.A.</v>
      </c>
      <c r="AE350" s="61">
        <f>Tab_Data_Flows[[#This Row],[UoM_Flow_Py]]</f>
        <v>0</v>
      </c>
      <c r="AF350" s="114" t="e">
        <f>INDEX(Tab_Def_Flows[[Flow_ID]:[CC_DM_source]],MATCH(Tab_Data_Flows[[#This Row],[Name(EN)]],Tab_Def_Flows[Name(EN)],0),18)</f>
        <v>#N/A</v>
      </c>
      <c r="AG350" s="115" t="str">
        <f>IF(K350="Yes",AF350*Tab_Data_Flows[[#This Row],[Flow_Py]],"N.A.")</f>
        <v>N.A.</v>
      </c>
      <c r="AH350" s="61">
        <f>Tab_Data_Flows[[#This Row],[UoM_Flow_Py]]</f>
        <v>0</v>
      </c>
      <c r="AI350" s="114" t="e">
        <f>INDEX(Tab_Def_Flows[[Flow_ID]:[CC_DM_source]],MATCH(Tab_Data_Flows[[#This Row],[Name(EN)]],Tab_Def_Flows[Name(EN)],0),20)</f>
        <v>#N/A</v>
      </c>
      <c r="AJ350" s="115" t="str">
        <f>IF(L350="Yes",AI350*Tab_Data_Flows[[#This Row],[Flow_Py]],"N.A.")</f>
        <v>N.A.</v>
      </c>
      <c r="AK350" s="61">
        <f>Tab_Data_Flows[[#This Row],[UoM_Flow_Py]]</f>
        <v>0</v>
      </c>
    </row>
    <row r="351" spans="1:37" x14ac:dyDescent="0.35">
      <c r="A351" s="60">
        <f t="shared" si="38"/>
        <v>350</v>
      </c>
      <c r="B351" s="49" t="str">
        <f>_xlfn.XLOOKUP(C351,Tab_Def_Flows[Name(EN)],Tab_Def_Flows[Flow_ID],,0,)</f>
        <v>F_21_21</v>
      </c>
      <c r="C351" s="51"/>
      <c r="D351" s="49">
        <f>_xlfn.XLOOKUP(C351,Tab_Def_Flows[Name(EN)],Tab_Def_Flows[Type_Biomass],,0,)</f>
        <v>0</v>
      </c>
      <c r="E351" s="49">
        <f>_xlfn.XLOOKUP(C351,Tab_Def_Flows[Name(EN)],Tab_Def_Flows[Output_Process],,0,)</f>
        <v>0</v>
      </c>
      <c r="F351" s="49" t="str">
        <f>_xlfn.XLOOKUP(C351,Tab_Def_Flows[Name(EN)],Tab_Def_Flows[Process_ID_O],,0,)</f>
        <v>21__</v>
      </c>
      <c r="G351" s="49">
        <f>_xlfn.XLOOKUP(C351,Tab_Def_Flows[Name(EN)],Tab_Def_Flows[Input_Process],,0,)</f>
        <v>0</v>
      </c>
      <c r="H351" s="61" t="str">
        <f>_xlfn.XLOOKUP(C351,Tab_Def_Flows[Name(EN)],Tab_Def_Flows[Process_ID_I],,0,)</f>
        <v>21__</v>
      </c>
      <c r="I351" s="49">
        <f>_xlfn.XLOOKUP(C351,Tab_Def_Flows[Name(EN)],Tab_Def_Flows[Value_Source],,0,)</f>
        <v>0</v>
      </c>
      <c r="J351" s="49">
        <f>_xlfn.XLOOKUP(C351,Tab_Def_Flows[Name(EN)],Tab_Def_Flows[WC?],,0,)</f>
        <v>0</v>
      </c>
      <c r="K351" s="49">
        <f>_xlfn.XLOOKUP(C351,Tab_Def_Flows[Name(EN)],Tab_Def_Flows[DM?],,0,)</f>
        <v>0</v>
      </c>
      <c r="L351" s="49">
        <f>_xlfn.XLOOKUP(C351,Tab_Def_Flows[Name(EN)],Tab_Def_Flows[CC?],,0,)</f>
        <v>0</v>
      </c>
      <c r="M351" s="51"/>
      <c r="N351" s="51"/>
      <c r="O351" s="88"/>
      <c r="P351" s="51"/>
      <c r="Q351" s="51"/>
      <c r="R351" s="51"/>
      <c r="S351" s="51"/>
      <c r="T351" s="51"/>
      <c r="U351" s="51"/>
      <c r="V351" s="51"/>
      <c r="W351" s="51"/>
      <c r="X351" s="51"/>
      <c r="Y351" s="51"/>
      <c r="Z351" s="51"/>
      <c r="AA351" s="89">
        <f t="shared" si="40"/>
        <v>0</v>
      </c>
      <c r="AB351" s="51"/>
      <c r="AC351" s="114" t="e">
        <f>INDEX(Tab_Def_Flows[[Flow_ID]:[CC_DM_source]],MATCH(Tab_Data_Flows[[#This Row],[Name(EN)]],Tab_Def_Flows[Name(EN)],0),16)</f>
        <v>#N/A</v>
      </c>
      <c r="AD351" s="115" t="str">
        <f>IF(J351="Yes",AA351*Tab_Data_Flows[[#This Row],[WC_'[%']]],"N.A.")</f>
        <v>N.A.</v>
      </c>
      <c r="AE351" s="61">
        <f>Tab_Data_Flows[[#This Row],[UoM_Flow_Py]]</f>
        <v>0</v>
      </c>
      <c r="AF351" s="114" t="e">
        <f>INDEX(Tab_Def_Flows[[Flow_ID]:[CC_DM_source]],MATCH(Tab_Data_Flows[[#This Row],[Name(EN)]],Tab_Def_Flows[Name(EN)],0),18)</f>
        <v>#N/A</v>
      </c>
      <c r="AG351" s="115" t="str">
        <f>IF(K351="Yes",AF351*Tab_Data_Flows[[#This Row],[Flow_Py]],"N.A.")</f>
        <v>N.A.</v>
      </c>
      <c r="AH351" s="61">
        <f>Tab_Data_Flows[[#This Row],[UoM_Flow_Py]]</f>
        <v>0</v>
      </c>
      <c r="AI351" s="114" t="e">
        <f>INDEX(Tab_Def_Flows[[Flow_ID]:[CC_DM_source]],MATCH(Tab_Data_Flows[[#This Row],[Name(EN)]],Tab_Def_Flows[Name(EN)],0),20)</f>
        <v>#N/A</v>
      </c>
      <c r="AJ351" s="115" t="str">
        <f>IF(L351="Yes",AI351*Tab_Data_Flows[[#This Row],[Flow_Py]],"N.A.")</f>
        <v>N.A.</v>
      </c>
      <c r="AK351" s="61">
        <f>Tab_Data_Flows[[#This Row],[UoM_Flow_Py]]</f>
        <v>0</v>
      </c>
    </row>
    <row r="352" spans="1:37" x14ac:dyDescent="0.35">
      <c r="A352" s="60">
        <f t="shared" si="38"/>
        <v>351</v>
      </c>
      <c r="B352" s="49" t="str">
        <f>_xlfn.XLOOKUP(C352,Tab_Def_Flows[Name(EN)],Tab_Def_Flows[Flow_ID],,0,)</f>
        <v>F_21_21</v>
      </c>
      <c r="C352" s="51"/>
      <c r="D352" s="49">
        <f>_xlfn.XLOOKUP(C352,Tab_Def_Flows[Name(EN)],Tab_Def_Flows[Type_Biomass],,0,)</f>
        <v>0</v>
      </c>
      <c r="E352" s="49">
        <f>_xlfn.XLOOKUP(C352,Tab_Def_Flows[Name(EN)],Tab_Def_Flows[Output_Process],,0,)</f>
        <v>0</v>
      </c>
      <c r="F352" s="49" t="str">
        <f>_xlfn.XLOOKUP(C352,Tab_Def_Flows[Name(EN)],Tab_Def_Flows[Process_ID_O],,0,)</f>
        <v>21__</v>
      </c>
      <c r="G352" s="49">
        <f>_xlfn.XLOOKUP(C352,Tab_Def_Flows[Name(EN)],Tab_Def_Flows[Input_Process],,0,)</f>
        <v>0</v>
      </c>
      <c r="H352" s="61" t="str">
        <f>_xlfn.XLOOKUP(C352,Tab_Def_Flows[Name(EN)],Tab_Def_Flows[Process_ID_I],,0,)</f>
        <v>21__</v>
      </c>
      <c r="I352" s="49">
        <f>_xlfn.XLOOKUP(C352,Tab_Def_Flows[Name(EN)],Tab_Def_Flows[Value_Source],,0,)</f>
        <v>0</v>
      </c>
      <c r="J352" s="49">
        <f>_xlfn.XLOOKUP(C352,Tab_Def_Flows[Name(EN)],Tab_Def_Flows[WC?],,0,)</f>
        <v>0</v>
      </c>
      <c r="K352" s="49">
        <f>_xlfn.XLOOKUP(C352,Tab_Def_Flows[Name(EN)],Tab_Def_Flows[DM?],,0,)</f>
        <v>0</v>
      </c>
      <c r="L352" s="49">
        <f>_xlfn.XLOOKUP(C352,Tab_Def_Flows[Name(EN)],Tab_Def_Flows[CC?],,0,)</f>
        <v>0</v>
      </c>
      <c r="M352" s="51"/>
      <c r="N352" s="51"/>
      <c r="O352" s="88"/>
      <c r="P352" s="51"/>
      <c r="Q352" s="51"/>
      <c r="R352" s="51"/>
      <c r="S352" s="51"/>
      <c r="T352" s="51"/>
      <c r="U352" s="51"/>
      <c r="V352" s="51"/>
      <c r="W352" s="51"/>
      <c r="X352" s="51"/>
      <c r="Y352" s="51"/>
      <c r="Z352" s="51"/>
      <c r="AA352" s="89">
        <f t="shared" si="40"/>
        <v>0</v>
      </c>
      <c r="AB352" s="51"/>
      <c r="AC352" s="114" t="e">
        <f>INDEX(Tab_Def_Flows[[Flow_ID]:[CC_DM_source]],MATCH(Tab_Data_Flows[[#This Row],[Name(EN)]],Tab_Def_Flows[Name(EN)],0),16)</f>
        <v>#N/A</v>
      </c>
      <c r="AD352" s="115" t="str">
        <f>IF(J352="Yes",AA352*Tab_Data_Flows[[#This Row],[WC_'[%']]],"N.A.")</f>
        <v>N.A.</v>
      </c>
      <c r="AE352" s="61">
        <f>Tab_Data_Flows[[#This Row],[UoM_Flow_Py]]</f>
        <v>0</v>
      </c>
      <c r="AF352" s="114" t="e">
        <f>INDEX(Tab_Def_Flows[[Flow_ID]:[CC_DM_source]],MATCH(Tab_Data_Flows[[#This Row],[Name(EN)]],Tab_Def_Flows[Name(EN)],0),18)</f>
        <v>#N/A</v>
      </c>
      <c r="AG352" s="115" t="str">
        <f>IF(K352="Yes",AF352*Tab_Data_Flows[[#This Row],[Flow_Py]],"N.A.")</f>
        <v>N.A.</v>
      </c>
      <c r="AH352" s="61">
        <f>Tab_Data_Flows[[#This Row],[UoM_Flow_Py]]</f>
        <v>0</v>
      </c>
      <c r="AI352" s="114" t="e">
        <f>INDEX(Tab_Def_Flows[[Flow_ID]:[CC_DM_source]],MATCH(Tab_Data_Flows[[#This Row],[Name(EN)]],Tab_Def_Flows[Name(EN)],0),20)</f>
        <v>#N/A</v>
      </c>
      <c r="AJ352" s="115" t="str">
        <f>IF(L352="Yes",AI352*Tab_Data_Flows[[#This Row],[Flow_Py]],"N.A.")</f>
        <v>N.A.</v>
      </c>
      <c r="AK352" s="61">
        <f>Tab_Data_Flows[[#This Row],[UoM_Flow_Py]]</f>
        <v>0</v>
      </c>
    </row>
    <row r="353" spans="1:37" x14ac:dyDescent="0.35">
      <c r="A353" s="60">
        <f t="shared" ref="A353:A400" si="41">ROW()-1</f>
        <v>352</v>
      </c>
      <c r="B353" s="49" t="str">
        <f>_xlfn.XLOOKUP(C353,Tab_Def_Flows[Name(EN)],Tab_Def_Flows[Flow_ID],,0,)</f>
        <v>F_21_21</v>
      </c>
      <c r="C353" s="51"/>
      <c r="D353" s="49">
        <f>_xlfn.XLOOKUP(C353,Tab_Def_Flows[Name(EN)],Tab_Def_Flows[Type_Biomass],,0,)</f>
        <v>0</v>
      </c>
      <c r="E353" s="49">
        <f>_xlfn.XLOOKUP(C353,Tab_Def_Flows[Name(EN)],Tab_Def_Flows[Output_Process],,0,)</f>
        <v>0</v>
      </c>
      <c r="F353" s="49" t="str">
        <f>_xlfn.XLOOKUP(C353,Tab_Def_Flows[Name(EN)],Tab_Def_Flows[Process_ID_O],,0,)</f>
        <v>21__</v>
      </c>
      <c r="G353" s="49">
        <f>_xlfn.XLOOKUP(C353,Tab_Def_Flows[Name(EN)],Tab_Def_Flows[Input_Process],,0,)</f>
        <v>0</v>
      </c>
      <c r="H353" s="61" t="str">
        <f>_xlfn.XLOOKUP(C353,Tab_Def_Flows[Name(EN)],Tab_Def_Flows[Process_ID_I],,0,)</f>
        <v>21__</v>
      </c>
      <c r="I353" s="49">
        <f>_xlfn.XLOOKUP(C353,Tab_Def_Flows[Name(EN)],Tab_Def_Flows[Value_Source],,0,)</f>
        <v>0</v>
      </c>
      <c r="J353" s="49">
        <f>_xlfn.XLOOKUP(C353,Tab_Def_Flows[Name(EN)],Tab_Def_Flows[WC?],,0,)</f>
        <v>0</v>
      </c>
      <c r="K353" s="49">
        <f>_xlfn.XLOOKUP(C353,Tab_Def_Flows[Name(EN)],Tab_Def_Flows[DM?],,0,)</f>
        <v>0</v>
      </c>
      <c r="L353" s="49">
        <f>_xlfn.XLOOKUP(C353,Tab_Def_Flows[Name(EN)],Tab_Def_Flows[CC?],,0,)</f>
        <v>0</v>
      </c>
      <c r="M353" s="51"/>
      <c r="N353" s="51"/>
      <c r="O353" s="88"/>
      <c r="P353" s="51"/>
      <c r="Q353" s="51"/>
      <c r="R353" s="51"/>
      <c r="S353" s="51"/>
      <c r="T353" s="51"/>
      <c r="U353" s="51"/>
      <c r="V353" s="51"/>
      <c r="W353" s="51"/>
      <c r="X353" s="51"/>
      <c r="Y353" s="51"/>
      <c r="Z353" s="51"/>
      <c r="AA353" s="89">
        <f t="shared" si="40"/>
        <v>0</v>
      </c>
      <c r="AB353" s="51"/>
      <c r="AC353" s="114" t="e">
        <f>INDEX(Tab_Def_Flows[[Flow_ID]:[CC_DM_source]],MATCH(Tab_Data_Flows[[#This Row],[Name(EN)]],Tab_Def_Flows[Name(EN)],0),16)</f>
        <v>#N/A</v>
      </c>
      <c r="AD353" s="115" t="str">
        <f>IF(J353="Yes",AA353*Tab_Data_Flows[[#This Row],[WC_'[%']]],"N.A.")</f>
        <v>N.A.</v>
      </c>
      <c r="AE353" s="61">
        <f>Tab_Data_Flows[[#This Row],[UoM_Flow_Py]]</f>
        <v>0</v>
      </c>
      <c r="AF353" s="114" t="e">
        <f>INDEX(Tab_Def_Flows[[Flow_ID]:[CC_DM_source]],MATCH(Tab_Data_Flows[[#This Row],[Name(EN)]],Tab_Def_Flows[Name(EN)],0),18)</f>
        <v>#N/A</v>
      </c>
      <c r="AG353" s="115" t="str">
        <f>IF(K353="Yes",AF353*Tab_Data_Flows[[#This Row],[Flow_Py]],"N.A.")</f>
        <v>N.A.</v>
      </c>
      <c r="AH353" s="61">
        <f>Tab_Data_Flows[[#This Row],[UoM_Flow_Py]]</f>
        <v>0</v>
      </c>
      <c r="AI353" s="114" t="e">
        <f>INDEX(Tab_Def_Flows[[Flow_ID]:[CC_DM_source]],MATCH(Tab_Data_Flows[[#This Row],[Name(EN)]],Tab_Def_Flows[Name(EN)],0),20)</f>
        <v>#N/A</v>
      </c>
      <c r="AJ353" s="115" t="str">
        <f>IF(L353="Yes",AI353*Tab_Data_Flows[[#This Row],[Flow_Py]],"N.A.")</f>
        <v>N.A.</v>
      </c>
      <c r="AK353" s="61">
        <f>Tab_Data_Flows[[#This Row],[UoM_Flow_Py]]</f>
        <v>0</v>
      </c>
    </row>
    <row r="354" spans="1:37" x14ac:dyDescent="0.35">
      <c r="A354" s="60">
        <f t="shared" si="41"/>
        <v>353</v>
      </c>
      <c r="B354" s="49" t="str">
        <f>_xlfn.XLOOKUP(C354,Tab_Def_Flows[Name(EN)],Tab_Def_Flows[Flow_ID],,0,)</f>
        <v>F_21_21</v>
      </c>
      <c r="C354" s="51"/>
      <c r="D354" s="49">
        <f>_xlfn.XLOOKUP(C354,Tab_Def_Flows[Name(EN)],Tab_Def_Flows[Type_Biomass],,0,)</f>
        <v>0</v>
      </c>
      <c r="E354" s="49">
        <f>_xlfn.XLOOKUP(C354,Tab_Def_Flows[Name(EN)],Tab_Def_Flows[Output_Process],,0,)</f>
        <v>0</v>
      </c>
      <c r="F354" s="49" t="str">
        <f>_xlfn.XLOOKUP(C354,Tab_Def_Flows[Name(EN)],Tab_Def_Flows[Process_ID_O],,0,)</f>
        <v>21__</v>
      </c>
      <c r="G354" s="49">
        <f>_xlfn.XLOOKUP(C354,Tab_Def_Flows[Name(EN)],Tab_Def_Flows[Input_Process],,0,)</f>
        <v>0</v>
      </c>
      <c r="H354" s="61" t="str">
        <f>_xlfn.XLOOKUP(C354,Tab_Def_Flows[Name(EN)],Tab_Def_Flows[Process_ID_I],,0,)</f>
        <v>21__</v>
      </c>
      <c r="I354" s="49">
        <f>_xlfn.XLOOKUP(C354,Tab_Def_Flows[Name(EN)],Tab_Def_Flows[Value_Source],,0,)</f>
        <v>0</v>
      </c>
      <c r="J354" s="49">
        <f>_xlfn.XLOOKUP(C354,Tab_Def_Flows[Name(EN)],Tab_Def_Flows[WC?],,0,)</f>
        <v>0</v>
      </c>
      <c r="K354" s="49">
        <f>_xlfn.XLOOKUP(C354,Tab_Def_Flows[Name(EN)],Tab_Def_Flows[DM?],,0,)</f>
        <v>0</v>
      </c>
      <c r="L354" s="49">
        <f>_xlfn.XLOOKUP(C354,Tab_Def_Flows[Name(EN)],Tab_Def_Flows[CC?],,0,)</f>
        <v>0</v>
      </c>
      <c r="M354" s="51"/>
      <c r="N354" s="51"/>
      <c r="O354" s="88"/>
      <c r="P354" s="51"/>
      <c r="Q354" s="51"/>
      <c r="R354" s="51"/>
      <c r="S354" s="51"/>
      <c r="T354" s="51"/>
      <c r="U354" s="51"/>
      <c r="V354" s="51"/>
      <c r="W354" s="51"/>
      <c r="X354" s="51"/>
      <c r="Y354" s="51"/>
      <c r="Z354" s="51"/>
      <c r="AA354" s="89">
        <f t="shared" si="40"/>
        <v>0</v>
      </c>
      <c r="AB354" s="51"/>
      <c r="AC354" s="114" t="e">
        <f>INDEX(Tab_Def_Flows[[Flow_ID]:[CC_DM_source]],MATCH(Tab_Data_Flows[[#This Row],[Name(EN)]],Tab_Def_Flows[Name(EN)],0),16)</f>
        <v>#N/A</v>
      </c>
      <c r="AD354" s="115" t="str">
        <f>IF(J354="Yes",AA354*Tab_Data_Flows[[#This Row],[WC_'[%']]],"N.A.")</f>
        <v>N.A.</v>
      </c>
      <c r="AE354" s="61">
        <f>Tab_Data_Flows[[#This Row],[UoM_Flow_Py]]</f>
        <v>0</v>
      </c>
      <c r="AF354" s="114" t="e">
        <f>INDEX(Tab_Def_Flows[[Flow_ID]:[CC_DM_source]],MATCH(Tab_Data_Flows[[#This Row],[Name(EN)]],Tab_Def_Flows[Name(EN)],0),18)</f>
        <v>#N/A</v>
      </c>
      <c r="AG354" s="115" t="str">
        <f>IF(K354="Yes",AF354*Tab_Data_Flows[[#This Row],[Flow_Py]],"N.A.")</f>
        <v>N.A.</v>
      </c>
      <c r="AH354" s="61">
        <f>Tab_Data_Flows[[#This Row],[UoM_Flow_Py]]</f>
        <v>0</v>
      </c>
      <c r="AI354" s="114" t="e">
        <f>INDEX(Tab_Def_Flows[[Flow_ID]:[CC_DM_source]],MATCH(Tab_Data_Flows[[#This Row],[Name(EN)]],Tab_Def_Flows[Name(EN)],0),20)</f>
        <v>#N/A</v>
      </c>
      <c r="AJ354" s="115" t="str">
        <f>IF(L354="Yes",AI354*Tab_Data_Flows[[#This Row],[Flow_Py]],"N.A.")</f>
        <v>N.A.</v>
      </c>
      <c r="AK354" s="61">
        <f>Tab_Data_Flows[[#This Row],[UoM_Flow_Py]]</f>
        <v>0</v>
      </c>
    </row>
    <row r="355" spans="1:37" x14ac:dyDescent="0.35">
      <c r="A355" s="60">
        <f t="shared" si="41"/>
        <v>354</v>
      </c>
      <c r="B355" s="49" t="str">
        <f>_xlfn.XLOOKUP(C355,Tab_Def_Flows[Name(EN)],Tab_Def_Flows[Flow_ID],,0,)</f>
        <v>F_21_21</v>
      </c>
      <c r="C355" s="51"/>
      <c r="D355" s="49">
        <f>_xlfn.XLOOKUP(C355,Tab_Def_Flows[Name(EN)],Tab_Def_Flows[Type_Biomass],,0,)</f>
        <v>0</v>
      </c>
      <c r="E355" s="49">
        <f>_xlfn.XLOOKUP(C355,Tab_Def_Flows[Name(EN)],Tab_Def_Flows[Output_Process],,0,)</f>
        <v>0</v>
      </c>
      <c r="F355" s="49" t="str">
        <f>_xlfn.XLOOKUP(C355,Tab_Def_Flows[Name(EN)],Tab_Def_Flows[Process_ID_O],,0,)</f>
        <v>21__</v>
      </c>
      <c r="G355" s="49">
        <f>_xlfn.XLOOKUP(C355,Tab_Def_Flows[Name(EN)],Tab_Def_Flows[Input_Process],,0,)</f>
        <v>0</v>
      </c>
      <c r="H355" s="61" t="str">
        <f>_xlfn.XLOOKUP(C355,Tab_Def_Flows[Name(EN)],Tab_Def_Flows[Process_ID_I],,0,)</f>
        <v>21__</v>
      </c>
      <c r="I355" s="49">
        <f>_xlfn.XLOOKUP(C355,Tab_Def_Flows[Name(EN)],Tab_Def_Flows[Value_Source],,0,)</f>
        <v>0</v>
      </c>
      <c r="J355" s="49">
        <f>_xlfn.XLOOKUP(C355,Tab_Def_Flows[Name(EN)],Tab_Def_Flows[WC?],,0,)</f>
        <v>0</v>
      </c>
      <c r="K355" s="49">
        <f>_xlfn.XLOOKUP(C355,Tab_Def_Flows[Name(EN)],Tab_Def_Flows[DM?],,0,)</f>
        <v>0</v>
      </c>
      <c r="L355" s="49">
        <f>_xlfn.XLOOKUP(C355,Tab_Def_Flows[Name(EN)],Tab_Def_Flows[CC?],,0,)</f>
        <v>0</v>
      </c>
      <c r="M355" s="51"/>
      <c r="N355" s="51"/>
      <c r="O355" s="88"/>
      <c r="P355" s="51"/>
      <c r="Q355" s="51"/>
      <c r="R355" s="51"/>
      <c r="S355" s="51"/>
      <c r="T355" s="51"/>
      <c r="U355" s="51"/>
      <c r="V355" s="51"/>
      <c r="W355" s="51"/>
      <c r="X355" s="51"/>
      <c r="Y355" s="51"/>
      <c r="Z355" s="51"/>
      <c r="AA355" s="89">
        <f t="shared" si="40"/>
        <v>0</v>
      </c>
      <c r="AB355" s="51"/>
      <c r="AC355" s="114" t="e">
        <f>INDEX(Tab_Def_Flows[[Flow_ID]:[CC_DM_source]],MATCH(Tab_Data_Flows[[#This Row],[Name(EN)]],Tab_Def_Flows[Name(EN)],0),16)</f>
        <v>#N/A</v>
      </c>
      <c r="AD355" s="115" t="str">
        <f>IF(J355="Yes",AA355*Tab_Data_Flows[[#This Row],[WC_'[%']]],"N.A.")</f>
        <v>N.A.</v>
      </c>
      <c r="AE355" s="61">
        <f>Tab_Data_Flows[[#This Row],[UoM_Flow_Py]]</f>
        <v>0</v>
      </c>
      <c r="AF355" s="114" t="e">
        <f>INDEX(Tab_Def_Flows[[Flow_ID]:[CC_DM_source]],MATCH(Tab_Data_Flows[[#This Row],[Name(EN)]],Tab_Def_Flows[Name(EN)],0),18)</f>
        <v>#N/A</v>
      </c>
      <c r="AG355" s="115" t="str">
        <f>IF(K355="Yes",AF355*Tab_Data_Flows[[#This Row],[Flow_Py]],"N.A.")</f>
        <v>N.A.</v>
      </c>
      <c r="AH355" s="61">
        <f>Tab_Data_Flows[[#This Row],[UoM_Flow_Py]]</f>
        <v>0</v>
      </c>
      <c r="AI355" s="114" t="e">
        <f>INDEX(Tab_Def_Flows[[Flow_ID]:[CC_DM_source]],MATCH(Tab_Data_Flows[[#This Row],[Name(EN)]],Tab_Def_Flows[Name(EN)],0),20)</f>
        <v>#N/A</v>
      </c>
      <c r="AJ355" s="115" t="str">
        <f>IF(L355="Yes",AI355*Tab_Data_Flows[[#This Row],[Flow_Py]],"N.A.")</f>
        <v>N.A.</v>
      </c>
      <c r="AK355" s="61">
        <f>Tab_Data_Flows[[#This Row],[UoM_Flow_Py]]</f>
        <v>0</v>
      </c>
    </row>
    <row r="356" spans="1:37" x14ac:dyDescent="0.35">
      <c r="A356" s="60">
        <f t="shared" si="41"/>
        <v>355</v>
      </c>
      <c r="B356" s="49" t="str">
        <f>_xlfn.XLOOKUP(C356,Tab_Def_Flows[Name(EN)],Tab_Def_Flows[Flow_ID],,0,)</f>
        <v>F_21_21</v>
      </c>
      <c r="C356" s="51"/>
      <c r="D356" s="49">
        <f>_xlfn.XLOOKUP(C356,Tab_Def_Flows[Name(EN)],Tab_Def_Flows[Type_Biomass],,0,)</f>
        <v>0</v>
      </c>
      <c r="E356" s="49">
        <f>_xlfn.XLOOKUP(C356,Tab_Def_Flows[Name(EN)],Tab_Def_Flows[Output_Process],,0,)</f>
        <v>0</v>
      </c>
      <c r="F356" s="49" t="str">
        <f>_xlfn.XLOOKUP(C356,Tab_Def_Flows[Name(EN)],Tab_Def_Flows[Process_ID_O],,0,)</f>
        <v>21__</v>
      </c>
      <c r="G356" s="49">
        <f>_xlfn.XLOOKUP(C356,Tab_Def_Flows[Name(EN)],Tab_Def_Flows[Input_Process],,0,)</f>
        <v>0</v>
      </c>
      <c r="H356" s="61" t="str">
        <f>_xlfn.XLOOKUP(C356,Tab_Def_Flows[Name(EN)],Tab_Def_Flows[Process_ID_I],,0,)</f>
        <v>21__</v>
      </c>
      <c r="I356" s="49">
        <f>_xlfn.XLOOKUP(C356,Tab_Def_Flows[Name(EN)],Tab_Def_Flows[Value_Source],,0,)</f>
        <v>0</v>
      </c>
      <c r="J356" s="49">
        <f>_xlfn.XLOOKUP(C356,Tab_Def_Flows[Name(EN)],Tab_Def_Flows[WC?],,0,)</f>
        <v>0</v>
      </c>
      <c r="K356" s="49">
        <f>_xlfn.XLOOKUP(C356,Tab_Def_Flows[Name(EN)],Tab_Def_Flows[DM?],,0,)</f>
        <v>0</v>
      </c>
      <c r="L356" s="49">
        <f>_xlfn.XLOOKUP(C356,Tab_Def_Flows[Name(EN)],Tab_Def_Flows[CC?],,0,)</f>
        <v>0</v>
      </c>
      <c r="M356" s="51"/>
      <c r="N356" s="51"/>
      <c r="O356" s="88"/>
      <c r="P356" s="51"/>
      <c r="Q356" s="51"/>
      <c r="R356" s="51"/>
      <c r="S356" s="51"/>
      <c r="T356" s="51"/>
      <c r="U356" s="51"/>
      <c r="V356" s="51"/>
      <c r="W356" s="51"/>
      <c r="X356" s="51"/>
      <c r="Y356" s="51"/>
      <c r="Z356" s="51"/>
      <c r="AA356" s="89">
        <f t="shared" si="40"/>
        <v>0</v>
      </c>
      <c r="AB356" s="51"/>
      <c r="AC356" s="114" t="e">
        <f>INDEX(Tab_Def_Flows[[Flow_ID]:[CC_DM_source]],MATCH(Tab_Data_Flows[[#This Row],[Name(EN)]],Tab_Def_Flows[Name(EN)],0),16)</f>
        <v>#N/A</v>
      </c>
      <c r="AD356" s="115" t="str">
        <f>IF(J356="Yes",AA356*Tab_Data_Flows[[#This Row],[WC_'[%']]],"N.A.")</f>
        <v>N.A.</v>
      </c>
      <c r="AE356" s="61">
        <f>Tab_Data_Flows[[#This Row],[UoM_Flow_Py]]</f>
        <v>0</v>
      </c>
      <c r="AF356" s="114" t="e">
        <f>INDEX(Tab_Def_Flows[[Flow_ID]:[CC_DM_source]],MATCH(Tab_Data_Flows[[#This Row],[Name(EN)]],Tab_Def_Flows[Name(EN)],0),18)</f>
        <v>#N/A</v>
      </c>
      <c r="AG356" s="115" t="str">
        <f>IF(K356="Yes",AF356*Tab_Data_Flows[[#This Row],[Flow_Py]],"N.A.")</f>
        <v>N.A.</v>
      </c>
      <c r="AH356" s="61">
        <f>Tab_Data_Flows[[#This Row],[UoM_Flow_Py]]</f>
        <v>0</v>
      </c>
      <c r="AI356" s="114" t="e">
        <f>INDEX(Tab_Def_Flows[[Flow_ID]:[CC_DM_source]],MATCH(Tab_Data_Flows[[#This Row],[Name(EN)]],Tab_Def_Flows[Name(EN)],0),20)</f>
        <v>#N/A</v>
      </c>
      <c r="AJ356" s="115" t="str">
        <f>IF(L356="Yes",AI356*Tab_Data_Flows[[#This Row],[Flow_Py]],"N.A.")</f>
        <v>N.A.</v>
      </c>
      <c r="AK356" s="61">
        <f>Tab_Data_Flows[[#This Row],[UoM_Flow_Py]]</f>
        <v>0</v>
      </c>
    </row>
    <row r="357" spans="1:37" x14ac:dyDescent="0.35">
      <c r="A357" s="60">
        <f t="shared" si="41"/>
        <v>356</v>
      </c>
      <c r="B357" s="49" t="str">
        <f>_xlfn.XLOOKUP(C357,Tab_Def_Flows[Name(EN)],Tab_Def_Flows[Flow_ID],,0,)</f>
        <v>F_21_21</v>
      </c>
      <c r="C357" s="51"/>
      <c r="D357" s="49">
        <f>_xlfn.XLOOKUP(C357,Tab_Def_Flows[Name(EN)],Tab_Def_Flows[Type_Biomass],,0,)</f>
        <v>0</v>
      </c>
      <c r="E357" s="49">
        <f>_xlfn.XLOOKUP(C357,Tab_Def_Flows[Name(EN)],Tab_Def_Flows[Output_Process],,0,)</f>
        <v>0</v>
      </c>
      <c r="F357" s="49" t="str">
        <f>_xlfn.XLOOKUP(C357,Tab_Def_Flows[Name(EN)],Tab_Def_Flows[Process_ID_O],,0,)</f>
        <v>21__</v>
      </c>
      <c r="G357" s="49">
        <f>_xlfn.XLOOKUP(C357,Tab_Def_Flows[Name(EN)],Tab_Def_Flows[Input_Process],,0,)</f>
        <v>0</v>
      </c>
      <c r="H357" s="61" t="str">
        <f>_xlfn.XLOOKUP(C357,Tab_Def_Flows[Name(EN)],Tab_Def_Flows[Process_ID_I],,0,)</f>
        <v>21__</v>
      </c>
      <c r="I357" s="49">
        <f>_xlfn.XLOOKUP(C357,Tab_Def_Flows[Name(EN)],Tab_Def_Flows[Value_Source],,0,)</f>
        <v>0</v>
      </c>
      <c r="J357" s="49">
        <f>_xlfn.XLOOKUP(C357,Tab_Def_Flows[Name(EN)],Tab_Def_Flows[WC?],,0,)</f>
        <v>0</v>
      </c>
      <c r="K357" s="49">
        <f>_xlfn.XLOOKUP(C357,Tab_Def_Flows[Name(EN)],Tab_Def_Flows[DM?],,0,)</f>
        <v>0</v>
      </c>
      <c r="L357" s="49">
        <f>_xlfn.XLOOKUP(C357,Tab_Def_Flows[Name(EN)],Tab_Def_Flows[CC?],,0,)</f>
        <v>0</v>
      </c>
      <c r="M357" s="51"/>
      <c r="N357" s="51"/>
      <c r="O357" s="88"/>
      <c r="P357" s="51"/>
      <c r="Q357" s="51"/>
      <c r="R357" s="51"/>
      <c r="S357" s="51"/>
      <c r="T357" s="51"/>
      <c r="U357" s="51"/>
      <c r="V357" s="51"/>
      <c r="W357" s="51"/>
      <c r="X357" s="51"/>
      <c r="Y357" s="51"/>
      <c r="Z357" s="51"/>
      <c r="AA357" s="89">
        <f t="shared" si="40"/>
        <v>0</v>
      </c>
      <c r="AB357" s="51"/>
      <c r="AC357" s="114" t="e">
        <f>INDEX(Tab_Def_Flows[[Flow_ID]:[CC_DM_source]],MATCH(Tab_Data_Flows[[#This Row],[Name(EN)]],Tab_Def_Flows[Name(EN)],0),16)</f>
        <v>#N/A</v>
      </c>
      <c r="AD357" s="115" t="str">
        <f>IF(J357="Yes",AA357*Tab_Data_Flows[[#This Row],[WC_'[%']]],"N.A.")</f>
        <v>N.A.</v>
      </c>
      <c r="AE357" s="61">
        <f>Tab_Data_Flows[[#This Row],[UoM_Flow_Py]]</f>
        <v>0</v>
      </c>
      <c r="AF357" s="114" t="e">
        <f>INDEX(Tab_Def_Flows[[Flow_ID]:[CC_DM_source]],MATCH(Tab_Data_Flows[[#This Row],[Name(EN)]],Tab_Def_Flows[Name(EN)],0),18)</f>
        <v>#N/A</v>
      </c>
      <c r="AG357" s="115" t="str">
        <f>IF(K357="Yes",AF357*Tab_Data_Flows[[#This Row],[Flow_Py]],"N.A.")</f>
        <v>N.A.</v>
      </c>
      <c r="AH357" s="61">
        <f>Tab_Data_Flows[[#This Row],[UoM_Flow_Py]]</f>
        <v>0</v>
      </c>
      <c r="AI357" s="114" t="e">
        <f>INDEX(Tab_Def_Flows[[Flow_ID]:[CC_DM_source]],MATCH(Tab_Data_Flows[[#This Row],[Name(EN)]],Tab_Def_Flows[Name(EN)],0),20)</f>
        <v>#N/A</v>
      </c>
      <c r="AJ357" s="115" t="str">
        <f>IF(L357="Yes",AI357*Tab_Data_Flows[[#This Row],[Flow_Py]],"N.A.")</f>
        <v>N.A.</v>
      </c>
      <c r="AK357" s="61">
        <f>Tab_Data_Flows[[#This Row],[UoM_Flow_Py]]</f>
        <v>0</v>
      </c>
    </row>
    <row r="358" spans="1:37" x14ac:dyDescent="0.35">
      <c r="A358" s="60">
        <f t="shared" si="41"/>
        <v>357</v>
      </c>
      <c r="B358" s="49" t="str">
        <f>_xlfn.XLOOKUP(C358,Tab_Def_Flows[Name(EN)],Tab_Def_Flows[Flow_ID],,0,)</f>
        <v>F_21_21</v>
      </c>
      <c r="C358" s="51"/>
      <c r="D358" s="49">
        <f>_xlfn.XLOOKUP(C358,Tab_Def_Flows[Name(EN)],Tab_Def_Flows[Type_Biomass],,0,)</f>
        <v>0</v>
      </c>
      <c r="E358" s="49">
        <f>_xlfn.XLOOKUP(C358,Tab_Def_Flows[Name(EN)],Tab_Def_Flows[Output_Process],,0,)</f>
        <v>0</v>
      </c>
      <c r="F358" s="49" t="str">
        <f>_xlfn.XLOOKUP(C358,Tab_Def_Flows[Name(EN)],Tab_Def_Flows[Process_ID_O],,0,)</f>
        <v>21__</v>
      </c>
      <c r="G358" s="49">
        <f>_xlfn.XLOOKUP(C358,Tab_Def_Flows[Name(EN)],Tab_Def_Flows[Input_Process],,0,)</f>
        <v>0</v>
      </c>
      <c r="H358" s="61" t="str">
        <f>_xlfn.XLOOKUP(C358,Tab_Def_Flows[Name(EN)],Tab_Def_Flows[Process_ID_I],,0,)</f>
        <v>21__</v>
      </c>
      <c r="I358" s="49">
        <f>_xlfn.XLOOKUP(C358,Tab_Def_Flows[Name(EN)],Tab_Def_Flows[Value_Source],,0,)</f>
        <v>0</v>
      </c>
      <c r="J358" s="49">
        <f>_xlfn.XLOOKUP(C358,Tab_Def_Flows[Name(EN)],Tab_Def_Flows[WC?],,0,)</f>
        <v>0</v>
      </c>
      <c r="K358" s="49">
        <f>_xlfn.XLOOKUP(C358,Tab_Def_Flows[Name(EN)],Tab_Def_Flows[DM?],,0,)</f>
        <v>0</v>
      </c>
      <c r="L358" s="49">
        <f>_xlfn.XLOOKUP(C358,Tab_Def_Flows[Name(EN)],Tab_Def_Flows[CC?],,0,)</f>
        <v>0</v>
      </c>
      <c r="M358" s="51"/>
      <c r="N358" s="51"/>
      <c r="O358" s="88"/>
      <c r="P358" s="51"/>
      <c r="Q358" s="51"/>
      <c r="R358" s="51"/>
      <c r="S358" s="51"/>
      <c r="T358" s="51"/>
      <c r="U358" s="51"/>
      <c r="V358" s="51"/>
      <c r="W358" s="51"/>
      <c r="X358" s="51"/>
      <c r="Y358" s="51"/>
      <c r="Z358" s="51"/>
      <c r="AA358" s="89">
        <f t="shared" si="40"/>
        <v>0</v>
      </c>
      <c r="AB358" s="51"/>
      <c r="AC358" s="114" t="e">
        <f>INDEX(Tab_Def_Flows[[Flow_ID]:[CC_DM_source]],MATCH(Tab_Data_Flows[[#This Row],[Name(EN)]],Tab_Def_Flows[Name(EN)],0),16)</f>
        <v>#N/A</v>
      </c>
      <c r="AD358" s="115" t="str">
        <f>IF(J358="Yes",AA358*Tab_Data_Flows[[#This Row],[WC_'[%']]],"N.A.")</f>
        <v>N.A.</v>
      </c>
      <c r="AE358" s="61">
        <f>Tab_Data_Flows[[#This Row],[UoM_Flow_Py]]</f>
        <v>0</v>
      </c>
      <c r="AF358" s="114" t="e">
        <f>INDEX(Tab_Def_Flows[[Flow_ID]:[CC_DM_source]],MATCH(Tab_Data_Flows[[#This Row],[Name(EN)]],Tab_Def_Flows[Name(EN)],0),18)</f>
        <v>#N/A</v>
      </c>
      <c r="AG358" s="115" t="str">
        <f>IF(K358="Yes",AF358*Tab_Data_Flows[[#This Row],[Flow_Py]],"N.A.")</f>
        <v>N.A.</v>
      </c>
      <c r="AH358" s="61">
        <f>Tab_Data_Flows[[#This Row],[UoM_Flow_Py]]</f>
        <v>0</v>
      </c>
      <c r="AI358" s="114" t="e">
        <f>INDEX(Tab_Def_Flows[[Flow_ID]:[CC_DM_source]],MATCH(Tab_Data_Flows[[#This Row],[Name(EN)]],Tab_Def_Flows[Name(EN)],0),20)</f>
        <v>#N/A</v>
      </c>
      <c r="AJ358" s="115" t="str">
        <f>IF(L358="Yes",AI358*Tab_Data_Flows[[#This Row],[Flow_Py]],"N.A.")</f>
        <v>N.A.</v>
      </c>
      <c r="AK358" s="61">
        <f>Tab_Data_Flows[[#This Row],[UoM_Flow_Py]]</f>
        <v>0</v>
      </c>
    </row>
    <row r="359" spans="1:37" x14ac:dyDescent="0.35">
      <c r="A359" s="60">
        <f t="shared" si="41"/>
        <v>358</v>
      </c>
      <c r="B359" s="49" t="str">
        <f>_xlfn.XLOOKUP(C359,Tab_Def_Flows[Name(EN)],Tab_Def_Flows[Flow_ID],,0,)</f>
        <v>F_21_21</v>
      </c>
      <c r="C359" s="51"/>
      <c r="D359" s="49">
        <f>_xlfn.XLOOKUP(C359,Tab_Def_Flows[Name(EN)],Tab_Def_Flows[Type_Biomass],,0,)</f>
        <v>0</v>
      </c>
      <c r="E359" s="49">
        <f>_xlfn.XLOOKUP(C359,Tab_Def_Flows[Name(EN)],Tab_Def_Flows[Output_Process],,0,)</f>
        <v>0</v>
      </c>
      <c r="F359" s="49" t="str">
        <f>_xlfn.XLOOKUP(C359,Tab_Def_Flows[Name(EN)],Tab_Def_Flows[Process_ID_O],,0,)</f>
        <v>21__</v>
      </c>
      <c r="G359" s="49">
        <f>_xlfn.XLOOKUP(C359,Tab_Def_Flows[Name(EN)],Tab_Def_Flows[Input_Process],,0,)</f>
        <v>0</v>
      </c>
      <c r="H359" s="61" t="str">
        <f>_xlfn.XLOOKUP(C359,Tab_Def_Flows[Name(EN)],Tab_Def_Flows[Process_ID_I],,0,)</f>
        <v>21__</v>
      </c>
      <c r="I359" s="49">
        <f>_xlfn.XLOOKUP(C359,Tab_Def_Flows[Name(EN)],Tab_Def_Flows[Value_Source],,0,)</f>
        <v>0</v>
      </c>
      <c r="J359" s="49">
        <f>_xlfn.XLOOKUP(C359,Tab_Def_Flows[Name(EN)],Tab_Def_Flows[WC?],,0,)</f>
        <v>0</v>
      </c>
      <c r="K359" s="49">
        <f>_xlfn.XLOOKUP(C359,Tab_Def_Flows[Name(EN)],Tab_Def_Flows[DM?],,0,)</f>
        <v>0</v>
      </c>
      <c r="L359" s="49">
        <f>_xlfn.XLOOKUP(C359,Tab_Def_Flows[Name(EN)],Tab_Def_Flows[CC?],,0,)</f>
        <v>0</v>
      </c>
      <c r="M359" s="51"/>
      <c r="N359" s="51"/>
      <c r="O359" s="88"/>
      <c r="P359" s="51"/>
      <c r="Q359" s="51"/>
      <c r="R359" s="51"/>
      <c r="S359" s="51"/>
      <c r="T359" s="51"/>
      <c r="U359" s="51"/>
      <c r="V359" s="51"/>
      <c r="W359" s="51"/>
      <c r="X359" s="51"/>
      <c r="Y359" s="51"/>
      <c r="Z359" s="51"/>
      <c r="AA359" s="89">
        <f t="shared" si="40"/>
        <v>0</v>
      </c>
      <c r="AB359" s="51"/>
      <c r="AC359" s="114" t="e">
        <f>INDEX(Tab_Def_Flows[[Flow_ID]:[CC_DM_source]],MATCH(Tab_Data_Flows[[#This Row],[Name(EN)]],Tab_Def_Flows[Name(EN)],0),16)</f>
        <v>#N/A</v>
      </c>
      <c r="AD359" s="115" t="str">
        <f>IF(J359="Yes",AA359*Tab_Data_Flows[[#This Row],[WC_'[%']]],"N.A.")</f>
        <v>N.A.</v>
      </c>
      <c r="AE359" s="61">
        <f>Tab_Data_Flows[[#This Row],[UoM_Flow_Py]]</f>
        <v>0</v>
      </c>
      <c r="AF359" s="114" t="e">
        <f>INDEX(Tab_Def_Flows[[Flow_ID]:[CC_DM_source]],MATCH(Tab_Data_Flows[[#This Row],[Name(EN)]],Tab_Def_Flows[Name(EN)],0),18)</f>
        <v>#N/A</v>
      </c>
      <c r="AG359" s="115" t="str">
        <f>IF(K359="Yes",AF359*Tab_Data_Flows[[#This Row],[Flow_Py]],"N.A.")</f>
        <v>N.A.</v>
      </c>
      <c r="AH359" s="61">
        <f>Tab_Data_Flows[[#This Row],[UoM_Flow_Py]]</f>
        <v>0</v>
      </c>
      <c r="AI359" s="114" t="e">
        <f>INDEX(Tab_Def_Flows[[Flow_ID]:[CC_DM_source]],MATCH(Tab_Data_Flows[[#This Row],[Name(EN)]],Tab_Def_Flows[Name(EN)],0),20)</f>
        <v>#N/A</v>
      </c>
      <c r="AJ359" s="115" t="str">
        <f>IF(L359="Yes",AI359*Tab_Data_Flows[[#This Row],[Flow_Py]],"N.A.")</f>
        <v>N.A.</v>
      </c>
      <c r="AK359" s="61">
        <f>Tab_Data_Flows[[#This Row],[UoM_Flow_Py]]</f>
        <v>0</v>
      </c>
    </row>
    <row r="360" spans="1:37" x14ac:dyDescent="0.35">
      <c r="A360" s="60">
        <f t="shared" si="41"/>
        <v>359</v>
      </c>
      <c r="B360" s="49" t="str">
        <f>_xlfn.XLOOKUP(C360,Tab_Def_Flows[Name(EN)],Tab_Def_Flows[Flow_ID],,0,)</f>
        <v>F_21_21</v>
      </c>
      <c r="C360" s="51"/>
      <c r="D360" s="49">
        <f>_xlfn.XLOOKUP(C360,Tab_Def_Flows[Name(EN)],Tab_Def_Flows[Type_Biomass],,0,)</f>
        <v>0</v>
      </c>
      <c r="E360" s="49">
        <f>_xlfn.XLOOKUP(C360,Tab_Def_Flows[Name(EN)],Tab_Def_Flows[Output_Process],,0,)</f>
        <v>0</v>
      </c>
      <c r="F360" s="49" t="str">
        <f>_xlfn.XLOOKUP(C360,Tab_Def_Flows[Name(EN)],Tab_Def_Flows[Process_ID_O],,0,)</f>
        <v>21__</v>
      </c>
      <c r="G360" s="49">
        <f>_xlfn.XLOOKUP(C360,Tab_Def_Flows[Name(EN)],Tab_Def_Flows[Input_Process],,0,)</f>
        <v>0</v>
      </c>
      <c r="H360" s="61" t="str">
        <f>_xlfn.XLOOKUP(C360,Tab_Def_Flows[Name(EN)],Tab_Def_Flows[Process_ID_I],,0,)</f>
        <v>21__</v>
      </c>
      <c r="I360" s="49">
        <f>_xlfn.XLOOKUP(C360,Tab_Def_Flows[Name(EN)],Tab_Def_Flows[Value_Source],,0,)</f>
        <v>0</v>
      </c>
      <c r="J360" s="49">
        <f>_xlfn.XLOOKUP(C360,Tab_Def_Flows[Name(EN)],Tab_Def_Flows[WC?],,0,)</f>
        <v>0</v>
      </c>
      <c r="K360" s="49">
        <f>_xlfn.XLOOKUP(C360,Tab_Def_Flows[Name(EN)],Tab_Def_Flows[DM?],,0,)</f>
        <v>0</v>
      </c>
      <c r="L360" s="49">
        <f>_xlfn.XLOOKUP(C360,Tab_Def_Flows[Name(EN)],Tab_Def_Flows[CC?],,0,)</f>
        <v>0</v>
      </c>
      <c r="M360" s="51"/>
      <c r="N360" s="51"/>
      <c r="O360" s="88"/>
      <c r="P360" s="51"/>
      <c r="Q360" s="51"/>
      <c r="R360" s="51"/>
      <c r="S360" s="51"/>
      <c r="T360" s="51"/>
      <c r="U360" s="51"/>
      <c r="V360" s="51"/>
      <c r="W360" s="51"/>
      <c r="X360" s="51"/>
      <c r="Y360" s="51"/>
      <c r="Z360" s="51"/>
      <c r="AA360" s="89">
        <f t="shared" si="40"/>
        <v>0</v>
      </c>
      <c r="AB360" s="51"/>
      <c r="AC360" s="114" t="e">
        <f>INDEX(Tab_Def_Flows[[Flow_ID]:[CC_DM_source]],MATCH(Tab_Data_Flows[[#This Row],[Name(EN)]],Tab_Def_Flows[Name(EN)],0),16)</f>
        <v>#N/A</v>
      </c>
      <c r="AD360" s="115" t="str">
        <f>IF(J360="Yes",AA360*Tab_Data_Flows[[#This Row],[WC_'[%']]],"N.A.")</f>
        <v>N.A.</v>
      </c>
      <c r="AE360" s="61">
        <f>Tab_Data_Flows[[#This Row],[UoM_Flow_Py]]</f>
        <v>0</v>
      </c>
      <c r="AF360" s="114" t="e">
        <f>INDEX(Tab_Def_Flows[[Flow_ID]:[CC_DM_source]],MATCH(Tab_Data_Flows[[#This Row],[Name(EN)]],Tab_Def_Flows[Name(EN)],0),18)</f>
        <v>#N/A</v>
      </c>
      <c r="AG360" s="115" t="str">
        <f>IF(K360="Yes",AF360*Tab_Data_Flows[[#This Row],[Flow_Py]],"N.A.")</f>
        <v>N.A.</v>
      </c>
      <c r="AH360" s="61">
        <f>Tab_Data_Flows[[#This Row],[UoM_Flow_Py]]</f>
        <v>0</v>
      </c>
      <c r="AI360" s="114" t="e">
        <f>INDEX(Tab_Def_Flows[[Flow_ID]:[CC_DM_source]],MATCH(Tab_Data_Flows[[#This Row],[Name(EN)]],Tab_Def_Flows[Name(EN)],0),20)</f>
        <v>#N/A</v>
      </c>
      <c r="AJ360" s="115" t="str">
        <f>IF(L360="Yes",AI360*Tab_Data_Flows[[#This Row],[Flow_Py]],"N.A.")</f>
        <v>N.A.</v>
      </c>
      <c r="AK360" s="61">
        <f>Tab_Data_Flows[[#This Row],[UoM_Flow_Py]]</f>
        <v>0</v>
      </c>
    </row>
    <row r="361" spans="1:37" x14ac:dyDescent="0.35">
      <c r="A361" s="60">
        <f t="shared" si="41"/>
        <v>360</v>
      </c>
      <c r="B361" s="49" t="str">
        <f>_xlfn.XLOOKUP(C361,Tab_Def_Flows[Name(EN)],Tab_Def_Flows[Flow_ID],,0,)</f>
        <v>F_21_21</v>
      </c>
      <c r="C361" s="51"/>
      <c r="D361" s="49">
        <f>_xlfn.XLOOKUP(C361,Tab_Def_Flows[Name(EN)],Tab_Def_Flows[Type_Biomass],,0,)</f>
        <v>0</v>
      </c>
      <c r="E361" s="49">
        <f>_xlfn.XLOOKUP(C361,Tab_Def_Flows[Name(EN)],Tab_Def_Flows[Output_Process],,0,)</f>
        <v>0</v>
      </c>
      <c r="F361" s="49" t="str">
        <f>_xlfn.XLOOKUP(C361,Tab_Def_Flows[Name(EN)],Tab_Def_Flows[Process_ID_O],,0,)</f>
        <v>21__</v>
      </c>
      <c r="G361" s="49">
        <f>_xlfn.XLOOKUP(C361,Tab_Def_Flows[Name(EN)],Tab_Def_Flows[Input_Process],,0,)</f>
        <v>0</v>
      </c>
      <c r="H361" s="61" t="str">
        <f>_xlfn.XLOOKUP(C361,Tab_Def_Flows[Name(EN)],Tab_Def_Flows[Process_ID_I],,0,)</f>
        <v>21__</v>
      </c>
      <c r="I361" s="49">
        <f>_xlfn.XLOOKUP(C361,Tab_Def_Flows[Name(EN)],Tab_Def_Flows[Value_Source],,0,)</f>
        <v>0</v>
      </c>
      <c r="J361" s="49">
        <f>_xlfn.XLOOKUP(C361,Tab_Def_Flows[Name(EN)],Tab_Def_Flows[WC?],,0,)</f>
        <v>0</v>
      </c>
      <c r="K361" s="49">
        <f>_xlfn.XLOOKUP(C361,Tab_Def_Flows[Name(EN)],Tab_Def_Flows[DM?],,0,)</f>
        <v>0</v>
      </c>
      <c r="L361" s="49">
        <f>_xlfn.XLOOKUP(C361,Tab_Def_Flows[Name(EN)],Tab_Def_Flows[CC?],,0,)</f>
        <v>0</v>
      </c>
      <c r="M361" s="51"/>
      <c r="N361" s="51"/>
      <c r="O361" s="88"/>
      <c r="P361" s="51"/>
      <c r="Q361" s="51"/>
      <c r="R361" s="51"/>
      <c r="S361" s="51"/>
      <c r="T361" s="51"/>
      <c r="U361" s="51"/>
      <c r="V361" s="51"/>
      <c r="W361" s="51"/>
      <c r="X361" s="51"/>
      <c r="Y361" s="51"/>
      <c r="Z361" s="51"/>
      <c r="AA361" s="89">
        <f t="shared" si="40"/>
        <v>0</v>
      </c>
      <c r="AB361" s="51"/>
      <c r="AC361" s="114" t="e">
        <f>INDEX(Tab_Def_Flows[[Flow_ID]:[CC_DM_source]],MATCH(Tab_Data_Flows[[#This Row],[Name(EN)]],Tab_Def_Flows[Name(EN)],0),16)</f>
        <v>#N/A</v>
      </c>
      <c r="AD361" s="115" t="str">
        <f>IF(J361="Yes",AA361*Tab_Data_Flows[[#This Row],[WC_'[%']]],"N.A.")</f>
        <v>N.A.</v>
      </c>
      <c r="AE361" s="61">
        <f>Tab_Data_Flows[[#This Row],[UoM_Flow_Py]]</f>
        <v>0</v>
      </c>
      <c r="AF361" s="114" t="e">
        <f>INDEX(Tab_Def_Flows[[Flow_ID]:[CC_DM_source]],MATCH(Tab_Data_Flows[[#This Row],[Name(EN)]],Tab_Def_Flows[Name(EN)],0),18)</f>
        <v>#N/A</v>
      </c>
      <c r="AG361" s="115" t="str">
        <f>IF(K361="Yes",AF361*Tab_Data_Flows[[#This Row],[Flow_Py]],"N.A.")</f>
        <v>N.A.</v>
      </c>
      <c r="AH361" s="61">
        <f>Tab_Data_Flows[[#This Row],[UoM_Flow_Py]]</f>
        <v>0</v>
      </c>
      <c r="AI361" s="114" t="e">
        <f>INDEX(Tab_Def_Flows[[Flow_ID]:[CC_DM_source]],MATCH(Tab_Data_Flows[[#This Row],[Name(EN)]],Tab_Def_Flows[Name(EN)],0),20)</f>
        <v>#N/A</v>
      </c>
      <c r="AJ361" s="115" t="str">
        <f>IF(L361="Yes",AI361*Tab_Data_Flows[[#This Row],[Flow_Py]],"N.A.")</f>
        <v>N.A.</v>
      </c>
      <c r="AK361" s="61">
        <f>Tab_Data_Flows[[#This Row],[UoM_Flow_Py]]</f>
        <v>0</v>
      </c>
    </row>
    <row r="362" spans="1:37" x14ac:dyDescent="0.35">
      <c r="A362" s="60">
        <f t="shared" si="41"/>
        <v>361</v>
      </c>
      <c r="B362" s="49" t="str">
        <f>_xlfn.XLOOKUP(C362,Tab_Def_Flows[Name(EN)],Tab_Def_Flows[Flow_ID],,0,)</f>
        <v>F_21_21</v>
      </c>
      <c r="C362" s="51"/>
      <c r="D362" s="49">
        <f>_xlfn.XLOOKUP(C362,Tab_Def_Flows[Name(EN)],Tab_Def_Flows[Type_Biomass],,0,)</f>
        <v>0</v>
      </c>
      <c r="E362" s="49">
        <f>_xlfn.XLOOKUP(C362,Tab_Def_Flows[Name(EN)],Tab_Def_Flows[Output_Process],,0,)</f>
        <v>0</v>
      </c>
      <c r="F362" s="49" t="str">
        <f>_xlfn.XLOOKUP(C362,Tab_Def_Flows[Name(EN)],Tab_Def_Flows[Process_ID_O],,0,)</f>
        <v>21__</v>
      </c>
      <c r="G362" s="49">
        <f>_xlfn.XLOOKUP(C362,Tab_Def_Flows[Name(EN)],Tab_Def_Flows[Input_Process],,0,)</f>
        <v>0</v>
      </c>
      <c r="H362" s="61" t="str">
        <f>_xlfn.XLOOKUP(C362,Tab_Def_Flows[Name(EN)],Tab_Def_Flows[Process_ID_I],,0,)</f>
        <v>21__</v>
      </c>
      <c r="I362" s="49">
        <f>_xlfn.XLOOKUP(C362,Tab_Def_Flows[Name(EN)],Tab_Def_Flows[Value_Source],,0,)</f>
        <v>0</v>
      </c>
      <c r="J362" s="49">
        <f>_xlfn.XLOOKUP(C362,Tab_Def_Flows[Name(EN)],Tab_Def_Flows[WC?],,0,)</f>
        <v>0</v>
      </c>
      <c r="K362" s="49">
        <f>_xlfn.XLOOKUP(C362,Tab_Def_Flows[Name(EN)],Tab_Def_Flows[DM?],,0,)</f>
        <v>0</v>
      </c>
      <c r="L362" s="49">
        <f>_xlfn.XLOOKUP(C362,Tab_Def_Flows[Name(EN)],Tab_Def_Flows[CC?],,0,)</f>
        <v>0</v>
      </c>
      <c r="M362" s="51"/>
      <c r="N362" s="51"/>
      <c r="O362" s="88"/>
      <c r="P362" s="51"/>
      <c r="Q362" s="51"/>
      <c r="R362" s="51"/>
      <c r="S362" s="51"/>
      <c r="T362" s="51"/>
      <c r="U362" s="51"/>
      <c r="V362" s="51"/>
      <c r="W362" s="51"/>
      <c r="X362" s="51"/>
      <c r="Y362" s="51"/>
      <c r="Z362" s="51"/>
      <c r="AA362" s="89">
        <f t="shared" si="40"/>
        <v>0</v>
      </c>
      <c r="AB362" s="51"/>
      <c r="AC362" s="114" t="e">
        <f>INDEX(Tab_Def_Flows[[Flow_ID]:[CC_DM_source]],MATCH(Tab_Data_Flows[[#This Row],[Name(EN)]],Tab_Def_Flows[Name(EN)],0),16)</f>
        <v>#N/A</v>
      </c>
      <c r="AD362" s="115" t="str">
        <f>IF(J362="Yes",AA362*Tab_Data_Flows[[#This Row],[WC_'[%']]],"N.A.")</f>
        <v>N.A.</v>
      </c>
      <c r="AE362" s="61">
        <f>Tab_Data_Flows[[#This Row],[UoM_Flow_Py]]</f>
        <v>0</v>
      </c>
      <c r="AF362" s="114" t="e">
        <f>INDEX(Tab_Def_Flows[[Flow_ID]:[CC_DM_source]],MATCH(Tab_Data_Flows[[#This Row],[Name(EN)]],Tab_Def_Flows[Name(EN)],0),18)</f>
        <v>#N/A</v>
      </c>
      <c r="AG362" s="115" t="str">
        <f>IF(K362="Yes",AF362*Tab_Data_Flows[[#This Row],[Flow_Py]],"N.A.")</f>
        <v>N.A.</v>
      </c>
      <c r="AH362" s="61">
        <f>Tab_Data_Flows[[#This Row],[UoM_Flow_Py]]</f>
        <v>0</v>
      </c>
      <c r="AI362" s="114" t="e">
        <f>INDEX(Tab_Def_Flows[[Flow_ID]:[CC_DM_source]],MATCH(Tab_Data_Flows[[#This Row],[Name(EN)]],Tab_Def_Flows[Name(EN)],0),20)</f>
        <v>#N/A</v>
      </c>
      <c r="AJ362" s="115" t="str">
        <f>IF(L362="Yes",AI362*Tab_Data_Flows[[#This Row],[Flow_Py]],"N.A.")</f>
        <v>N.A.</v>
      </c>
      <c r="AK362" s="61">
        <f>Tab_Data_Flows[[#This Row],[UoM_Flow_Py]]</f>
        <v>0</v>
      </c>
    </row>
    <row r="363" spans="1:37" x14ac:dyDescent="0.35">
      <c r="A363" s="60">
        <f t="shared" si="41"/>
        <v>362</v>
      </c>
      <c r="B363" s="49" t="str">
        <f>_xlfn.XLOOKUP(C363,Tab_Def_Flows[Name(EN)],Tab_Def_Flows[Flow_ID],,0,)</f>
        <v>F_21_21</v>
      </c>
      <c r="C363" s="51"/>
      <c r="D363" s="49">
        <f>_xlfn.XLOOKUP(C363,Tab_Def_Flows[Name(EN)],Tab_Def_Flows[Type_Biomass],,0,)</f>
        <v>0</v>
      </c>
      <c r="E363" s="49">
        <f>_xlfn.XLOOKUP(C363,Tab_Def_Flows[Name(EN)],Tab_Def_Flows[Output_Process],,0,)</f>
        <v>0</v>
      </c>
      <c r="F363" s="49" t="str">
        <f>_xlfn.XLOOKUP(C363,Tab_Def_Flows[Name(EN)],Tab_Def_Flows[Process_ID_O],,0,)</f>
        <v>21__</v>
      </c>
      <c r="G363" s="49">
        <f>_xlfn.XLOOKUP(C363,Tab_Def_Flows[Name(EN)],Tab_Def_Flows[Input_Process],,0,)</f>
        <v>0</v>
      </c>
      <c r="H363" s="61" t="str">
        <f>_xlfn.XLOOKUP(C363,Tab_Def_Flows[Name(EN)],Tab_Def_Flows[Process_ID_I],,0,)</f>
        <v>21__</v>
      </c>
      <c r="I363" s="49">
        <f>_xlfn.XLOOKUP(C363,Tab_Def_Flows[Name(EN)],Tab_Def_Flows[Value_Source],,0,)</f>
        <v>0</v>
      </c>
      <c r="J363" s="49">
        <f>_xlfn.XLOOKUP(C363,Tab_Def_Flows[Name(EN)],Tab_Def_Flows[WC?],,0,)</f>
        <v>0</v>
      </c>
      <c r="K363" s="49">
        <f>_xlfn.XLOOKUP(C363,Tab_Def_Flows[Name(EN)],Tab_Def_Flows[DM?],,0,)</f>
        <v>0</v>
      </c>
      <c r="L363" s="49">
        <f>_xlfn.XLOOKUP(C363,Tab_Def_Flows[Name(EN)],Tab_Def_Flows[CC?],,0,)</f>
        <v>0</v>
      </c>
      <c r="M363" s="51"/>
      <c r="N363" s="51"/>
      <c r="O363" s="88"/>
      <c r="P363" s="51"/>
      <c r="Q363" s="51"/>
      <c r="R363" s="51"/>
      <c r="S363" s="51"/>
      <c r="T363" s="51"/>
      <c r="U363" s="51"/>
      <c r="V363" s="51"/>
      <c r="W363" s="51"/>
      <c r="X363" s="51"/>
      <c r="Y363" s="51"/>
      <c r="Z363" s="51"/>
      <c r="AA363" s="89">
        <f t="shared" si="40"/>
        <v>0</v>
      </c>
      <c r="AB363" s="51"/>
      <c r="AC363" s="114" t="e">
        <f>INDEX(Tab_Def_Flows[[Flow_ID]:[CC_DM_source]],MATCH(Tab_Data_Flows[[#This Row],[Name(EN)]],Tab_Def_Flows[Name(EN)],0),16)</f>
        <v>#N/A</v>
      </c>
      <c r="AD363" s="115" t="str">
        <f>IF(J363="Yes",AA363*Tab_Data_Flows[[#This Row],[WC_'[%']]],"N.A.")</f>
        <v>N.A.</v>
      </c>
      <c r="AE363" s="61">
        <f>Tab_Data_Flows[[#This Row],[UoM_Flow_Py]]</f>
        <v>0</v>
      </c>
      <c r="AF363" s="114" t="e">
        <f>INDEX(Tab_Def_Flows[[Flow_ID]:[CC_DM_source]],MATCH(Tab_Data_Flows[[#This Row],[Name(EN)]],Tab_Def_Flows[Name(EN)],0),18)</f>
        <v>#N/A</v>
      </c>
      <c r="AG363" s="115" t="str">
        <f>IF(K363="Yes",AF363*Tab_Data_Flows[[#This Row],[Flow_Py]],"N.A.")</f>
        <v>N.A.</v>
      </c>
      <c r="AH363" s="61">
        <f>Tab_Data_Flows[[#This Row],[UoM_Flow_Py]]</f>
        <v>0</v>
      </c>
      <c r="AI363" s="114" t="e">
        <f>INDEX(Tab_Def_Flows[[Flow_ID]:[CC_DM_source]],MATCH(Tab_Data_Flows[[#This Row],[Name(EN)]],Tab_Def_Flows[Name(EN)],0),20)</f>
        <v>#N/A</v>
      </c>
      <c r="AJ363" s="115" t="str">
        <f>IF(L363="Yes",AI363*Tab_Data_Flows[[#This Row],[Flow_Py]],"N.A.")</f>
        <v>N.A.</v>
      </c>
      <c r="AK363" s="61">
        <f>Tab_Data_Flows[[#This Row],[UoM_Flow_Py]]</f>
        <v>0</v>
      </c>
    </row>
    <row r="364" spans="1:37" x14ac:dyDescent="0.35">
      <c r="A364" s="60">
        <f t="shared" si="41"/>
        <v>363</v>
      </c>
      <c r="B364" s="49" t="str">
        <f>_xlfn.XLOOKUP(C364,Tab_Def_Flows[Name(EN)],Tab_Def_Flows[Flow_ID],,0,)</f>
        <v>F_21_21</v>
      </c>
      <c r="C364" s="51"/>
      <c r="D364" s="49">
        <f>_xlfn.XLOOKUP(C364,Tab_Def_Flows[Name(EN)],Tab_Def_Flows[Type_Biomass],,0,)</f>
        <v>0</v>
      </c>
      <c r="E364" s="49">
        <f>_xlfn.XLOOKUP(C364,Tab_Def_Flows[Name(EN)],Tab_Def_Flows[Output_Process],,0,)</f>
        <v>0</v>
      </c>
      <c r="F364" s="49" t="str">
        <f>_xlfn.XLOOKUP(C364,Tab_Def_Flows[Name(EN)],Tab_Def_Flows[Process_ID_O],,0,)</f>
        <v>21__</v>
      </c>
      <c r="G364" s="49">
        <f>_xlfn.XLOOKUP(C364,Tab_Def_Flows[Name(EN)],Tab_Def_Flows[Input_Process],,0,)</f>
        <v>0</v>
      </c>
      <c r="H364" s="61" t="str">
        <f>_xlfn.XLOOKUP(C364,Tab_Def_Flows[Name(EN)],Tab_Def_Flows[Process_ID_I],,0,)</f>
        <v>21__</v>
      </c>
      <c r="I364" s="49">
        <f>_xlfn.XLOOKUP(C364,Tab_Def_Flows[Name(EN)],Tab_Def_Flows[Value_Source],,0,)</f>
        <v>0</v>
      </c>
      <c r="J364" s="49">
        <f>_xlfn.XLOOKUP(C364,Tab_Def_Flows[Name(EN)],Tab_Def_Flows[WC?],,0,)</f>
        <v>0</v>
      </c>
      <c r="K364" s="49">
        <f>_xlfn.XLOOKUP(C364,Tab_Def_Flows[Name(EN)],Tab_Def_Flows[DM?],,0,)</f>
        <v>0</v>
      </c>
      <c r="L364" s="49">
        <f>_xlfn.XLOOKUP(C364,Tab_Def_Flows[Name(EN)],Tab_Def_Flows[CC?],,0,)</f>
        <v>0</v>
      </c>
      <c r="M364" s="51"/>
      <c r="N364" s="51"/>
      <c r="O364" s="88"/>
      <c r="P364" s="51"/>
      <c r="Q364" s="51"/>
      <c r="R364" s="51"/>
      <c r="S364" s="51"/>
      <c r="T364" s="51"/>
      <c r="U364" s="51"/>
      <c r="V364" s="51"/>
      <c r="W364" s="51"/>
      <c r="X364" s="51"/>
      <c r="Y364" s="51"/>
      <c r="Z364" s="51"/>
      <c r="AA364" s="89">
        <f t="shared" si="40"/>
        <v>0</v>
      </c>
      <c r="AB364" s="51"/>
      <c r="AC364" s="114" t="e">
        <f>INDEX(Tab_Def_Flows[[Flow_ID]:[CC_DM_source]],MATCH(Tab_Data_Flows[[#This Row],[Name(EN)]],Tab_Def_Flows[Name(EN)],0),16)</f>
        <v>#N/A</v>
      </c>
      <c r="AD364" s="115" t="str">
        <f>IF(J364="Yes",AA364*Tab_Data_Flows[[#This Row],[WC_'[%']]],"N.A.")</f>
        <v>N.A.</v>
      </c>
      <c r="AE364" s="61">
        <f>Tab_Data_Flows[[#This Row],[UoM_Flow_Py]]</f>
        <v>0</v>
      </c>
      <c r="AF364" s="114" t="e">
        <f>INDEX(Tab_Def_Flows[[Flow_ID]:[CC_DM_source]],MATCH(Tab_Data_Flows[[#This Row],[Name(EN)]],Tab_Def_Flows[Name(EN)],0),18)</f>
        <v>#N/A</v>
      </c>
      <c r="AG364" s="115" t="str">
        <f>IF(K364="Yes",AF364*Tab_Data_Flows[[#This Row],[Flow_Py]],"N.A.")</f>
        <v>N.A.</v>
      </c>
      <c r="AH364" s="61">
        <f>Tab_Data_Flows[[#This Row],[UoM_Flow_Py]]</f>
        <v>0</v>
      </c>
      <c r="AI364" s="114" t="e">
        <f>INDEX(Tab_Def_Flows[[Flow_ID]:[CC_DM_source]],MATCH(Tab_Data_Flows[[#This Row],[Name(EN)]],Tab_Def_Flows[Name(EN)],0),20)</f>
        <v>#N/A</v>
      </c>
      <c r="AJ364" s="115" t="str">
        <f>IF(L364="Yes",AI364*Tab_Data_Flows[[#This Row],[Flow_Py]],"N.A.")</f>
        <v>N.A.</v>
      </c>
      <c r="AK364" s="61">
        <f>Tab_Data_Flows[[#This Row],[UoM_Flow_Py]]</f>
        <v>0</v>
      </c>
    </row>
    <row r="365" spans="1:37" x14ac:dyDescent="0.35">
      <c r="A365" s="60">
        <f t="shared" si="41"/>
        <v>364</v>
      </c>
      <c r="B365" s="49" t="str">
        <f>_xlfn.XLOOKUP(C365,Tab_Def_Flows[Name(EN)],Tab_Def_Flows[Flow_ID],,0,)</f>
        <v>F_21_21</v>
      </c>
      <c r="C365" s="51"/>
      <c r="D365" s="49">
        <f>_xlfn.XLOOKUP(C365,Tab_Def_Flows[Name(EN)],Tab_Def_Flows[Type_Biomass],,0,)</f>
        <v>0</v>
      </c>
      <c r="E365" s="49">
        <f>_xlfn.XLOOKUP(C365,Tab_Def_Flows[Name(EN)],Tab_Def_Flows[Output_Process],,0,)</f>
        <v>0</v>
      </c>
      <c r="F365" s="49" t="str">
        <f>_xlfn.XLOOKUP(C365,Tab_Def_Flows[Name(EN)],Tab_Def_Flows[Process_ID_O],,0,)</f>
        <v>21__</v>
      </c>
      <c r="G365" s="49">
        <f>_xlfn.XLOOKUP(C365,Tab_Def_Flows[Name(EN)],Tab_Def_Flows[Input_Process],,0,)</f>
        <v>0</v>
      </c>
      <c r="H365" s="61" t="str">
        <f>_xlfn.XLOOKUP(C365,Tab_Def_Flows[Name(EN)],Tab_Def_Flows[Process_ID_I],,0,)</f>
        <v>21__</v>
      </c>
      <c r="I365" s="49">
        <f>_xlfn.XLOOKUP(C365,Tab_Def_Flows[Name(EN)],Tab_Def_Flows[Value_Source],,0,)</f>
        <v>0</v>
      </c>
      <c r="J365" s="49">
        <f>_xlfn.XLOOKUP(C365,Tab_Def_Flows[Name(EN)],Tab_Def_Flows[WC?],,0,)</f>
        <v>0</v>
      </c>
      <c r="K365" s="49">
        <f>_xlfn.XLOOKUP(C365,Tab_Def_Flows[Name(EN)],Tab_Def_Flows[DM?],,0,)</f>
        <v>0</v>
      </c>
      <c r="L365" s="49">
        <f>_xlfn.XLOOKUP(C365,Tab_Def_Flows[Name(EN)],Tab_Def_Flows[CC?],,0,)</f>
        <v>0</v>
      </c>
      <c r="M365" s="51"/>
      <c r="N365" s="51"/>
      <c r="O365" s="88"/>
      <c r="P365" s="51"/>
      <c r="Q365" s="51"/>
      <c r="R365" s="51"/>
      <c r="S365" s="51"/>
      <c r="T365" s="51"/>
      <c r="U365" s="51"/>
      <c r="V365" s="51"/>
      <c r="W365" s="51"/>
      <c r="X365" s="51"/>
      <c r="Y365" s="51"/>
      <c r="Z365" s="51"/>
      <c r="AA365" s="89">
        <f t="shared" si="40"/>
        <v>0</v>
      </c>
      <c r="AB365" s="51"/>
      <c r="AC365" s="114" t="e">
        <f>INDEX(Tab_Def_Flows[[Flow_ID]:[CC_DM_source]],MATCH(Tab_Data_Flows[[#This Row],[Name(EN)]],Tab_Def_Flows[Name(EN)],0),16)</f>
        <v>#N/A</v>
      </c>
      <c r="AD365" s="115" t="str">
        <f>IF(J365="Yes",AA365*Tab_Data_Flows[[#This Row],[WC_'[%']]],"N.A.")</f>
        <v>N.A.</v>
      </c>
      <c r="AE365" s="61">
        <f>Tab_Data_Flows[[#This Row],[UoM_Flow_Py]]</f>
        <v>0</v>
      </c>
      <c r="AF365" s="114" t="e">
        <f>INDEX(Tab_Def_Flows[[Flow_ID]:[CC_DM_source]],MATCH(Tab_Data_Flows[[#This Row],[Name(EN)]],Tab_Def_Flows[Name(EN)],0),18)</f>
        <v>#N/A</v>
      </c>
      <c r="AG365" s="115" t="str">
        <f>IF(K365="Yes",AF365*Tab_Data_Flows[[#This Row],[Flow_Py]],"N.A.")</f>
        <v>N.A.</v>
      </c>
      <c r="AH365" s="61">
        <f>Tab_Data_Flows[[#This Row],[UoM_Flow_Py]]</f>
        <v>0</v>
      </c>
      <c r="AI365" s="114" t="e">
        <f>INDEX(Tab_Def_Flows[[Flow_ID]:[CC_DM_source]],MATCH(Tab_Data_Flows[[#This Row],[Name(EN)]],Tab_Def_Flows[Name(EN)],0),20)</f>
        <v>#N/A</v>
      </c>
      <c r="AJ365" s="115" t="str">
        <f>IF(L365="Yes",AI365*Tab_Data_Flows[[#This Row],[Flow_Py]],"N.A.")</f>
        <v>N.A.</v>
      </c>
      <c r="AK365" s="61">
        <f>Tab_Data_Flows[[#This Row],[UoM_Flow_Py]]</f>
        <v>0</v>
      </c>
    </row>
    <row r="366" spans="1:37" x14ac:dyDescent="0.35">
      <c r="A366" s="60">
        <f t="shared" si="41"/>
        <v>365</v>
      </c>
      <c r="B366" s="49" t="str">
        <f>_xlfn.XLOOKUP(C366,Tab_Def_Flows[Name(EN)],Tab_Def_Flows[Flow_ID],,0,)</f>
        <v>F_21_21</v>
      </c>
      <c r="C366" s="51"/>
      <c r="D366" s="49">
        <f>_xlfn.XLOOKUP(C366,Tab_Def_Flows[Name(EN)],Tab_Def_Flows[Type_Biomass],,0,)</f>
        <v>0</v>
      </c>
      <c r="E366" s="49">
        <f>_xlfn.XLOOKUP(C366,Tab_Def_Flows[Name(EN)],Tab_Def_Flows[Output_Process],,0,)</f>
        <v>0</v>
      </c>
      <c r="F366" s="49" t="str">
        <f>_xlfn.XLOOKUP(C366,Tab_Def_Flows[Name(EN)],Tab_Def_Flows[Process_ID_O],,0,)</f>
        <v>21__</v>
      </c>
      <c r="G366" s="49">
        <f>_xlfn.XLOOKUP(C366,Tab_Def_Flows[Name(EN)],Tab_Def_Flows[Input_Process],,0,)</f>
        <v>0</v>
      </c>
      <c r="H366" s="61" t="str">
        <f>_xlfn.XLOOKUP(C366,Tab_Def_Flows[Name(EN)],Tab_Def_Flows[Process_ID_I],,0,)</f>
        <v>21__</v>
      </c>
      <c r="I366" s="49">
        <f>_xlfn.XLOOKUP(C366,Tab_Def_Flows[Name(EN)],Tab_Def_Flows[Value_Source],,0,)</f>
        <v>0</v>
      </c>
      <c r="J366" s="49">
        <f>_xlfn.XLOOKUP(C366,Tab_Def_Flows[Name(EN)],Tab_Def_Flows[WC?],,0,)</f>
        <v>0</v>
      </c>
      <c r="K366" s="49">
        <f>_xlfn.XLOOKUP(C366,Tab_Def_Flows[Name(EN)],Tab_Def_Flows[DM?],,0,)</f>
        <v>0</v>
      </c>
      <c r="L366" s="49">
        <f>_xlfn.XLOOKUP(C366,Tab_Def_Flows[Name(EN)],Tab_Def_Flows[CC?],,0,)</f>
        <v>0</v>
      </c>
      <c r="M366" s="51"/>
      <c r="N366" s="51"/>
      <c r="O366" s="88"/>
      <c r="P366" s="51"/>
      <c r="Q366" s="51"/>
      <c r="R366" s="51"/>
      <c r="S366" s="51"/>
      <c r="T366" s="51"/>
      <c r="U366" s="51"/>
      <c r="V366" s="51"/>
      <c r="W366" s="51"/>
      <c r="X366" s="51"/>
      <c r="Y366" s="51"/>
      <c r="Z366" s="51"/>
      <c r="AA366" s="89">
        <f t="shared" si="40"/>
        <v>0</v>
      </c>
      <c r="AB366" s="51"/>
      <c r="AC366" s="114" t="e">
        <f>INDEX(Tab_Def_Flows[[Flow_ID]:[CC_DM_source]],MATCH(Tab_Data_Flows[[#This Row],[Name(EN)]],Tab_Def_Flows[Name(EN)],0),16)</f>
        <v>#N/A</v>
      </c>
      <c r="AD366" s="115" t="str">
        <f>IF(J366="Yes",AA366*Tab_Data_Flows[[#This Row],[WC_'[%']]],"N.A.")</f>
        <v>N.A.</v>
      </c>
      <c r="AE366" s="61">
        <f>Tab_Data_Flows[[#This Row],[UoM_Flow_Py]]</f>
        <v>0</v>
      </c>
      <c r="AF366" s="114" t="e">
        <f>INDEX(Tab_Def_Flows[[Flow_ID]:[CC_DM_source]],MATCH(Tab_Data_Flows[[#This Row],[Name(EN)]],Tab_Def_Flows[Name(EN)],0),18)</f>
        <v>#N/A</v>
      </c>
      <c r="AG366" s="115" t="str">
        <f>IF(K366="Yes",AF366*Tab_Data_Flows[[#This Row],[Flow_Py]],"N.A.")</f>
        <v>N.A.</v>
      </c>
      <c r="AH366" s="61">
        <f>Tab_Data_Flows[[#This Row],[UoM_Flow_Py]]</f>
        <v>0</v>
      </c>
      <c r="AI366" s="114" t="e">
        <f>INDEX(Tab_Def_Flows[[Flow_ID]:[CC_DM_source]],MATCH(Tab_Data_Flows[[#This Row],[Name(EN)]],Tab_Def_Flows[Name(EN)],0),20)</f>
        <v>#N/A</v>
      </c>
      <c r="AJ366" s="115" t="str">
        <f>IF(L366="Yes",AI366*Tab_Data_Flows[[#This Row],[Flow_Py]],"N.A.")</f>
        <v>N.A.</v>
      </c>
      <c r="AK366" s="61">
        <f>Tab_Data_Flows[[#This Row],[UoM_Flow_Py]]</f>
        <v>0</v>
      </c>
    </row>
    <row r="367" spans="1:37" x14ac:dyDescent="0.35">
      <c r="A367" s="60">
        <f t="shared" si="41"/>
        <v>366</v>
      </c>
      <c r="B367" s="49" t="str">
        <f>_xlfn.XLOOKUP(C367,Tab_Def_Flows[Name(EN)],Tab_Def_Flows[Flow_ID],,0,)</f>
        <v>F_21_21</v>
      </c>
      <c r="C367" s="51"/>
      <c r="D367" s="49">
        <f>_xlfn.XLOOKUP(C367,Tab_Def_Flows[Name(EN)],Tab_Def_Flows[Type_Biomass],,0,)</f>
        <v>0</v>
      </c>
      <c r="E367" s="49">
        <f>_xlfn.XLOOKUP(C367,Tab_Def_Flows[Name(EN)],Tab_Def_Flows[Output_Process],,0,)</f>
        <v>0</v>
      </c>
      <c r="F367" s="49" t="str">
        <f>_xlfn.XLOOKUP(C367,Tab_Def_Flows[Name(EN)],Tab_Def_Flows[Process_ID_O],,0,)</f>
        <v>21__</v>
      </c>
      <c r="G367" s="49">
        <f>_xlfn.XLOOKUP(C367,Tab_Def_Flows[Name(EN)],Tab_Def_Flows[Input_Process],,0,)</f>
        <v>0</v>
      </c>
      <c r="H367" s="61" t="str">
        <f>_xlfn.XLOOKUP(C367,Tab_Def_Flows[Name(EN)],Tab_Def_Flows[Process_ID_I],,0,)</f>
        <v>21__</v>
      </c>
      <c r="I367" s="49">
        <f>_xlfn.XLOOKUP(C367,Tab_Def_Flows[Name(EN)],Tab_Def_Flows[Value_Source],,0,)</f>
        <v>0</v>
      </c>
      <c r="J367" s="49">
        <f>_xlfn.XLOOKUP(C367,Tab_Def_Flows[Name(EN)],Tab_Def_Flows[WC?],,0,)</f>
        <v>0</v>
      </c>
      <c r="K367" s="49">
        <f>_xlfn.XLOOKUP(C367,Tab_Def_Flows[Name(EN)],Tab_Def_Flows[DM?],,0,)</f>
        <v>0</v>
      </c>
      <c r="L367" s="49">
        <f>_xlfn.XLOOKUP(C367,Tab_Def_Flows[Name(EN)],Tab_Def_Flows[CC?],,0,)</f>
        <v>0</v>
      </c>
      <c r="M367" s="51"/>
      <c r="N367" s="51"/>
      <c r="O367" s="88"/>
      <c r="P367" s="51"/>
      <c r="Q367" s="51"/>
      <c r="R367" s="51"/>
      <c r="S367" s="51"/>
      <c r="T367" s="51"/>
      <c r="U367" s="51"/>
      <c r="V367" s="51"/>
      <c r="W367" s="51"/>
      <c r="X367" s="51"/>
      <c r="Y367" s="51"/>
      <c r="Z367" s="51"/>
      <c r="AA367" s="89">
        <f t="shared" si="40"/>
        <v>0</v>
      </c>
      <c r="AB367" s="51"/>
      <c r="AC367" s="114" t="e">
        <f>INDEX(Tab_Def_Flows[[Flow_ID]:[CC_DM_source]],MATCH(Tab_Data_Flows[[#This Row],[Name(EN)]],Tab_Def_Flows[Name(EN)],0),16)</f>
        <v>#N/A</v>
      </c>
      <c r="AD367" s="115" t="str">
        <f>IF(J367="Yes",AA367*Tab_Data_Flows[[#This Row],[WC_'[%']]],"N.A.")</f>
        <v>N.A.</v>
      </c>
      <c r="AE367" s="61">
        <f>Tab_Data_Flows[[#This Row],[UoM_Flow_Py]]</f>
        <v>0</v>
      </c>
      <c r="AF367" s="114" t="e">
        <f>INDEX(Tab_Def_Flows[[Flow_ID]:[CC_DM_source]],MATCH(Tab_Data_Flows[[#This Row],[Name(EN)]],Tab_Def_Flows[Name(EN)],0),18)</f>
        <v>#N/A</v>
      </c>
      <c r="AG367" s="115" t="str">
        <f>IF(K367="Yes",AF367*Tab_Data_Flows[[#This Row],[Flow_Py]],"N.A.")</f>
        <v>N.A.</v>
      </c>
      <c r="AH367" s="61">
        <f>Tab_Data_Flows[[#This Row],[UoM_Flow_Py]]</f>
        <v>0</v>
      </c>
      <c r="AI367" s="114" t="e">
        <f>INDEX(Tab_Def_Flows[[Flow_ID]:[CC_DM_source]],MATCH(Tab_Data_Flows[[#This Row],[Name(EN)]],Tab_Def_Flows[Name(EN)],0),20)</f>
        <v>#N/A</v>
      </c>
      <c r="AJ367" s="115" t="str">
        <f>IF(L367="Yes",AI367*Tab_Data_Flows[[#This Row],[Flow_Py]],"N.A.")</f>
        <v>N.A.</v>
      </c>
      <c r="AK367" s="61">
        <f>Tab_Data_Flows[[#This Row],[UoM_Flow_Py]]</f>
        <v>0</v>
      </c>
    </row>
    <row r="368" spans="1:37" x14ac:dyDescent="0.35">
      <c r="A368" s="60">
        <f t="shared" si="41"/>
        <v>367</v>
      </c>
      <c r="B368" s="49" t="str">
        <f>_xlfn.XLOOKUP(C368,Tab_Def_Flows[Name(EN)],Tab_Def_Flows[Flow_ID],,0,)</f>
        <v>F_21_21</v>
      </c>
      <c r="C368" s="51"/>
      <c r="D368" s="49">
        <f>_xlfn.XLOOKUP(C368,Tab_Def_Flows[Name(EN)],Tab_Def_Flows[Type_Biomass],,0,)</f>
        <v>0</v>
      </c>
      <c r="E368" s="49">
        <f>_xlfn.XLOOKUP(C368,Tab_Def_Flows[Name(EN)],Tab_Def_Flows[Output_Process],,0,)</f>
        <v>0</v>
      </c>
      <c r="F368" s="49" t="str">
        <f>_xlfn.XLOOKUP(C368,Tab_Def_Flows[Name(EN)],Tab_Def_Flows[Process_ID_O],,0,)</f>
        <v>21__</v>
      </c>
      <c r="G368" s="49">
        <f>_xlfn.XLOOKUP(C368,Tab_Def_Flows[Name(EN)],Tab_Def_Flows[Input_Process],,0,)</f>
        <v>0</v>
      </c>
      <c r="H368" s="61" t="str">
        <f>_xlfn.XLOOKUP(C368,Tab_Def_Flows[Name(EN)],Tab_Def_Flows[Process_ID_I],,0,)</f>
        <v>21__</v>
      </c>
      <c r="I368" s="49">
        <f>_xlfn.XLOOKUP(C368,Tab_Def_Flows[Name(EN)],Tab_Def_Flows[Value_Source],,0,)</f>
        <v>0</v>
      </c>
      <c r="J368" s="49">
        <f>_xlfn.XLOOKUP(C368,Tab_Def_Flows[Name(EN)],Tab_Def_Flows[WC?],,0,)</f>
        <v>0</v>
      </c>
      <c r="K368" s="49">
        <f>_xlfn.XLOOKUP(C368,Tab_Def_Flows[Name(EN)],Tab_Def_Flows[DM?],,0,)</f>
        <v>0</v>
      </c>
      <c r="L368" s="49">
        <f>_xlfn.XLOOKUP(C368,Tab_Def_Flows[Name(EN)],Tab_Def_Flows[CC?],,0,)</f>
        <v>0</v>
      </c>
      <c r="M368" s="51"/>
      <c r="N368" s="51"/>
      <c r="O368" s="88"/>
      <c r="P368" s="51"/>
      <c r="Q368" s="51"/>
      <c r="R368" s="51"/>
      <c r="S368" s="51"/>
      <c r="T368" s="51"/>
      <c r="U368" s="51"/>
      <c r="V368" s="51"/>
      <c r="W368" s="51"/>
      <c r="X368" s="51"/>
      <c r="Y368" s="51"/>
      <c r="Z368" s="51"/>
      <c r="AA368" s="89">
        <f t="shared" si="40"/>
        <v>0</v>
      </c>
      <c r="AB368" s="51"/>
      <c r="AC368" s="114" t="e">
        <f>INDEX(Tab_Def_Flows[[Flow_ID]:[CC_DM_source]],MATCH(Tab_Data_Flows[[#This Row],[Name(EN)]],Tab_Def_Flows[Name(EN)],0),16)</f>
        <v>#N/A</v>
      </c>
      <c r="AD368" s="115" t="str">
        <f>IF(J368="Yes",AA368*Tab_Data_Flows[[#This Row],[WC_'[%']]],"N.A.")</f>
        <v>N.A.</v>
      </c>
      <c r="AE368" s="61">
        <f>Tab_Data_Flows[[#This Row],[UoM_Flow_Py]]</f>
        <v>0</v>
      </c>
      <c r="AF368" s="114" t="e">
        <f>INDEX(Tab_Def_Flows[[Flow_ID]:[CC_DM_source]],MATCH(Tab_Data_Flows[[#This Row],[Name(EN)]],Tab_Def_Flows[Name(EN)],0),18)</f>
        <v>#N/A</v>
      </c>
      <c r="AG368" s="115" t="str">
        <f>IF(K368="Yes",AF368*Tab_Data_Flows[[#This Row],[Flow_Py]],"N.A.")</f>
        <v>N.A.</v>
      </c>
      <c r="AH368" s="61">
        <f>Tab_Data_Flows[[#This Row],[UoM_Flow_Py]]</f>
        <v>0</v>
      </c>
      <c r="AI368" s="114" t="e">
        <f>INDEX(Tab_Def_Flows[[Flow_ID]:[CC_DM_source]],MATCH(Tab_Data_Flows[[#This Row],[Name(EN)]],Tab_Def_Flows[Name(EN)],0),20)</f>
        <v>#N/A</v>
      </c>
      <c r="AJ368" s="115" t="str">
        <f>IF(L368="Yes",AI368*Tab_Data_Flows[[#This Row],[Flow_Py]],"N.A.")</f>
        <v>N.A.</v>
      </c>
      <c r="AK368" s="61">
        <f>Tab_Data_Flows[[#This Row],[UoM_Flow_Py]]</f>
        <v>0</v>
      </c>
    </row>
    <row r="369" spans="1:37" x14ac:dyDescent="0.35">
      <c r="A369" s="60">
        <f t="shared" si="41"/>
        <v>368</v>
      </c>
      <c r="B369" s="49" t="str">
        <f>_xlfn.XLOOKUP(C369,Tab_Def_Flows[Name(EN)],Tab_Def_Flows[Flow_ID],,0,)</f>
        <v>F_21_21</v>
      </c>
      <c r="C369" s="51"/>
      <c r="D369" s="49">
        <f>_xlfn.XLOOKUP(C369,Tab_Def_Flows[Name(EN)],Tab_Def_Flows[Type_Biomass],,0,)</f>
        <v>0</v>
      </c>
      <c r="E369" s="49">
        <f>_xlfn.XLOOKUP(C369,Tab_Def_Flows[Name(EN)],Tab_Def_Flows[Output_Process],,0,)</f>
        <v>0</v>
      </c>
      <c r="F369" s="49" t="str">
        <f>_xlfn.XLOOKUP(C369,Tab_Def_Flows[Name(EN)],Tab_Def_Flows[Process_ID_O],,0,)</f>
        <v>21__</v>
      </c>
      <c r="G369" s="49">
        <f>_xlfn.XLOOKUP(C369,Tab_Def_Flows[Name(EN)],Tab_Def_Flows[Input_Process],,0,)</f>
        <v>0</v>
      </c>
      <c r="H369" s="61" t="str">
        <f>_xlfn.XLOOKUP(C369,Tab_Def_Flows[Name(EN)],Tab_Def_Flows[Process_ID_I],,0,)</f>
        <v>21__</v>
      </c>
      <c r="I369" s="49">
        <f>_xlfn.XLOOKUP(C369,Tab_Def_Flows[Name(EN)],Tab_Def_Flows[Value_Source],,0,)</f>
        <v>0</v>
      </c>
      <c r="J369" s="49">
        <f>_xlfn.XLOOKUP(C369,Tab_Def_Flows[Name(EN)],Tab_Def_Flows[WC?],,0,)</f>
        <v>0</v>
      </c>
      <c r="K369" s="49">
        <f>_xlfn.XLOOKUP(C369,Tab_Def_Flows[Name(EN)],Tab_Def_Flows[DM?],,0,)</f>
        <v>0</v>
      </c>
      <c r="L369" s="49">
        <f>_xlfn.XLOOKUP(C369,Tab_Def_Flows[Name(EN)],Tab_Def_Flows[CC?],,0,)</f>
        <v>0</v>
      </c>
      <c r="M369" s="51"/>
      <c r="N369" s="51"/>
      <c r="O369" s="88"/>
      <c r="P369" s="51"/>
      <c r="Q369" s="51"/>
      <c r="R369" s="51"/>
      <c r="S369" s="51"/>
      <c r="T369" s="51"/>
      <c r="U369" s="51"/>
      <c r="V369" s="51"/>
      <c r="W369" s="51"/>
      <c r="X369" s="51"/>
      <c r="Y369" s="51"/>
      <c r="Z369" s="51"/>
      <c r="AA369" s="89">
        <f t="shared" si="40"/>
        <v>0</v>
      </c>
      <c r="AB369" s="51"/>
      <c r="AC369" s="114" t="e">
        <f>INDEX(Tab_Def_Flows[[Flow_ID]:[CC_DM_source]],MATCH(Tab_Data_Flows[[#This Row],[Name(EN)]],Tab_Def_Flows[Name(EN)],0),16)</f>
        <v>#N/A</v>
      </c>
      <c r="AD369" s="115" t="str">
        <f>IF(J369="Yes",AA369*Tab_Data_Flows[[#This Row],[WC_'[%']]],"N.A.")</f>
        <v>N.A.</v>
      </c>
      <c r="AE369" s="61">
        <f>Tab_Data_Flows[[#This Row],[UoM_Flow_Py]]</f>
        <v>0</v>
      </c>
      <c r="AF369" s="114" t="e">
        <f>INDEX(Tab_Def_Flows[[Flow_ID]:[CC_DM_source]],MATCH(Tab_Data_Flows[[#This Row],[Name(EN)]],Tab_Def_Flows[Name(EN)],0),18)</f>
        <v>#N/A</v>
      </c>
      <c r="AG369" s="115" t="str">
        <f>IF(K369="Yes",AF369*Tab_Data_Flows[[#This Row],[Flow_Py]],"N.A.")</f>
        <v>N.A.</v>
      </c>
      <c r="AH369" s="61">
        <f>Tab_Data_Flows[[#This Row],[UoM_Flow_Py]]</f>
        <v>0</v>
      </c>
      <c r="AI369" s="114" t="e">
        <f>INDEX(Tab_Def_Flows[[Flow_ID]:[CC_DM_source]],MATCH(Tab_Data_Flows[[#This Row],[Name(EN)]],Tab_Def_Flows[Name(EN)],0),20)</f>
        <v>#N/A</v>
      </c>
      <c r="AJ369" s="115" t="str">
        <f>IF(L369="Yes",AI369*Tab_Data_Flows[[#This Row],[Flow_Py]],"N.A.")</f>
        <v>N.A.</v>
      </c>
      <c r="AK369" s="61">
        <f>Tab_Data_Flows[[#This Row],[UoM_Flow_Py]]</f>
        <v>0</v>
      </c>
    </row>
    <row r="370" spans="1:37" x14ac:dyDescent="0.35">
      <c r="A370" s="60">
        <f t="shared" si="41"/>
        <v>369</v>
      </c>
      <c r="B370" s="49" t="str">
        <f>_xlfn.XLOOKUP(C370,Tab_Def_Flows[Name(EN)],Tab_Def_Flows[Flow_ID],,0,)</f>
        <v>F_21_21</v>
      </c>
      <c r="C370" s="51"/>
      <c r="D370" s="49">
        <f>_xlfn.XLOOKUP(C370,Tab_Def_Flows[Name(EN)],Tab_Def_Flows[Type_Biomass],,0,)</f>
        <v>0</v>
      </c>
      <c r="E370" s="49">
        <f>_xlfn.XLOOKUP(C370,Tab_Def_Flows[Name(EN)],Tab_Def_Flows[Output_Process],,0,)</f>
        <v>0</v>
      </c>
      <c r="F370" s="49" t="str">
        <f>_xlfn.XLOOKUP(C370,Tab_Def_Flows[Name(EN)],Tab_Def_Flows[Process_ID_O],,0,)</f>
        <v>21__</v>
      </c>
      <c r="G370" s="49">
        <f>_xlfn.XLOOKUP(C370,Tab_Def_Flows[Name(EN)],Tab_Def_Flows[Input_Process],,0,)</f>
        <v>0</v>
      </c>
      <c r="H370" s="61" t="str">
        <f>_xlfn.XLOOKUP(C370,Tab_Def_Flows[Name(EN)],Tab_Def_Flows[Process_ID_I],,0,)</f>
        <v>21__</v>
      </c>
      <c r="I370" s="49">
        <f>_xlfn.XLOOKUP(C370,Tab_Def_Flows[Name(EN)],Tab_Def_Flows[Value_Source],,0,)</f>
        <v>0</v>
      </c>
      <c r="J370" s="49">
        <f>_xlfn.XLOOKUP(C370,Tab_Def_Flows[Name(EN)],Tab_Def_Flows[WC?],,0,)</f>
        <v>0</v>
      </c>
      <c r="K370" s="49">
        <f>_xlfn.XLOOKUP(C370,Tab_Def_Flows[Name(EN)],Tab_Def_Flows[DM?],,0,)</f>
        <v>0</v>
      </c>
      <c r="L370" s="49">
        <f>_xlfn.XLOOKUP(C370,Tab_Def_Flows[Name(EN)],Tab_Def_Flows[CC?],,0,)</f>
        <v>0</v>
      </c>
      <c r="M370" s="51"/>
      <c r="N370" s="51"/>
      <c r="O370" s="88"/>
      <c r="P370" s="51"/>
      <c r="Q370" s="51"/>
      <c r="R370" s="51"/>
      <c r="S370" s="51"/>
      <c r="T370" s="51"/>
      <c r="U370" s="51"/>
      <c r="V370" s="51"/>
      <c r="W370" s="51"/>
      <c r="X370" s="51"/>
      <c r="Y370" s="51"/>
      <c r="Z370" s="51"/>
      <c r="AA370" s="89">
        <f t="shared" ref="AA370:AA401" si="42">IF(X370="no",O370,O370*Y370)</f>
        <v>0</v>
      </c>
      <c r="AB370" s="51"/>
      <c r="AC370" s="114" t="e">
        <f>INDEX(Tab_Def_Flows[[Flow_ID]:[CC_DM_source]],MATCH(Tab_Data_Flows[[#This Row],[Name(EN)]],Tab_Def_Flows[Name(EN)],0),16)</f>
        <v>#N/A</v>
      </c>
      <c r="AD370" s="115" t="str">
        <f>IF(J370="Yes",AA370*Tab_Data_Flows[[#This Row],[WC_'[%']]],"N.A.")</f>
        <v>N.A.</v>
      </c>
      <c r="AE370" s="61">
        <f>Tab_Data_Flows[[#This Row],[UoM_Flow_Py]]</f>
        <v>0</v>
      </c>
      <c r="AF370" s="114" t="e">
        <f>INDEX(Tab_Def_Flows[[Flow_ID]:[CC_DM_source]],MATCH(Tab_Data_Flows[[#This Row],[Name(EN)]],Tab_Def_Flows[Name(EN)],0),18)</f>
        <v>#N/A</v>
      </c>
      <c r="AG370" s="115" t="str">
        <f>IF(K370="Yes",AF370*Tab_Data_Flows[[#This Row],[Flow_Py]],"N.A.")</f>
        <v>N.A.</v>
      </c>
      <c r="AH370" s="61">
        <f>Tab_Data_Flows[[#This Row],[UoM_Flow_Py]]</f>
        <v>0</v>
      </c>
      <c r="AI370" s="114" t="e">
        <f>INDEX(Tab_Def_Flows[[Flow_ID]:[CC_DM_source]],MATCH(Tab_Data_Flows[[#This Row],[Name(EN)]],Tab_Def_Flows[Name(EN)],0),20)</f>
        <v>#N/A</v>
      </c>
      <c r="AJ370" s="115" t="str">
        <f>IF(L370="Yes",AI370*Tab_Data_Flows[[#This Row],[Flow_Py]],"N.A.")</f>
        <v>N.A.</v>
      </c>
      <c r="AK370" s="61">
        <f>Tab_Data_Flows[[#This Row],[UoM_Flow_Py]]</f>
        <v>0</v>
      </c>
    </row>
    <row r="371" spans="1:37" x14ac:dyDescent="0.35">
      <c r="A371" s="60">
        <f t="shared" si="41"/>
        <v>370</v>
      </c>
      <c r="B371" s="49" t="str">
        <f>_xlfn.XLOOKUP(C371,Tab_Def_Flows[Name(EN)],Tab_Def_Flows[Flow_ID],,0,)</f>
        <v>F_21_21</v>
      </c>
      <c r="C371" s="51"/>
      <c r="D371" s="49">
        <f>_xlfn.XLOOKUP(C371,Tab_Def_Flows[Name(EN)],Tab_Def_Flows[Type_Biomass],,0,)</f>
        <v>0</v>
      </c>
      <c r="E371" s="49">
        <f>_xlfn.XLOOKUP(C371,Tab_Def_Flows[Name(EN)],Tab_Def_Flows[Output_Process],,0,)</f>
        <v>0</v>
      </c>
      <c r="F371" s="49" t="str">
        <f>_xlfn.XLOOKUP(C371,Tab_Def_Flows[Name(EN)],Tab_Def_Flows[Process_ID_O],,0,)</f>
        <v>21__</v>
      </c>
      <c r="G371" s="49">
        <f>_xlfn.XLOOKUP(C371,Tab_Def_Flows[Name(EN)],Tab_Def_Flows[Input_Process],,0,)</f>
        <v>0</v>
      </c>
      <c r="H371" s="61" t="str">
        <f>_xlfn.XLOOKUP(C371,Tab_Def_Flows[Name(EN)],Tab_Def_Flows[Process_ID_I],,0,)</f>
        <v>21__</v>
      </c>
      <c r="I371" s="49">
        <f>_xlfn.XLOOKUP(C371,Tab_Def_Flows[Name(EN)],Tab_Def_Flows[Value_Source],,0,)</f>
        <v>0</v>
      </c>
      <c r="J371" s="49">
        <f>_xlfn.XLOOKUP(C371,Tab_Def_Flows[Name(EN)],Tab_Def_Flows[WC?],,0,)</f>
        <v>0</v>
      </c>
      <c r="K371" s="49">
        <f>_xlfn.XLOOKUP(C371,Tab_Def_Flows[Name(EN)],Tab_Def_Flows[DM?],,0,)</f>
        <v>0</v>
      </c>
      <c r="L371" s="49">
        <f>_xlfn.XLOOKUP(C371,Tab_Def_Flows[Name(EN)],Tab_Def_Flows[CC?],,0,)</f>
        <v>0</v>
      </c>
      <c r="M371" s="51"/>
      <c r="N371" s="51"/>
      <c r="O371" s="88"/>
      <c r="P371" s="51"/>
      <c r="Q371" s="51"/>
      <c r="R371" s="51"/>
      <c r="S371" s="51"/>
      <c r="T371" s="51"/>
      <c r="U371" s="51"/>
      <c r="V371" s="51"/>
      <c r="W371" s="51"/>
      <c r="X371" s="51"/>
      <c r="Y371" s="51"/>
      <c r="Z371" s="51"/>
      <c r="AA371" s="89">
        <f t="shared" si="42"/>
        <v>0</v>
      </c>
      <c r="AB371" s="51"/>
      <c r="AC371" s="114" t="e">
        <f>INDEX(Tab_Def_Flows[[Flow_ID]:[CC_DM_source]],MATCH(Tab_Data_Flows[[#This Row],[Name(EN)]],Tab_Def_Flows[Name(EN)],0),16)</f>
        <v>#N/A</v>
      </c>
      <c r="AD371" s="115" t="str">
        <f>IF(J371="Yes",AA371*Tab_Data_Flows[[#This Row],[WC_'[%']]],"N.A.")</f>
        <v>N.A.</v>
      </c>
      <c r="AE371" s="61">
        <f>Tab_Data_Flows[[#This Row],[UoM_Flow_Py]]</f>
        <v>0</v>
      </c>
      <c r="AF371" s="114" t="e">
        <f>INDEX(Tab_Def_Flows[[Flow_ID]:[CC_DM_source]],MATCH(Tab_Data_Flows[[#This Row],[Name(EN)]],Tab_Def_Flows[Name(EN)],0),18)</f>
        <v>#N/A</v>
      </c>
      <c r="AG371" s="115" t="str">
        <f>IF(K371="Yes",AF371*Tab_Data_Flows[[#This Row],[Flow_Py]],"N.A.")</f>
        <v>N.A.</v>
      </c>
      <c r="AH371" s="61">
        <f>Tab_Data_Flows[[#This Row],[UoM_Flow_Py]]</f>
        <v>0</v>
      </c>
      <c r="AI371" s="114" t="e">
        <f>INDEX(Tab_Def_Flows[[Flow_ID]:[CC_DM_source]],MATCH(Tab_Data_Flows[[#This Row],[Name(EN)]],Tab_Def_Flows[Name(EN)],0),20)</f>
        <v>#N/A</v>
      </c>
      <c r="AJ371" s="115" t="str">
        <f>IF(L371="Yes",AI371*Tab_Data_Flows[[#This Row],[Flow_Py]],"N.A.")</f>
        <v>N.A.</v>
      </c>
      <c r="AK371" s="61">
        <f>Tab_Data_Flows[[#This Row],[UoM_Flow_Py]]</f>
        <v>0</v>
      </c>
    </row>
    <row r="372" spans="1:37" x14ac:dyDescent="0.35">
      <c r="A372" s="60">
        <f t="shared" si="41"/>
        <v>371</v>
      </c>
      <c r="B372" s="49" t="str">
        <f>_xlfn.XLOOKUP(C372,Tab_Def_Flows[Name(EN)],Tab_Def_Flows[Flow_ID],,0,)</f>
        <v>F_21_21</v>
      </c>
      <c r="C372" s="51"/>
      <c r="D372" s="49">
        <f>_xlfn.XLOOKUP(C372,Tab_Def_Flows[Name(EN)],Tab_Def_Flows[Type_Biomass],,0,)</f>
        <v>0</v>
      </c>
      <c r="E372" s="49">
        <f>_xlfn.XLOOKUP(C372,Tab_Def_Flows[Name(EN)],Tab_Def_Flows[Output_Process],,0,)</f>
        <v>0</v>
      </c>
      <c r="F372" s="49" t="str">
        <f>_xlfn.XLOOKUP(C372,Tab_Def_Flows[Name(EN)],Tab_Def_Flows[Process_ID_O],,0,)</f>
        <v>21__</v>
      </c>
      <c r="G372" s="49">
        <f>_xlfn.XLOOKUP(C372,Tab_Def_Flows[Name(EN)],Tab_Def_Flows[Input_Process],,0,)</f>
        <v>0</v>
      </c>
      <c r="H372" s="61" t="str">
        <f>_xlfn.XLOOKUP(C372,Tab_Def_Flows[Name(EN)],Tab_Def_Flows[Process_ID_I],,0,)</f>
        <v>21__</v>
      </c>
      <c r="I372" s="49">
        <f>_xlfn.XLOOKUP(C372,Tab_Def_Flows[Name(EN)],Tab_Def_Flows[Value_Source],,0,)</f>
        <v>0</v>
      </c>
      <c r="J372" s="49">
        <f>_xlfn.XLOOKUP(C372,Tab_Def_Flows[Name(EN)],Tab_Def_Flows[WC?],,0,)</f>
        <v>0</v>
      </c>
      <c r="K372" s="49">
        <f>_xlfn.XLOOKUP(C372,Tab_Def_Flows[Name(EN)],Tab_Def_Flows[DM?],,0,)</f>
        <v>0</v>
      </c>
      <c r="L372" s="49">
        <f>_xlfn.XLOOKUP(C372,Tab_Def_Flows[Name(EN)],Tab_Def_Flows[CC?],,0,)</f>
        <v>0</v>
      </c>
      <c r="M372" s="51"/>
      <c r="N372" s="51"/>
      <c r="O372" s="88"/>
      <c r="P372" s="51"/>
      <c r="Q372" s="51"/>
      <c r="R372" s="51"/>
      <c r="S372" s="51"/>
      <c r="T372" s="51"/>
      <c r="U372" s="51"/>
      <c r="V372" s="51"/>
      <c r="W372" s="51"/>
      <c r="X372" s="51"/>
      <c r="Y372" s="51"/>
      <c r="Z372" s="51"/>
      <c r="AA372" s="89">
        <f t="shared" si="42"/>
        <v>0</v>
      </c>
      <c r="AB372" s="51"/>
      <c r="AC372" s="114" t="e">
        <f>INDEX(Tab_Def_Flows[[Flow_ID]:[CC_DM_source]],MATCH(Tab_Data_Flows[[#This Row],[Name(EN)]],Tab_Def_Flows[Name(EN)],0),16)</f>
        <v>#N/A</v>
      </c>
      <c r="AD372" s="115" t="str">
        <f>IF(J372="Yes",AA372*Tab_Data_Flows[[#This Row],[WC_'[%']]],"N.A.")</f>
        <v>N.A.</v>
      </c>
      <c r="AE372" s="61">
        <f>Tab_Data_Flows[[#This Row],[UoM_Flow_Py]]</f>
        <v>0</v>
      </c>
      <c r="AF372" s="114" t="e">
        <f>INDEX(Tab_Def_Flows[[Flow_ID]:[CC_DM_source]],MATCH(Tab_Data_Flows[[#This Row],[Name(EN)]],Tab_Def_Flows[Name(EN)],0),18)</f>
        <v>#N/A</v>
      </c>
      <c r="AG372" s="115" t="str">
        <f>IF(K372="Yes",AF372*Tab_Data_Flows[[#This Row],[Flow_Py]],"N.A.")</f>
        <v>N.A.</v>
      </c>
      <c r="AH372" s="61">
        <f>Tab_Data_Flows[[#This Row],[UoM_Flow_Py]]</f>
        <v>0</v>
      </c>
      <c r="AI372" s="114" t="e">
        <f>INDEX(Tab_Def_Flows[[Flow_ID]:[CC_DM_source]],MATCH(Tab_Data_Flows[[#This Row],[Name(EN)]],Tab_Def_Flows[Name(EN)],0),20)</f>
        <v>#N/A</v>
      </c>
      <c r="AJ372" s="115" t="str">
        <f>IF(L372="Yes",AI372*Tab_Data_Flows[[#This Row],[Flow_Py]],"N.A.")</f>
        <v>N.A.</v>
      </c>
      <c r="AK372" s="61">
        <f>Tab_Data_Flows[[#This Row],[UoM_Flow_Py]]</f>
        <v>0</v>
      </c>
    </row>
    <row r="373" spans="1:37" x14ac:dyDescent="0.35">
      <c r="A373" s="60">
        <f t="shared" si="41"/>
        <v>372</v>
      </c>
      <c r="B373" s="49" t="str">
        <f>_xlfn.XLOOKUP(C373,Tab_Def_Flows[Name(EN)],Tab_Def_Flows[Flow_ID],,0,)</f>
        <v>F_21_21</v>
      </c>
      <c r="C373" s="51"/>
      <c r="D373" s="49">
        <f>_xlfn.XLOOKUP(C373,Tab_Def_Flows[Name(EN)],Tab_Def_Flows[Type_Biomass],,0,)</f>
        <v>0</v>
      </c>
      <c r="E373" s="49">
        <f>_xlfn.XLOOKUP(C373,Tab_Def_Flows[Name(EN)],Tab_Def_Flows[Output_Process],,0,)</f>
        <v>0</v>
      </c>
      <c r="F373" s="49" t="str">
        <f>_xlfn.XLOOKUP(C373,Tab_Def_Flows[Name(EN)],Tab_Def_Flows[Process_ID_O],,0,)</f>
        <v>21__</v>
      </c>
      <c r="G373" s="49">
        <f>_xlfn.XLOOKUP(C373,Tab_Def_Flows[Name(EN)],Tab_Def_Flows[Input_Process],,0,)</f>
        <v>0</v>
      </c>
      <c r="H373" s="61" t="str">
        <f>_xlfn.XLOOKUP(C373,Tab_Def_Flows[Name(EN)],Tab_Def_Flows[Process_ID_I],,0,)</f>
        <v>21__</v>
      </c>
      <c r="I373" s="49">
        <f>_xlfn.XLOOKUP(C373,Tab_Def_Flows[Name(EN)],Tab_Def_Flows[Value_Source],,0,)</f>
        <v>0</v>
      </c>
      <c r="J373" s="49">
        <f>_xlfn.XLOOKUP(C373,Tab_Def_Flows[Name(EN)],Tab_Def_Flows[WC?],,0,)</f>
        <v>0</v>
      </c>
      <c r="K373" s="49">
        <f>_xlfn.XLOOKUP(C373,Tab_Def_Flows[Name(EN)],Tab_Def_Flows[DM?],,0,)</f>
        <v>0</v>
      </c>
      <c r="L373" s="49">
        <f>_xlfn.XLOOKUP(C373,Tab_Def_Flows[Name(EN)],Tab_Def_Flows[CC?],,0,)</f>
        <v>0</v>
      </c>
      <c r="M373" s="51"/>
      <c r="N373" s="51"/>
      <c r="O373" s="88"/>
      <c r="P373" s="51"/>
      <c r="Q373" s="51"/>
      <c r="R373" s="51"/>
      <c r="S373" s="51"/>
      <c r="T373" s="51"/>
      <c r="U373" s="51"/>
      <c r="V373" s="51"/>
      <c r="W373" s="51"/>
      <c r="X373" s="51"/>
      <c r="Y373" s="51"/>
      <c r="Z373" s="51"/>
      <c r="AA373" s="89">
        <f t="shared" si="42"/>
        <v>0</v>
      </c>
      <c r="AB373" s="51"/>
      <c r="AC373" s="114" t="e">
        <f>INDEX(Tab_Def_Flows[[Flow_ID]:[CC_DM_source]],MATCH(Tab_Data_Flows[[#This Row],[Name(EN)]],Tab_Def_Flows[Name(EN)],0),16)</f>
        <v>#N/A</v>
      </c>
      <c r="AD373" s="115" t="str">
        <f>IF(J373="Yes",AA373*Tab_Data_Flows[[#This Row],[WC_'[%']]],"N.A.")</f>
        <v>N.A.</v>
      </c>
      <c r="AE373" s="61">
        <f>Tab_Data_Flows[[#This Row],[UoM_Flow_Py]]</f>
        <v>0</v>
      </c>
      <c r="AF373" s="114" t="e">
        <f>INDEX(Tab_Def_Flows[[Flow_ID]:[CC_DM_source]],MATCH(Tab_Data_Flows[[#This Row],[Name(EN)]],Tab_Def_Flows[Name(EN)],0),18)</f>
        <v>#N/A</v>
      </c>
      <c r="AG373" s="115" t="str">
        <f>IF(K373="Yes",AF373*Tab_Data_Flows[[#This Row],[Flow_Py]],"N.A.")</f>
        <v>N.A.</v>
      </c>
      <c r="AH373" s="61">
        <f>Tab_Data_Flows[[#This Row],[UoM_Flow_Py]]</f>
        <v>0</v>
      </c>
      <c r="AI373" s="114" t="e">
        <f>INDEX(Tab_Def_Flows[[Flow_ID]:[CC_DM_source]],MATCH(Tab_Data_Flows[[#This Row],[Name(EN)]],Tab_Def_Flows[Name(EN)],0),20)</f>
        <v>#N/A</v>
      </c>
      <c r="AJ373" s="115" t="str">
        <f>IF(L373="Yes",AI373*Tab_Data_Flows[[#This Row],[Flow_Py]],"N.A.")</f>
        <v>N.A.</v>
      </c>
      <c r="AK373" s="61">
        <f>Tab_Data_Flows[[#This Row],[UoM_Flow_Py]]</f>
        <v>0</v>
      </c>
    </row>
    <row r="374" spans="1:37" x14ac:dyDescent="0.35">
      <c r="A374" s="60">
        <f t="shared" si="41"/>
        <v>373</v>
      </c>
      <c r="B374" s="49" t="str">
        <f>_xlfn.XLOOKUP(C374,Tab_Def_Flows[Name(EN)],Tab_Def_Flows[Flow_ID],,0,)</f>
        <v>F_21_21</v>
      </c>
      <c r="C374" s="51"/>
      <c r="D374" s="49">
        <f>_xlfn.XLOOKUP(C374,Tab_Def_Flows[Name(EN)],Tab_Def_Flows[Type_Biomass],,0,)</f>
        <v>0</v>
      </c>
      <c r="E374" s="49">
        <f>_xlfn.XLOOKUP(C374,Tab_Def_Flows[Name(EN)],Tab_Def_Flows[Output_Process],,0,)</f>
        <v>0</v>
      </c>
      <c r="F374" s="49" t="str">
        <f>_xlfn.XLOOKUP(C374,Tab_Def_Flows[Name(EN)],Tab_Def_Flows[Process_ID_O],,0,)</f>
        <v>21__</v>
      </c>
      <c r="G374" s="49">
        <f>_xlfn.XLOOKUP(C374,Tab_Def_Flows[Name(EN)],Tab_Def_Flows[Input_Process],,0,)</f>
        <v>0</v>
      </c>
      <c r="H374" s="61" t="str">
        <f>_xlfn.XLOOKUP(C374,Tab_Def_Flows[Name(EN)],Tab_Def_Flows[Process_ID_I],,0,)</f>
        <v>21__</v>
      </c>
      <c r="I374" s="49">
        <f>_xlfn.XLOOKUP(C374,Tab_Def_Flows[Name(EN)],Tab_Def_Flows[Value_Source],,0,)</f>
        <v>0</v>
      </c>
      <c r="J374" s="49">
        <f>_xlfn.XLOOKUP(C374,Tab_Def_Flows[Name(EN)],Tab_Def_Flows[WC?],,0,)</f>
        <v>0</v>
      </c>
      <c r="K374" s="49">
        <f>_xlfn.XLOOKUP(C374,Tab_Def_Flows[Name(EN)],Tab_Def_Flows[DM?],,0,)</f>
        <v>0</v>
      </c>
      <c r="L374" s="49">
        <f>_xlfn.XLOOKUP(C374,Tab_Def_Flows[Name(EN)],Tab_Def_Flows[CC?],,0,)</f>
        <v>0</v>
      </c>
      <c r="M374" s="51"/>
      <c r="N374" s="51"/>
      <c r="O374" s="88"/>
      <c r="P374" s="51"/>
      <c r="Q374" s="51"/>
      <c r="R374" s="51"/>
      <c r="S374" s="51"/>
      <c r="T374" s="51"/>
      <c r="U374" s="51"/>
      <c r="V374" s="51"/>
      <c r="W374" s="51"/>
      <c r="X374" s="51"/>
      <c r="Y374" s="51"/>
      <c r="Z374" s="51"/>
      <c r="AA374" s="89">
        <f t="shared" si="42"/>
        <v>0</v>
      </c>
      <c r="AB374" s="51"/>
      <c r="AC374" s="114" t="e">
        <f>INDEX(Tab_Def_Flows[[Flow_ID]:[CC_DM_source]],MATCH(Tab_Data_Flows[[#This Row],[Name(EN)]],Tab_Def_Flows[Name(EN)],0),16)</f>
        <v>#N/A</v>
      </c>
      <c r="AD374" s="115" t="str">
        <f>IF(J374="Yes",AA374*Tab_Data_Flows[[#This Row],[WC_'[%']]],"N.A.")</f>
        <v>N.A.</v>
      </c>
      <c r="AE374" s="61">
        <f>Tab_Data_Flows[[#This Row],[UoM_Flow_Py]]</f>
        <v>0</v>
      </c>
      <c r="AF374" s="114" t="e">
        <f>INDEX(Tab_Def_Flows[[Flow_ID]:[CC_DM_source]],MATCH(Tab_Data_Flows[[#This Row],[Name(EN)]],Tab_Def_Flows[Name(EN)],0),18)</f>
        <v>#N/A</v>
      </c>
      <c r="AG374" s="115" t="str">
        <f>IF(K374="Yes",AF374*Tab_Data_Flows[[#This Row],[Flow_Py]],"N.A.")</f>
        <v>N.A.</v>
      </c>
      <c r="AH374" s="61">
        <f>Tab_Data_Flows[[#This Row],[UoM_Flow_Py]]</f>
        <v>0</v>
      </c>
      <c r="AI374" s="114" t="e">
        <f>INDEX(Tab_Def_Flows[[Flow_ID]:[CC_DM_source]],MATCH(Tab_Data_Flows[[#This Row],[Name(EN)]],Tab_Def_Flows[Name(EN)],0),20)</f>
        <v>#N/A</v>
      </c>
      <c r="AJ374" s="115" t="str">
        <f>IF(L374="Yes",AI374*Tab_Data_Flows[[#This Row],[Flow_Py]],"N.A.")</f>
        <v>N.A.</v>
      </c>
      <c r="AK374" s="61">
        <f>Tab_Data_Flows[[#This Row],[UoM_Flow_Py]]</f>
        <v>0</v>
      </c>
    </row>
    <row r="375" spans="1:37" x14ac:dyDescent="0.35">
      <c r="A375" s="60">
        <f t="shared" si="41"/>
        <v>374</v>
      </c>
      <c r="B375" s="49" t="str">
        <f>_xlfn.XLOOKUP(C375,Tab_Def_Flows[Name(EN)],Tab_Def_Flows[Flow_ID],,0,)</f>
        <v>F_21_21</v>
      </c>
      <c r="C375" s="51"/>
      <c r="D375" s="49">
        <f>_xlfn.XLOOKUP(C375,Tab_Def_Flows[Name(EN)],Tab_Def_Flows[Type_Biomass],,0,)</f>
        <v>0</v>
      </c>
      <c r="E375" s="49">
        <f>_xlfn.XLOOKUP(C375,Tab_Def_Flows[Name(EN)],Tab_Def_Flows[Output_Process],,0,)</f>
        <v>0</v>
      </c>
      <c r="F375" s="49" t="str">
        <f>_xlfn.XLOOKUP(C375,Tab_Def_Flows[Name(EN)],Tab_Def_Flows[Process_ID_O],,0,)</f>
        <v>21__</v>
      </c>
      <c r="G375" s="49">
        <f>_xlfn.XLOOKUP(C375,Tab_Def_Flows[Name(EN)],Tab_Def_Flows[Input_Process],,0,)</f>
        <v>0</v>
      </c>
      <c r="H375" s="61" t="str">
        <f>_xlfn.XLOOKUP(C375,Tab_Def_Flows[Name(EN)],Tab_Def_Flows[Process_ID_I],,0,)</f>
        <v>21__</v>
      </c>
      <c r="I375" s="49">
        <f>_xlfn.XLOOKUP(C375,Tab_Def_Flows[Name(EN)],Tab_Def_Flows[Value_Source],,0,)</f>
        <v>0</v>
      </c>
      <c r="J375" s="49">
        <f>_xlfn.XLOOKUP(C375,Tab_Def_Flows[Name(EN)],Tab_Def_Flows[WC?],,0,)</f>
        <v>0</v>
      </c>
      <c r="K375" s="49">
        <f>_xlfn.XLOOKUP(C375,Tab_Def_Flows[Name(EN)],Tab_Def_Flows[DM?],,0,)</f>
        <v>0</v>
      </c>
      <c r="L375" s="49">
        <f>_xlfn.XLOOKUP(C375,Tab_Def_Flows[Name(EN)],Tab_Def_Flows[CC?],,0,)</f>
        <v>0</v>
      </c>
      <c r="M375" s="51"/>
      <c r="N375" s="51"/>
      <c r="O375" s="88"/>
      <c r="P375" s="51"/>
      <c r="Q375" s="51"/>
      <c r="R375" s="51"/>
      <c r="S375" s="51"/>
      <c r="T375" s="51"/>
      <c r="U375" s="51"/>
      <c r="V375" s="51"/>
      <c r="W375" s="51"/>
      <c r="X375" s="51"/>
      <c r="Y375" s="51"/>
      <c r="Z375" s="51"/>
      <c r="AA375" s="89">
        <f t="shared" si="42"/>
        <v>0</v>
      </c>
      <c r="AB375" s="51"/>
      <c r="AC375" s="114" t="e">
        <f>INDEX(Tab_Def_Flows[[Flow_ID]:[CC_DM_source]],MATCH(Tab_Data_Flows[[#This Row],[Name(EN)]],Tab_Def_Flows[Name(EN)],0),16)</f>
        <v>#N/A</v>
      </c>
      <c r="AD375" s="115" t="str">
        <f>IF(J375="Yes",AA375*Tab_Data_Flows[[#This Row],[WC_'[%']]],"N.A.")</f>
        <v>N.A.</v>
      </c>
      <c r="AE375" s="61">
        <f>Tab_Data_Flows[[#This Row],[UoM_Flow_Py]]</f>
        <v>0</v>
      </c>
      <c r="AF375" s="114" t="e">
        <f>INDEX(Tab_Def_Flows[[Flow_ID]:[CC_DM_source]],MATCH(Tab_Data_Flows[[#This Row],[Name(EN)]],Tab_Def_Flows[Name(EN)],0),18)</f>
        <v>#N/A</v>
      </c>
      <c r="AG375" s="115" t="str">
        <f>IF(K375="Yes",AF375*Tab_Data_Flows[[#This Row],[Flow_Py]],"N.A.")</f>
        <v>N.A.</v>
      </c>
      <c r="AH375" s="61">
        <f>Tab_Data_Flows[[#This Row],[UoM_Flow_Py]]</f>
        <v>0</v>
      </c>
      <c r="AI375" s="114" t="e">
        <f>INDEX(Tab_Def_Flows[[Flow_ID]:[CC_DM_source]],MATCH(Tab_Data_Flows[[#This Row],[Name(EN)]],Tab_Def_Flows[Name(EN)],0),20)</f>
        <v>#N/A</v>
      </c>
      <c r="AJ375" s="115" t="str">
        <f>IF(L375="Yes",AI375*Tab_Data_Flows[[#This Row],[Flow_Py]],"N.A.")</f>
        <v>N.A.</v>
      </c>
      <c r="AK375" s="61">
        <f>Tab_Data_Flows[[#This Row],[UoM_Flow_Py]]</f>
        <v>0</v>
      </c>
    </row>
    <row r="376" spans="1:37" x14ac:dyDescent="0.35">
      <c r="A376" s="60">
        <f t="shared" si="41"/>
        <v>375</v>
      </c>
      <c r="B376" s="49" t="str">
        <f>_xlfn.XLOOKUP(C376,Tab_Def_Flows[Name(EN)],Tab_Def_Flows[Flow_ID],,0,)</f>
        <v>F_21_21</v>
      </c>
      <c r="C376" s="51"/>
      <c r="D376" s="49">
        <f>_xlfn.XLOOKUP(C376,Tab_Def_Flows[Name(EN)],Tab_Def_Flows[Type_Biomass],,0,)</f>
        <v>0</v>
      </c>
      <c r="E376" s="49">
        <f>_xlfn.XLOOKUP(C376,Tab_Def_Flows[Name(EN)],Tab_Def_Flows[Output_Process],,0,)</f>
        <v>0</v>
      </c>
      <c r="F376" s="49" t="str">
        <f>_xlfn.XLOOKUP(C376,Tab_Def_Flows[Name(EN)],Tab_Def_Flows[Process_ID_O],,0,)</f>
        <v>21__</v>
      </c>
      <c r="G376" s="49">
        <f>_xlfn.XLOOKUP(C376,Tab_Def_Flows[Name(EN)],Tab_Def_Flows[Input_Process],,0,)</f>
        <v>0</v>
      </c>
      <c r="H376" s="61" t="str">
        <f>_xlfn.XLOOKUP(C376,Tab_Def_Flows[Name(EN)],Tab_Def_Flows[Process_ID_I],,0,)</f>
        <v>21__</v>
      </c>
      <c r="I376" s="49">
        <f>_xlfn.XLOOKUP(C376,Tab_Def_Flows[Name(EN)],Tab_Def_Flows[Value_Source],,0,)</f>
        <v>0</v>
      </c>
      <c r="J376" s="49">
        <f>_xlfn.XLOOKUP(C376,Tab_Def_Flows[Name(EN)],Tab_Def_Flows[WC?],,0,)</f>
        <v>0</v>
      </c>
      <c r="K376" s="49">
        <f>_xlfn.XLOOKUP(C376,Tab_Def_Flows[Name(EN)],Tab_Def_Flows[DM?],,0,)</f>
        <v>0</v>
      </c>
      <c r="L376" s="49">
        <f>_xlfn.XLOOKUP(C376,Tab_Def_Flows[Name(EN)],Tab_Def_Flows[CC?],,0,)</f>
        <v>0</v>
      </c>
      <c r="M376" s="51"/>
      <c r="N376" s="51"/>
      <c r="O376" s="88"/>
      <c r="P376" s="51"/>
      <c r="Q376" s="51"/>
      <c r="R376" s="51"/>
      <c r="S376" s="51"/>
      <c r="T376" s="51"/>
      <c r="U376" s="51"/>
      <c r="V376" s="51"/>
      <c r="W376" s="51"/>
      <c r="X376" s="51"/>
      <c r="Y376" s="51"/>
      <c r="Z376" s="51"/>
      <c r="AA376" s="89">
        <f t="shared" si="42"/>
        <v>0</v>
      </c>
      <c r="AB376" s="51"/>
      <c r="AC376" s="114" t="e">
        <f>INDEX(Tab_Def_Flows[[Flow_ID]:[CC_DM_source]],MATCH(Tab_Data_Flows[[#This Row],[Name(EN)]],Tab_Def_Flows[Name(EN)],0),16)</f>
        <v>#N/A</v>
      </c>
      <c r="AD376" s="115" t="str">
        <f>IF(J376="Yes",AA376*Tab_Data_Flows[[#This Row],[WC_'[%']]],"N.A.")</f>
        <v>N.A.</v>
      </c>
      <c r="AE376" s="61">
        <f>Tab_Data_Flows[[#This Row],[UoM_Flow_Py]]</f>
        <v>0</v>
      </c>
      <c r="AF376" s="114" t="e">
        <f>INDEX(Tab_Def_Flows[[Flow_ID]:[CC_DM_source]],MATCH(Tab_Data_Flows[[#This Row],[Name(EN)]],Tab_Def_Flows[Name(EN)],0),18)</f>
        <v>#N/A</v>
      </c>
      <c r="AG376" s="115" t="str">
        <f>IF(K376="Yes",AF376*Tab_Data_Flows[[#This Row],[Flow_Py]],"N.A.")</f>
        <v>N.A.</v>
      </c>
      <c r="AH376" s="61">
        <f>Tab_Data_Flows[[#This Row],[UoM_Flow_Py]]</f>
        <v>0</v>
      </c>
      <c r="AI376" s="114" t="e">
        <f>INDEX(Tab_Def_Flows[[Flow_ID]:[CC_DM_source]],MATCH(Tab_Data_Flows[[#This Row],[Name(EN)]],Tab_Def_Flows[Name(EN)],0),20)</f>
        <v>#N/A</v>
      </c>
      <c r="AJ376" s="115" t="str">
        <f>IF(L376="Yes",AI376*Tab_Data_Flows[[#This Row],[Flow_Py]],"N.A.")</f>
        <v>N.A.</v>
      </c>
      <c r="AK376" s="61">
        <f>Tab_Data_Flows[[#This Row],[UoM_Flow_Py]]</f>
        <v>0</v>
      </c>
    </row>
    <row r="377" spans="1:37" x14ac:dyDescent="0.35">
      <c r="A377" s="60">
        <f t="shared" si="41"/>
        <v>376</v>
      </c>
      <c r="B377" s="49" t="str">
        <f>_xlfn.XLOOKUP(C377,Tab_Def_Flows[Name(EN)],Tab_Def_Flows[Flow_ID],,0,)</f>
        <v>F_21_21</v>
      </c>
      <c r="C377" s="51"/>
      <c r="D377" s="49">
        <f>_xlfn.XLOOKUP(C377,Tab_Def_Flows[Name(EN)],Tab_Def_Flows[Type_Biomass],,0,)</f>
        <v>0</v>
      </c>
      <c r="E377" s="49">
        <f>_xlfn.XLOOKUP(C377,Tab_Def_Flows[Name(EN)],Tab_Def_Flows[Output_Process],,0,)</f>
        <v>0</v>
      </c>
      <c r="F377" s="49" t="str">
        <f>_xlfn.XLOOKUP(C377,Tab_Def_Flows[Name(EN)],Tab_Def_Flows[Process_ID_O],,0,)</f>
        <v>21__</v>
      </c>
      <c r="G377" s="49">
        <f>_xlfn.XLOOKUP(C377,Tab_Def_Flows[Name(EN)],Tab_Def_Flows[Input_Process],,0,)</f>
        <v>0</v>
      </c>
      <c r="H377" s="61" t="str">
        <f>_xlfn.XLOOKUP(C377,Tab_Def_Flows[Name(EN)],Tab_Def_Flows[Process_ID_I],,0,)</f>
        <v>21__</v>
      </c>
      <c r="I377" s="49">
        <f>_xlfn.XLOOKUP(C377,Tab_Def_Flows[Name(EN)],Tab_Def_Flows[Value_Source],,0,)</f>
        <v>0</v>
      </c>
      <c r="J377" s="49">
        <f>_xlfn.XLOOKUP(C377,Tab_Def_Flows[Name(EN)],Tab_Def_Flows[WC?],,0,)</f>
        <v>0</v>
      </c>
      <c r="K377" s="49">
        <f>_xlfn.XLOOKUP(C377,Tab_Def_Flows[Name(EN)],Tab_Def_Flows[DM?],,0,)</f>
        <v>0</v>
      </c>
      <c r="L377" s="49">
        <f>_xlfn.XLOOKUP(C377,Tab_Def_Flows[Name(EN)],Tab_Def_Flows[CC?],,0,)</f>
        <v>0</v>
      </c>
      <c r="M377" s="51"/>
      <c r="N377" s="51"/>
      <c r="O377" s="88"/>
      <c r="P377" s="51"/>
      <c r="Q377" s="51"/>
      <c r="R377" s="51"/>
      <c r="S377" s="51"/>
      <c r="T377" s="51"/>
      <c r="U377" s="51"/>
      <c r="V377" s="51"/>
      <c r="W377" s="51"/>
      <c r="X377" s="51"/>
      <c r="Y377" s="51"/>
      <c r="Z377" s="51"/>
      <c r="AA377" s="89">
        <f t="shared" si="42"/>
        <v>0</v>
      </c>
      <c r="AB377" s="51"/>
      <c r="AC377" s="114" t="e">
        <f>INDEX(Tab_Def_Flows[[Flow_ID]:[CC_DM_source]],MATCH(Tab_Data_Flows[[#This Row],[Name(EN)]],Tab_Def_Flows[Name(EN)],0),16)</f>
        <v>#N/A</v>
      </c>
      <c r="AD377" s="115" t="str">
        <f>IF(J377="Yes",AA377*Tab_Data_Flows[[#This Row],[WC_'[%']]],"N.A.")</f>
        <v>N.A.</v>
      </c>
      <c r="AE377" s="61">
        <f>Tab_Data_Flows[[#This Row],[UoM_Flow_Py]]</f>
        <v>0</v>
      </c>
      <c r="AF377" s="114" t="e">
        <f>INDEX(Tab_Def_Flows[[Flow_ID]:[CC_DM_source]],MATCH(Tab_Data_Flows[[#This Row],[Name(EN)]],Tab_Def_Flows[Name(EN)],0),18)</f>
        <v>#N/A</v>
      </c>
      <c r="AG377" s="115" t="str">
        <f>IF(K377="Yes",AF377*Tab_Data_Flows[[#This Row],[Flow_Py]],"N.A.")</f>
        <v>N.A.</v>
      </c>
      <c r="AH377" s="61">
        <f>Tab_Data_Flows[[#This Row],[UoM_Flow_Py]]</f>
        <v>0</v>
      </c>
      <c r="AI377" s="114" t="e">
        <f>INDEX(Tab_Def_Flows[[Flow_ID]:[CC_DM_source]],MATCH(Tab_Data_Flows[[#This Row],[Name(EN)]],Tab_Def_Flows[Name(EN)],0),20)</f>
        <v>#N/A</v>
      </c>
      <c r="AJ377" s="115" t="str">
        <f>IF(L377="Yes",AI377*Tab_Data_Flows[[#This Row],[Flow_Py]],"N.A.")</f>
        <v>N.A.</v>
      </c>
      <c r="AK377" s="61">
        <f>Tab_Data_Flows[[#This Row],[UoM_Flow_Py]]</f>
        <v>0</v>
      </c>
    </row>
    <row r="378" spans="1:37" x14ac:dyDescent="0.35">
      <c r="A378" s="60">
        <f t="shared" si="41"/>
        <v>377</v>
      </c>
      <c r="B378" s="49" t="str">
        <f>_xlfn.XLOOKUP(C378,Tab_Def_Flows[Name(EN)],Tab_Def_Flows[Flow_ID],,0,)</f>
        <v>F_21_21</v>
      </c>
      <c r="C378" s="51"/>
      <c r="D378" s="49">
        <f>_xlfn.XLOOKUP(C378,Tab_Def_Flows[Name(EN)],Tab_Def_Flows[Type_Biomass],,0,)</f>
        <v>0</v>
      </c>
      <c r="E378" s="49">
        <f>_xlfn.XLOOKUP(C378,Tab_Def_Flows[Name(EN)],Tab_Def_Flows[Output_Process],,0,)</f>
        <v>0</v>
      </c>
      <c r="F378" s="49" t="str">
        <f>_xlfn.XLOOKUP(C378,Tab_Def_Flows[Name(EN)],Tab_Def_Flows[Process_ID_O],,0,)</f>
        <v>21__</v>
      </c>
      <c r="G378" s="49">
        <f>_xlfn.XLOOKUP(C378,Tab_Def_Flows[Name(EN)],Tab_Def_Flows[Input_Process],,0,)</f>
        <v>0</v>
      </c>
      <c r="H378" s="61" t="str">
        <f>_xlfn.XLOOKUP(C378,Tab_Def_Flows[Name(EN)],Tab_Def_Flows[Process_ID_I],,0,)</f>
        <v>21__</v>
      </c>
      <c r="I378" s="49">
        <f>_xlfn.XLOOKUP(C378,Tab_Def_Flows[Name(EN)],Tab_Def_Flows[Value_Source],,0,)</f>
        <v>0</v>
      </c>
      <c r="J378" s="49">
        <f>_xlfn.XLOOKUP(C378,Tab_Def_Flows[Name(EN)],Tab_Def_Flows[WC?],,0,)</f>
        <v>0</v>
      </c>
      <c r="K378" s="49">
        <f>_xlfn.XLOOKUP(C378,Tab_Def_Flows[Name(EN)],Tab_Def_Flows[DM?],,0,)</f>
        <v>0</v>
      </c>
      <c r="L378" s="49">
        <f>_xlfn.XLOOKUP(C378,Tab_Def_Flows[Name(EN)],Tab_Def_Flows[CC?],,0,)</f>
        <v>0</v>
      </c>
      <c r="M378" s="51"/>
      <c r="N378" s="51"/>
      <c r="O378" s="88"/>
      <c r="P378" s="51"/>
      <c r="Q378" s="51"/>
      <c r="R378" s="51"/>
      <c r="S378" s="51"/>
      <c r="T378" s="51"/>
      <c r="U378" s="51"/>
      <c r="V378" s="51"/>
      <c r="W378" s="51"/>
      <c r="X378" s="51"/>
      <c r="Y378" s="51"/>
      <c r="Z378" s="51"/>
      <c r="AA378" s="89">
        <f t="shared" si="42"/>
        <v>0</v>
      </c>
      <c r="AB378" s="51"/>
      <c r="AC378" s="114" t="e">
        <f>INDEX(Tab_Def_Flows[[Flow_ID]:[CC_DM_source]],MATCH(Tab_Data_Flows[[#This Row],[Name(EN)]],Tab_Def_Flows[Name(EN)],0),16)</f>
        <v>#N/A</v>
      </c>
      <c r="AD378" s="115" t="str">
        <f>IF(J378="Yes",AA378*Tab_Data_Flows[[#This Row],[WC_'[%']]],"N.A.")</f>
        <v>N.A.</v>
      </c>
      <c r="AE378" s="61">
        <f>Tab_Data_Flows[[#This Row],[UoM_Flow_Py]]</f>
        <v>0</v>
      </c>
      <c r="AF378" s="114" t="e">
        <f>INDEX(Tab_Def_Flows[[Flow_ID]:[CC_DM_source]],MATCH(Tab_Data_Flows[[#This Row],[Name(EN)]],Tab_Def_Flows[Name(EN)],0),18)</f>
        <v>#N/A</v>
      </c>
      <c r="AG378" s="115" t="str">
        <f>IF(K378="Yes",AF378*Tab_Data_Flows[[#This Row],[Flow_Py]],"N.A.")</f>
        <v>N.A.</v>
      </c>
      <c r="AH378" s="61">
        <f>Tab_Data_Flows[[#This Row],[UoM_Flow_Py]]</f>
        <v>0</v>
      </c>
      <c r="AI378" s="114" t="e">
        <f>INDEX(Tab_Def_Flows[[Flow_ID]:[CC_DM_source]],MATCH(Tab_Data_Flows[[#This Row],[Name(EN)]],Tab_Def_Flows[Name(EN)],0),20)</f>
        <v>#N/A</v>
      </c>
      <c r="AJ378" s="115" t="str">
        <f>IF(L378="Yes",AI378*Tab_Data_Flows[[#This Row],[Flow_Py]],"N.A.")</f>
        <v>N.A.</v>
      </c>
      <c r="AK378" s="61">
        <f>Tab_Data_Flows[[#This Row],[UoM_Flow_Py]]</f>
        <v>0</v>
      </c>
    </row>
    <row r="379" spans="1:37" x14ac:dyDescent="0.35">
      <c r="A379" s="60">
        <f t="shared" si="41"/>
        <v>378</v>
      </c>
      <c r="B379" s="49" t="str">
        <f>_xlfn.XLOOKUP(C379,Tab_Def_Flows[Name(EN)],Tab_Def_Flows[Flow_ID],,0,)</f>
        <v>F_21_21</v>
      </c>
      <c r="C379" s="51"/>
      <c r="D379" s="49">
        <f>_xlfn.XLOOKUP(C379,Tab_Def_Flows[Name(EN)],Tab_Def_Flows[Type_Biomass],,0,)</f>
        <v>0</v>
      </c>
      <c r="E379" s="49">
        <f>_xlfn.XLOOKUP(C379,Tab_Def_Flows[Name(EN)],Tab_Def_Flows[Output_Process],,0,)</f>
        <v>0</v>
      </c>
      <c r="F379" s="49" t="str">
        <f>_xlfn.XLOOKUP(C379,Tab_Def_Flows[Name(EN)],Tab_Def_Flows[Process_ID_O],,0,)</f>
        <v>21__</v>
      </c>
      <c r="G379" s="49">
        <f>_xlfn.XLOOKUP(C379,Tab_Def_Flows[Name(EN)],Tab_Def_Flows[Input_Process],,0,)</f>
        <v>0</v>
      </c>
      <c r="H379" s="61" t="str">
        <f>_xlfn.XLOOKUP(C379,Tab_Def_Flows[Name(EN)],Tab_Def_Flows[Process_ID_I],,0,)</f>
        <v>21__</v>
      </c>
      <c r="I379" s="49">
        <f>_xlfn.XLOOKUP(C379,Tab_Def_Flows[Name(EN)],Tab_Def_Flows[Value_Source],,0,)</f>
        <v>0</v>
      </c>
      <c r="J379" s="49">
        <f>_xlfn.XLOOKUP(C379,Tab_Def_Flows[Name(EN)],Tab_Def_Flows[WC?],,0,)</f>
        <v>0</v>
      </c>
      <c r="K379" s="49">
        <f>_xlfn.XLOOKUP(C379,Tab_Def_Flows[Name(EN)],Tab_Def_Flows[DM?],,0,)</f>
        <v>0</v>
      </c>
      <c r="L379" s="49">
        <f>_xlfn.XLOOKUP(C379,Tab_Def_Flows[Name(EN)],Tab_Def_Flows[CC?],,0,)</f>
        <v>0</v>
      </c>
      <c r="M379" s="51"/>
      <c r="N379" s="51"/>
      <c r="O379" s="88"/>
      <c r="P379" s="51"/>
      <c r="Q379" s="51"/>
      <c r="R379" s="51"/>
      <c r="S379" s="51"/>
      <c r="T379" s="51"/>
      <c r="U379" s="51"/>
      <c r="V379" s="51"/>
      <c r="W379" s="51"/>
      <c r="X379" s="51"/>
      <c r="Y379" s="51"/>
      <c r="Z379" s="51"/>
      <c r="AA379" s="89">
        <f t="shared" si="42"/>
        <v>0</v>
      </c>
      <c r="AB379" s="51"/>
      <c r="AC379" s="114" t="e">
        <f>INDEX(Tab_Def_Flows[[Flow_ID]:[CC_DM_source]],MATCH(Tab_Data_Flows[[#This Row],[Name(EN)]],Tab_Def_Flows[Name(EN)],0),16)</f>
        <v>#N/A</v>
      </c>
      <c r="AD379" s="115" t="str">
        <f>IF(J379="Yes",AA379*Tab_Data_Flows[[#This Row],[WC_'[%']]],"N.A.")</f>
        <v>N.A.</v>
      </c>
      <c r="AE379" s="61">
        <f>Tab_Data_Flows[[#This Row],[UoM_Flow_Py]]</f>
        <v>0</v>
      </c>
      <c r="AF379" s="114" t="e">
        <f>INDEX(Tab_Def_Flows[[Flow_ID]:[CC_DM_source]],MATCH(Tab_Data_Flows[[#This Row],[Name(EN)]],Tab_Def_Flows[Name(EN)],0),18)</f>
        <v>#N/A</v>
      </c>
      <c r="AG379" s="115" t="str">
        <f>IF(K379="Yes",AF379*Tab_Data_Flows[[#This Row],[Flow_Py]],"N.A.")</f>
        <v>N.A.</v>
      </c>
      <c r="AH379" s="61">
        <f>Tab_Data_Flows[[#This Row],[UoM_Flow_Py]]</f>
        <v>0</v>
      </c>
      <c r="AI379" s="114" t="e">
        <f>INDEX(Tab_Def_Flows[[Flow_ID]:[CC_DM_source]],MATCH(Tab_Data_Flows[[#This Row],[Name(EN)]],Tab_Def_Flows[Name(EN)],0),20)</f>
        <v>#N/A</v>
      </c>
      <c r="AJ379" s="115" t="str">
        <f>IF(L379="Yes",AI379*Tab_Data_Flows[[#This Row],[Flow_Py]],"N.A.")</f>
        <v>N.A.</v>
      </c>
      <c r="AK379" s="61">
        <f>Tab_Data_Flows[[#This Row],[UoM_Flow_Py]]</f>
        <v>0</v>
      </c>
    </row>
    <row r="380" spans="1:37" x14ac:dyDescent="0.35">
      <c r="A380" s="60">
        <f t="shared" si="41"/>
        <v>379</v>
      </c>
      <c r="B380" s="49" t="str">
        <f>_xlfn.XLOOKUP(C380,Tab_Def_Flows[Name(EN)],Tab_Def_Flows[Flow_ID],,0,)</f>
        <v>F_21_21</v>
      </c>
      <c r="C380" s="51"/>
      <c r="D380" s="49">
        <f>_xlfn.XLOOKUP(C380,Tab_Def_Flows[Name(EN)],Tab_Def_Flows[Type_Biomass],,0,)</f>
        <v>0</v>
      </c>
      <c r="E380" s="49">
        <f>_xlfn.XLOOKUP(C380,Tab_Def_Flows[Name(EN)],Tab_Def_Flows[Output_Process],,0,)</f>
        <v>0</v>
      </c>
      <c r="F380" s="49" t="str">
        <f>_xlfn.XLOOKUP(C380,Tab_Def_Flows[Name(EN)],Tab_Def_Flows[Process_ID_O],,0,)</f>
        <v>21__</v>
      </c>
      <c r="G380" s="49">
        <f>_xlfn.XLOOKUP(C380,Tab_Def_Flows[Name(EN)],Tab_Def_Flows[Input_Process],,0,)</f>
        <v>0</v>
      </c>
      <c r="H380" s="61" t="str">
        <f>_xlfn.XLOOKUP(C380,Tab_Def_Flows[Name(EN)],Tab_Def_Flows[Process_ID_I],,0,)</f>
        <v>21__</v>
      </c>
      <c r="I380" s="49">
        <f>_xlfn.XLOOKUP(C380,Tab_Def_Flows[Name(EN)],Tab_Def_Flows[Value_Source],,0,)</f>
        <v>0</v>
      </c>
      <c r="J380" s="49">
        <f>_xlfn.XLOOKUP(C380,Tab_Def_Flows[Name(EN)],Tab_Def_Flows[WC?],,0,)</f>
        <v>0</v>
      </c>
      <c r="K380" s="49">
        <f>_xlfn.XLOOKUP(C380,Tab_Def_Flows[Name(EN)],Tab_Def_Flows[DM?],,0,)</f>
        <v>0</v>
      </c>
      <c r="L380" s="49">
        <f>_xlfn.XLOOKUP(C380,Tab_Def_Flows[Name(EN)],Tab_Def_Flows[CC?],,0,)</f>
        <v>0</v>
      </c>
      <c r="M380" s="51"/>
      <c r="N380" s="51"/>
      <c r="O380" s="88"/>
      <c r="P380" s="51"/>
      <c r="Q380" s="51"/>
      <c r="R380" s="51"/>
      <c r="S380" s="51"/>
      <c r="T380" s="51"/>
      <c r="U380" s="51"/>
      <c r="V380" s="51"/>
      <c r="W380" s="51"/>
      <c r="X380" s="51"/>
      <c r="Y380" s="51"/>
      <c r="Z380" s="51"/>
      <c r="AA380" s="89">
        <f t="shared" si="42"/>
        <v>0</v>
      </c>
      <c r="AB380" s="51"/>
      <c r="AC380" s="114" t="e">
        <f>INDEX(Tab_Def_Flows[[Flow_ID]:[CC_DM_source]],MATCH(Tab_Data_Flows[[#This Row],[Name(EN)]],Tab_Def_Flows[Name(EN)],0),16)</f>
        <v>#N/A</v>
      </c>
      <c r="AD380" s="115" t="str">
        <f>IF(J380="Yes",AA380*Tab_Data_Flows[[#This Row],[WC_'[%']]],"N.A.")</f>
        <v>N.A.</v>
      </c>
      <c r="AE380" s="61">
        <f>Tab_Data_Flows[[#This Row],[UoM_Flow_Py]]</f>
        <v>0</v>
      </c>
      <c r="AF380" s="114" t="e">
        <f>INDEX(Tab_Def_Flows[[Flow_ID]:[CC_DM_source]],MATCH(Tab_Data_Flows[[#This Row],[Name(EN)]],Tab_Def_Flows[Name(EN)],0),18)</f>
        <v>#N/A</v>
      </c>
      <c r="AG380" s="115" t="str">
        <f>IF(K380="Yes",AF380*Tab_Data_Flows[[#This Row],[Flow_Py]],"N.A.")</f>
        <v>N.A.</v>
      </c>
      <c r="AH380" s="61">
        <f>Tab_Data_Flows[[#This Row],[UoM_Flow_Py]]</f>
        <v>0</v>
      </c>
      <c r="AI380" s="114" t="e">
        <f>INDEX(Tab_Def_Flows[[Flow_ID]:[CC_DM_source]],MATCH(Tab_Data_Flows[[#This Row],[Name(EN)]],Tab_Def_Flows[Name(EN)],0),20)</f>
        <v>#N/A</v>
      </c>
      <c r="AJ380" s="115" t="str">
        <f>IF(L380="Yes",AI380*Tab_Data_Flows[[#This Row],[Flow_Py]],"N.A.")</f>
        <v>N.A.</v>
      </c>
      <c r="AK380" s="61">
        <f>Tab_Data_Flows[[#This Row],[UoM_Flow_Py]]</f>
        <v>0</v>
      </c>
    </row>
    <row r="381" spans="1:37" x14ac:dyDescent="0.35">
      <c r="A381" s="60">
        <f t="shared" si="41"/>
        <v>380</v>
      </c>
      <c r="B381" s="49" t="str">
        <f>_xlfn.XLOOKUP(C381,Tab_Def_Flows[Name(EN)],Tab_Def_Flows[Flow_ID],,0,)</f>
        <v>F_21_21</v>
      </c>
      <c r="C381" s="51"/>
      <c r="D381" s="49">
        <f>_xlfn.XLOOKUP(C381,Tab_Def_Flows[Name(EN)],Tab_Def_Flows[Type_Biomass],,0,)</f>
        <v>0</v>
      </c>
      <c r="E381" s="49">
        <f>_xlfn.XLOOKUP(C381,Tab_Def_Flows[Name(EN)],Tab_Def_Flows[Output_Process],,0,)</f>
        <v>0</v>
      </c>
      <c r="F381" s="49" t="str">
        <f>_xlfn.XLOOKUP(C381,Tab_Def_Flows[Name(EN)],Tab_Def_Flows[Process_ID_O],,0,)</f>
        <v>21__</v>
      </c>
      <c r="G381" s="49">
        <f>_xlfn.XLOOKUP(C381,Tab_Def_Flows[Name(EN)],Tab_Def_Flows[Input_Process],,0,)</f>
        <v>0</v>
      </c>
      <c r="H381" s="61" t="str">
        <f>_xlfn.XLOOKUP(C381,Tab_Def_Flows[Name(EN)],Tab_Def_Flows[Process_ID_I],,0,)</f>
        <v>21__</v>
      </c>
      <c r="I381" s="49">
        <f>_xlfn.XLOOKUP(C381,Tab_Def_Flows[Name(EN)],Tab_Def_Flows[Value_Source],,0,)</f>
        <v>0</v>
      </c>
      <c r="J381" s="49">
        <f>_xlfn.XLOOKUP(C381,Tab_Def_Flows[Name(EN)],Tab_Def_Flows[WC?],,0,)</f>
        <v>0</v>
      </c>
      <c r="K381" s="49">
        <f>_xlfn.XLOOKUP(C381,Tab_Def_Flows[Name(EN)],Tab_Def_Flows[DM?],,0,)</f>
        <v>0</v>
      </c>
      <c r="L381" s="49">
        <f>_xlfn.XLOOKUP(C381,Tab_Def_Flows[Name(EN)],Tab_Def_Flows[CC?],,0,)</f>
        <v>0</v>
      </c>
      <c r="M381" s="51"/>
      <c r="N381" s="51"/>
      <c r="O381" s="88"/>
      <c r="P381" s="51"/>
      <c r="Q381" s="51"/>
      <c r="R381" s="51"/>
      <c r="S381" s="51"/>
      <c r="T381" s="51"/>
      <c r="U381" s="51"/>
      <c r="V381" s="51"/>
      <c r="W381" s="51"/>
      <c r="X381" s="51"/>
      <c r="Y381" s="51"/>
      <c r="Z381" s="51"/>
      <c r="AA381" s="89">
        <f t="shared" si="42"/>
        <v>0</v>
      </c>
      <c r="AB381" s="51"/>
      <c r="AC381" s="114" t="e">
        <f>INDEX(Tab_Def_Flows[[Flow_ID]:[CC_DM_source]],MATCH(Tab_Data_Flows[[#This Row],[Name(EN)]],Tab_Def_Flows[Name(EN)],0),16)</f>
        <v>#N/A</v>
      </c>
      <c r="AD381" s="115" t="str">
        <f>IF(J381="Yes",AA381*Tab_Data_Flows[[#This Row],[WC_'[%']]],"N.A.")</f>
        <v>N.A.</v>
      </c>
      <c r="AE381" s="61">
        <f>Tab_Data_Flows[[#This Row],[UoM_Flow_Py]]</f>
        <v>0</v>
      </c>
      <c r="AF381" s="114" t="e">
        <f>INDEX(Tab_Def_Flows[[Flow_ID]:[CC_DM_source]],MATCH(Tab_Data_Flows[[#This Row],[Name(EN)]],Tab_Def_Flows[Name(EN)],0),18)</f>
        <v>#N/A</v>
      </c>
      <c r="AG381" s="115" t="str">
        <f>IF(K381="Yes",AF381*Tab_Data_Flows[[#This Row],[Flow_Py]],"N.A.")</f>
        <v>N.A.</v>
      </c>
      <c r="AH381" s="61">
        <f>Tab_Data_Flows[[#This Row],[UoM_Flow_Py]]</f>
        <v>0</v>
      </c>
      <c r="AI381" s="114" t="e">
        <f>INDEX(Tab_Def_Flows[[Flow_ID]:[CC_DM_source]],MATCH(Tab_Data_Flows[[#This Row],[Name(EN)]],Tab_Def_Flows[Name(EN)],0),20)</f>
        <v>#N/A</v>
      </c>
      <c r="AJ381" s="115" t="str">
        <f>IF(L381="Yes",AI381*Tab_Data_Flows[[#This Row],[Flow_Py]],"N.A.")</f>
        <v>N.A.</v>
      </c>
      <c r="AK381" s="61">
        <f>Tab_Data_Flows[[#This Row],[UoM_Flow_Py]]</f>
        <v>0</v>
      </c>
    </row>
    <row r="382" spans="1:37" x14ac:dyDescent="0.35">
      <c r="A382" s="60">
        <f t="shared" si="41"/>
        <v>381</v>
      </c>
      <c r="B382" s="49" t="str">
        <f>_xlfn.XLOOKUP(C382,Tab_Def_Flows[Name(EN)],Tab_Def_Flows[Flow_ID],,0,)</f>
        <v>F_21_21</v>
      </c>
      <c r="C382" s="51"/>
      <c r="D382" s="49">
        <f>_xlfn.XLOOKUP(C382,Tab_Def_Flows[Name(EN)],Tab_Def_Flows[Type_Biomass],,0,)</f>
        <v>0</v>
      </c>
      <c r="E382" s="49">
        <f>_xlfn.XLOOKUP(C382,Tab_Def_Flows[Name(EN)],Tab_Def_Flows[Output_Process],,0,)</f>
        <v>0</v>
      </c>
      <c r="F382" s="49" t="str">
        <f>_xlfn.XLOOKUP(C382,Tab_Def_Flows[Name(EN)],Tab_Def_Flows[Process_ID_O],,0,)</f>
        <v>21__</v>
      </c>
      <c r="G382" s="49">
        <f>_xlfn.XLOOKUP(C382,Tab_Def_Flows[Name(EN)],Tab_Def_Flows[Input_Process],,0,)</f>
        <v>0</v>
      </c>
      <c r="H382" s="61" t="str">
        <f>_xlfn.XLOOKUP(C382,Tab_Def_Flows[Name(EN)],Tab_Def_Flows[Process_ID_I],,0,)</f>
        <v>21__</v>
      </c>
      <c r="I382" s="49">
        <f>_xlfn.XLOOKUP(C382,Tab_Def_Flows[Name(EN)],Tab_Def_Flows[Value_Source],,0,)</f>
        <v>0</v>
      </c>
      <c r="J382" s="49">
        <f>_xlfn.XLOOKUP(C382,Tab_Def_Flows[Name(EN)],Tab_Def_Flows[WC?],,0,)</f>
        <v>0</v>
      </c>
      <c r="K382" s="49">
        <f>_xlfn.XLOOKUP(C382,Tab_Def_Flows[Name(EN)],Tab_Def_Flows[DM?],,0,)</f>
        <v>0</v>
      </c>
      <c r="L382" s="49">
        <f>_xlfn.XLOOKUP(C382,Tab_Def_Flows[Name(EN)],Tab_Def_Flows[CC?],,0,)</f>
        <v>0</v>
      </c>
      <c r="M382" s="51"/>
      <c r="N382" s="51"/>
      <c r="O382" s="88"/>
      <c r="P382" s="51"/>
      <c r="Q382" s="51"/>
      <c r="R382" s="51"/>
      <c r="S382" s="51"/>
      <c r="T382" s="51"/>
      <c r="U382" s="51"/>
      <c r="V382" s="51"/>
      <c r="W382" s="51"/>
      <c r="X382" s="51"/>
      <c r="Y382" s="51"/>
      <c r="Z382" s="51"/>
      <c r="AA382" s="89">
        <f t="shared" si="42"/>
        <v>0</v>
      </c>
      <c r="AB382" s="51"/>
      <c r="AC382" s="114" t="e">
        <f>INDEX(Tab_Def_Flows[[Flow_ID]:[CC_DM_source]],MATCH(Tab_Data_Flows[[#This Row],[Name(EN)]],Tab_Def_Flows[Name(EN)],0),16)</f>
        <v>#N/A</v>
      </c>
      <c r="AD382" s="115" t="str">
        <f>IF(J382="Yes",AA382*Tab_Data_Flows[[#This Row],[WC_'[%']]],"N.A.")</f>
        <v>N.A.</v>
      </c>
      <c r="AE382" s="61">
        <f>Tab_Data_Flows[[#This Row],[UoM_Flow_Py]]</f>
        <v>0</v>
      </c>
      <c r="AF382" s="114" t="e">
        <f>INDEX(Tab_Def_Flows[[Flow_ID]:[CC_DM_source]],MATCH(Tab_Data_Flows[[#This Row],[Name(EN)]],Tab_Def_Flows[Name(EN)],0),18)</f>
        <v>#N/A</v>
      </c>
      <c r="AG382" s="115" t="str">
        <f>IF(K382="Yes",AF382*Tab_Data_Flows[[#This Row],[Flow_Py]],"N.A.")</f>
        <v>N.A.</v>
      </c>
      <c r="AH382" s="61">
        <f>Tab_Data_Flows[[#This Row],[UoM_Flow_Py]]</f>
        <v>0</v>
      </c>
      <c r="AI382" s="114" t="e">
        <f>INDEX(Tab_Def_Flows[[Flow_ID]:[CC_DM_source]],MATCH(Tab_Data_Flows[[#This Row],[Name(EN)]],Tab_Def_Flows[Name(EN)],0),20)</f>
        <v>#N/A</v>
      </c>
      <c r="AJ382" s="115" t="str">
        <f>IF(L382="Yes",AI382*Tab_Data_Flows[[#This Row],[Flow_Py]],"N.A.")</f>
        <v>N.A.</v>
      </c>
      <c r="AK382" s="61">
        <f>Tab_Data_Flows[[#This Row],[UoM_Flow_Py]]</f>
        <v>0</v>
      </c>
    </row>
    <row r="383" spans="1:37" x14ac:dyDescent="0.35">
      <c r="A383" s="60">
        <f t="shared" si="41"/>
        <v>382</v>
      </c>
      <c r="B383" s="49" t="str">
        <f>_xlfn.XLOOKUP(C383,Tab_Def_Flows[Name(EN)],Tab_Def_Flows[Flow_ID],,0,)</f>
        <v>F_21_21</v>
      </c>
      <c r="C383" s="51"/>
      <c r="D383" s="49">
        <f>_xlfn.XLOOKUP(C383,Tab_Def_Flows[Name(EN)],Tab_Def_Flows[Type_Biomass],,0,)</f>
        <v>0</v>
      </c>
      <c r="E383" s="49">
        <f>_xlfn.XLOOKUP(C383,Tab_Def_Flows[Name(EN)],Tab_Def_Flows[Output_Process],,0,)</f>
        <v>0</v>
      </c>
      <c r="F383" s="49" t="str">
        <f>_xlfn.XLOOKUP(C383,Tab_Def_Flows[Name(EN)],Tab_Def_Flows[Process_ID_O],,0,)</f>
        <v>21__</v>
      </c>
      <c r="G383" s="49">
        <f>_xlfn.XLOOKUP(C383,Tab_Def_Flows[Name(EN)],Tab_Def_Flows[Input_Process],,0,)</f>
        <v>0</v>
      </c>
      <c r="H383" s="61" t="str">
        <f>_xlfn.XLOOKUP(C383,Tab_Def_Flows[Name(EN)],Tab_Def_Flows[Process_ID_I],,0,)</f>
        <v>21__</v>
      </c>
      <c r="I383" s="49">
        <f>_xlfn.XLOOKUP(C383,Tab_Def_Flows[Name(EN)],Tab_Def_Flows[Value_Source],,0,)</f>
        <v>0</v>
      </c>
      <c r="J383" s="49">
        <f>_xlfn.XLOOKUP(C383,Tab_Def_Flows[Name(EN)],Tab_Def_Flows[WC?],,0,)</f>
        <v>0</v>
      </c>
      <c r="K383" s="49">
        <f>_xlfn.XLOOKUP(C383,Tab_Def_Flows[Name(EN)],Tab_Def_Flows[DM?],,0,)</f>
        <v>0</v>
      </c>
      <c r="L383" s="49">
        <f>_xlfn.XLOOKUP(C383,Tab_Def_Flows[Name(EN)],Tab_Def_Flows[CC?],,0,)</f>
        <v>0</v>
      </c>
      <c r="M383" s="51"/>
      <c r="N383" s="51"/>
      <c r="O383" s="88"/>
      <c r="P383" s="51"/>
      <c r="Q383" s="51"/>
      <c r="R383" s="51"/>
      <c r="S383" s="51"/>
      <c r="T383" s="51"/>
      <c r="U383" s="51"/>
      <c r="V383" s="51"/>
      <c r="W383" s="51"/>
      <c r="X383" s="51"/>
      <c r="Y383" s="51"/>
      <c r="Z383" s="51"/>
      <c r="AA383" s="89">
        <f t="shared" si="42"/>
        <v>0</v>
      </c>
      <c r="AB383" s="51"/>
      <c r="AC383" s="114" t="e">
        <f>INDEX(Tab_Def_Flows[[Flow_ID]:[CC_DM_source]],MATCH(Tab_Data_Flows[[#This Row],[Name(EN)]],Tab_Def_Flows[Name(EN)],0),16)</f>
        <v>#N/A</v>
      </c>
      <c r="AD383" s="115" t="str">
        <f>IF(J383="Yes",AA383*Tab_Data_Flows[[#This Row],[WC_'[%']]],"N.A.")</f>
        <v>N.A.</v>
      </c>
      <c r="AE383" s="61">
        <f>Tab_Data_Flows[[#This Row],[UoM_Flow_Py]]</f>
        <v>0</v>
      </c>
      <c r="AF383" s="114" t="e">
        <f>INDEX(Tab_Def_Flows[[Flow_ID]:[CC_DM_source]],MATCH(Tab_Data_Flows[[#This Row],[Name(EN)]],Tab_Def_Flows[Name(EN)],0),18)</f>
        <v>#N/A</v>
      </c>
      <c r="AG383" s="115" t="str">
        <f>IF(K383="Yes",AF383*Tab_Data_Flows[[#This Row],[Flow_Py]],"N.A.")</f>
        <v>N.A.</v>
      </c>
      <c r="AH383" s="61">
        <f>Tab_Data_Flows[[#This Row],[UoM_Flow_Py]]</f>
        <v>0</v>
      </c>
      <c r="AI383" s="114" t="e">
        <f>INDEX(Tab_Def_Flows[[Flow_ID]:[CC_DM_source]],MATCH(Tab_Data_Flows[[#This Row],[Name(EN)]],Tab_Def_Flows[Name(EN)],0),20)</f>
        <v>#N/A</v>
      </c>
      <c r="AJ383" s="115" t="str">
        <f>IF(L383="Yes",AI383*Tab_Data_Flows[[#This Row],[Flow_Py]],"N.A.")</f>
        <v>N.A.</v>
      </c>
      <c r="AK383" s="61">
        <f>Tab_Data_Flows[[#This Row],[UoM_Flow_Py]]</f>
        <v>0</v>
      </c>
    </row>
    <row r="384" spans="1:37" x14ac:dyDescent="0.35">
      <c r="A384" s="60">
        <f t="shared" si="41"/>
        <v>383</v>
      </c>
      <c r="B384" s="49" t="str">
        <f>_xlfn.XLOOKUP(C384,Tab_Def_Flows[Name(EN)],Tab_Def_Flows[Flow_ID],,0,)</f>
        <v>F_21_21</v>
      </c>
      <c r="C384" s="51"/>
      <c r="D384" s="49">
        <f>_xlfn.XLOOKUP(C384,Tab_Def_Flows[Name(EN)],Tab_Def_Flows[Type_Biomass],,0,)</f>
        <v>0</v>
      </c>
      <c r="E384" s="49">
        <f>_xlfn.XLOOKUP(C384,Tab_Def_Flows[Name(EN)],Tab_Def_Flows[Output_Process],,0,)</f>
        <v>0</v>
      </c>
      <c r="F384" s="49" t="str">
        <f>_xlfn.XLOOKUP(C384,Tab_Def_Flows[Name(EN)],Tab_Def_Flows[Process_ID_O],,0,)</f>
        <v>21__</v>
      </c>
      <c r="G384" s="49">
        <f>_xlfn.XLOOKUP(C384,Tab_Def_Flows[Name(EN)],Tab_Def_Flows[Input_Process],,0,)</f>
        <v>0</v>
      </c>
      <c r="H384" s="61" t="str">
        <f>_xlfn.XLOOKUP(C384,Tab_Def_Flows[Name(EN)],Tab_Def_Flows[Process_ID_I],,0,)</f>
        <v>21__</v>
      </c>
      <c r="I384" s="49">
        <f>_xlfn.XLOOKUP(C384,Tab_Def_Flows[Name(EN)],Tab_Def_Flows[Value_Source],,0,)</f>
        <v>0</v>
      </c>
      <c r="J384" s="49">
        <f>_xlfn.XLOOKUP(C384,Tab_Def_Flows[Name(EN)],Tab_Def_Flows[WC?],,0,)</f>
        <v>0</v>
      </c>
      <c r="K384" s="49">
        <f>_xlfn.XLOOKUP(C384,Tab_Def_Flows[Name(EN)],Tab_Def_Flows[DM?],,0,)</f>
        <v>0</v>
      </c>
      <c r="L384" s="49">
        <f>_xlfn.XLOOKUP(C384,Tab_Def_Flows[Name(EN)],Tab_Def_Flows[CC?],,0,)</f>
        <v>0</v>
      </c>
      <c r="M384" s="51"/>
      <c r="N384" s="51"/>
      <c r="O384" s="88"/>
      <c r="P384" s="51"/>
      <c r="Q384" s="51"/>
      <c r="R384" s="51"/>
      <c r="S384" s="51"/>
      <c r="T384" s="51"/>
      <c r="U384" s="51"/>
      <c r="V384" s="51"/>
      <c r="W384" s="51"/>
      <c r="X384" s="51"/>
      <c r="Y384" s="51"/>
      <c r="Z384" s="51"/>
      <c r="AA384" s="89">
        <f t="shared" si="42"/>
        <v>0</v>
      </c>
      <c r="AB384" s="51"/>
      <c r="AC384" s="114" t="e">
        <f>INDEX(Tab_Def_Flows[[Flow_ID]:[CC_DM_source]],MATCH(Tab_Data_Flows[[#This Row],[Name(EN)]],Tab_Def_Flows[Name(EN)],0),16)</f>
        <v>#N/A</v>
      </c>
      <c r="AD384" s="115" t="str">
        <f>IF(J384="Yes",AA384*Tab_Data_Flows[[#This Row],[WC_'[%']]],"N.A.")</f>
        <v>N.A.</v>
      </c>
      <c r="AE384" s="61">
        <f>Tab_Data_Flows[[#This Row],[UoM_Flow_Py]]</f>
        <v>0</v>
      </c>
      <c r="AF384" s="114" t="e">
        <f>INDEX(Tab_Def_Flows[[Flow_ID]:[CC_DM_source]],MATCH(Tab_Data_Flows[[#This Row],[Name(EN)]],Tab_Def_Flows[Name(EN)],0),18)</f>
        <v>#N/A</v>
      </c>
      <c r="AG384" s="115" t="str">
        <f>IF(K384="Yes",AF384*Tab_Data_Flows[[#This Row],[Flow_Py]],"N.A.")</f>
        <v>N.A.</v>
      </c>
      <c r="AH384" s="61">
        <f>Tab_Data_Flows[[#This Row],[UoM_Flow_Py]]</f>
        <v>0</v>
      </c>
      <c r="AI384" s="114" t="e">
        <f>INDEX(Tab_Def_Flows[[Flow_ID]:[CC_DM_source]],MATCH(Tab_Data_Flows[[#This Row],[Name(EN)]],Tab_Def_Flows[Name(EN)],0),20)</f>
        <v>#N/A</v>
      </c>
      <c r="AJ384" s="115" t="str">
        <f>IF(L384="Yes",AI384*Tab_Data_Flows[[#This Row],[Flow_Py]],"N.A.")</f>
        <v>N.A.</v>
      </c>
      <c r="AK384" s="61">
        <f>Tab_Data_Flows[[#This Row],[UoM_Flow_Py]]</f>
        <v>0</v>
      </c>
    </row>
    <row r="385" spans="1:37" x14ac:dyDescent="0.35">
      <c r="A385" s="60">
        <f t="shared" si="41"/>
        <v>384</v>
      </c>
      <c r="B385" s="49" t="str">
        <f>_xlfn.XLOOKUP(C385,Tab_Def_Flows[Name(EN)],Tab_Def_Flows[Flow_ID],,0,)</f>
        <v>F_21_21</v>
      </c>
      <c r="C385" s="51"/>
      <c r="D385" s="49">
        <f>_xlfn.XLOOKUP(C385,Tab_Def_Flows[Name(EN)],Tab_Def_Flows[Type_Biomass],,0,)</f>
        <v>0</v>
      </c>
      <c r="E385" s="49">
        <f>_xlfn.XLOOKUP(C385,Tab_Def_Flows[Name(EN)],Tab_Def_Flows[Output_Process],,0,)</f>
        <v>0</v>
      </c>
      <c r="F385" s="49" t="str">
        <f>_xlfn.XLOOKUP(C385,Tab_Def_Flows[Name(EN)],Tab_Def_Flows[Process_ID_O],,0,)</f>
        <v>21__</v>
      </c>
      <c r="G385" s="49">
        <f>_xlfn.XLOOKUP(C385,Tab_Def_Flows[Name(EN)],Tab_Def_Flows[Input_Process],,0,)</f>
        <v>0</v>
      </c>
      <c r="H385" s="61" t="str">
        <f>_xlfn.XLOOKUP(C385,Tab_Def_Flows[Name(EN)],Tab_Def_Flows[Process_ID_I],,0,)</f>
        <v>21__</v>
      </c>
      <c r="I385" s="49">
        <f>_xlfn.XLOOKUP(C385,Tab_Def_Flows[Name(EN)],Tab_Def_Flows[Value_Source],,0,)</f>
        <v>0</v>
      </c>
      <c r="J385" s="49">
        <f>_xlfn.XLOOKUP(C385,Tab_Def_Flows[Name(EN)],Tab_Def_Flows[WC?],,0,)</f>
        <v>0</v>
      </c>
      <c r="K385" s="49">
        <f>_xlfn.XLOOKUP(C385,Tab_Def_Flows[Name(EN)],Tab_Def_Flows[DM?],,0,)</f>
        <v>0</v>
      </c>
      <c r="L385" s="49">
        <f>_xlfn.XLOOKUP(C385,Tab_Def_Flows[Name(EN)],Tab_Def_Flows[CC?],,0,)</f>
        <v>0</v>
      </c>
      <c r="M385" s="51"/>
      <c r="N385" s="51"/>
      <c r="O385" s="88"/>
      <c r="P385" s="51"/>
      <c r="Q385" s="51"/>
      <c r="R385" s="51"/>
      <c r="S385" s="51"/>
      <c r="T385" s="51"/>
      <c r="U385" s="51"/>
      <c r="V385" s="51"/>
      <c r="W385" s="51"/>
      <c r="X385" s="51"/>
      <c r="Y385" s="51"/>
      <c r="Z385" s="51"/>
      <c r="AA385" s="89">
        <f t="shared" si="42"/>
        <v>0</v>
      </c>
      <c r="AB385" s="51"/>
      <c r="AC385" s="114" t="e">
        <f>INDEX(Tab_Def_Flows[[Flow_ID]:[CC_DM_source]],MATCH(Tab_Data_Flows[[#This Row],[Name(EN)]],Tab_Def_Flows[Name(EN)],0),16)</f>
        <v>#N/A</v>
      </c>
      <c r="AD385" s="115" t="str">
        <f>IF(J385="Yes",AA385*Tab_Data_Flows[[#This Row],[WC_'[%']]],"N.A.")</f>
        <v>N.A.</v>
      </c>
      <c r="AE385" s="61">
        <f>Tab_Data_Flows[[#This Row],[UoM_Flow_Py]]</f>
        <v>0</v>
      </c>
      <c r="AF385" s="114" t="e">
        <f>INDEX(Tab_Def_Flows[[Flow_ID]:[CC_DM_source]],MATCH(Tab_Data_Flows[[#This Row],[Name(EN)]],Tab_Def_Flows[Name(EN)],0),18)</f>
        <v>#N/A</v>
      </c>
      <c r="AG385" s="115" t="str">
        <f>IF(K385="Yes",AF385*Tab_Data_Flows[[#This Row],[Flow_Py]],"N.A.")</f>
        <v>N.A.</v>
      </c>
      <c r="AH385" s="61">
        <f>Tab_Data_Flows[[#This Row],[UoM_Flow_Py]]</f>
        <v>0</v>
      </c>
      <c r="AI385" s="114" t="e">
        <f>INDEX(Tab_Def_Flows[[Flow_ID]:[CC_DM_source]],MATCH(Tab_Data_Flows[[#This Row],[Name(EN)]],Tab_Def_Flows[Name(EN)],0),20)</f>
        <v>#N/A</v>
      </c>
      <c r="AJ385" s="115" t="str">
        <f>IF(L385="Yes",AI385*Tab_Data_Flows[[#This Row],[Flow_Py]],"N.A.")</f>
        <v>N.A.</v>
      </c>
      <c r="AK385" s="61">
        <f>Tab_Data_Flows[[#This Row],[UoM_Flow_Py]]</f>
        <v>0</v>
      </c>
    </row>
    <row r="386" spans="1:37" x14ac:dyDescent="0.35">
      <c r="A386" s="60">
        <f t="shared" si="41"/>
        <v>385</v>
      </c>
      <c r="B386" s="49" t="str">
        <f>_xlfn.XLOOKUP(C386,Tab_Def_Flows[Name(EN)],Tab_Def_Flows[Flow_ID],,0,)</f>
        <v>F_21_21</v>
      </c>
      <c r="C386" s="51"/>
      <c r="D386" s="49">
        <f>_xlfn.XLOOKUP(C386,Tab_Def_Flows[Name(EN)],Tab_Def_Flows[Type_Biomass],,0,)</f>
        <v>0</v>
      </c>
      <c r="E386" s="49">
        <f>_xlfn.XLOOKUP(C386,Tab_Def_Flows[Name(EN)],Tab_Def_Flows[Output_Process],,0,)</f>
        <v>0</v>
      </c>
      <c r="F386" s="49" t="str">
        <f>_xlfn.XLOOKUP(C386,Tab_Def_Flows[Name(EN)],Tab_Def_Flows[Process_ID_O],,0,)</f>
        <v>21__</v>
      </c>
      <c r="G386" s="49">
        <f>_xlfn.XLOOKUP(C386,Tab_Def_Flows[Name(EN)],Tab_Def_Flows[Input_Process],,0,)</f>
        <v>0</v>
      </c>
      <c r="H386" s="61" t="str">
        <f>_xlfn.XLOOKUP(C386,Tab_Def_Flows[Name(EN)],Tab_Def_Flows[Process_ID_I],,0,)</f>
        <v>21__</v>
      </c>
      <c r="I386" s="49">
        <f>_xlfn.XLOOKUP(C386,Tab_Def_Flows[Name(EN)],Tab_Def_Flows[Value_Source],,0,)</f>
        <v>0</v>
      </c>
      <c r="J386" s="49">
        <f>_xlfn.XLOOKUP(C386,Tab_Def_Flows[Name(EN)],Tab_Def_Flows[WC?],,0,)</f>
        <v>0</v>
      </c>
      <c r="K386" s="49">
        <f>_xlfn.XLOOKUP(C386,Tab_Def_Flows[Name(EN)],Tab_Def_Flows[DM?],,0,)</f>
        <v>0</v>
      </c>
      <c r="L386" s="49">
        <f>_xlfn.XLOOKUP(C386,Tab_Def_Flows[Name(EN)],Tab_Def_Flows[CC?],,0,)</f>
        <v>0</v>
      </c>
      <c r="M386" s="51"/>
      <c r="N386" s="51"/>
      <c r="O386" s="88"/>
      <c r="P386" s="51"/>
      <c r="Q386" s="51"/>
      <c r="R386" s="51"/>
      <c r="S386" s="51"/>
      <c r="T386" s="51"/>
      <c r="U386" s="51"/>
      <c r="V386" s="51"/>
      <c r="W386" s="51"/>
      <c r="X386" s="51"/>
      <c r="Y386" s="51"/>
      <c r="Z386" s="51"/>
      <c r="AA386" s="89">
        <f t="shared" si="42"/>
        <v>0</v>
      </c>
      <c r="AB386" s="51"/>
      <c r="AC386" s="114" t="e">
        <f>INDEX(Tab_Def_Flows[[Flow_ID]:[CC_DM_source]],MATCH(Tab_Data_Flows[[#This Row],[Name(EN)]],Tab_Def_Flows[Name(EN)],0),16)</f>
        <v>#N/A</v>
      </c>
      <c r="AD386" s="115" t="str">
        <f>IF(J386="Yes",AA386*Tab_Data_Flows[[#This Row],[WC_'[%']]],"N.A.")</f>
        <v>N.A.</v>
      </c>
      <c r="AE386" s="61">
        <f>Tab_Data_Flows[[#This Row],[UoM_Flow_Py]]</f>
        <v>0</v>
      </c>
      <c r="AF386" s="114" t="e">
        <f>INDEX(Tab_Def_Flows[[Flow_ID]:[CC_DM_source]],MATCH(Tab_Data_Flows[[#This Row],[Name(EN)]],Tab_Def_Flows[Name(EN)],0),18)</f>
        <v>#N/A</v>
      </c>
      <c r="AG386" s="115" t="str">
        <f>IF(K386="Yes",AF386*Tab_Data_Flows[[#This Row],[Flow_Py]],"N.A.")</f>
        <v>N.A.</v>
      </c>
      <c r="AH386" s="61">
        <f>Tab_Data_Flows[[#This Row],[UoM_Flow_Py]]</f>
        <v>0</v>
      </c>
      <c r="AI386" s="114" t="e">
        <f>INDEX(Tab_Def_Flows[[Flow_ID]:[CC_DM_source]],MATCH(Tab_Data_Flows[[#This Row],[Name(EN)]],Tab_Def_Flows[Name(EN)],0),20)</f>
        <v>#N/A</v>
      </c>
      <c r="AJ386" s="115" t="str">
        <f>IF(L386="Yes",AI386*Tab_Data_Flows[[#This Row],[Flow_Py]],"N.A.")</f>
        <v>N.A.</v>
      </c>
      <c r="AK386" s="61">
        <f>Tab_Data_Flows[[#This Row],[UoM_Flow_Py]]</f>
        <v>0</v>
      </c>
    </row>
    <row r="387" spans="1:37" x14ac:dyDescent="0.35">
      <c r="A387" s="60">
        <f t="shared" si="41"/>
        <v>386</v>
      </c>
      <c r="B387" s="49" t="str">
        <f>_xlfn.XLOOKUP(C387,Tab_Def_Flows[Name(EN)],Tab_Def_Flows[Flow_ID],,0,)</f>
        <v>F_21_21</v>
      </c>
      <c r="C387" s="51"/>
      <c r="D387" s="49">
        <f>_xlfn.XLOOKUP(C387,Tab_Def_Flows[Name(EN)],Tab_Def_Flows[Type_Biomass],,0,)</f>
        <v>0</v>
      </c>
      <c r="E387" s="49">
        <f>_xlfn.XLOOKUP(C387,Tab_Def_Flows[Name(EN)],Tab_Def_Flows[Output_Process],,0,)</f>
        <v>0</v>
      </c>
      <c r="F387" s="49" t="str">
        <f>_xlfn.XLOOKUP(C387,Tab_Def_Flows[Name(EN)],Tab_Def_Flows[Process_ID_O],,0,)</f>
        <v>21__</v>
      </c>
      <c r="G387" s="49">
        <f>_xlfn.XLOOKUP(C387,Tab_Def_Flows[Name(EN)],Tab_Def_Flows[Input_Process],,0,)</f>
        <v>0</v>
      </c>
      <c r="H387" s="61" t="str">
        <f>_xlfn.XLOOKUP(C387,Tab_Def_Flows[Name(EN)],Tab_Def_Flows[Process_ID_I],,0,)</f>
        <v>21__</v>
      </c>
      <c r="I387" s="49">
        <f>_xlfn.XLOOKUP(C387,Tab_Def_Flows[Name(EN)],Tab_Def_Flows[Value_Source],,0,)</f>
        <v>0</v>
      </c>
      <c r="J387" s="49">
        <f>_xlfn.XLOOKUP(C387,Tab_Def_Flows[Name(EN)],Tab_Def_Flows[WC?],,0,)</f>
        <v>0</v>
      </c>
      <c r="K387" s="49">
        <f>_xlfn.XLOOKUP(C387,Tab_Def_Flows[Name(EN)],Tab_Def_Flows[DM?],,0,)</f>
        <v>0</v>
      </c>
      <c r="L387" s="49">
        <f>_xlfn.XLOOKUP(C387,Tab_Def_Flows[Name(EN)],Tab_Def_Flows[CC?],,0,)</f>
        <v>0</v>
      </c>
      <c r="M387" s="51"/>
      <c r="N387" s="51"/>
      <c r="O387" s="88"/>
      <c r="P387" s="51"/>
      <c r="Q387" s="51"/>
      <c r="R387" s="51"/>
      <c r="S387" s="51"/>
      <c r="T387" s="51"/>
      <c r="U387" s="51"/>
      <c r="V387" s="51"/>
      <c r="W387" s="51"/>
      <c r="X387" s="51"/>
      <c r="Y387" s="51"/>
      <c r="Z387" s="51"/>
      <c r="AA387" s="89">
        <f t="shared" si="42"/>
        <v>0</v>
      </c>
      <c r="AB387" s="51"/>
      <c r="AC387" s="114" t="e">
        <f>INDEX(Tab_Def_Flows[[Flow_ID]:[CC_DM_source]],MATCH(Tab_Data_Flows[[#This Row],[Name(EN)]],Tab_Def_Flows[Name(EN)],0),16)</f>
        <v>#N/A</v>
      </c>
      <c r="AD387" s="115" t="str">
        <f>IF(J387="Yes",AA387*Tab_Data_Flows[[#This Row],[WC_'[%']]],"N.A.")</f>
        <v>N.A.</v>
      </c>
      <c r="AE387" s="61">
        <f>Tab_Data_Flows[[#This Row],[UoM_Flow_Py]]</f>
        <v>0</v>
      </c>
      <c r="AF387" s="114" t="e">
        <f>INDEX(Tab_Def_Flows[[Flow_ID]:[CC_DM_source]],MATCH(Tab_Data_Flows[[#This Row],[Name(EN)]],Tab_Def_Flows[Name(EN)],0),18)</f>
        <v>#N/A</v>
      </c>
      <c r="AG387" s="115" t="str">
        <f>IF(K387="Yes",AF387*Tab_Data_Flows[[#This Row],[Flow_Py]],"N.A.")</f>
        <v>N.A.</v>
      </c>
      <c r="AH387" s="61">
        <f>Tab_Data_Flows[[#This Row],[UoM_Flow_Py]]</f>
        <v>0</v>
      </c>
      <c r="AI387" s="114" t="e">
        <f>INDEX(Tab_Def_Flows[[Flow_ID]:[CC_DM_source]],MATCH(Tab_Data_Flows[[#This Row],[Name(EN)]],Tab_Def_Flows[Name(EN)],0),20)</f>
        <v>#N/A</v>
      </c>
      <c r="AJ387" s="115" t="str">
        <f>IF(L387="Yes",AI387*Tab_Data_Flows[[#This Row],[Flow_Py]],"N.A.")</f>
        <v>N.A.</v>
      </c>
      <c r="AK387" s="61">
        <f>Tab_Data_Flows[[#This Row],[UoM_Flow_Py]]</f>
        <v>0</v>
      </c>
    </row>
    <row r="388" spans="1:37" x14ac:dyDescent="0.35">
      <c r="A388" s="60">
        <f t="shared" si="41"/>
        <v>387</v>
      </c>
      <c r="B388" s="49" t="str">
        <f>_xlfn.XLOOKUP(C388,Tab_Def_Flows[Name(EN)],Tab_Def_Flows[Flow_ID],,0,)</f>
        <v>F_21_21</v>
      </c>
      <c r="C388" s="51"/>
      <c r="D388" s="49">
        <f>_xlfn.XLOOKUP(C388,Tab_Def_Flows[Name(EN)],Tab_Def_Flows[Type_Biomass],,0,)</f>
        <v>0</v>
      </c>
      <c r="E388" s="49">
        <f>_xlfn.XLOOKUP(C388,Tab_Def_Flows[Name(EN)],Tab_Def_Flows[Output_Process],,0,)</f>
        <v>0</v>
      </c>
      <c r="F388" s="49" t="str">
        <f>_xlfn.XLOOKUP(C388,Tab_Def_Flows[Name(EN)],Tab_Def_Flows[Process_ID_O],,0,)</f>
        <v>21__</v>
      </c>
      <c r="G388" s="49">
        <f>_xlfn.XLOOKUP(C388,Tab_Def_Flows[Name(EN)],Tab_Def_Flows[Input_Process],,0,)</f>
        <v>0</v>
      </c>
      <c r="H388" s="61" t="str">
        <f>_xlfn.XLOOKUP(C388,Tab_Def_Flows[Name(EN)],Tab_Def_Flows[Process_ID_I],,0,)</f>
        <v>21__</v>
      </c>
      <c r="I388" s="49">
        <f>_xlfn.XLOOKUP(C388,Tab_Def_Flows[Name(EN)],Tab_Def_Flows[Value_Source],,0,)</f>
        <v>0</v>
      </c>
      <c r="J388" s="49">
        <f>_xlfn.XLOOKUP(C388,Tab_Def_Flows[Name(EN)],Tab_Def_Flows[WC?],,0,)</f>
        <v>0</v>
      </c>
      <c r="K388" s="49">
        <f>_xlfn.XLOOKUP(C388,Tab_Def_Flows[Name(EN)],Tab_Def_Flows[DM?],,0,)</f>
        <v>0</v>
      </c>
      <c r="L388" s="49">
        <f>_xlfn.XLOOKUP(C388,Tab_Def_Flows[Name(EN)],Tab_Def_Flows[CC?],,0,)</f>
        <v>0</v>
      </c>
      <c r="M388" s="51"/>
      <c r="N388" s="51"/>
      <c r="O388" s="88"/>
      <c r="P388" s="51"/>
      <c r="Q388" s="51"/>
      <c r="R388" s="51"/>
      <c r="S388" s="51"/>
      <c r="T388" s="51"/>
      <c r="U388" s="51"/>
      <c r="V388" s="51"/>
      <c r="W388" s="51"/>
      <c r="X388" s="51"/>
      <c r="Y388" s="51"/>
      <c r="Z388" s="51"/>
      <c r="AA388" s="89">
        <f t="shared" si="42"/>
        <v>0</v>
      </c>
      <c r="AB388" s="51"/>
      <c r="AC388" s="114" t="e">
        <f>INDEX(Tab_Def_Flows[[Flow_ID]:[CC_DM_source]],MATCH(Tab_Data_Flows[[#This Row],[Name(EN)]],Tab_Def_Flows[Name(EN)],0),16)</f>
        <v>#N/A</v>
      </c>
      <c r="AD388" s="115" t="str">
        <f>IF(J388="Yes",AA388*Tab_Data_Flows[[#This Row],[WC_'[%']]],"N.A.")</f>
        <v>N.A.</v>
      </c>
      <c r="AE388" s="61">
        <f>Tab_Data_Flows[[#This Row],[UoM_Flow_Py]]</f>
        <v>0</v>
      </c>
      <c r="AF388" s="114" t="e">
        <f>INDEX(Tab_Def_Flows[[Flow_ID]:[CC_DM_source]],MATCH(Tab_Data_Flows[[#This Row],[Name(EN)]],Tab_Def_Flows[Name(EN)],0),18)</f>
        <v>#N/A</v>
      </c>
      <c r="AG388" s="115" t="str">
        <f>IF(K388="Yes",AF388*Tab_Data_Flows[[#This Row],[Flow_Py]],"N.A.")</f>
        <v>N.A.</v>
      </c>
      <c r="AH388" s="61">
        <f>Tab_Data_Flows[[#This Row],[UoM_Flow_Py]]</f>
        <v>0</v>
      </c>
      <c r="AI388" s="114" t="e">
        <f>INDEX(Tab_Def_Flows[[Flow_ID]:[CC_DM_source]],MATCH(Tab_Data_Flows[[#This Row],[Name(EN)]],Tab_Def_Flows[Name(EN)],0),20)</f>
        <v>#N/A</v>
      </c>
      <c r="AJ388" s="115" t="str">
        <f>IF(L388="Yes",AI388*Tab_Data_Flows[[#This Row],[Flow_Py]],"N.A.")</f>
        <v>N.A.</v>
      </c>
      <c r="AK388" s="61">
        <f>Tab_Data_Flows[[#This Row],[UoM_Flow_Py]]</f>
        <v>0</v>
      </c>
    </row>
    <row r="389" spans="1:37" x14ac:dyDescent="0.35">
      <c r="A389" s="60">
        <f t="shared" si="41"/>
        <v>388</v>
      </c>
      <c r="B389" s="49" t="str">
        <f>_xlfn.XLOOKUP(C389,Tab_Def_Flows[Name(EN)],Tab_Def_Flows[Flow_ID],,0,)</f>
        <v>F_21_21</v>
      </c>
      <c r="C389" s="51"/>
      <c r="D389" s="49">
        <f>_xlfn.XLOOKUP(C389,Tab_Def_Flows[Name(EN)],Tab_Def_Flows[Type_Biomass],,0,)</f>
        <v>0</v>
      </c>
      <c r="E389" s="49">
        <f>_xlfn.XLOOKUP(C389,Tab_Def_Flows[Name(EN)],Tab_Def_Flows[Output_Process],,0,)</f>
        <v>0</v>
      </c>
      <c r="F389" s="49" t="str">
        <f>_xlfn.XLOOKUP(C389,Tab_Def_Flows[Name(EN)],Tab_Def_Flows[Process_ID_O],,0,)</f>
        <v>21__</v>
      </c>
      <c r="G389" s="49">
        <f>_xlfn.XLOOKUP(C389,Tab_Def_Flows[Name(EN)],Tab_Def_Flows[Input_Process],,0,)</f>
        <v>0</v>
      </c>
      <c r="H389" s="61" t="str">
        <f>_xlfn.XLOOKUP(C389,Tab_Def_Flows[Name(EN)],Tab_Def_Flows[Process_ID_I],,0,)</f>
        <v>21__</v>
      </c>
      <c r="I389" s="49">
        <f>_xlfn.XLOOKUP(C389,Tab_Def_Flows[Name(EN)],Tab_Def_Flows[Value_Source],,0,)</f>
        <v>0</v>
      </c>
      <c r="J389" s="49">
        <f>_xlfn.XLOOKUP(C389,Tab_Def_Flows[Name(EN)],Tab_Def_Flows[WC?],,0,)</f>
        <v>0</v>
      </c>
      <c r="K389" s="49">
        <f>_xlfn.XLOOKUP(C389,Tab_Def_Flows[Name(EN)],Tab_Def_Flows[DM?],,0,)</f>
        <v>0</v>
      </c>
      <c r="L389" s="49">
        <f>_xlfn.XLOOKUP(C389,Tab_Def_Flows[Name(EN)],Tab_Def_Flows[CC?],,0,)</f>
        <v>0</v>
      </c>
      <c r="M389" s="51"/>
      <c r="N389" s="51"/>
      <c r="O389" s="88"/>
      <c r="P389" s="51"/>
      <c r="Q389" s="51"/>
      <c r="R389" s="51"/>
      <c r="S389" s="51"/>
      <c r="T389" s="51"/>
      <c r="U389" s="51"/>
      <c r="V389" s="51"/>
      <c r="W389" s="51"/>
      <c r="X389" s="51"/>
      <c r="Y389" s="51"/>
      <c r="Z389" s="51"/>
      <c r="AA389" s="89">
        <f t="shared" si="42"/>
        <v>0</v>
      </c>
      <c r="AB389" s="51"/>
      <c r="AC389" s="114" t="e">
        <f>INDEX(Tab_Def_Flows[[Flow_ID]:[CC_DM_source]],MATCH(Tab_Data_Flows[[#This Row],[Name(EN)]],Tab_Def_Flows[Name(EN)],0),16)</f>
        <v>#N/A</v>
      </c>
      <c r="AD389" s="115" t="str">
        <f>IF(J389="Yes",AA389*Tab_Data_Flows[[#This Row],[WC_'[%']]],"N.A.")</f>
        <v>N.A.</v>
      </c>
      <c r="AE389" s="61">
        <f>Tab_Data_Flows[[#This Row],[UoM_Flow_Py]]</f>
        <v>0</v>
      </c>
      <c r="AF389" s="114" t="e">
        <f>INDEX(Tab_Def_Flows[[Flow_ID]:[CC_DM_source]],MATCH(Tab_Data_Flows[[#This Row],[Name(EN)]],Tab_Def_Flows[Name(EN)],0),18)</f>
        <v>#N/A</v>
      </c>
      <c r="AG389" s="115" t="str">
        <f>IF(K389="Yes",AF389*Tab_Data_Flows[[#This Row],[Flow_Py]],"N.A.")</f>
        <v>N.A.</v>
      </c>
      <c r="AH389" s="61">
        <f>Tab_Data_Flows[[#This Row],[UoM_Flow_Py]]</f>
        <v>0</v>
      </c>
      <c r="AI389" s="114" t="e">
        <f>INDEX(Tab_Def_Flows[[Flow_ID]:[CC_DM_source]],MATCH(Tab_Data_Flows[[#This Row],[Name(EN)]],Tab_Def_Flows[Name(EN)],0),20)</f>
        <v>#N/A</v>
      </c>
      <c r="AJ389" s="115" t="str">
        <f>IF(L389="Yes",AI389*Tab_Data_Flows[[#This Row],[Flow_Py]],"N.A.")</f>
        <v>N.A.</v>
      </c>
      <c r="AK389" s="61">
        <f>Tab_Data_Flows[[#This Row],[UoM_Flow_Py]]</f>
        <v>0</v>
      </c>
    </row>
    <row r="390" spans="1:37" x14ac:dyDescent="0.35">
      <c r="A390" s="60">
        <f t="shared" si="41"/>
        <v>389</v>
      </c>
      <c r="B390" s="49" t="str">
        <f>_xlfn.XLOOKUP(C390,Tab_Def_Flows[Name(EN)],Tab_Def_Flows[Flow_ID],,0,)</f>
        <v>F_21_21</v>
      </c>
      <c r="C390" s="51"/>
      <c r="D390" s="49">
        <f>_xlfn.XLOOKUP(C390,Tab_Def_Flows[Name(EN)],Tab_Def_Flows[Type_Biomass],,0,)</f>
        <v>0</v>
      </c>
      <c r="E390" s="49">
        <f>_xlfn.XLOOKUP(C390,Tab_Def_Flows[Name(EN)],Tab_Def_Flows[Output_Process],,0,)</f>
        <v>0</v>
      </c>
      <c r="F390" s="49" t="str">
        <f>_xlfn.XLOOKUP(C390,Tab_Def_Flows[Name(EN)],Tab_Def_Flows[Process_ID_O],,0,)</f>
        <v>21__</v>
      </c>
      <c r="G390" s="49">
        <f>_xlfn.XLOOKUP(C390,Tab_Def_Flows[Name(EN)],Tab_Def_Flows[Input_Process],,0,)</f>
        <v>0</v>
      </c>
      <c r="H390" s="61" t="str">
        <f>_xlfn.XLOOKUP(C390,Tab_Def_Flows[Name(EN)],Tab_Def_Flows[Process_ID_I],,0,)</f>
        <v>21__</v>
      </c>
      <c r="I390" s="49">
        <f>_xlfn.XLOOKUP(C390,Tab_Def_Flows[Name(EN)],Tab_Def_Flows[Value_Source],,0,)</f>
        <v>0</v>
      </c>
      <c r="J390" s="49">
        <f>_xlfn.XLOOKUP(C390,Tab_Def_Flows[Name(EN)],Tab_Def_Flows[WC?],,0,)</f>
        <v>0</v>
      </c>
      <c r="K390" s="49">
        <f>_xlfn.XLOOKUP(C390,Tab_Def_Flows[Name(EN)],Tab_Def_Flows[DM?],,0,)</f>
        <v>0</v>
      </c>
      <c r="L390" s="49">
        <f>_xlfn.XLOOKUP(C390,Tab_Def_Flows[Name(EN)],Tab_Def_Flows[CC?],,0,)</f>
        <v>0</v>
      </c>
      <c r="M390" s="51"/>
      <c r="N390" s="51"/>
      <c r="O390" s="88"/>
      <c r="P390" s="51"/>
      <c r="Q390" s="51"/>
      <c r="R390" s="51"/>
      <c r="S390" s="51"/>
      <c r="T390" s="51"/>
      <c r="U390" s="51"/>
      <c r="V390" s="51"/>
      <c r="W390" s="51"/>
      <c r="X390" s="51"/>
      <c r="Y390" s="51"/>
      <c r="Z390" s="51"/>
      <c r="AA390" s="89">
        <f t="shared" si="42"/>
        <v>0</v>
      </c>
      <c r="AB390" s="51"/>
      <c r="AC390" s="114" t="e">
        <f>INDEX(Tab_Def_Flows[[Flow_ID]:[CC_DM_source]],MATCH(Tab_Data_Flows[[#This Row],[Name(EN)]],Tab_Def_Flows[Name(EN)],0),16)</f>
        <v>#N/A</v>
      </c>
      <c r="AD390" s="115" t="str">
        <f>IF(J390="Yes",AA390*Tab_Data_Flows[[#This Row],[WC_'[%']]],"N.A.")</f>
        <v>N.A.</v>
      </c>
      <c r="AE390" s="61">
        <f>Tab_Data_Flows[[#This Row],[UoM_Flow_Py]]</f>
        <v>0</v>
      </c>
      <c r="AF390" s="114" t="e">
        <f>INDEX(Tab_Def_Flows[[Flow_ID]:[CC_DM_source]],MATCH(Tab_Data_Flows[[#This Row],[Name(EN)]],Tab_Def_Flows[Name(EN)],0),18)</f>
        <v>#N/A</v>
      </c>
      <c r="AG390" s="115" t="str">
        <f>IF(K390="Yes",AF390*Tab_Data_Flows[[#This Row],[Flow_Py]],"N.A.")</f>
        <v>N.A.</v>
      </c>
      <c r="AH390" s="61">
        <f>Tab_Data_Flows[[#This Row],[UoM_Flow_Py]]</f>
        <v>0</v>
      </c>
      <c r="AI390" s="114" t="e">
        <f>INDEX(Tab_Def_Flows[[Flow_ID]:[CC_DM_source]],MATCH(Tab_Data_Flows[[#This Row],[Name(EN)]],Tab_Def_Flows[Name(EN)],0),20)</f>
        <v>#N/A</v>
      </c>
      <c r="AJ390" s="115" t="str">
        <f>IF(L390="Yes",AI390*Tab_Data_Flows[[#This Row],[Flow_Py]],"N.A.")</f>
        <v>N.A.</v>
      </c>
      <c r="AK390" s="61">
        <f>Tab_Data_Flows[[#This Row],[UoM_Flow_Py]]</f>
        <v>0</v>
      </c>
    </row>
    <row r="391" spans="1:37" x14ac:dyDescent="0.35">
      <c r="A391" s="60">
        <f t="shared" si="41"/>
        <v>390</v>
      </c>
      <c r="B391" s="49" t="str">
        <f>_xlfn.XLOOKUP(C391,Tab_Def_Flows[Name(EN)],Tab_Def_Flows[Flow_ID],,0,)</f>
        <v>F_21_21</v>
      </c>
      <c r="C391" s="51"/>
      <c r="D391" s="49">
        <f>_xlfn.XLOOKUP(C391,Tab_Def_Flows[Name(EN)],Tab_Def_Flows[Type_Biomass],,0,)</f>
        <v>0</v>
      </c>
      <c r="E391" s="49">
        <f>_xlfn.XLOOKUP(C391,Tab_Def_Flows[Name(EN)],Tab_Def_Flows[Output_Process],,0,)</f>
        <v>0</v>
      </c>
      <c r="F391" s="49" t="str">
        <f>_xlfn.XLOOKUP(C391,Tab_Def_Flows[Name(EN)],Tab_Def_Flows[Process_ID_O],,0,)</f>
        <v>21__</v>
      </c>
      <c r="G391" s="49">
        <f>_xlfn.XLOOKUP(C391,Tab_Def_Flows[Name(EN)],Tab_Def_Flows[Input_Process],,0,)</f>
        <v>0</v>
      </c>
      <c r="H391" s="61" t="str">
        <f>_xlfn.XLOOKUP(C391,Tab_Def_Flows[Name(EN)],Tab_Def_Flows[Process_ID_I],,0,)</f>
        <v>21__</v>
      </c>
      <c r="I391" s="49">
        <f>_xlfn.XLOOKUP(C391,Tab_Def_Flows[Name(EN)],Tab_Def_Flows[Value_Source],,0,)</f>
        <v>0</v>
      </c>
      <c r="J391" s="49">
        <f>_xlfn.XLOOKUP(C391,Tab_Def_Flows[Name(EN)],Tab_Def_Flows[WC?],,0,)</f>
        <v>0</v>
      </c>
      <c r="K391" s="49">
        <f>_xlfn.XLOOKUP(C391,Tab_Def_Flows[Name(EN)],Tab_Def_Flows[DM?],,0,)</f>
        <v>0</v>
      </c>
      <c r="L391" s="49">
        <f>_xlfn.XLOOKUP(C391,Tab_Def_Flows[Name(EN)],Tab_Def_Flows[CC?],,0,)</f>
        <v>0</v>
      </c>
      <c r="M391" s="51"/>
      <c r="N391" s="51"/>
      <c r="O391" s="88"/>
      <c r="P391" s="51"/>
      <c r="Q391" s="51"/>
      <c r="R391" s="51"/>
      <c r="S391" s="51"/>
      <c r="T391" s="51"/>
      <c r="U391" s="51"/>
      <c r="V391" s="51"/>
      <c r="W391" s="51"/>
      <c r="X391" s="51"/>
      <c r="Y391" s="51"/>
      <c r="Z391" s="51"/>
      <c r="AA391" s="89">
        <f t="shared" si="42"/>
        <v>0</v>
      </c>
      <c r="AB391" s="51"/>
      <c r="AC391" s="114" t="e">
        <f>INDEX(Tab_Def_Flows[[Flow_ID]:[CC_DM_source]],MATCH(Tab_Data_Flows[[#This Row],[Name(EN)]],Tab_Def_Flows[Name(EN)],0),16)</f>
        <v>#N/A</v>
      </c>
      <c r="AD391" s="115" t="str">
        <f>IF(J391="Yes",AA391*Tab_Data_Flows[[#This Row],[WC_'[%']]],"N.A.")</f>
        <v>N.A.</v>
      </c>
      <c r="AE391" s="61">
        <f>Tab_Data_Flows[[#This Row],[UoM_Flow_Py]]</f>
        <v>0</v>
      </c>
      <c r="AF391" s="114" t="e">
        <f>INDEX(Tab_Def_Flows[[Flow_ID]:[CC_DM_source]],MATCH(Tab_Data_Flows[[#This Row],[Name(EN)]],Tab_Def_Flows[Name(EN)],0),18)</f>
        <v>#N/A</v>
      </c>
      <c r="AG391" s="115" t="str">
        <f>IF(K391="Yes",AF391*Tab_Data_Flows[[#This Row],[Flow_Py]],"N.A.")</f>
        <v>N.A.</v>
      </c>
      <c r="AH391" s="61">
        <f>Tab_Data_Flows[[#This Row],[UoM_Flow_Py]]</f>
        <v>0</v>
      </c>
      <c r="AI391" s="114" t="e">
        <f>INDEX(Tab_Def_Flows[[Flow_ID]:[CC_DM_source]],MATCH(Tab_Data_Flows[[#This Row],[Name(EN)]],Tab_Def_Flows[Name(EN)],0),20)</f>
        <v>#N/A</v>
      </c>
      <c r="AJ391" s="115" t="str">
        <f>IF(L391="Yes",AI391*Tab_Data_Flows[[#This Row],[Flow_Py]],"N.A.")</f>
        <v>N.A.</v>
      </c>
      <c r="AK391" s="61">
        <f>Tab_Data_Flows[[#This Row],[UoM_Flow_Py]]</f>
        <v>0</v>
      </c>
    </row>
    <row r="392" spans="1:37" x14ac:dyDescent="0.35">
      <c r="A392" s="60">
        <f t="shared" si="41"/>
        <v>391</v>
      </c>
      <c r="B392" s="49" t="str">
        <f>_xlfn.XLOOKUP(C392,Tab_Def_Flows[Name(EN)],Tab_Def_Flows[Flow_ID],,0,)</f>
        <v>F_21_21</v>
      </c>
      <c r="C392" s="51"/>
      <c r="D392" s="49">
        <f>_xlfn.XLOOKUP(C392,Tab_Def_Flows[Name(EN)],Tab_Def_Flows[Type_Biomass],,0,)</f>
        <v>0</v>
      </c>
      <c r="E392" s="49">
        <f>_xlfn.XLOOKUP(C392,Tab_Def_Flows[Name(EN)],Tab_Def_Flows[Output_Process],,0,)</f>
        <v>0</v>
      </c>
      <c r="F392" s="49" t="str">
        <f>_xlfn.XLOOKUP(C392,Tab_Def_Flows[Name(EN)],Tab_Def_Flows[Process_ID_O],,0,)</f>
        <v>21__</v>
      </c>
      <c r="G392" s="49">
        <f>_xlfn.XLOOKUP(C392,Tab_Def_Flows[Name(EN)],Tab_Def_Flows[Input_Process],,0,)</f>
        <v>0</v>
      </c>
      <c r="H392" s="61" t="str">
        <f>_xlfn.XLOOKUP(C392,Tab_Def_Flows[Name(EN)],Tab_Def_Flows[Process_ID_I],,0,)</f>
        <v>21__</v>
      </c>
      <c r="I392" s="49">
        <f>_xlfn.XLOOKUP(C392,Tab_Def_Flows[Name(EN)],Tab_Def_Flows[Value_Source],,0,)</f>
        <v>0</v>
      </c>
      <c r="J392" s="49">
        <f>_xlfn.XLOOKUP(C392,Tab_Def_Flows[Name(EN)],Tab_Def_Flows[WC?],,0,)</f>
        <v>0</v>
      </c>
      <c r="K392" s="49">
        <f>_xlfn.XLOOKUP(C392,Tab_Def_Flows[Name(EN)],Tab_Def_Flows[DM?],,0,)</f>
        <v>0</v>
      </c>
      <c r="L392" s="49">
        <f>_xlfn.XLOOKUP(C392,Tab_Def_Flows[Name(EN)],Tab_Def_Flows[CC?],,0,)</f>
        <v>0</v>
      </c>
      <c r="M392" s="51"/>
      <c r="N392" s="51"/>
      <c r="O392" s="88"/>
      <c r="P392" s="51"/>
      <c r="Q392" s="51"/>
      <c r="R392" s="51"/>
      <c r="S392" s="51"/>
      <c r="T392" s="51"/>
      <c r="U392" s="51"/>
      <c r="V392" s="51"/>
      <c r="W392" s="51"/>
      <c r="X392" s="51"/>
      <c r="Y392" s="51"/>
      <c r="Z392" s="51"/>
      <c r="AA392" s="89">
        <f t="shared" si="42"/>
        <v>0</v>
      </c>
      <c r="AB392" s="51"/>
      <c r="AC392" s="114" t="e">
        <f>INDEX(Tab_Def_Flows[[Flow_ID]:[CC_DM_source]],MATCH(Tab_Data_Flows[[#This Row],[Name(EN)]],Tab_Def_Flows[Name(EN)],0),16)</f>
        <v>#N/A</v>
      </c>
      <c r="AD392" s="115" t="str">
        <f>IF(J392="Yes",AA392*Tab_Data_Flows[[#This Row],[WC_'[%']]],"N.A.")</f>
        <v>N.A.</v>
      </c>
      <c r="AE392" s="61">
        <f>Tab_Data_Flows[[#This Row],[UoM_Flow_Py]]</f>
        <v>0</v>
      </c>
      <c r="AF392" s="114" t="e">
        <f>INDEX(Tab_Def_Flows[[Flow_ID]:[CC_DM_source]],MATCH(Tab_Data_Flows[[#This Row],[Name(EN)]],Tab_Def_Flows[Name(EN)],0),18)</f>
        <v>#N/A</v>
      </c>
      <c r="AG392" s="115" t="str">
        <f>IF(K392="Yes",AF392*Tab_Data_Flows[[#This Row],[Flow_Py]],"N.A.")</f>
        <v>N.A.</v>
      </c>
      <c r="AH392" s="61">
        <f>Tab_Data_Flows[[#This Row],[UoM_Flow_Py]]</f>
        <v>0</v>
      </c>
      <c r="AI392" s="114" t="e">
        <f>INDEX(Tab_Def_Flows[[Flow_ID]:[CC_DM_source]],MATCH(Tab_Data_Flows[[#This Row],[Name(EN)]],Tab_Def_Flows[Name(EN)],0),20)</f>
        <v>#N/A</v>
      </c>
      <c r="AJ392" s="115" t="str">
        <f>IF(L392="Yes",AI392*Tab_Data_Flows[[#This Row],[Flow_Py]],"N.A.")</f>
        <v>N.A.</v>
      </c>
      <c r="AK392" s="61">
        <f>Tab_Data_Flows[[#This Row],[UoM_Flow_Py]]</f>
        <v>0</v>
      </c>
    </row>
    <row r="393" spans="1:37" x14ac:dyDescent="0.35">
      <c r="A393" s="60">
        <f t="shared" si="41"/>
        <v>392</v>
      </c>
      <c r="B393" s="49" t="str">
        <f>_xlfn.XLOOKUP(C393,Tab_Def_Flows[Name(EN)],Tab_Def_Flows[Flow_ID],,0,)</f>
        <v>F_21_21</v>
      </c>
      <c r="C393" s="51"/>
      <c r="D393" s="49">
        <f>_xlfn.XLOOKUP(C393,Tab_Def_Flows[Name(EN)],Tab_Def_Flows[Type_Biomass],,0,)</f>
        <v>0</v>
      </c>
      <c r="E393" s="49">
        <f>_xlfn.XLOOKUP(C393,Tab_Def_Flows[Name(EN)],Tab_Def_Flows[Output_Process],,0,)</f>
        <v>0</v>
      </c>
      <c r="F393" s="49" t="str">
        <f>_xlfn.XLOOKUP(C393,Tab_Def_Flows[Name(EN)],Tab_Def_Flows[Process_ID_O],,0,)</f>
        <v>21__</v>
      </c>
      <c r="G393" s="49">
        <f>_xlfn.XLOOKUP(C393,Tab_Def_Flows[Name(EN)],Tab_Def_Flows[Input_Process],,0,)</f>
        <v>0</v>
      </c>
      <c r="H393" s="61" t="str">
        <f>_xlfn.XLOOKUP(C393,Tab_Def_Flows[Name(EN)],Tab_Def_Flows[Process_ID_I],,0,)</f>
        <v>21__</v>
      </c>
      <c r="I393" s="49">
        <f>_xlfn.XLOOKUP(C393,Tab_Def_Flows[Name(EN)],Tab_Def_Flows[Value_Source],,0,)</f>
        <v>0</v>
      </c>
      <c r="J393" s="49">
        <f>_xlfn.XLOOKUP(C393,Tab_Def_Flows[Name(EN)],Tab_Def_Flows[WC?],,0,)</f>
        <v>0</v>
      </c>
      <c r="K393" s="49">
        <f>_xlfn.XLOOKUP(C393,Tab_Def_Flows[Name(EN)],Tab_Def_Flows[DM?],,0,)</f>
        <v>0</v>
      </c>
      <c r="L393" s="49">
        <f>_xlfn.XLOOKUP(C393,Tab_Def_Flows[Name(EN)],Tab_Def_Flows[CC?],,0,)</f>
        <v>0</v>
      </c>
      <c r="M393" s="51"/>
      <c r="N393" s="51"/>
      <c r="O393" s="88"/>
      <c r="P393" s="51"/>
      <c r="Q393" s="51"/>
      <c r="R393" s="51"/>
      <c r="S393" s="51"/>
      <c r="T393" s="51"/>
      <c r="U393" s="51"/>
      <c r="V393" s="51"/>
      <c r="W393" s="51"/>
      <c r="X393" s="51"/>
      <c r="Y393" s="51"/>
      <c r="Z393" s="51"/>
      <c r="AA393" s="89">
        <f t="shared" si="42"/>
        <v>0</v>
      </c>
      <c r="AB393" s="51"/>
      <c r="AC393" s="114" t="e">
        <f>INDEX(Tab_Def_Flows[[Flow_ID]:[CC_DM_source]],MATCH(Tab_Data_Flows[[#This Row],[Name(EN)]],Tab_Def_Flows[Name(EN)],0),16)</f>
        <v>#N/A</v>
      </c>
      <c r="AD393" s="115" t="str">
        <f>IF(J393="Yes",AA393*Tab_Data_Flows[[#This Row],[WC_'[%']]],"N.A.")</f>
        <v>N.A.</v>
      </c>
      <c r="AE393" s="61">
        <f>Tab_Data_Flows[[#This Row],[UoM_Flow_Py]]</f>
        <v>0</v>
      </c>
      <c r="AF393" s="114" t="e">
        <f>INDEX(Tab_Def_Flows[[Flow_ID]:[CC_DM_source]],MATCH(Tab_Data_Flows[[#This Row],[Name(EN)]],Tab_Def_Flows[Name(EN)],0),18)</f>
        <v>#N/A</v>
      </c>
      <c r="AG393" s="115" t="str">
        <f>IF(K393="Yes",AF393*Tab_Data_Flows[[#This Row],[Flow_Py]],"N.A.")</f>
        <v>N.A.</v>
      </c>
      <c r="AH393" s="61">
        <f>Tab_Data_Flows[[#This Row],[UoM_Flow_Py]]</f>
        <v>0</v>
      </c>
      <c r="AI393" s="114" t="e">
        <f>INDEX(Tab_Def_Flows[[Flow_ID]:[CC_DM_source]],MATCH(Tab_Data_Flows[[#This Row],[Name(EN)]],Tab_Def_Flows[Name(EN)],0),20)</f>
        <v>#N/A</v>
      </c>
      <c r="AJ393" s="115" t="str">
        <f>IF(L393="Yes",AI393*Tab_Data_Flows[[#This Row],[Flow_Py]],"N.A.")</f>
        <v>N.A.</v>
      </c>
      <c r="AK393" s="61">
        <f>Tab_Data_Flows[[#This Row],[UoM_Flow_Py]]</f>
        <v>0</v>
      </c>
    </row>
    <row r="394" spans="1:37" x14ac:dyDescent="0.35">
      <c r="A394" s="60">
        <f t="shared" si="41"/>
        <v>393</v>
      </c>
      <c r="B394" s="49" t="str">
        <f>_xlfn.XLOOKUP(C394,Tab_Def_Flows[Name(EN)],Tab_Def_Flows[Flow_ID],,0,)</f>
        <v>F_21_21</v>
      </c>
      <c r="C394" s="51"/>
      <c r="D394" s="49">
        <f>_xlfn.XLOOKUP(C394,Tab_Def_Flows[Name(EN)],Tab_Def_Flows[Type_Biomass],,0,)</f>
        <v>0</v>
      </c>
      <c r="E394" s="49">
        <f>_xlfn.XLOOKUP(C394,Tab_Def_Flows[Name(EN)],Tab_Def_Flows[Output_Process],,0,)</f>
        <v>0</v>
      </c>
      <c r="F394" s="49" t="str">
        <f>_xlfn.XLOOKUP(C394,Tab_Def_Flows[Name(EN)],Tab_Def_Flows[Process_ID_O],,0,)</f>
        <v>21__</v>
      </c>
      <c r="G394" s="49">
        <f>_xlfn.XLOOKUP(C394,Tab_Def_Flows[Name(EN)],Tab_Def_Flows[Input_Process],,0,)</f>
        <v>0</v>
      </c>
      <c r="H394" s="61" t="str">
        <f>_xlfn.XLOOKUP(C394,Tab_Def_Flows[Name(EN)],Tab_Def_Flows[Process_ID_I],,0,)</f>
        <v>21__</v>
      </c>
      <c r="I394" s="49">
        <f>_xlfn.XLOOKUP(C394,Tab_Def_Flows[Name(EN)],Tab_Def_Flows[Value_Source],,0,)</f>
        <v>0</v>
      </c>
      <c r="J394" s="49">
        <f>_xlfn.XLOOKUP(C394,Tab_Def_Flows[Name(EN)],Tab_Def_Flows[WC?],,0,)</f>
        <v>0</v>
      </c>
      <c r="K394" s="49">
        <f>_xlfn.XLOOKUP(C394,Tab_Def_Flows[Name(EN)],Tab_Def_Flows[DM?],,0,)</f>
        <v>0</v>
      </c>
      <c r="L394" s="49">
        <f>_xlfn.XLOOKUP(C394,Tab_Def_Flows[Name(EN)],Tab_Def_Flows[CC?],,0,)</f>
        <v>0</v>
      </c>
      <c r="M394" s="51"/>
      <c r="N394" s="51"/>
      <c r="O394" s="88"/>
      <c r="P394" s="51"/>
      <c r="Q394" s="51"/>
      <c r="R394" s="51"/>
      <c r="S394" s="51"/>
      <c r="T394" s="51"/>
      <c r="U394" s="51"/>
      <c r="V394" s="51"/>
      <c r="W394" s="51"/>
      <c r="X394" s="51"/>
      <c r="Y394" s="51"/>
      <c r="Z394" s="51"/>
      <c r="AA394" s="89">
        <f t="shared" si="42"/>
        <v>0</v>
      </c>
      <c r="AB394" s="51"/>
      <c r="AC394" s="114" t="e">
        <f>INDEX(Tab_Def_Flows[[Flow_ID]:[CC_DM_source]],MATCH(Tab_Data_Flows[[#This Row],[Name(EN)]],Tab_Def_Flows[Name(EN)],0),16)</f>
        <v>#N/A</v>
      </c>
      <c r="AD394" s="115" t="str">
        <f>IF(J394="Yes",AA394*Tab_Data_Flows[[#This Row],[WC_'[%']]],"N.A.")</f>
        <v>N.A.</v>
      </c>
      <c r="AE394" s="61">
        <f>Tab_Data_Flows[[#This Row],[UoM_Flow_Py]]</f>
        <v>0</v>
      </c>
      <c r="AF394" s="114" t="e">
        <f>INDEX(Tab_Def_Flows[[Flow_ID]:[CC_DM_source]],MATCH(Tab_Data_Flows[[#This Row],[Name(EN)]],Tab_Def_Flows[Name(EN)],0),18)</f>
        <v>#N/A</v>
      </c>
      <c r="AG394" s="115" t="str">
        <f>IF(K394="Yes",AF394*Tab_Data_Flows[[#This Row],[Flow_Py]],"N.A.")</f>
        <v>N.A.</v>
      </c>
      <c r="AH394" s="61">
        <f>Tab_Data_Flows[[#This Row],[UoM_Flow_Py]]</f>
        <v>0</v>
      </c>
      <c r="AI394" s="114" t="e">
        <f>INDEX(Tab_Def_Flows[[Flow_ID]:[CC_DM_source]],MATCH(Tab_Data_Flows[[#This Row],[Name(EN)]],Tab_Def_Flows[Name(EN)],0),20)</f>
        <v>#N/A</v>
      </c>
      <c r="AJ394" s="115" t="str">
        <f>IF(L394="Yes",AI394*Tab_Data_Flows[[#This Row],[Flow_Py]],"N.A.")</f>
        <v>N.A.</v>
      </c>
      <c r="AK394" s="61">
        <f>Tab_Data_Flows[[#This Row],[UoM_Flow_Py]]</f>
        <v>0</v>
      </c>
    </row>
    <row r="395" spans="1:37" x14ac:dyDescent="0.35">
      <c r="A395" s="60">
        <f t="shared" si="41"/>
        <v>394</v>
      </c>
      <c r="B395" s="49" t="str">
        <f>_xlfn.XLOOKUP(C395,Tab_Def_Flows[Name(EN)],Tab_Def_Flows[Flow_ID],,0,)</f>
        <v>F_21_21</v>
      </c>
      <c r="C395" s="51"/>
      <c r="D395" s="49">
        <f>_xlfn.XLOOKUP(C395,Tab_Def_Flows[Name(EN)],Tab_Def_Flows[Type_Biomass],,0,)</f>
        <v>0</v>
      </c>
      <c r="E395" s="49">
        <f>_xlfn.XLOOKUP(C395,Tab_Def_Flows[Name(EN)],Tab_Def_Flows[Output_Process],,0,)</f>
        <v>0</v>
      </c>
      <c r="F395" s="49" t="str">
        <f>_xlfn.XLOOKUP(C395,Tab_Def_Flows[Name(EN)],Tab_Def_Flows[Process_ID_O],,0,)</f>
        <v>21__</v>
      </c>
      <c r="G395" s="49">
        <f>_xlfn.XLOOKUP(C395,Tab_Def_Flows[Name(EN)],Tab_Def_Flows[Input_Process],,0,)</f>
        <v>0</v>
      </c>
      <c r="H395" s="61" t="str">
        <f>_xlfn.XLOOKUP(C395,Tab_Def_Flows[Name(EN)],Tab_Def_Flows[Process_ID_I],,0,)</f>
        <v>21__</v>
      </c>
      <c r="I395" s="49">
        <f>_xlfn.XLOOKUP(C395,Tab_Def_Flows[Name(EN)],Tab_Def_Flows[Value_Source],,0,)</f>
        <v>0</v>
      </c>
      <c r="J395" s="49">
        <f>_xlfn.XLOOKUP(C395,Tab_Def_Flows[Name(EN)],Tab_Def_Flows[WC?],,0,)</f>
        <v>0</v>
      </c>
      <c r="K395" s="49">
        <f>_xlfn.XLOOKUP(C395,Tab_Def_Flows[Name(EN)],Tab_Def_Flows[DM?],,0,)</f>
        <v>0</v>
      </c>
      <c r="L395" s="49">
        <f>_xlfn.XLOOKUP(C395,Tab_Def_Flows[Name(EN)],Tab_Def_Flows[CC?],,0,)</f>
        <v>0</v>
      </c>
      <c r="M395" s="51"/>
      <c r="N395" s="51"/>
      <c r="O395" s="88"/>
      <c r="P395" s="51"/>
      <c r="Q395" s="51"/>
      <c r="R395" s="51"/>
      <c r="S395" s="51"/>
      <c r="T395" s="51"/>
      <c r="U395" s="51"/>
      <c r="V395" s="51"/>
      <c r="W395" s="51"/>
      <c r="X395" s="51"/>
      <c r="Y395" s="51"/>
      <c r="Z395" s="51"/>
      <c r="AA395" s="89">
        <f t="shared" si="42"/>
        <v>0</v>
      </c>
      <c r="AB395" s="51"/>
      <c r="AC395" s="114" t="e">
        <f>INDEX(Tab_Def_Flows[[Flow_ID]:[CC_DM_source]],MATCH(Tab_Data_Flows[[#This Row],[Name(EN)]],Tab_Def_Flows[Name(EN)],0),16)</f>
        <v>#N/A</v>
      </c>
      <c r="AD395" s="115" t="str">
        <f>IF(J395="Yes",AA395*Tab_Data_Flows[[#This Row],[WC_'[%']]],"N.A.")</f>
        <v>N.A.</v>
      </c>
      <c r="AE395" s="61">
        <f>Tab_Data_Flows[[#This Row],[UoM_Flow_Py]]</f>
        <v>0</v>
      </c>
      <c r="AF395" s="114" t="e">
        <f>INDEX(Tab_Def_Flows[[Flow_ID]:[CC_DM_source]],MATCH(Tab_Data_Flows[[#This Row],[Name(EN)]],Tab_Def_Flows[Name(EN)],0),18)</f>
        <v>#N/A</v>
      </c>
      <c r="AG395" s="115" t="str">
        <f>IF(K395="Yes",AF395*Tab_Data_Flows[[#This Row],[Flow_Py]],"N.A.")</f>
        <v>N.A.</v>
      </c>
      <c r="AH395" s="61">
        <f>Tab_Data_Flows[[#This Row],[UoM_Flow_Py]]</f>
        <v>0</v>
      </c>
      <c r="AI395" s="114" t="e">
        <f>INDEX(Tab_Def_Flows[[Flow_ID]:[CC_DM_source]],MATCH(Tab_Data_Flows[[#This Row],[Name(EN)]],Tab_Def_Flows[Name(EN)],0),20)</f>
        <v>#N/A</v>
      </c>
      <c r="AJ395" s="115" t="str">
        <f>IF(L395="Yes",AI395*Tab_Data_Flows[[#This Row],[Flow_Py]],"N.A.")</f>
        <v>N.A.</v>
      </c>
      <c r="AK395" s="61">
        <f>Tab_Data_Flows[[#This Row],[UoM_Flow_Py]]</f>
        <v>0</v>
      </c>
    </row>
    <row r="396" spans="1:37" x14ac:dyDescent="0.35">
      <c r="A396" s="60">
        <f t="shared" si="41"/>
        <v>395</v>
      </c>
      <c r="B396" s="49" t="str">
        <f>_xlfn.XLOOKUP(C396,Tab_Def_Flows[Name(EN)],Tab_Def_Flows[Flow_ID],,0,)</f>
        <v>F_21_21</v>
      </c>
      <c r="C396" s="51"/>
      <c r="D396" s="49">
        <f>_xlfn.XLOOKUP(C396,Tab_Def_Flows[Name(EN)],Tab_Def_Flows[Type_Biomass],,0,)</f>
        <v>0</v>
      </c>
      <c r="E396" s="49">
        <f>_xlfn.XLOOKUP(C396,Tab_Def_Flows[Name(EN)],Tab_Def_Flows[Output_Process],,0,)</f>
        <v>0</v>
      </c>
      <c r="F396" s="49" t="str">
        <f>_xlfn.XLOOKUP(C396,Tab_Def_Flows[Name(EN)],Tab_Def_Flows[Process_ID_O],,0,)</f>
        <v>21__</v>
      </c>
      <c r="G396" s="49">
        <f>_xlfn.XLOOKUP(C396,Tab_Def_Flows[Name(EN)],Tab_Def_Flows[Input_Process],,0,)</f>
        <v>0</v>
      </c>
      <c r="H396" s="61" t="str">
        <f>_xlfn.XLOOKUP(C396,Tab_Def_Flows[Name(EN)],Tab_Def_Flows[Process_ID_I],,0,)</f>
        <v>21__</v>
      </c>
      <c r="I396" s="49">
        <f>_xlfn.XLOOKUP(C396,Tab_Def_Flows[Name(EN)],Tab_Def_Flows[Value_Source],,0,)</f>
        <v>0</v>
      </c>
      <c r="J396" s="49">
        <f>_xlfn.XLOOKUP(C396,Tab_Def_Flows[Name(EN)],Tab_Def_Flows[WC?],,0,)</f>
        <v>0</v>
      </c>
      <c r="K396" s="49">
        <f>_xlfn.XLOOKUP(C396,Tab_Def_Flows[Name(EN)],Tab_Def_Flows[DM?],,0,)</f>
        <v>0</v>
      </c>
      <c r="L396" s="49">
        <f>_xlfn.XLOOKUP(C396,Tab_Def_Flows[Name(EN)],Tab_Def_Flows[CC?],,0,)</f>
        <v>0</v>
      </c>
      <c r="M396" s="51"/>
      <c r="N396" s="51"/>
      <c r="O396" s="88"/>
      <c r="P396" s="51"/>
      <c r="Q396" s="51"/>
      <c r="R396" s="51"/>
      <c r="S396" s="51"/>
      <c r="T396" s="51"/>
      <c r="U396" s="51"/>
      <c r="V396" s="51"/>
      <c r="W396" s="51"/>
      <c r="X396" s="51"/>
      <c r="Y396" s="51"/>
      <c r="Z396" s="51"/>
      <c r="AA396" s="89">
        <f t="shared" si="42"/>
        <v>0</v>
      </c>
      <c r="AB396" s="51"/>
      <c r="AC396" s="114" t="e">
        <f>INDEX(Tab_Def_Flows[[Flow_ID]:[CC_DM_source]],MATCH(Tab_Data_Flows[[#This Row],[Name(EN)]],Tab_Def_Flows[Name(EN)],0),16)</f>
        <v>#N/A</v>
      </c>
      <c r="AD396" s="115" t="str">
        <f>IF(J396="Yes",AA396*Tab_Data_Flows[[#This Row],[WC_'[%']]],"N.A.")</f>
        <v>N.A.</v>
      </c>
      <c r="AE396" s="61">
        <f>Tab_Data_Flows[[#This Row],[UoM_Flow_Py]]</f>
        <v>0</v>
      </c>
      <c r="AF396" s="114" t="e">
        <f>INDEX(Tab_Def_Flows[[Flow_ID]:[CC_DM_source]],MATCH(Tab_Data_Flows[[#This Row],[Name(EN)]],Tab_Def_Flows[Name(EN)],0),18)</f>
        <v>#N/A</v>
      </c>
      <c r="AG396" s="115" t="str">
        <f>IF(K396="Yes",AF396*Tab_Data_Flows[[#This Row],[Flow_Py]],"N.A.")</f>
        <v>N.A.</v>
      </c>
      <c r="AH396" s="61">
        <f>Tab_Data_Flows[[#This Row],[UoM_Flow_Py]]</f>
        <v>0</v>
      </c>
      <c r="AI396" s="114" t="e">
        <f>INDEX(Tab_Def_Flows[[Flow_ID]:[CC_DM_source]],MATCH(Tab_Data_Flows[[#This Row],[Name(EN)]],Tab_Def_Flows[Name(EN)],0),20)</f>
        <v>#N/A</v>
      </c>
      <c r="AJ396" s="115" t="str">
        <f>IF(L396="Yes",AI396*Tab_Data_Flows[[#This Row],[Flow_Py]],"N.A.")</f>
        <v>N.A.</v>
      </c>
      <c r="AK396" s="61">
        <f>Tab_Data_Flows[[#This Row],[UoM_Flow_Py]]</f>
        <v>0</v>
      </c>
    </row>
    <row r="397" spans="1:37" x14ac:dyDescent="0.35">
      <c r="A397" s="60">
        <f t="shared" si="41"/>
        <v>396</v>
      </c>
      <c r="B397" s="49" t="str">
        <f>_xlfn.XLOOKUP(C397,Tab_Def_Flows[Name(EN)],Tab_Def_Flows[Flow_ID],,0,)</f>
        <v>F_21_21</v>
      </c>
      <c r="C397" s="51"/>
      <c r="D397" s="49">
        <f>_xlfn.XLOOKUP(C397,Tab_Def_Flows[Name(EN)],Tab_Def_Flows[Type_Biomass],,0,)</f>
        <v>0</v>
      </c>
      <c r="E397" s="49">
        <f>_xlfn.XLOOKUP(C397,Tab_Def_Flows[Name(EN)],Tab_Def_Flows[Output_Process],,0,)</f>
        <v>0</v>
      </c>
      <c r="F397" s="49" t="str">
        <f>_xlfn.XLOOKUP(C397,Tab_Def_Flows[Name(EN)],Tab_Def_Flows[Process_ID_O],,0,)</f>
        <v>21__</v>
      </c>
      <c r="G397" s="49">
        <f>_xlfn.XLOOKUP(C397,Tab_Def_Flows[Name(EN)],Tab_Def_Flows[Input_Process],,0,)</f>
        <v>0</v>
      </c>
      <c r="H397" s="61" t="str">
        <f>_xlfn.XLOOKUP(C397,Tab_Def_Flows[Name(EN)],Tab_Def_Flows[Process_ID_I],,0,)</f>
        <v>21__</v>
      </c>
      <c r="I397" s="49">
        <f>_xlfn.XLOOKUP(C397,Tab_Def_Flows[Name(EN)],Tab_Def_Flows[Value_Source],,0,)</f>
        <v>0</v>
      </c>
      <c r="J397" s="49">
        <f>_xlfn.XLOOKUP(C397,Tab_Def_Flows[Name(EN)],Tab_Def_Flows[WC?],,0,)</f>
        <v>0</v>
      </c>
      <c r="K397" s="49">
        <f>_xlfn.XLOOKUP(C397,Tab_Def_Flows[Name(EN)],Tab_Def_Flows[DM?],,0,)</f>
        <v>0</v>
      </c>
      <c r="L397" s="49">
        <f>_xlfn.XLOOKUP(C397,Tab_Def_Flows[Name(EN)],Tab_Def_Flows[CC?],,0,)</f>
        <v>0</v>
      </c>
      <c r="M397" s="51"/>
      <c r="N397" s="51"/>
      <c r="O397" s="88"/>
      <c r="P397" s="51"/>
      <c r="Q397" s="51"/>
      <c r="R397" s="51"/>
      <c r="S397" s="51"/>
      <c r="T397" s="51"/>
      <c r="U397" s="51"/>
      <c r="V397" s="51"/>
      <c r="W397" s="51"/>
      <c r="X397" s="51"/>
      <c r="Y397" s="51"/>
      <c r="Z397" s="51"/>
      <c r="AA397" s="89">
        <f t="shared" si="42"/>
        <v>0</v>
      </c>
      <c r="AB397" s="51"/>
      <c r="AC397" s="114" t="e">
        <f>INDEX(Tab_Def_Flows[[Flow_ID]:[CC_DM_source]],MATCH(Tab_Data_Flows[[#This Row],[Name(EN)]],Tab_Def_Flows[Name(EN)],0),16)</f>
        <v>#N/A</v>
      </c>
      <c r="AD397" s="115" t="str">
        <f>IF(J397="Yes",AA397*Tab_Data_Flows[[#This Row],[WC_'[%']]],"N.A.")</f>
        <v>N.A.</v>
      </c>
      <c r="AE397" s="61">
        <f>Tab_Data_Flows[[#This Row],[UoM_Flow_Py]]</f>
        <v>0</v>
      </c>
      <c r="AF397" s="114" t="e">
        <f>INDEX(Tab_Def_Flows[[Flow_ID]:[CC_DM_source]],MATCH(Tab_Data_Flows[[#This Row],[Name(EN)]],Tab_Def_Flows[Name(EN)],0),18)</f>
        <v>#N/A</v>
      </c>
      <c r="AG397" s="115" t="str">
        <f>IF(K397="Yes",AF397*Tab_Data_Flows[[#This Row],[Flow_Py]],"N.A.")</f>
        <v>N.A.</v>
      </c>
      <c r="AH397" s="61">
        <f>Tab_Data_Flows[[#This Row],[UoM_Flow_Py]]</f>
        <v>0</v>
      </c>
      <c r="AI397" s="114" t="e">
        <f>INDEX(Tab_Def_Flows[[Flow_ID]:[CC_DM_source]],MATCH(Tab_Data_Flows[[#This Row],[Name(EN)]],Tab_Def_Flows[Name(EN)],0),20)</f>
        <v>#N/A</v>
      </c>
      <c r="AJ397" s="115" t="str">
        <f>IF(L397="Yes",AI397*Tab_Data_Flows[[#This Row],[Flow_Py]],"N.A.")</f>
        <v>N.A.</v>
      </c>
      <c r="AK397" s="61">
        <f>Tab_Data_Flows[[#This Row],[UoM_Flow_Py]]</f>
        <v>0</v>
      </c>
    </row>
    <row r="398" spans="1:37" x14ac:dyDescent="0.35">
      <c r="A398" s="60">
        <f t="shared" si="41"/>
        <v>397</v>
      </c>
      <c r="B398" s="49" t="str">
        <f>_xlfn.XLOOKUP(C398,Tab_Def_Flows[Name(EN)],Tab_Def_Flows[Flow_ID],,0,)</f>
        <v>F_21_21</v>
      </c>
      <c r="C398" s="51"/>
      <c r="D398" s="49">
        <f>_xlfn.XLOOKUP(C398,Tab_Def_Flows[Name(EN)],Tab_Def_Flows[Type_Biomass],,0,)</f>
        <v>0</v>
      </c>
      <c r="E398" s="49">
        <f>_xlfn.XLOOKUP(C398,Tab_Def_Flows[Name(EN)],Tab_Def_Flows[Output_Process],,0,)</f>
        <v>0</v>
      </c>
      <c r="F398" s="49" t="str">
        <f>_xlfn.XLOOKUP(C398,Tab_Def_Flows[Name(EN)],Tab_Def_Flows[Process_ID_O],,0,)</f>
        <v>21__</v>
      </c>
      <c r="G398" s="49">
        <f>_xlfn.XLOOKUP(C398,Tab_Def_Flows[Name(EN)],Tab_Def_Flows[Input_Process],,0,)</f>
        <v>0</v>
      </c>
      <c r="H398" s="61" t="str">
        <f>_xlfn.XLOOKUP(C398,Tab_Def_Flows[Name(EN)],Tab_Def_Flows[Process_ID_I],,0,)</f>
        <v>21__</v>
      </c>
      <c r="I398" s="49">
        <f>_xlfn.XLOOKUP(C398,Tab_Def_Flows[Name(EN)],Tab_Def_Flows[Value_Source],,0,)</f>
        <v>0</v>
      </c>
      <c r="J398" s="49">
        <f>_xlfn.XLOOKUP(C398,Tab_Def_Flows[Name(EN)],Tab_Def_Flows[WC?],,0,)</f>
        <v>0</v>
      </c>
      <c r="K398" s="49">
        <f>_xlfn.XLOOKUP(C398,Tab_Def_Flows[Name(EN)],Tab_Def_Flows[DM?],,0,)</f>
        <v>0</v>
      </c>
      <c r="L398" s="49">
        <f>_xlfn.XLOOKUP(C398,Tab_Def_Flows[Name(EN)],Tab_Def_Flows[CC?],,0,)</f>
        <v>0</v>
      </c>
      <c r="M398" s="51"/>
      <c r="N398" s="51"/>
      <c r="O398" s="88"/>
      <c r="P398" s="51"/>
      <c r="Q398" s="51"/>
      <c r="R398" s="51"/>
      <c r="S398" s="51"/>
      <c r="T398" s="51"/>
      <c r="U398" s="51"/>
      <c r="V398" s="51"/>
      <c r="W398" s="51"/>
      <c r="X398" s="51"/>
      <c r="Y398" s="51"/>
      <c r="Z398" s="51"/>
      <c r="AA398" s="89">
        <f t="shared" si="42"/>
        <v>0</v>
      </c>
      <c r="AB398" s="51"/>
      <c r="AC398" s="114" t="e">
        <f>INDEX(Tab_Def_Flows[[Flow_ID]:[CC_DM_source]],MATCH(Tab_Data_Flows[[#This Row],[Name(EN)]],Tab_Def_Flows[Name(EN)],0),16)</f>
        <v>#N/A</v>
      </c>
      <c r="AD398" s="115" t="str">
        <f>IF(J398="Yes",AA398*Tab_Data_Flows[[#This Row],[WC_'[%']]],"N.A.")</f>
        <v>N.A.</v>
      </c>
      <c r="AE398" s="61">
        <f>Tab_Data_Flows[[#This Row],[UoM_Flow_Py]]</f>
        <v>0</v>
      </c>
      <c r="AF398" s="114" t="e">
        <f>INDEX(Tab_Def_Flows[[Flow_ID]:[CC_DM_source]],MATCH(Tab_Data_Flows[[#This Row],[Name(EN)]],Tab_Def_Flows[Name(EN)],0),18)</f>
        <v>#N/A</v>
      </c>
      <c r="AG398" s="115" t="str">
        <f>IF(K398="Yes",AF398*Tab_Data_Flows[[#This Row],[Flow_Py]],"N.A.")</f>
        <v>N.A.</v>
      </c>
      <c r="AH398" s="61">
        <f>Tab_Data_Flows[[#This Row],[UoM_Flow_Py]]</f>
        <v>0</v>
      </c>
      <c r="AI398" s="114" t="e">
        <f>INDEX(Tab_Def_Flows[[Flow_ID]:[CC_DM_source]],MATCH(Tab_Data_Flows[[#This Row],[Name(EN)]],Tab_Def_Flows[Name(EN)],0),20)</f>
        <v>#N/A</v>
      </c>
      <c r="AJ398" s="115" t="str">
        <f>IF(L398="Yes",AI398*Tab_Data_Flows[[#This Row],[Flow_Py]],"N.A.")</f>
        <v>N.A.</v>
      </c>
      <c r="AK398" s="61">
        <f>Tab_Data_Flows[[#This Row],[UoM_Flow_Py]]</f>
        <v>0</v>
      </c>
    </row>
    <row r="399" spans="1:37" x14ac:dyDescent="0.35">
      <c r="A399" s="60">
        <f t="shared" si="41"/>
        <v>398</v>
      </c>
      <c r="B399" s="49" t="str">
        <f>_xlfn.XLOOKUP(C399,Tab_Def_Flows[Name(EN)],Tab_Def_Flows[Flow_ID],,0,)</f>
        <v>F_21_21</v>
      </c>
      <c r="C399" s="51"/>
      <c r="D399" s="49">
        <f>_xlfn.XLOOKUP(C399,Tab_Def_Flows[Name(EN)],Tab_Def_Flows[Type_Biomass],,0,)</f>
        <v>0</v>
      </c>
      <c r="E399" s="49">
        <f>_xlfn.XLOOKUP(C399,Tab_Def_Flows[Name(EN)],Tab_Def_Flows[Output_Process],,0,)</f>
        <v>0</v>
      </c>
      <c r="F399" s="49" t="str">
        <f>_xlfn.XLOOKUP(C399,Tab_Def_Flows[Name(EN)],Tab_Def_Flows[Process_ID_O],,0,)</f>
        <v>21__</v>
      </c>
      <c r="G399" s="49">
        <f>_xlfn.XLOOKUP(C399,Tab_Def_Flows[Name(EN)],Tab_Def_Flows[Input_Process],,0,)</f>
        <v>0</v>
      </c>
      <c r="H399" s="61" t="str">
        <f>_xlfn.XLOOKUP(C399,Tab_Def_Flows[Name(EN)],Tab_Def_Flows[Process_ID_I],,0,)</f>
        <v>21__</v>
      </c>
      <c r="I399" s="49">
        <f>_xlfn.XLOOKUP(C399,Tab_Def_Flows[Name(EN)],Tab_Def_Flows[Value_Source],,0,)</f>
        <v>0</v>
      </c>
      <c r="J399" s="49">
        <f>_xlfn.XLOOKUP(C399,Tab_Def_Flows[Name(EN)],Tab_Def_Flows[WC?],,0,)</f>
        <v>0</v>
      </c>
      <c r="K399" s="49">
        <f>_xlfn.XLOOKUP(C399,Tab_Def_Flows[Name(EN)],Tab_Def_Flows[DM?],,0,)</f>
        <v>0</v>
      </c>
      <c r="L399" s="49">
        <f>_xlfn.XLOOKUP(C399,Tab_Def_Flows[Name(EN)],Tab_Def_Flows[CC?],,0,)</f>
        <v>0</v>
      </c>
      <c r="M399" s="51"/>
      <c r="N399" s="51"/>
      <c r="O399" s="88"/>
      <c r="P399" s="51"/>
      <c r="Q399" s="51"/>
      <c r="R399" s="51" t="e">
        <f>INDEX(Tab_WC_DM_CC[[Flow_ID]:[CC_source]],MATCH(Tab_Data_Flows[[#This Row],[Name(EN)]],Tab_WC_DM_CC[Name(EN)],0),12)</f>
        <v>#N/A</v>
      </c>
      <c r="S399" s="51" t="e">
        <f>MATCH(Tab_Data_Flows[[#This Row],[Name(EN)]],Tab_WC_DM_CC[Name(EN)],0)</f>
        <v>#N/A</v>
      </c>
      <c r="T399" s="51"/>
      <c r="U399" s="51"/>
      <c r="V399" s="51"/>
      <c r="W399" s="51"/>
      <c r="X399" s="51"/>
      <c r="Y399" s="51"/>
      <c r="Z399" s="51"/>
      <c r="AA399" s="89">
        <f t="shared" si="42"/>
        <v>0</v>
      </c>
      <c r="AB399" s="51"/>
      <c r="AC399" s="114" t="e">
        <f>INDEX(Tab_Def_Flows[[Flow_ID]:[CC_DM_source]],MATCH(Tab_Data_Flows[[#This Row],[Name(EN)]],Tab_Def_Flows[Name(EN)],0),16)</f>
        <v>#N/A</v>
      </c>
      <c r="AD399" s="115" t="str">
        <f>IF(J399="Yes",AA399*Tab_Data_Flows[[#This Row],[WC_'[%']]],"N.A.")</f>
        <v>N.A.</v>
      </c>
      <c r="AE399" s="61">
        <f>Tab_Data_Flows[[#This Row],[UoM_Flow_Py]]</f>
        <v>0</v>
      </c>
      <c r="AF399" s="114" t="e">
        <f>INDEX(Tab_Def_Flows[[Flow_ID]:[CC_DM_source]],MATCH(Tab_Data_Flows[[#This Row],[Name(EN)]],Tab_Def_Flows[Name(EN)],0),18)</f>
        <v>#N/A</v>
      </c>
      <c r="AG399" s="115" t="str">
        <f>IF(K399="Yes",AF399*Tab_Data_Flows[[#This Row],[Flow_Py]],"N.A.")</f>
        <v>N.A.</v>
      </c>
      <c r="AH399" s="61">
        <f>Tab_Data_Flows[[#This Row],[UoM_Flow_Py]]</f>
        <v>0</v>
      </c>
      <c r="AI399" s="114" t="e">
        <f>INDEX(Tab_Def_Flows[[Flow_ID]:[CC_DM_source]],MATCH(Tab_Data_Flows[[#This Row],[Name(EN)]],Tab_Def_Flows[Name(EN)],0),20)</f>
        <v>#N/A</v>
      </c>
      <c r="AJ399" s="115" t="str">
        <f>IF(L399="Yes",AI399*Tab_Data_Flows[[#This Row],[Flow_Py]],"N.A.")</f>
        <v>N.A.</v>
      </c>
      <c r="AK399" s="61">
        <f>Tab_Data_Flows[[#This Row],[UoM_Flow_Py]]</f>
        <v>0</v>
      </c>
    </row>
    <row r="400" spans="1:37" x14ac:dyDescent="0.35">
      <c r="A400" s="60">
        <f t="shared" si="41"/>
        <v>399</v>
      </c>
      <c r="B400" s="49" t="str">
        <f>_xlfn.XLOOKUP(C400,Tab_Def_Flows[Name(EN)],Tab_Def_Flows[Flow_ID],,0,)</f>
        <v>F_21_21</v>
      </c>
      <c r="C400" s="51"/>
      <c r="D400" s="49">
        <f>_xlfn.XLOOKUP(C400,Tab_Def_Flows[Name(EN)],Tab_Def_Flows[Type_Biomass],,0,)</f>
        <v>0</v>
      </c>
      <c r="E400" s="49">
        <f>_xlfn.XLOOKUP(C400,Tab_Def_Flows[Name(EN)],Tab_Def_Flows[Output_Process],,0,)</f>
        <v>0</v>
      </c>
      <c r="F400" s="49" t="str">
        <f>_xlfn.XLOOKUP(C400,Tab_Def_Flows[Name(EN)],Tab_Def_Flows[Process_ID_O],,0,)</f>
        <v>21__</v>
      </c>
      <c r="G400" s="49">
        <f>_xlfn.XLOOKUP(C400,Tab_Def_Flows[Name(EN)],Tab_Def_Flows[Input_Process],,0,)</f>
        <v>0</v>
      </c>
      <c r="H400" s="61" t="str">
        <f>_xlfn.XLOOKUP(C400,Tab_Def_Flows[Name(EN)],Tab_Def_Flows[Process_ID_I],,0,)</f>
        <v>21__</v>
      </c>
      <c r="I400" s="49">
        <f>_xlfn.XLOOKUP(C400,Tab_Def_Flows[Name(EN)],Tab_Def_Flows[Value_Source],,0,)</f>
        <v>0</v>
      </c>
      <c r="J400" s="49">
        <f>_xlfn.XLOOKUP(C400,Tab_Def_Flows[Name(EN)],Tab_Def_Flows[WC?],,0,)</f>
        <v>0</v>
      </c>
      <c r="K400" s="49">
        <f>_xlfn.XLOOKUP(C400,Tab_Def_Flows[Name(EN)],Tab_Def_Flows[DM?],,0,)</f>
        <v>0</v>
      </c>
      <c r="L400" s="49">
        <f>_xlfn.XLOOKUP(C400,Tab_Def_Flows[Name(EN)],Tab_Def_Flows[CC?],,0,)</f>
        <v>0</v>
      </c>
      <c r="M400" s="51"/>
      <c r="N400" s="51"/>
      <c r="O400" s="88"/>
      <c r="P400" s="51"/>
      <c r="Q400" s="51"/>
      <c r="R400" s="51" t="e">
        <f>INDEX(Tab_WC_DM_CC[[Flow_ID]:[CC_source]],MATCH(Tab_Data_Flows[[#This Row],[Name(EN)]],Tab_WC_DM_CC[Name(EN)],0),12)</f>
        <v>#N/A</v>
      </c>
      <c r="S400" s="51" t="e">
        <f>MATCH(Tab_Data_Flows[[#This Row],[Name(EN)]],Tab_WC_DM_CC[Name(EN)],0)</f>
        <v>#N/A</v>
      </c>
      <c r="T400" s="51"/>
      <c r="U400" s="51"/>
      <c r="V400" s="51"/>
      <c r="W400" s="51"/>
      <c r="X400" s="51"/>
      <c r="Y400" s="51"/>
      <c r="Z400" s="51"/>
      <c r="AA400" s="89">
        <f t="shared" si="42"/>
        <v>0</v>
      </c>
      <c r="AB400" s="51"/>
      <c r="AC400" s="114" t="e">
        <f>INDEX(Tab_Def_Flows[[Flow_ID]:[CC_DM_source]],MATCH(Tab_Data_Flows[[#This Row],[Name(EN)]],Tab_Def_Flows[Name(EN)],0),16)</f>
        <v>#N/A</v>
      </c>
      <c r="AD400" s="115" t="str">
        <f>IF(J400="Yes",AA400*Tab_Data_Flows[[#This Row],[WC_'[%']]],"N.A.")</f>
        <v>N.A.</v>
      </c>
      <c r="AE400" s="61">
        <f>Tab_Data_Flows[[#This Row],[UoM_Flow_Py]]</f>
        <v>0</v>
      </c>
      <c r="AF400" s="114" t="e">
        <f>INDEX(Tab_Def_Flows[[Flow_ID]:[CC_DM_source]],MATCH(Tab_Data_Flows[[#This Row],[Name(EN)]],Tab_Def_Flows[Name(EN)],0),18)</f>
        <v>#N/A</v>
      </c>
      <c r="AG400" s="115" t="str">
        <f>IF(K400="Yes",AF400*Tab_Data_Flows[[#This Row],[Flow_Py]],"N.A.")</f>
        <v>N.A.</v>
      </c>
      <c r="AH400" s="61">
        <f>Tab_Data_Flows[[#This Row],[UoM_Flow_Py]]</f>
        <v>0</v>
      </c>
      <c r="AI400" s="114" t="e">
        <f>INDEX(Tab_Def_Flows[[Flow_ID]:[CC_DM_source]],MATCH(Tab_Data_Flows[[#This Row],[Name(EN)]],Tab_Def_Flows[Name(EN)],0),20)</f>
        <v>#N/A</v>
      </c>
      <c r="AJ400" s="115" t="str">
        <f>IF(L400="Yes",AI400*Tab_Data_Flows[[#This Row],[Flow_Py]],"N.A.")</f>
        <v>N.A.</v>
      </c>
      <c r="AK400" s="61">
        <f>Tab_Data_Flows[[#This Row],[UoM_Flow_Py]]</f>
        <v>0</v>
      </c>
    </row>
    <row r="401" spans="1:37" x14ac:dyDescent="0.35">
      <c r="A401" s="60"/>
      <c r="B401" s="49" t="str">
        <f>_xlfn.XLOOKUP(C401,Tab_Def_Flows[Name(EN)],Tab_Def_Flows[Flow_ID],,0,)</f>
        <v>F_21_21</v>
      </c>
      <c r="C401" s="51"/>
      <c r="D401" s="49">
        <f>_xlfn.XLOOKUP(C401,Tab_Def_Flows[Name(EN)],Tab_Def_Flows[Type_Biomass],,0,)</f>
        <v>0</v>
      </c>
      <c r="E401" s="49">
        <f>_xlfn.XLOOKUP(C401,Tab_Def_Flows[Name(EN)],Tab_Def_Flows[Output_Process],,0,)</f>
        <v>0</v>
      </c>
      <c r="F401" s="49" t="str">
        <f>_xlfn.XLOOKUP(C401,Tab_Def_Flows[Name(EN)],Tab_Def_Flows[Process_ID_O],,0,)</f>
        <v>21__</v>
      </c>
      <c r="G401" s="49">
        <f>_xlfn.XLOOKUP(C401,Tab_Def_Flows[Name(EN)],Tab_Def_Flows[Input_Process],,0,)</f>
        <v>0</v>
      </c>
      <c r="H401" s="61" t="str">
        <f>_xlfn.XLOOKUP(C401,Tab_Def_Flows[Name(EN)],Tab_Def_Flows[Process_ID_I],,0,)</f>
        <v>21__</v>
      </c>
      <c r="I401" s="49">
        <f>_xlfn.XLOOKUP(C401,Tab_Def_Flows[Name(EN)],Tab_Def_Flows[Value_Source],,0,)</f>
        <v>0</v>
      </c>
      <c r="J401" s="49">
        <f>_xlfn.XLOOKUP(C401,Tab_Def_Flows[Name(EN)],Tab_Def_Flows[WC?],,0,)</f>
        <v>0</v>
      </c>
      <c r="K401" s="49">
        <f>_xlfn.XLOOKUP(C401,Tab_Def_Flows[Name(EN)],Tab_Def_Flows[DM?],,0,)</f>
        <v>0</v>
      </c>
      <c r="L401" s="49">
        <f>_xlfn.XLOOKUP(C401,Tab_Def_Flows[Name(EN)],Tab_Def_Flows[CC?],,0,)</f>
        <v>0</v>
      </c>
      <c r="M401" s="51"/>
      <c r="N401" s="51"/>
      <c r="O401" s="88"/>
      <c r="P401" s="51"/>
      <c r="Q401" s="51"/>
      <c r="R401" s="51" t="e">
        <f>INDEX(Tab_WC_DM_CC[[Flow_ID]:[CC_source]],MATCH(Tab_Data_Flows[[#This Row],[Name(EN)]],Tab_WC_DM_CC[Name(EN)],0),12)</f>
        <v>#N/A</v>
      </c>
      <c r="S401" s="51" t="e">
        <f>MATCH(Tab_Data_Flows[[#This Row],[Name(EN)]],Tab_WC_DM_CC[Name(EN)],0)</f>
        <v>#N/A</v>
      </c>
      <c r="T401" s="51"/>
      <c r="U401" s="51"/>
      <c r="V401" s="51"/>
      <c r="W401" s="51"/>
      <c r="X401" s="51"/>
      <c r="Y401" s="51"/>
      <c r="Z401" s="51"/>
      <c r="AA401" s="89">
        <f t="shared" si="42"/>
        <v>0</v>
      </c>
      <c r="AB401" s="51"/>
      <c r="AC401" s="114" t="e">
        <f>INDEX(Tab_Def_Flows[[Flow_ID]:[CC_DM_source]],MATCH(Tab_Data_Flows[[#This Row],[Name(EN)]],Tab_Def_Flows[Name(EN)],0),16)</f>
        <v>#N/A</v>
      </c>
      <c r="AD401" s="115" t="str">
        <f>IF(J401="Yes",AA401*Tab_Data_Flows[[#This Row],[WC_'[%']]],"N.A.")</f>
        <v>N.A.</v>
      </c>
      <c r="AE401" s="61">
        <f>Tab_Data_Flows[[#This Row],[UoM_Flow_Py]]</f>
        <v>0</v>
      </c>
      <c r="AF401" s="114" t="e">
        <f>INDEX(Tab_Def_Flows[[Flow_ID]:[CC_DM_source]],MATCH(Tab_Data_Flows[[#This Row],[Name(EN)]],Tab_Def_Flows[Name(EN)],0),18)</f>
        <v>#N/A</v>
      </c>
      <c r="AG401" s="115" t="str">
        <f>IF(K401="Yes",AF401*Tab_Data_Flows[[#This Row],[Flow_Py]],"N.A.")</f>
        <v>N.A.</v>
      </c>
      <c r="AH401" s="61">
        <f>Tab_Data_Flows[[#This Row],[UoM_Flow_Py]]</f>
        <v>0</v>
      </c>
      <c r="AI401" s="114" t="e">
        <f>INDEX(Tab_Def_Flows[[Flow_ID]:[CC_DM_source]],MATCH(Tab_Data_Flows[[#This Row],[Name(EN)]],Tab_Def_Flows[Name(EN)],0),20)</f>
        <v>#N/A</v>
      </c>
      <c r="AJ401" s="115" t="str">
        <f>IF(L401="Yes",AI401*Tab_Data_Flows[[#This Row],[Flow_Py]],"N.A.")</f>
        <v>N.A.</v>
      </c>
      <c r="AK401" s="61">
        <f>Tab_Data_Flows[[#This Row],[UoM_Flow_Py]]</f>
        <v>0</v>
      </c>
    </row>
    <row r="402" spans="1:37" x14ac:dyDescent="0.35">
      <c r="A402" s="60"/>
      <c r="B402" s="49" t="str">
        <f>_xlfn.XLOOKUP(C402,Tab_Def_Flows[Name(EN)],Tab_Def_Flows[Flow_ID],,0,)</f>
        <v>F_21_21</v>
      </c>
      <c r="C402" s="51"/>
      <c r="D402" s="49">
        <f>_xlfn.XLOOKUP(C402,Tab_Def_Flows[Name(EN)],Tab_Def_Flows[Type_Biomass],,0,)</f>
        <v>0</v>
      </c>
      <c r="E402" s="49">
        <f>_xlfn.XLOOKUP(C402,Tab_Def_Flows[Name(EN)],Tab_Def_Flows[Output_Process],,0,)</f>
        <v>0</v>
      </c>
      <c r="F402" s="49" t="str">
        <f>_xlfn.XLOOKUP(C402,Tab_Def_Flows[Name(EN)],Tab_Def_Flows[Process_ID_O],,0,)</f>
        <v>21__</v>
      </c>
      <c r="G402" s="49">
        <f>_xlfn.XLOOKUP(C402,Tab_Def_Flows[Name(EN)],Tab_Def_Flows[Input_Process],,0,)</f>
        <v>0</v>
      </c>
      <c r="H402" s="61" t="str">
        <f>_xlfn.XLOOKUP(C402,Tab_Def_Flows[Name(EN)],Tab_Def_Flows[Process_ID_I],,0,)</f>
        <v>21__</v>
      </c>
      <c r="I402" s="49">
        <f>_xlfn.XLOOKUP(C402,Tab_Def_Flows[Name(EN)],Tab_Def_Flows[Value_Source],,0,)</f>
        <v>0</v>
      </c>
      <c r="J402" s="49">
        <f>_xlfn.XLOOKUP(C402,Tab_Def_Flows[Name(EN)],Tab_Def_Flows[WC?],,0,)</f>
        <v>0</v>
      </c>
      <c r="K402" s="49">
        <f>_xlfn.XLOOKUP(C402,Tab_Def_Flows[Name(EN)],Tab_Def_Flows[DM?],,0,)</f>
        <v>0</v>
      </c>
      <c r="L402" s="49">
        <f>_xlfn.XLOOKUP(C402,Tab_Def_Flows[Name(EN)],Tab_Def_Flows[CC?],,0,)</f>
        <v>0</v>
      </c>
      <c r="M402" s="51"/>
      <c r="N402" s="51"/>
      <c r="O402" s="88"/>
      <c r="P402" s="51"/>
      <c r="Q402" s="51"/>
      <c r="R402" s="51" t="e">
        <f>INDEX(Tab_WC_DM_CC[[Flow_ID]:[CC_source]],MATCH(Tab_Data_Flows[[#This Row],[Name(EN)]],Tab_WC_DM_CC[Name(EN)],0),12)</f>
        <v>#N/A</v>
      </c>
      <c r="S402" s="51" t="e">
        <f>MATCH(Tab_Data_Flows[[#This Row],[Name(EN)]],Tab_WC_DM_CC[Name(EN)],0)</f>
        <v>#N/A</v>
      </c>
      <c r="T402" s="51"/>
      <c r="U402" s="51"/>
      <c r="V402" s="51"/>
      <c r="W402" s="51"/>
      <c r="X402" s="51"/>
      <c r="Y402" s="51"/>
      <c r="Z402" s="51"/>
      <c r="AA402" s="89">
        <f t="shared" ref="AA402:AA409" si="43">IF(X402="no",O402,O402*Y402)</f>
        <v>0</v>
      </c>
      <c r="AB402" s="51"/>
      <c r="AC402" s="114" t="e">
        <f>INDEX(Tab_Def_Flows[[Flow_ID]:[CC_DM_source]],MATCH(Tab_Data_Flows[[#This Row],[Name(EN)]],Tab_Def_Flows[Name(EN)],0),16)</f>
        <v>#N/A</v>
      </c>
      <c r="AD402" s="115" t="str">
        <f>IF(J402="Yes",AA402*Tab_Data_Flows[[#This Row],[WC_'[%']]],"N.A.")</f>
        <v>N.A.</v>
      </c>
      <c r="AE402" s="61">
        <f>Tab_Data_Flows[[#This Row],[UoM_Flow_Py]]</f>
        <v>0</v>
      </c>
      <c r="AF402" s="114" t="e">
        <f>INDEX(Tab_Def_Flows[[Flow_ID]:[CC_DM_source]],MATCH(Tab_Data_Flows[[#This Row],[Name(EN)]],Tab_Def_Flows[Name(EN)],0),18)</f>
        <v>#N/A</v>
      </c>
      <c r="AG402" s="115" t="str">
        <f>IF(K402="Yes",AF402*Tab_Data_Flows[[#This Row],[Flow_Py]],"N.A.")</f>
        <v>N.A.</v>
      </c>
      <c r="AH402" s="61">
        <f>Tab_Data_Flows[[#This Row],[UoM_Flow_Py]]</f>
        <v>0</v>
      </c>
      <c r="AI402" s="114" t="e">
        <f>INDEX(Tab_Def_Flows[[Flow_ID]:[CC_DM_source]],MATCH(Tab_Data_Flows[[#This Row],[Name(EN)]],Tab_Def_Flows[Name(EN)],0),20)</f>
        <v>#N/A</v>
      </c>
      <c r="AJ402" s="115" t="str">
        <f>IF(L402="Yes",AI402*Tab_Data_Flows[[#This Row],[Flow_Py]],"N.A.")</f>
        <v>N.A.</v>
      </c>
      <c r="AK402" s="61">
        <f>Tab_Data_Flows[[#This Row],[UoM_Flow_Py]]</f>
        <v>0</v>
      </c>
    </row>
    <row r="403" spans="1:37" x14ac:dyDescent="0.35">
      <c r="A403" s="60"/>
      <c r="B403" s="49" t="str">
        <f>_xlfn.XLOOKUP(C403,Tab_Def_Flows[Name(EN)],Tab_Def_Flows[Flow_ID],,0,)</f>
        <v>F_21_21</v>
      </c>
      <c r="C403" s="51"/>
      <c r="D403" s="49">
        <f>_xlfn.XLOOKUP(C403,Tab_Def_Flows[Name(EN)],Tab_Def_Flows[Type_Biomass],,0,)</f>
        <v>0</v>
      </c>
      <c r="E403" s="49">
        <f>_xlfn.XLOOKUP(C403,Tab_Def_Flows[Name(EN)],Tab_Def_Flows[Output_Process],,0,)</f>
        <v>0</v>
      </c>
      <c r="F403" s="49" t="str">
        <f>_xlfn.XLOOKUP(C403,Tab_Def_Flows[Name(EN)],Tab_Def_Flows[Process_ID_O],,0,)</f>
        <v>21__</v>
      </c>
      <c r="G403" s="49">
        <f>_xlfn.XLOOKUP(C403,Tab_Def_Flows[Name(EN)],Tab_Def_Flows[Input_Process],,0,)</f>
        <v>0</v>
      </c>
      <c r="H403" s="61" t="str">
        <f>_xlfn.XLOOKUP(C403,Tab_Def_Flows[Name(EN)],Tab_Def_Flows[Process_ID_I],,0,)</f>
        <v>21__</v>
      </c>
      <c r="I403" s="49">
        <f>_xlfn.XLOOKUP(C403,Tab_Def_Flows[Name(EN)],Tab_Def_Flows[Value_Source],,0,)</f>
        <v>0</v>
      </c>
      <c r="J403" s="49">
        <f>_xlfn.XLOOKUP(C403,Tab_Def_Flows[Name(EN)],Tab_Def_Flows[WC?],,0,)</f>
        <v>0</v>
      </c>
      <c r="K403" s="49">
        <f>_xlfn.XLOOKUP(C403,Tab_Def_Flows[Name(EN)],Tab_Def_Flows[DM?],,0,)</f>
        <v>0</v>
      </c>
      <c r="L403" s="49">
        <f>_xlfn.XLOOKUP(C403,Tab_Def_Flows[Name(EN)],Tab_Def_Flows[CC?],,0,)</f>
        <v>0</v>
      </c>
      <c r="M403" s="51"/>
      <c r="N403" s="51"/>
      <c r="O403" s="88"/>
      <c r="P403" s="51"/>
      <c r="Q403" s="51"/>
      <c r="R403" s="51" t="e">
        <f>INDEX(Tab_WC_DM_CC[[Flow_ID]:[CC_source]],MATCH(Tab_Data_Flows[[#This Row],[Name(EN)]],Tab_WC_DM_CC[Name(EN)],0),12)</f>
        <v>#N/A</v>
      </c>
      <c r="S403" s="51" t="e">
        <f>MATCH(Tab_Data_Flows[[#This Row],[Name(EN)]],Tab_WC_DM_CC[Name(EN)],0)</f>
        <v>#N/A</v>
      </c>
      <c r="T403" s="51"/>
      <c r="U403" s="51"/>
      <c r="V403" s="51"/>
      <c r="W403" s="51"/>
      <c r="X403" s="51"/>
      <c r="Y403" s="51"/>
      <c r="Z403" s="51"/>
      <c r="AA403" s="89">
        <f t="shared" si="43"/>
        <v>0</v>
      </c>
      <c r="AB403" s="51"/>
      <c r="AC403" s="114" t="e">
        <f>INDEX(Tab_Def_Flows[[Flow_ID]:[CC_DM_source]],MATCH(Tab_Data_Flows[[#This Row],[Name(EN)]],Tab_Def_Flows[Name(EN)],0),16)</f>
        <v>#N/A</v>
      </c>
      <c r="AD403" s="115" t="str">
        <f>IF(J403="Yes",AA403*Tab_Data_Flows[[#This Row],[WC_'[%']]],"N.A.")</f>
        <v>N.A.</v>
      </c>
      <c r="AE403" s="61">
        <f>Tab_Data_Flows[[#This Row],[UoM_Flow_Py]]</f>
        <v>0</v>
      </c>
      <c r="AF403" s="114" t="e">
        <f>INDEX(Tab_Def_Flows[[Flow_ID]:[CC_DM_source]],MATCH(Tab_Data_Flows[[#This Row],[Name(EN)]],Tab_Def_Flows[Name(EN)],0),18)</f>
        <v>#N/A</v>
      </c>
      <c r="AG403" s="115" t="str">
        <f>IF(K403="Yes",AF403*Tab_Data_Flows[[#This Row],[Flow_Py]],"N.A.")</f>
        <v>N.A.</v>
      </c>
      <c r="AH403" s="61">
        <f>Tab_Data_Flows[[#This Row],[UoM_Flow_Py]]</f>
        <v>0</v>
      </c>
      <c r="AI403" s="114" t="e">
        <f>INDEX(Tab_Def_Flows[[Flow_ID]:[CC_DM_source]],MATCH(Tab_Data_Flows[[#This Row],[Name(EN)]],Tab_Def_Flows[Name(EN)],0),20)</f>
        <v>#N/A</v>
      </c>
      <c r="AJ403" s="115" t="str">
        <f>IF(L403="Yes",AI403*Tab_Data_Flows[[#This Row],[Flow_Py]],"N.A.")</f>
        <v>N.A.</v>
      </c>
      <c r="AK403" s="61">
        <f>Tab_Data_Flows[[#This Row],[UoM_Flow_Py]]</f>
        <v>0</v>
      </c>
    </row>
    <row r="404" spans="1:37" x14ac:dyDescent="0.35">
      <c r="A404" s="60"/>
      <c r="B404" s="49" t="str">
        <f>_xlfn.XLOOKUP(C404,Tab_Def_Flows[Name(EN)],Tab_Def_Flows[Flow_ID],,0,)</f>
        <v>F_21_21</v>
      </c>
      <c r="C404" s="51"/>
      <c r="D404" s="49">
        <f>_xlfn.XLOOKUP(C404,Tab_Def_Flows[Name(EN)],Tab_Def_Flows[Type_Biomass],,0,)</f>
        <v>0</v>
      </c>
      <c r="E404" s="49">
        <f>_xlfn.XLOOKUP(C404,Tab_Def_Flows[Name(EN)],Tab_Def_Flows[Output_Process],,0,)</f>
        <v>0</v>
      </c>
      <c r="F404" s="49" t="str">
        <f>_xlfn.XLOOKUP(C404,Tab_Def_Flows[Name(EN)],Tab_Def_Flows[Process_ID_O],,0,)</f>
        <v>21__</v>
      </c>
      <c r="G404" s="49">
        <f>_xlfn.XLOOKUP(C404,Tab_Def_Flows[Name(EN)],Tab_Def_Flows[Input_Process],,0,)</f>
        <v>0</v>
      </c>
      <c r="H404" s="61" t="str">
        <f>_xlfn.XLOOKUP(C404,Tab_Def_Flows[Name(EN)],Tab_Def_Flows[Process_ID_I],,0,)</f>
        <v>21__</v>
      </c>
      <c r="I404" s="49">
        <f>_xlfn.XLOOKUP(C404,Tab_Def_Flows[Name(EN)],Tab_Def_Flows[Value_Source],,0,)</f>
        <v>0</v>
      </c>
      <c r="J404" s="49">
        <f>_xlfn.XLOOKUP(C404,Tab_Def_Flows[Name(EN)],Tab_Def_Flows[WC?],,0,)</f>
        <v>0</v>
      </c>
      <c r="K404" s="49">
        <f>_xlfn.XLOOKUP(C404,Tab_Def_Flows[Name(EN)],Tab_Def_Flows[DM?],,0,)</f>
        <v>0</v>
      </c>
      <c r="L404" s="49">
        <f>_xlfn.XLOOKUP(C404,Tab_Def_Flows[Name(EN)],Tab_Def_Flows[CC?],,0,)</f>
        <v>0</v>
      </c>
      <c r="M404" s="51"/>
      <c r="N404" s="51"/>
      <c r="O404" s="88"/>
      <c r="P404" s="51"/>
      <c r="Q404" s="51"/>
      <c r="R404" s="51" t="e">
        <f>INDEX(Tab_WC_DM_CC[[Flow_ID]:[CC_source]],MATCH(Tab_Data_Flows[[#This Row],[Name(EN)]],Tab_WC_DM_CC[Name(EN)],0),12)</f>
        <v>#N/A</v>
      </c>
      <c r="S404" s="51" t="e">
        <f>MATCH(Tab_Data_Flows[[#This Row],[Name(EN)]],Tab_WC_DM_CC[Name(EN)],0)</f>
        <v>#N/A</v>
      </c>
      <c r="T404" s="51"/>
      <c r="U404" s="51"/>
      <c r="V404" s="51"/>
      <c r="W404" s="51"/>
      <c r="X404" s="51"/>
      <c r="Y404" s="51"/>
      <c r="Z404" s="51"/>
      <c r="AA404" s="89">
        <f t="shared" si="43"/>
        <v>0</v>
      </c>
      <c r="AB404" s="51"/>
      <c r="AC404" s="114" t="e">
        <f>INDEX(Tab_Def_Flows[[Flow_ID]:[CC_DM_source]],MATCH(Tab_Data_Flows[[#This Row],[Name(EN)]],Tab_Def_Flows[Name(EN)],0),16)</f>
        <v>#N/A</v>
      </c>
      <c r="AD404" s="115" t="str">
        <f>IF(J404="Yes",AA404*Tab_Data_Flows[[#This Row],[WC_'[%']]],"N.A.")</f>
        <v>N.A.</v>
      </c>
      <c r="AE404" s="61">
        <f>Tab_Data_Flows[[#This Row],[UoM_Flow_Py]]</f>
        <v>0</v>
      </c>
      <c r="AF404" s="114" t="e">
        <f>INDEX(Tab_Def_Flows[[Flow_ID]:[CC_DM_source]],MATCH(Tab_Data_Flows[[#This Row],[Name(EN)]],Tab_Def_Flows[Name(EN)],0),18)</f>
        <v>#N/A</v>
      </c>
      <c r="AG404" s="115" t="str">
        <f>IF(K404="Yes",AF404*Tab_Data_Flows[[#This Row],[Flow_Py]],"N.A.")</f>
        <v>N.A.</v>
      </c>
      <c r="AH404" s="61">
        <f>Tab_Data_Flows[[#This Row],[UoM_Flow_Py]]</f>
        <v>0</v>
      </c>
      <c r="AI404" s="114" t="e">
        <f>INDEX(Tab_Def_Flows[[Flow_ID]:[CC_DM_source]],MATCH(Tab_Data_Flows[[#This Row],[Name(EN)]],Tab_Def_Flows[Name(EN)],0),20)</f>
        <v>#N/A</v>
      </c>
      <c r="AJ404" s="115" t="str">
        <f>IF(L404="Yes",AI404*Tab_Data_Flows[[#This Row],[Flow_Py]],"N.A.")</f>
        <v>N.A.</v>
      </c>
      <c r="AK404" s="61">
        <f>Tab_Data_Flows[[#This Row],[UoM_Flow_Py]]</f>
        <v>0</v>
      </c>
    </row>
    <row r="405" spans="1:37" x14ac:dyDescent="0.35">
      <c r="A405" s="60"/>
      <c r="B405" s="49" t="str">
        <f>_xlfn.XLOOKUP(C405,Tab_Def_Flows[Name(EN)],Tab_Def_Flows[Flow_ID],,0,)</f>
        <v>F_21_21</v>
      </c>
      <c r="C405" s="51"/>
      <c r="D405" s="49">
        <f>_xlfn.XLOOKUP(C405,Tab_Def_Flows[Name(EN)],Tab_Def_Flows[Type_Biomass],,0,)</f>
        <v>0</v>
      </c>
      <c r="E405" s="49">
        <f>_xlfn.XLOOKUP(C405,Tab_Def_Flows[Name(EN)],Tab_Def_Flows[Output_Process],,0,)</f>
        <v>0</v>
      </c>
      <c r="F405" s="49" t="str">
        <f>_xlfn.XLOOKUP(C405,Tab_Def_Flows[Name(EN)],Tab_Def_Flows[Process_ID_O],,0,)</f>
        <v>21__</v>
      </c>
      <c r="G405" s="49">
        <f>_xlfn.XLOOKUP(C405,Tab_Def_Flows[Name(EN)],Tab_Def_Flows[Input_Process],,0,)</f>
        <v>0</v>
      </c>
      <c r="H405" s="61" t="str">
        <f>_xlfn.XLOOKUP(C405,Tab_Def_Flows[Name(EN)],Tab_Def_Flows[Process_ID_I],,0,)</f>
        <v>21__</v>
      </c>
      <c r="I405" s="49">
        <f>_xlfn.XLOOKUP(C405,Tab_Def_Flows[Name(EN)],Tab_Def_Flows[Value_Source],,0,)</f>
        <v>0</v>
      </c>
      <c r="J405" s="49">
        <f>_xlfn.XLOOKUP(C405,Tab_Def_Flows[Name(EN)],Tab_Def_Flows[WC?],,0,)</f>
        <v>0</v>
      </c>
      <c r="K405" s="49">
        <f>_xlfn.XLOOKUP(C405,Tab_Def_Flows[Name(EN)],Tab_Def_Flows[DM?],,0,)</f>
        <v>0</v>
      </c>
      <c r="L405" s="49">
        <f>_xlfn.XLOOKUP(C405,Tab_Def_Flows[Name(EN)],Tab_Def_Flows[CC?],,0,)</f>
        <v>0</v>
      </c>
      <c r="M405" s="51"/>
      <c r="N405" s="51"/>
      <c r="O405" s="88"/>
      <c r="P405" s="51"/>
      <c r="Q405" s="51"/>
      <c r="R405" s="51" t="e">
        <f>INDEX(Tab_WC_DM_CC[[Flow_ID]:[CC_source]],MATCH(Tab_Data_Flows[[#This Row],[Name(EN)]],Tab_WC_DM_CC[Name(EN)],0),12)</f>
        <v>#N/A</v>
      </c>
      <c r="S405" s="51" t="e">
        <f>MATCH(Tab_Data_Flows[[#This Row],[Name(EN)]],Tab_WC_DM_CC[Name(EN)],0)</f>
        <v>#N/A</v>
      </c>
      <c r="T405" s="51"/>
      <c r="U405" s="51"/>
      <c r="V405" s="51"/>
      <c r="W405" s="51"/>
      <c r="X405" s="51"/>
      <c r="Y405" s="51"/>
      <c r="Z405" s="51"/>
      <c r="AA405" s="89">
        <f t="shared" si="43"/>
        <v>0</v>
      </c>
      <c r="AB405" s="51"/>
      <c r="AC405" s="114" t="e">
        <f>INDEX(Tab_Def_Flows[[Flow_ID]:[CC_DM_source]],MATCH(Tab_Data_Flows[[#This Row],[Name(EN)]],Tab_Def_Flows[Name(EN)],0),16)</f>
        <v>#N/A</v>
      </c>
      <c r="AD405" s="115" t="str">
        <f>IF(J405="Yes",AA405*Tab_Data_Flows[[#This Row],[WC_'[%']]],"N.A.")</f>
        <v>N.A.</v>
      </c>
      <c r="AE405" s="61">
        <f>Tab_Data_Flows[[#This Row],[UoM_Flow_Py]]</f>
        <v>0</v>
      </c>
      <c r="AF405" s="114" t="e">
        <f>INDEX(Tab_Def_Flows[[Flow_ID]:[CC_DM_source]],MATCH(Tab_Data_Flows[[#This Row],[Name(EN)]],Tab_Def_Flows[Name(EN)],0),18)</f>
        <v>#N/A</v>
      </c>
      <c r="AG405" s="115" t="str">
        <f>IF(K405="Yes",AF405*Tab_Data_Flows[[#This Row],[Flow_Py]],"N.A.")</f>
        <v>N.A.</v>
      </c>
      <c r="AH405" s="61">
        <f>Tab_Data_Flows[[#This Row],[UoM_Flow_Py]]</f>
        <v>0</v>
      </c>
      <c r="AI405" s="114" t="e">
        <f>INDEX(Tab_Def_Flows[[Flow_ID]:[CC_DM_source]],MATCH(Tab_Data_Flows[[#This Row],[Name(EN)]],Tab_Def_Flows[Name(EN)],0),20)</f>
        <v>#N/A</v>
      </c>
      <c r="AJ405" s="115" t="str">
        <f>IF(L405="Yes",AI405*Tab_Data_Flows[[#This Row],[Flow_Py]],"N.A.")</f>
        <v>N.A.</v>
      </c>
      <c r="AK405" s="61">
        <f>Tab_Data_Flows[[#This Row],[UoM_Flow_Py]]</f>
        <v>0</v>
      </c>
    </row>
    <row r="406" spans="1:37" x14ac:dyDescent="0.35">
      <c r="A406" s="60"/>
      <c r="B406" s="49" t="str">
        <f>_xlfn.XLOOKUP(C406,Tab_Def_Flows[Name(EN)],Tab_Def_Flows[Flow_ID],,0,)</f>
        <v>F_21_21</v>
      </c>
      <c r="C406" s="51"/>
      <c r="D406" s="49">
        <f>_xlfn.XLOOKUP(C406,Tab_Def_Flows[Name(EN)],Tab_Def_Flows[Type_Biomass],,0,)</f>
        <v>0</v>
      </c>
      <c r="E406" s="49">
        <f>_xlfn.XLOOKUP(C406,Tab_Def_Flows[Name(EN)],Tab_Def_Flows[Output_Process],,0,)</f>
        <v>0</v>
      </c>
      <c r="F406" s="49" t="str">
        <f>_xlfn.XLOOKUP(C406,Tab_Def_Flows[Name(EN)],Tab_Def_Flows[Process_ID_O],,0,)</f>
        <v>21__</v>
      </c>
      <c r="G406" s="49">
        <f>_xlfn.XLOOKUP(C406,Tab_Def_Flows[Name(EN)],Tab_Def_Flows[Input_Process],,0,)</f>
        <v>0</v>
      </c>
      <c r="H406" s="61" t="str">
        <f>_xlfn.XLOOKUP(C406,Tab_Def_Flows[Name(EN)],Tab_Def_Flows[Process_ID_I],,0,)</f>
        <v>21__</v>
      </c>
      <c r="I406" s="49">
        <f>_xlfn.XLOOKUP(C406,Tab_Def_Flows[Name(EN)],Tab_Def_Flows[Value_Source],,0,)</f>
        <v>0</v>
      </c>
      <c r="J406" s="49">
        <f>_xlfn.XLOOKUP(C406,Tab_Def_Flows[Name(EN)],Tab_Def_Flows[WC?],,0,)</f>
        <v>0</v>
      </c>
      <c r="K406" s="49">
        <f>_xlfn.XLOOKUP(C406,Tab_Def_Flows[Name(EN)],Tab_Def_Flows[DM?],,0,)</f>
        <v>0</v>
      </c>
      <c r="L406" s="49">
        <f>_xlfn.XLOOKUP(C406,Tab_Def_Flows[Name(EN)],Tab_Def_Flows[CC?],,0,)</f>
        <v>0</v>
      </c>
      <c r="M406" s="51"/>
      <c r="N406" s="51"/>
      <c r="O406" s="88"/>
      <c r="P406" s="51"/>
      <c r="Q406" s="51"/>
      <c r="R406" s="51" t="e">
        <f>INDEX(Tab_WC_DM_CC[[Flow_ID]:[CC_source]],MATCH(Tab_Data_Flows[[#This Row],[Name(EN)]],Tab_WC_DM_CC[Name(EN)],0),12)</f>
        <v>#N/A</v>
      </c>
      <c r="S406" s="51" t="e">
        <f>MATCH(Tab_Data_Flows[[#This Row],[Name(EN)]],Tab_WC_DM_CC[Name(EN)],0)</f>
        <v>#N/A</v>
      </c>
      <c r="T406" s="51"/>
      <c r="U406" s="51"/>
      <c r="V406" s="51"/>
      <c r="W406" s="51"/>
      <c r="X406" s="51"/>
      <c r="Y406" s="51"/>
      <c r="Z406" s="51"/>
      <c r="AA406" s="89">
        <f t="shared" si="43"/>
        <v>0</v>
      </c>
      <c r="AB406" s="51"/>
      <c r="AC406" s="114" t="e">
        <f>INDEX(Tab_Def_Flows[[Flow_ID]:[CC_DM_source]],MATCH(Tab_Data_Flows[[#This Row],[Name(EN)]],Tab_Def_Flows[Name(EN)],0),16)</f>
        <v>#N/A</v>
      </c>
      <c r="AD406" s="115" t="str">
        <f>IF(J406="Yes",AA406*Tab_Data_Flows[[#This Row],[WC_'[%']]],"N.A.")</f>
        <v>N.A.</v>
      </c>
      <c r="AE406" s="61">
        <f>Tab_Data_Flows[[#This Row],[UoM_Flow_Py]]</f>
        <v>0</v>
      </c>
      <c r="AF406" s="114" t="e">
        <f>INDEX(Tab_Def_Flows[[Flow_ID]:[CC_DM_source]],MATCH(Tab_Data_Flows[[#This Row],[Name(EN)]],Tab_Def_Flows[Name(EN)],0),18)</f>
        <v>#N/A</v>
      </c>
      <c r="AG406" s="115" t="str">
        <f>IF(K406="Yes",AF406*Tab_Data_Flows[[#This Row],[Flow_Py]],"N.A.")</f>
        <v>N.A.</v>
      </c>
      <c r="AH406" s="61">
        <f>Tab_Data_Flows[[#This Row],[UoM_Flow_Py]]</f>
        <v>0</v>
      </c>
      <c r="AI406" s="114" t="e">
        <f>INDEX(Tab_Def_Flows[[Flow_ID]:[CC_DM_source]],MATCH(Tab_Data_Flows[[#This Row],[Name(EN)]],Tab_Def_Flows[Name(EN)],0),20)</f>
        <v>#N/A</v>
      </c>
      <c r="AJ406" s="115" t="str">
        <f>IF(L406="Yes",AI406*Tab_Data_Flows[[#This Row],[Flow_Py]],"N.A.")</f>
        <v>N.A.</v>
      </c>
      <c r="AK406" s="61">
        <f>Tab_Data_Flows[[#This Row],[UoM_Flow_Py]]</f>
        <v>0</v>
      </c>
    </row>
    <row r="407" spans="1:37" x14ac:dyDescent="0.35">
      <c r="A407" s="60"/>
      <c r="B407" s="49" t="str">
        <f>_xlfn.XLOOKUP(C407,Tab_Def_Flows[Name(EN)],Tab_Def_Flows[Flow_ID],,0,)</f>
        <v>F_21_21</v>
      </c>
      <c r="C407" s="51"/>
      <c r="D407" s="49">
        <f>_xlfn.XLOOKUP(C407,Tab_Def_Flows[Name(EN)],Tab_Def_Flows[Type_Biomass],,0,)</f>
        <v>0</v>
      </c>
      <c r="E407" s="49">
        <f>_xlfn.XLOOKUP(C407,Tab_Def_Flows[Name(EN)],Tab_Def_Flows[Output_Process],,0,)</f>
        <v>0</v>
      </c>
      <c r="F407" s="49" t="str">
        <f>_xlfn.XLOOKUP(C407,Tab_Def_Flows[Name(EN)],Tab_Def_Flows[Process_ID_O],,0,)</f>
        <v>21__</v>
      </c>
      <c r="G407" s="49">
        <f>_xlfn.XLOOKUP(C407,Tab_Def_Flows[Name(EN)],Tab_Def_Flows[Input_Process],,0,)</f>
        <v>0</v>
      </c>
      <c r="H407" s="61" t="str">
        <f>_xlfn.XLOOKUP(C407,Tab_Def_Flows[Name(EN)],Tab_Def_Flows[Process_ID_I],,0,)</f>
        <v>21__</v>
      </c>
      <c r="I407" s="49">
        <f>_xlfn.XLOOKUP(C407,Tab_Def_Flows[Name(EN)],Tab_Def_Flows[Value_Source],,0,)</f>
        <v>0</v>
      </c>
      <c r="J407" s="49">
        <f>_xlfn.XLOOKUP(C407,Tab_Def_Flows[Name(EN)],Tab_Def_Flows[WC?],,0,)</f>
        <v>0</v>
      </c>
      <c r="K407" s="49">
        <f>_xlfn.XLOOKUP(C407,Tab_Def_Flows[Name(EN)],Tab_Def_Flows[DM?],,0,)</f>
        <v>0</v>
      </c>
      <c r="L407" s="49">
        <f>_xlfn.XLOOKUP(C407,Tab_Def_Flows[Name(EN)],Tab_Def_Flows[CC?],,0,)</f>
        <v>0</v>
      </c>
      <c r="M407" s="51"/>
      <c r="N407" s="51"/>
      <c r="O407" s="88"/>
      <c r="P407" s="51"/>
      <c r="Q407" s="51"/>
      <c r="R407" s="51" t="e">
        <f>INDEX(Tab_WC_DM_CC[[Flow_ID]:[CC_source]],MATCH(Tab_Data_Flows[[#This Row],[Name(EN)]],Tab_WC_DM_CC[Name(EN)],0),12)</f>
        <v>#N/A</v>
      </c>
      <c r="S407" s="51" t="e">
        <f>MATCH(Tab_Data_Flows[[#This Row],[Name(EN)]],Tab_WC_DM_CC[Name(EN)],0)</f>
        <v>#N/A</v>
      </c>
      <c r="T407" s="51"/>
      <c r="U407" s="51"/>
      <c r="V407" s="51"/>
      <c r="W407" s="51"/>
      <c r="X407" s="51"/>
      <c r="Y407" s="51"/>
      <c r="Z407" s="51"/>
      <c r="AA407" s="89">
        <f t="shared" si="43"/>
        <v>0</v>
      </c>
      <c r="AB407" s="51"/>
      <c r="AC407" s="114" t="e">
        <f>INDEX(Tab_Def_Flows[[Flow_ID]:[CC_DM_source]],MATCH(Tab_Data_Flows[[#This Row],[Name(EN)]],Tab_Def_Flows[Name(EN)],0),16)</f>
        <v>#N/A</v>
      </c>
      <c r="AD407" s="115" t="str">
        <f>IF(J407="Yes",AA407*Tab_Data_Flows[[#This Row],[WC_'[%']]],"N.A.")</f>
        <v>N.A.</v>
      </c>
      <c r="AE407" s="61">
        <f>Tab_Data_Flows[[#This Row],[UoM_Flow_Py]]</f>
        <v>0</v>
      </c>
      <c r="AF407" s="114" t="e">
        <f>INDEX(Tab_Def_Flows[[Flow_ID]:[CC_DM_source]],MATCH(Tab_Data_Flows[[#This Row],[Name(EN)]],Tab_Def_Flows[Name(EN)],0),18)</f>
        <v>#N/A</v>
      </c>
      <c r="AG407" s="115" t="str">
        <f>IF(K407="Yes",AF407*Tab_Data_Flows[[#This Row],[Flow_Py]],"N.A.")</f>
        <v>N.A.</v>
      </c>
      <c r="AH407" s="61">
        <f>Tab_Data_Flows[[#This Row],[UoM_Flow_Py]]</f>
        <v>0</v>
      </c>
      <c r="AI407" s="114" t="e">
        <f>INDEX(Tab_Def_Flows[[Flow_ID]:[CC_DM_source]],MATCH(Tab_Data_Flows[[#This Row],[Name(EN)]],Tab_Def_Flows[Name(EN)],0),20)</f>
        <v>#N/A</v>
      </c>
      <c r="AJ407" s="115" t="str">
        <f>IF(L407="Yes",AI407*Tab_Data_Flows[[#This Row],[Flow_Py]],"N.A.")</f>
        <v>N.A.</v>
      </c>
      <c r="AK407" s="61">
        <f>Tab_Data_Flows[[#This Row],[UoM_Flow_Py]]</f>
        <v>0</v>
      </c>
    </row>
    <row r="408" spans="1:37" x14ac:dyDescent="0.35">
      <c r="A408" s="60"/>
      <c r="B408" s="49" t="str">
        <f>_xlfn.XLOOKUP(C408,Tab_Def_Flows[Name(EN)],Tab_Def_Flows[Flow_ID],,0,)</f>
        <v>F_21_21</v>
      </c>
      <c r="C408" s="51"/>
      <c r="D408" s="49">
        <f>_xlfn.XLOOKUP(C408,Tab_Def_Flows[Name(EN)],Tab_Def_Flows[Type_Biomass],,0,)</f>
        <v>0</v>
      </c>
      <c r="E408" s="49">
        <f>_xlfn.XLOOKUP(C408,Tab_Def_Flows[Name(EN)],Tab_Def_Flows[Output_Process],,0,)</f>
        <v>0</v>
      </c>
      <c r="F408" s="49" t="str">
        <f>_xlfn.XLOOKUP(C408,Tab_Def_Flows[Name(EN)],Tab_Def_Flows[Process_ID_O],,0,)</f>
        <v>21__</v>
      </c>
      <c r="G408" s="49">
        <f>_xlfn.XLOOKUP(C408,Tab_Def_Flows[Name(EN)],Tab_Def_Flows[Input_Process],,0,)</f>
        <v>0</v>
      </c>
      <c r="H408" s="61" t="str">
        <f>_xlfn.XLOOKUP(C408,Tab_Def_Flows[Name(EN)],Tab_Def_Flows[Process_ID_I],,0,)</f>
        <v>21__</v>
      </c>
      <c r="I408" s="49">
        <f>_xlfn.XLOOKUP(C408,Tab_Def_Flows[Name(EN)],Tab_Def_Flows[Value_Source],,0,)</f>
        <v>0</v>
      </c>
      <c r="J408" s="49">
        <f>_xlfn.XLOOKUP(C408,Tab_Def_Flows[Name(EN)],Tab_Def_Flows[WC?],,0,)</f>
        <v>0</v>
      </c>
      <c r="K408" s="49">
        <f>_xlfn.XLOOKUP(C408,Tab_Def_Flows[Name(EN)],Tab_Def_Flows[DM?],,0,)</f>
        <v>0</v>
      </c>
      <c r="L408" s="49">
        <f>_xlfn.XLOOKUP(C408,Tab_Def_Flows[Name(EN)],Tab_Def_Flows[CC?],,0,)</f>
        <v>0</v>
      </c>
      <c r="M408" s="51"/>
      <c r="N408" s="51"/>
      <c r="O408" s="88"/>
      <c r="P408" s="51"/>
      <c r="Q408" s="51"/>
      <c r="R408" s="51" t="e">
        <f>INDEX(Tab_WC_DM_CC[[Flow_ID]:[CC_source]],MATCH(Tab_Data_Flows[[#This Row],[Name(EN)]],Tab_WC_DM_CC[Name(EN)],0),12)</f>
        <v>#N/A</v>
      </c>
      <c r="S408" s="51" t="e">
        <f>MATCH(Tab_Data_Flows[[#This Row],[Name(EN)]],Tab_WC_DM_CC[Name(EN)],0)</f>
        <v>#N/A</v>
      </c>
      <c r="T408" s="51"/>
      <c r="U408" s="51"/>
      <c r="V408" s="51"/>
      <c r="W408" s="51"/>
      <c r="X408" s="51"/>
      <c r="Y408" s="51"/>
      <c r="Z408" s="51"/>
      <c r="AA408" s="89">
        <f t="shared" si="43"/>
        <v>0</v>
      </c>
      <c r="AB408" s="51"/>
      <c r="AC408" s="114" t="e">
        <f>INDEX(Tab_Def_Flows[[Flow_ID]:[CC_DM_source]],MATCH(Tab_Data_Flows[[#This Row],[Name(EN)]],Tab_Def_Flows[Name(EN)],0),16)</f>
        <v>#N/A</v>
      </c>
      <c r="AD408" s="115" t="str">
        <f>IF(J408="Yes",AA408*Tab_Data_Flows[[#This Row],[WC_'[%']]],"N.A.")</f>
        <v>N.A.</v>
      </c>
      <c r="AE408" s="61">
        <f>Tab_Data_Flows[[#This Row],[UoM_Flow_Py]]</f>
        <v>0</v>
      </c>
      <c r="AF408" s="114" t="e">
        <f>INDEX(Tab_Def_Flows[[Flow_ID]:[CC_DM_source]],MATCH(Tab_Data_Flows[[#This Row],[Name(EN)]],Tab_Def_Flows[Name(EN)],0),18)</f>
        <v>#N/A</v>
      </c>
      <c r="AG408" s="115" t="str">
        <f>IF(K408="Yes",AF408*Tab_Data_Flows[[#This Row],[Flow_Py]],"N.A.")</f>
        <v>N.A.</v>
      </c>
      <c r="AH408" s="61">
        <f>Tab_Data_Flows[[#This Row],[UoM_Flow_Py]]</f>
        <v>0</v>
      </c>
      <c r="AI408" s="114" t="e">
        <f>INDEX(Tab_Def_Flows[[Flow_ID]:[CC_DM_source]],MATCH(Tab_Data_Flows[[#This Row],[Name(EN)]],Tab_Def_Flows[Name(EN)],0),20)</f>
        <v>#N/A</v>
      </c>
      <c r="AJ408" s="115" t="str">
        <f>IF(L408="Yes",AI408*Tab_Data_Flows[[#This Row],[Flow_Py]],"N.A.")</f>
        <v>N.A.</v>
      </c>
      <c r="AK408" s="61">
        <f>Tab_Data_Flows[[#This Row],[UoM_Flow_Py]]</f>
        <v>0</v>
      </c>
    </row>
    <row r="409" spans="1:37" ht="15" thickBot="1" x14ac:dyDescent="0.4">
      <c r="A409" s="62"/>
      <c r="B409" s="63" t="str">
        <f>_xlfn.XLOOKUP(C409,Tab_Def_Flows[Name(EN)],Tab_Def_Flows[Flow_ID],,0,)</f>
        <v>F_21_21</v>
      </c>
      <c r="C409" s="51"/>
      <c r="D409" s="49">
        <f>_xlfn.XLOOKUP(C409,Tab_Def_Flows[Name(EN)],Tab_Def_Flows[Type_Biomass],,0,)</f>
        <v>0</v>
      </c>
      <c r="E409" s="49">
        <f>_xlfn.XLOOKUP(C409,Tab_Def_Flows[Name(EN)],Tab_Def_Flows[Output_Process],,0,)</f>
        <v>0</v>
      </c>
      <c r="F409" s="63" t="str">
        <f>_xlfn.XLOOKUP(C409,Tab_Def_Flows[Name(EN)],Tab_Def_Flows[Process_ID_O],,0,)</f>
        <v>21__</v>
      </c>
      <c r="G409" s="49">
        <f>_xlfn.XLOOKUP(C409,Tab_Def_Flows[Name(EN)],Tab_Def_Flows[Input_Process],,0,)</f>
        <v>0</v>
      </c>
      <c r="H409" s="64" t="str">
        <f>_xlfn.XLOOKUP(C409,Tab_Def_Flows[Name(EN)],Tab_Def_Flows[Process_ID_I],,0,)</f>
        <v>21__</v>
      </c>
      <c r="I409" s="108">
        <f>_xlfn.XLOOKUP(C409,Tab_Def_Flows[Name(EN)],Tab_Def_Flows[Value_Source],,0,)</f>
        <v>0</v>
      </c>
      <c r="J409" s="108">
        <f>_xlfn.XLOOKUP(C409,Tab_Def_Flows[Name(EN)],Tab_Def_Flows[WC?],,0,)</f>
        <v>0</v>
      </c>
      <c r="K409" s="108">
        <f>_xlfn.XLOOKUP(C409,Tab_Def_Flows[Name(EN)],Tab_Def_Flows[DM?],,0,)</f>
        <v>0</v>
      </c>
      <c r="L409" s="108">
        <f>_xlfn.XLOOKUP(C409,Tab_Def_Flows[Name(EN)],Tab_Def_Flows[CC?],,0,)</f>
        <v>0</v>
      </c>
      <c r="M409" s="51"/>
      <c r="N409" s="51"/>
      <c r="O409" s="88"/>
      <c r="P409" s="51"/>
      <c r="Q409" s="51"/>
      <c r="R409" s="51" t="e">
        <f>INDEX(Tab_WC_DM_CC[[Flow_ID]:[CC_source]],MATCH(Tab_Data_Flows[[#This Row],[Name(EN)]],Tab_WC_DM_CC[Name(EN)],0),12)</f>
        <v>#N/A</v>
      </c>
      <c r="S409" s="51" t="e">
        <f>MATCH(Tab_Data_Flows[[#This Row],[Name(EN)]],Tab_WC_DM_CC[Name(EN)],0)</f>
        <v>#N/A</v>
      </c>
      <c r="T409" s="51"/>
      <c r="U409" s="51"/>
      <c r="V409" s="51"/>
      <c r="W409" s="51"/>
      <c r="X409" s="51"/>
      <c r="Y409" s="51"/>
      <c r="Z409" s="51"/>
      <c r="AA409" s="89">
        <f t="shared" si="43"/>
        <v>0</v>
      </c>
      <c r="AB409" s="51"/>
      <c r="AC409" s="114" t="e">
        <f>INDEX(Tab_Def_Flows[[Flow_ID]:[CC_DM_source]],MATCH(Tab_Data_Flows[[#This Row],[Name(EN)]],Tab_Def_Flows[Name(EN)],0),16)</f>
        <v>#N/A</v>
      </c>
      <c r="AD409" s="116" t="str">
        <f>IF(J409="Yes",AA409*Tab_Data_Flows[[#This Row],[WC_'[%']]],"N.A.")</f>
        <v>N.A.</v>
      </c>
      <c r="AE409" s="64">
        <f>Tab_Data_Flows[[#This Row],[UoM_Flow_Py]]</f>
        <v>0</v>
      </c>
      <c r="AF409" s="114" t="e">
        <f>INDEX(Tab_Def_Flows[[Flow_ID]:[CC_DM_source]],MATCH(Tab_Data_Flows[[#This Row],[Name(EN)]],Tab_Def_Flows[Name(EN)],0),18)</f>
        <v>#N/A</v>
      </c>
      <c r="AG409" s="116" t="str">
        <f>IF(K409="Yes",AF409*Tab_Data_Flows[[#This Row],[Flow_Py]],"N.A.")</f>
        <v>N.A.</v>
      </c>
      <c r="AH409" s="64">
        <f>Tab_Data_Flows[[#This Row],[UoM_Flow_Py]]</f>
        <v>0</v>
      </c>
      <c r="AI409" s="114" t="e">
        <f>INDEX(Tab_Def_Flows[[Flow_ID]:[CC_DM_source]],MATCH(Tab_Data_Flows[[#This Row],[Name(EN)]],Tab_Def_Flows[Name(EN)],0),20)</f>
        <v>#N/A</v>
      </c>
      <c r="AJ409" s="116" t="str">
        <f>IF(L409="Yes",AI409*Tab_Data_Flows[[#This Row],[Flow_Py]],"N.A.")</f>
        <v>N.A.</v>
      </c>
      <c r="AK409" s="64">
        <f>Tab_Data_Flows[[#This Row],[UoM_Flow_Py]]</f>
        <v>0</v>
      </c>
    </row>
    <row r="410" spans="1:37" x14ac:dyDescent="0.35">
      <c r="AF410" s="118"/>
      <c r="AK410" s="111"/>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X2:X409</xm:sqref>
        </x14:dataValidation>
        <x14:dataValidation type="list" allowBlank="1" showInputMessage="1" showErrorMessage="1" xr:uid="{A030A264-E9C5-4840-932B-125C397F8D0A}">
          <x14:formula1>
            <xm:f>'1_1_Definition_Flows'!$D$2:$D$77</xm:f>
          </x14:formula1>
          <xm:sqref>C2:C409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tabColor theme="9" tint="0.79998168889431442"/>
  </sheetPr>
  <dimension ref="A1"/>
  <sheetViews>
    <sheetView workbookViewId="0">
      <selection activeCell="J19" sqref="J19"/>
    </sheetView>
  </sheetViews>
  <sheetFormatPr defaultColWidth="10.81640625" defaultRowHeight="14.5" x14ac:dyDescent="0.3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tabColor theme="9" tint="0.79998168889431442"/>
  </sheetPr>
  <dimension ref="A1:AH58"/>
  <sheetViews>
    <sheetView topLeftCell="A27" zoomScale="70" zoomScaleNormal="70" workbookViewId="0">
      <pane xSplit="4" topLeftCell="L1" activePane="topRight" state="frozen"/>
      <selection pane="topRight" activeCell="M19" sqref="M19"/>
    </sheetView>
  </sheetViews>
  <sheetFormatPr defaultColWidth="10.81640625" defaultRowHeight="14.5" x14ac:dyDescent="0.35"/>
  <cols>
    <col min="2" max="2" width="6.81640625" customWidth="1"/>
    <col min="3" max="3" width="41" customWidth="1"/>
    <col min="4" max="4" width="42" customWidth="1"/>
    <col min="5" max="6" width="33.26953125" customWidth="1"/>
    <col min="7" max="7" width="32.54296875" customWidth="1"/>
    <col min="8" max="8" width="33.54296875" customWidth="1"/>
    <col min="9" max="9" width="16.453125" customWidth="1"/>
    <col min="10" max="10" width="21.26953125" customWidth="1"/>
    <col min="11" max="12" width="15.54296875" customWidth="1"/>
    <col min="13" max="13" width="26.7265625" customWidth="1"/>
    <col min="14" max="14" width="15.54296875" customWidth="1"/>
    <col min="15" max="15" width="21" customWidth="1"/>
    <col min="16" max="22" width="15.54296875" customWidth="1"/>
    <col min="23" max="23" width="17.26953125" customWidth="1"/>
    <col min="24" max="24" width="15.54296875" customWidth="1"/>
    <col min="25" max="25" width="26.54296875" customWidth="1"/>
    <col min="26" max="26" width="15.54296875" customWidth="1"/>
    <col min="27" max="27" width="24" customWidth="1"/>
    <col min="29" max="29" width="18" customWidth="1"/>
    <col min="31" max="31" width="17.1796875" customWidth="1"/>
    <col min="32" max="32" width="14" customWidth="1"/>
    <col min="33" max="33" width="17" customWidth="1"/>
  </cols>
  <sheetData>
    <row r="1" spans="1:34" ht="15" thickBot="1" x14ac:dyDescent="0.4">
      <c r="A1" s="9" t="s">
        <v>316</v>
      </c>
      <c r="B1" s="9" t="s">
        <v>225</v>
      </c>
      <c r="C1" t="s">
        <v>290</v>
      </c>
      <c r="D1" t="s">
        <v>320</v>
      </c>
      <c r="E1" t="s">
        <v>321</v>
      </c>
      <c r="F1" t="s">
        <v>234</v>
      </c>
      <c r="G1" t="s">
        <v>291</v>
      </c>
      <c r="H1" t="s">
        <v>292</v>
      </c>
      <c r="I1" s="48" t="s">
        <v>18</v>
      </c>
      <c r="J1" s="25" t="s">
        <v>386</v>
      </c>
      <c r="K1" s="26" t="s">
        <v>293</v>
      </c>
      <c r="L1" s="32" t="s">
        <v>324</v>
      </c>
      <c r="M1" s="57" t="s">
        <v>294</v>
      </c>
      <c r="N1" s="57" t="s">
        <v>295</v>
      </c>
      <c r="O1" s="57" t="s">
        <v>296</v>
      </c>
      <c r="P1" s="57" t="s">
        <v>300</v>
      </c>
      <c r="Q1" s="57" t="s">
        <v>297</v>
      </c>
      <c r="R1" s="58" t="s">
        <v>301</v>
      </c>
      <c r="S1" s="57" t="s">
        <v>298</v>
      </c>
      <c r="T1" s="57" t="s">
        <v>302</v>
      </c>
      <c r="U1" s="57" t="s">
        <v>299</v>
      </c>
      <c r="V1" s="94" t="s">
        <v>303</v>
      </c>
      <c r="W1" s="72" t="s">
        <v>304</v>
      </c>
      <c r="X1" s="72" t="s">
        <v>310</v>
      </c>
      <c r="Y1" s="54" t="s">
        <v>305</v>
      </c>
      <c r="Z1" s="54" t="s">
        <v>311</v>
      </c>
      <c r="AA1" s="54" t="s">
        <v>306</v>
      </c>
      <c r="AB1" s="54" t="s">
        <v>312</v>
      </c>
      <c r="AC1" s="55" t="s">
        <v>307</v>
      </c>
      <c r="AD1" s="55" t="s">
        <v>313</v>
      </c>
      <c r="AE1" s="55" t="s">
        <v>308</v>
      </c>
      <c r="AF1" s="55" t="s">
        <v>314</v>
      </c>
      <c r="AG1" s="55" t="s">
        <v>309</v>
      </c>
      <c r="AH1" s="56" t="s">
        <v>315</v>
      </c>
    </row>
    <row r="2" spans="1:34" x14ac:dyDescent="0.35">
      <c r="A2" s="97" t="b">
        <v>1</v>
      </c>
      <c r="B2" s="117" t="s">
        <v>455</v>
      </c>
      <c r="C2" s="49" t="str">
        <f>LEFT(B2,2)&amp;"_"&amp;LEFT(D2,3)&amp;"_"&amp;LEFT(F2,3)</f>
        <v>00_Env_BB</v>
      </c>
      <c r="D2" s="51" t="s">
        <v>426</v>
      </c>
      <c r="E2" s="92"/>
      <c r="F2" s="51" t="s">
        <v>353</v>
      </c>
      <c r="G2" s="51" t="s">
        <v>348</v>
      </c>
      <c r="H2" s="51"/>
      <c r="I2" s="92"/>
      <c r="J2" s="95" t="s">
        <v>389</v>
      </c>
      <c r="K2" s="51" t="s">
        <v>71</v>
      </c>
      <c r="L2" s="99" t="s">
        <v>71</v>
      </c>
      <c r="M2" s="51" t="s">
        <v>231</v>
      </c>
      <c r="N2" s="50" t="e">
        <f>_xlfn.XLOOKUP(M2,Tab_Def_Flows[Name(EN)],Tab_Def_Flows[Flow_ID],,0,)</f>
        <v>#N/A</v>
      </c>
      <c r="O2" s="51" t="s">
        <v>231</v>
      </c>
      <c r="P2" s="50" t="e">
        <f>_xlfn.XLOOKUP(O2,Tab_Def_Flows[Name(EN)],Tab_Def_Flows[Flow_ID],,0,)</f>
        <v>#N/A</v>
      </c>
      <c r="Q2" s="51" t="s">
        <v>231</v>
      </c>
      <c r="R2" s="50" t="e">
        <f>_xlfn.XLOOKUP(Q2,Tab_Def_Flows[Name(EN)],Tab_Def_Flows[Flow_ID],,0,)</f>
        <v>#N/A</v>
      </c>
      <c r="S2" s="51" t="s">
        <v>231</v>
      </c>
      <c r="T2" s="50" t="e">
        <f>_xlfn.XLOOKUP(S2,Tab_Def_Flows[Name(EN)],Tab_Def_Flows[Flow_ID],,0,)</f>
        <v>#N/A</v>
      </c>
      <c r="U2" s="51" t="s">
        <v>231</v>
      </c>
      <c r="V2" s="59" t="e">
        <f>_xlfn.XLOOKUP(U2,Tab_Def_Flows[Name(EN)],Tab_Def_Flows[Flow_ID],,0,)</f>
        <v>#N/A</v>
      </c>
      <c r="W2" s="51" t="s">
        <v>427</v>
      </c>
      <c r="X2" s="52" t="str">
        <f>_xlfn.XLOOKUP(W2,Tab_Def_Flows[Name(EN)],Tab_Def_Flows[Flow_ID],,0,)</f>
        <v>F_00_13</v>
      </c>
      <c r="Y2" s="51" t="s">
        <v>428</v>
      </c>
      <c r="Z2" s="52" t="str">
        <f>_xlfn.XLOOKUP(Y2,Tab_Def_Flows[Name(EN)],Tab_Def_Flows[Flow_ID],,0,)</f>
        <v>F_00_04</v>
      </c>
      <c r="AA2" s="51" t="s">
        <v>429</v>
      </c>
      <c r="AB2" s="52" t="str">
        <f>_xlfn.XLOOKUP(AA2,Tab_Def_Flows[Name(EN)],Tab_Def_Flows[Flow_ID],,0,)</f>
        <v>F_00_11</v>
      </c>
      <c r="AC2" s="51" t="s">
        <v>430</v>
      </c>
      <c r="AD2" s="52" t="str">
        <f>_xlfn.XLOOKUP(AC2,Tab_Def_Flows[Name(EN)],Tab_Def_Flows[Flow_ID],,0,)</f>
        <v>F_00_08</v>
      </c>
      <c r="AE2" s="51" t="s">
        <v>231</v>
      </c>
      <c r="AF2" s="52" t="e">
        <f>_xlfn.XLOOKUP(AE2,Tab_Def_Flows[Name(EN)],Tab_Def_Flows[Flow_ID],,0,)</f>
        <v>#N/A</v>
      </c>
      <c r="AG2" s="51" t="s">
        <v>231</v>
      </c>
      <c r="AH2" s="53" t="e">
        <f>_xlfn.XLOOKUP(AG2,Tab_Def_Flows[Name(EN)],Tab_Def_Flows[Flow_ID],,0,)</f>
        <v>#N/A</v>
      </c>
    </row>
    <row r="3" spans="1:34" x14ac:dyDescent="0.35">
      <c r="A3" s="97" t="b">
        <v>1</v>
      </c>
      <c r="B3" s="117" t="s">
        <v>431</v>
      </c>
      <c r="C3" s="49" t="str">
        <f t="shared" ref="C3:C58" si="0">LEFT(B3,2)&amp;"_"&amp;LEFT(D3,3)&amp;"_"&amp;LEFT(F3,3)</f>
        <v>01_Bio_BB</v>
      </c>
      <c r="D3" s="51" t="s">
        <v>346</v>
      </c>
      <c r="E3" s="92"/>
      <c r="F3" s="51" t="s">
        <v>353</v>
      </c>
      <c r="G3" s="51" t="s">
        <v>350</v>
      </c>
      <c r="H3" s="51" t="s">
        <v>174</v>
      </c>
      <c r="I3" s="92"/>
      <c r="J3" s="95" t="s">
        <v>387</v>
      </c>
      <c r="K3" s="51" t="s">
        <v>68</v>
      </c>
      <c r="L3" s="99" t="s">
        <v>71</v>
      </c>
      <c r="M3" s="51" t="s">
        <v>335</v>
      </c>
      <c r="N3" s="49" t="str">
        <f>_xlfn.XLOOKUP(M3,Tab_Def_Flows[Name(EN)],Tab_Def_Flows[Flow_ID],,0,)</f>
        <v>F_20_01</v>
      </c>
      <c r="O3" s="51" t="s">
        <v>337</v>
      </c>
      <c r="P3" s="49" t="str">
        <f>_xlfn.XLOOKUP(O3,Tab_Def_Flows[Name(EN)],Tab_Def_Flows[Flow_ID],,0,)</f>
        <v>F_04_01</v>
      </c>
      <c r="Q3" s="51" t="s">
        <v>231</v>
      </c>
      <c r="R3" s="49" t="e">
        <f>_xlfn.XLOOKUP(Q3,Tab_Def_Flows[Name(EN)],Tab_Def_Flows[Flow_ID],,0,)</f>
        <v>#N/A</v>
      </c>
      <c r="S3" s="51" t="s">
        <v>231</v>
      </c>
      <c r="T3" s="49" t="e">
        <f>_xlfn.XLOOKUP(S3,Tab_Def_Flows[Name(EN)],Tab_Def_Flows[Flow_ID],,0,)</f>
        <v>#N/A</v>
      </c>
      <c r="U3" s="51" t="s">
        <v>231</v>
      </c>
      <c r="V3" s="53" t="e">
        <f>_xlfn.XLOOKUP(U3,Tab_Def_Flows[Name(EN)],Tab_Def_Flows[Flow_ID],,0,)</f>
        <v>#N/A</v>
      </c>
      <c r="W3" s="51" t="s">
        <v>338</v>
      </c>
      <c r="X3" s="49" t="str">
        <f>_xlfn.XLOOKUP(W3,Tab_Def_Flows[Name(EN)],Tab_Def_Flows[Flow_ID],,0,)</f>
        <v>F_01_05</v>
      </c>
      <c r="Y3" s="51" t="s">
        <v>339</v>
      </c>
      <c r="Z3" s="49" t="str">
        <f>_xlfn.XLOOKUP(Y3,Tab_Def_Flows[Name(EN)],Tab_Def_Flows[Flow_ID],,0,)</f>
        <v>F_01_02</v>
      </c>
      <c r="AA3" s="51" t="s">
        <v>231</v>
      </c>
      <c r="AB3" s="49" t="e">
        <f>_xlfn.XLOOKUP(AA3,Tab_Def_Flows[Name(EN)],Tab_Def_Flows[Flow_ID],,0,)</f>
        <v>#N/A</v>
      </c>
      <c r="AC3" s="51" t="s">
        <v>231</v>
      </c>
      <c r="AD3" s="49" t="e">
        <f>_xlfn.XLOOKUP(AC3,Tab_Def_Flows[Name(EN)],Tab_Def_Flows[Flow_ID],,0,)</f>
        <v>#N/A</v>
      </c>
      <c r="AE3" s="51" t="s">
        <v>231</v>
      </c>
      <c r="AF3" s="49" t="e">
        <f>_xlfn.XLOOKUP(AE3,Tab_Def_Flows[Name(EN)],Tab_Def_Flows[Flow_ID],,0,)</f>
        <v>#N/A</v>
      </c>
      <c r="AG3" s="51" t="s">
        <v>231</v>
      </c>
      <c r="AH3" s="53" t="e">
        <f>_xlfn.XLOOKUP(AG3,Tab_Def_Flows[Name(EN)],Tab_Def_Flows[Flow_ID],,0,)</f>
        <v>#N/A</v>
      </c>
    </row>
    <row r="4" spans="1:34" x14ac:dyDescent="0.35">
      <c r="A4" s="97" t="b">
        <v>1</v>
      </c>
      <c r="B4" s="117" t="s">
        <v>432</v>
      </c>
      <c r="C4" s="49" t="str">
        <f t="shared" si="0"/>
        <v>02_MBC_BB</v>
      </c>
      <c r="D4" s="51" t="s">
        <v>347</v>
      </c>
      <c r="E4" s="92"/>
      <c r="F4" s="51" t="s">
        <v>353</v>
      </c>
      <c r="G4" s="51" t="s">
        <v>350</v>
      </c>
      <c r="H4" s="51" t="s">
        <v>174</v>
      </c>
      <c r="I4" s="92"/>
      <c r="J4" s="95" t="s">
        <v>387</v>
      </c>
      <c r="K4" s="51" t="s">
        <v>68</v>
      </c>
      <c r="L4" s="99" t="s">
        <v>71</v>
      </c>
      <c r="M4" s="51" t="s">
        <v>339</v>
      </c>
      <c r="N4" s="49" t="str">
        <f>_xlfn.XLOOKUP(M4,Tab_Def_Flows[Name(EN)],Tab_Def_Flows[Flow_ID],,0,)</f>
        <v>F_01_02</v>
      </c>
      <c r="O4" s="51" t="s">
        <v>341</v>
      </c>
      <c r="P4" s="49" t="str">
        <f>_xlfn.XLOOKUP(O4,Tab_Def_Flows[Name(EN)],Tab_Def_Flows[Flow_ID],,0,)</f>
        <v>F_11_02</v>
      </c>
      <c r="Q4" s="51" t="s">
        <v>343</v>
      </c>
      <c r="R4" s="49" t="str">
        <f>_xlfn.XLOOKUP(Q4,Tab_Def_Flows[Name(EN)],Tab_Def_Flows[Flow_ID],,0,)</f>
        <v>F_08_02</v>
      </c>
      <c r="S4" s="51" t="s">
        <v>231</v>
      </c>
      <c r="T4" s="49" t="e">
        <f>_xlfn.XLOOKUP(S4,Tab_Def_Flows[Name(EN)],Tab_Def_Flows[Flow_ID],,0,)</f>
        <v>#N/A</v>
      </c>
      <c r="U4" s="51" t="s">
        <v>231</v>
      </c>
      <c r="V4" s="53" t="e">
        <f>_xlfn.XLOOKUP(U4,Tab_Def_Flows[Name(EN)],Tab_Def_Flows[Flow_ID],,0,)</f>
        <v>#N/A</v>
      </c>
      <c r="W4" s="51" t="s">
        <v>393</v>
      </c>
      <c r="X4" s="49" t="str">
        <f>_xlfn.XLOOKUP(W4,Tab_Def_Flows[Name(EN)],Tab_Def_Flows[Flow_ID],,0,)</f>
        <v>F_02_03</v>
      </c>
      <c r="Y4" s="51" t="s">
        <v>340</v>
      </c>
      <c r="Z4" s="49" t="str">
        <f>_xlfn.XLOOKUP(Y4,Tab_Def_Flows[Name(EN)],Tab_Def_Flows[Flow_ID],,0,)</f>
        <v>F_02_06</v>
      </c>
      <c r="AA4" s="51" t="s">
        <v>344</v>
      </c>
      <c r="AB4" s="49" t="str">
        <f>_xlfn.XLOOKUP(AA4,Tab_Def_Flows[Name(EN)],Tab_Def_Flows[Flow_ID],,0,)</f>
        <v>F_02_14</v>
      </c>
      <c r="AC4" s="51" t="s">
        <v>367</v>
      </c>
      <c r="AD4" s="49" t="str">
        <f>_xlfn.XLOOKUP(AC4,Tab_Def_Flows[Name(EN)],Tab_Def_Flows[Flow_ID],,0,)</f>
        <v>F_02_12</v>
      </c>
      <c r="AE4" s="51" t="s">
        <v>231</v>
      </c>
      <c r="AF4" s="49" t="e">
        <f>_xlfn.XLOOKUP(AE4,Tab_Def_Flows[Name(EN)],Tab_Def_Flows[Flow_ID],,0,)</f>
        <v>#N/A</v>
      </c>
      <c r="AG4" s="51" t="s">
        <v>231</v>
      </c>
      <c r="AH4" s="53" t="e">
        <f>_xlfn.XLOOKUP(AG4,Tab_Def_Flows[Name(EN)],Tab_Def_Flows[Flow_ID],,0,)</f>
        <v>#N/A</v>
      </c>
    </row>
    <row r="5" spans="1:34" x14ac:dyDescent="0.35">
      <c r="A5" s="97" t="b">
        <v>1</v>
      </c>
      <c r="B5" s="117" t="s">
        <v>433</v>
      </c>
      <c r="C5" s="49" t="str">
        <f t="shared" si="0"/>
        <v>03_MBC_BB</v>
      </c>
      <c r="D5" s="51" t="s">
        <v>440</v>
      </c>
      <c r="E5" s="92"/>
      <c r="F5" s="51" t="s">
        <v>353</v>
      </c>
      <c r="G5" s="51" t="s">
        <v>350</v>
      </c>
      <c r="H5" s="51" t="s">
        <v>177</v>
      </c>
      <c r="I5" s="92"/>
      <c r="J5" s="95" t="s">
        <v>387</v>
      </c>
      <c r="K5" s="51" t="s">
        <v>68</v>
      </c>
      <c r="L5" s="99" t="s">
        <v>68</v>
      </c>
      <c r="M5" s="51" t="s">
        <v>393</v>
      </c>
      <c r="N5" s="52" t="str">
        <f>_xlfn.XLOOKUP(M5,Tab_Def_Flows[Name(EN)],Tab_Def_Flows[Flow_ID],,0,)</f>
        <v>F_02_03</v>
      </c>
      <c r="O5" s="51" t="s">
        <v>231</v>
      </c>
      <c r="P5" s="52" t="e">
        <f>_xlfn.XLOOKUP(O5,Tab_Def_Flows[Name(EN)],Tab_Def_Flows[Flow_ID],,0,)</f>
        <v>#N/A</v>
      </c>
      <c r="Q5" s="51" t="s">
        <v>231</v>
      </c>
      <c r="R5" s="52" t="e">
        <f>_xlfn.XLOOKUP(Q5,Tab_Def_Flows[Name(EN)],Tab_Def_Flows[Flow_ID],,0,)</f>
        <v>#N/A</v>
      </c>
      <c r="S5" s="51" t="s">
        <v>231</v>
      </c>
      <c r="T5" s="52" t="e">
        <f>_xlfn.XLOOKUP(S5,Tab_Def_Flows[Name(EN)],Tab_Def_Flows[Flow_ID],,0,)</f>
        <v>#N/A</v>
      </c>
      <c r="U5" s="51" t="s">
        <v>231</v>
      </c>
      <c r="V5" s="53" t="e">
        <f>_xlfn.XLOOKUP(U5,Tab_Def_Flows[Name(EN)],Tab_Def_Flows[Flow_ID],,0,)</f>
        <v>#N/A</v>
      </c>
      <c r="W5" s="51" t="s">
        <v>394</v>
      </c>
      <c r="X5" s="52" t="str">
        <f>_xlfn.XLOOKUP(W5,Tab_Def_Flows[Name(EN)],Tab_Def_Flows[Flow_ID],,0,)</f>
        <v>F_03_07</v>
      </c>
      <c r="Y5" s="51" t="s">
        <v>231</v>
      </c>
      <c r="Z5" s="52" t="e">
        <f>_xlfn.XLOOKUP(Y5,Tab_Def_Flows[Name(EN)],Tab_Def_Flows[Flow_ID],,0,)</f>
        <v>#N/A</v>
      </c>
      <c r="AA5" s="51" t="s">
        <v>231</v>
      </c>
      <c r="AB5" s="52" t="e">
        <f>_xlfn.XLOOKUP(AA5,Tab_Def_Flows[Name(EN)],Tab_Def_Flows[Flow_ID],,0,)</f>
        <v>#N/A</v>
      </c>
      <c r="AC5" s="51" t="s">
        <v>231</v>
      </c>
      <c r="AD5" s="52" t="e">
        <f>_xlfn.XLOOKUP(AC5,Tab_Def_Flows[Name(EN)],Tab_Def_Flows[Flow_ID],,0,)</f>
        <v>#N/A</v>
      </c>
      <c r="AE5" s="51" t="s">
        <v>231</v>
      </c>
      <c r="AF5" s="52" t="e">
        <f>_xlfn.XLOOKUP(AE5,Tab_Def_Flows[Name(EN)],Tab_Def_Flows[Flow_ID],,0,)</f>
        <v>#N/A</v>
      </c>
      <c r="AG5" s="51" t="s">
        <v>231</v>
      </c>
      <c r="AH5" s="53" t="e">
        <f>_xlfn.XLOOKUP(AG5,Tab_Def_Flows[Name(EN)],Tab_Def_Flows[Flow_ID],,0,)</f>
        <v>#N/A</v>
      </c>
    </row>
    <row r="6" spans="1:34" x14ac:dyDescent="0.35">
      <c r="A6" s="97" t="b">
        <v>1</v>
      </c>
      <c r="B6" s="117" t="s">
        <v>434</v>
      </c>
      <c r="C6" s="49" t="str">
        <f t="shared" si="0"/>
        <v>04_Lif_BB</v>
      </c>
      <c r="D6" s="51" t="s">
        <v>441</v>
      </c>
      <c r="E6" s="92"/>
      <c r="F6" s="51" t="s">
        <v>353</v>
      </c>
      <c r="G6" s="51" t="s">
        <v>350</v>
      </c>
      <c r="H6" s="51"/>
      <c r="I6" s="92"/>
      <c r="J6" s="95" t="s">
        <v>387</v>
      </c>
      <c r="K6" s="51" t="s">
        <v>71</v>
      </c>
      <c r="L6" s="99" t="s">
        <v>71</v>
      </c>
      <c r="M6" s="51" t="s">
        <v>428</v>
      </c>
      <c r="N6" s="52" t="str">
        <f>_xlfn.XLOOKUP(M6,Tab_Def_Flows[Name(EN)],Tab_Def_Flows[Flow_ID],,0,)</f>
        <v>F_00_04</v>
      </c>
      <c r="O6" s="51" t="s">
        <v>231</v>
      </c>
      <c r="P6" s="52" t="e">
        <f>_xlfn.XLOOKUP(O6,Tab_Def_Flows[Name(EN)],Tab_Def_Flows[Flow_ID],,0,)</f>
        <v>#N/A</v>
      </c>
      <c r="Q6" s="51" t="s">
        <v>231</v>
      </c>
      <c r="R6" s="52" t="e">
        <f>_xlfn.XLOOKUP(Q6,Tab_Def_Flows[Name(EN)],Tab_Def_Flows[Flow_ID],,0,)</f>
        <v>#N/A</v>
      </c>
      <c r="S6" s="51" t="s">
        <v>231</v>
      </c>
      <c r="T6" s="52" t="e">
        <f>_xlfn.XLOOKUP(S6,Tab_Def_Flows[Name(EN)],Tab_Def_Flows[Flow_ID],,0,)</f>
        <v>#N/A</v>
      </c>
      <c r="U6" s="51" t="s">
        <v>231</v>
      </c>
      <c r="V6" s="53" t="e">
        <f>_xlfn.XLOOKUP(U6,Tab_Def_Flows[Name(EN)],Tab_Def_Flows[Flow_ID],,0,)</f>
        <v>#N/A</v>
      </c>
      <c r="W6" s="51" t="s">
        <v>428</v>
      </c>
      <c r="X6" s="52" t="str">
        <f>_xlfn.XLOOKUP(W6,Tab_Def_Flows[Name(EN)],Tab_Def_Flows[Flow_ID],,0,)</f>
        <v>F_00_04</v>
      </c>
      <c r="Y6" s="51" t="s">
        <v>231</v>
      </c>
      <c r="Z6" s="52" t="e">
        <f>_xlfn.XLOOKUP(Y6,Tab_Def_Flows[Name(EN)],Tab_Def_Flows[Flow_ID],,0,)</f>
        <v>#N/A</v>
      </c>
      <c r="AA6" s="51" t="s">
        <v>231</v>
      </c>
      <c r="AB6" s="52" t="e">
        <f>_xlfn.XLOOKUP(AA6,Tab_Def_Flows[Name(EN)],Tab_Def_Flows[Flow_ID],,0,)</f>
        <v>#N/A</v>
      </c>
      <c r="AC6" s="51" t="s">
        <v>231</v>
      </c>
      <c r="AD6" s="52" t="e">
        <f>_xlfn.XLOOKUP(AC6,Tab_Def_Flows[Name(EN)],Tab_Def_Flows[Flow_ID],,0,)</f>
        <v>#N/A</v>
      </c>
      <c r="AE6" s="51" t="s">
        <v>231</v>
      </c>
      <c r="AF6" s="52" t="e">
        <f>_xlfn.XLOOKUP(AE6,Tab_Def_Flows[Name(EN)],Tab_Def_Flows[Flow_ID],,0,)</f>
        <v>#N/A</v>
      </c>
      <c r="AG6" s="51" t="s">
        <v>231</v>
      </c>
      <c r="AH6" s="53" t="e">
        <f>_xlfn.XLOOKUP(AG6,Tab_Def_Flows[Name(EN)],Tab_Def_Flows[Flow_ID],,0,)</f>
        <v>#N/A</v>
      </c>
    </row>
    <row r="7" spans="1:34" x14ac:dyDescent="0.35">
      <c r="A7" s="97" t="b">
        <v>1</v>
      </c>
      <c r="B7" s="117" t="s">
        <v>435</v>
      </c>
      <c r="C7" s="49" t="str">
        <f t="shared" si="0"/>
        <v>05_Bio_BB</v>
      </c>
      <c r="D7" s="51" t="s">
        <v>442</v>
      </c>
      <c r="E7" s="92"/>
      <c r="F7" s="51" t="s">
        <v>353</v>
      </c>
      <c r="G7" s="51" t="s">
        <v>350</v>
      </c>
      <c r="H7" s="51"/>
      <c r="I7" s="92"/>
      <c r="J7" s="95" t="s">
        <v>390</v>
      </c>
      <c r="K7" s="51" t="s">
        <v>71</v>
      </c>
      <c r="L7" s="99" t="s">
        <v>68</v>
      </c>
      <c r="M7" s="51" t="s">
        <v>338</v>
      </c>
      <c r="N7" s="49" t="str">
        <f>_xlfn.XLOOKUP(M7,Tab_Def_Flows[Name(EN)],Tab_Def_Flows[Flow_ID],,0,)</f>
        <v>F_01_05</v>
      </c>
      <c r="O7" s="51" t="s">
        <v>231</v>
      </c>
      <c r="P7" s="49" t="e">
        <f>_xlfn.XLOOKUP(O7,Tab_Def_Flows[Name(EN)],Tab_Def_Flows[Flow_ID],,0,)</f>
        <v>#N/A</v>
      </c>
      <c r="Q7" s="51" t="s">
        <v>231</v>
      </c>
      <c r="R7" s="49" t="e">
        <f>_xlfn.XLOOKUP(Q7,Tab_Def_Flows[Name(EN)],Tab_Def_Flows[Flow_ID],,0,)</f>
        <v>#N/A</v>
      </c>
      <c r="S7" s="51" t="s">
        <v>231</v>
      </c>
      <c r="T7" s="49" t="e">
        <f>_xlfn.XLOOKUP(S7,Tab_Def_Flows[Name(EN)],Tab_Def_Flows[Flow_ID],,0,)</f>
        <v>#N/A</v>
      </c>
      <c r="U7" s="51" t="s">
        <v>231</v>
      </c>
      <c r="V7" s="65" t="e">
        <f>_xlfn.XLOOKUP(U7,Tab_Def_Flows[Name(EN)],Tab_Def_Flows[Flow_ID],,0,)</f>
        <v>#N/A</v>
      </c>
      <c r="W7" s="51" t="s">
        <v>231</v>
      </c>
      <c r="X7" s="49" t="e">
        <f>_xlfn.XLOOKUP(W7,Tab_Def_Flows[Name(EN)],Tab_Def_Flows[Flow_ID],,0,)</f>
        <v>#N/A</v>
      </c>
      <c r="Y7" s="51" t="s">
        <v>231</v>
      </c>
      <c r="Z7" s="49" t="e">
        <f>_xlfn.XLOOKUP(Y7,Tab_Def_Flows[Name(EN)],Tab_Def_Flows[Flow_ID],,0,)</f>
        <v>#N/A</v>
      </c>
      <c r="AA7" s="51" t="s">
        <v>231</v>
      </c>
      <c r="AB7" s="49" t="e">
        <f>_xlfn.XLOOKUP(AA7,Tab_Def_Flows[Name(EN)],Tab_Def_Flows[Flow_ID],,0,)</f>
        <v>#N/A</v>
      </c>
      <c r="AC7" s="51" t="s">
        <v>231</v>
      </c>
      <c r="AD7" s="49" t="e">
        <f>_xlfn.XLOOKUP(AC7,Tab_Def_Flows[Name(EN)],Tab_Def_Flows[Flow_ID],,0,)</f>
        <v>#N/A</v>
      </c>
      <c r="AE7" s="51" t="s">
        <v>231</v>
      </c>
      <c r="AF7" s="49" t="e">
        <f>_xlfn.XLOOKUP(AE7,Tab_Def_Flows[Name(EN)],Tab_Def_Flows[Flow_ID],,0,)</f>
        <v>#N/A</v>
      </c>
      <c r="AG7" s="51" t="s">
        <v>231</v>
      </c>
      <c r="AH7" s="53" t="e">
        <f>_xlfn.XLOOKUP(AG7,Tab_Def_Flows[Name(EN)],Tab_Def_Flows[Flow_ID],,0,)</f>
        <v>#N/A</v>
      </c>
    </row>
    <row r="8" spans="1:34" x14ac:dyDescent="0.35">
      <c r="A8" s="97" t="b">
        <v>1</v>
      </c>
      <c r="B8" s="117" t="s">
        <v>436</v>
      </c>
      <c r="C8" s="49" t="str">
        <f t="shared" si="0"/>
        <v>06_EoL_BB</v>
      </c>
      <c r="D8" s="51" t="s">
        <v>443</v>
      </c>
      <c r="E8" s="92"/>
      <c r="F8" s="51" t="s">
        <v>353</v>
      </c>
      <c r="G8" s="51" t="s">
        <v>350</v>
      </c>
      <c r="H8" s="51"/>
      <c r="I8" s="92"/>
      <c r="J8" s="95" t="s">
        <v>390</v>
      </c>
      <c r="K8" s="51" t="s">
        <v>71</v>
      </c>
      <c r="L8" s="99" t="s">
        <v>68</v>
      </c>
      <c r="M8" s="51" t="s">
        <v>340</v>
      </c>
      <c r="N8" s="49" t="str">
        <f>_xlfn.XLOOKUP(M8,Tab_Def_Flows[Name(EN)],Tab_Def_Flows[Flow_ID],,0,)</f>
        <v>F_02_06</v>
      </c>
      <c r="O8" s="51" t="s">
        <v>231</v>
      </c>
      <c r="P8" s="49" t="e">
        <f>_xlfn.XLOOKUP(O8,Tab_Def_Flows[Name(EN)],Tab_Def_Flows[Flow_ID],,0,)</f>
        <v>#N/A</v>
      </c>
      <c r="Q8" s="51" t="s">
        <v>231</v>
      </c>
      <c r="R8" s="49" t="e">
        <f>_xlfn.XLOOKUP(Q8,Tab_Def_Flows[Name(EN)],Tab_Def_Flows[Flow_ID],,0,)</f>
        <v>#N/A</v>
      </c>
      <c r="S8" s="51" t="s">
        <v>231</v>
      </c>
      <c r="T8" s="49" t="e">
        <f>_xlfn.XLOOKUP(S8,Tab_Def_Flows[Name(EN)],Tab_Def_Flows[Flow_ID],,0,)</f>
        <v>#N/A</v>
      </c>
      <c r="U8" s="51" t="s">
        <v>231</v>
      </c>
      <c r="V8" s="61" t="e">
        <f>_xlfn.XLOOKUP(U8,Tab_Def_Flows[Name(EN)],Tab_Def_Flows[Flow_ID],,0,)</f>
        <v>#N/A</v>
      </c>
      <c r="W8" s="51" t="s">
        <v>231</v>
      </c>
      <c r="X8" s="49" t="e">
        <f>_xlfn.XLOOKUP(W8,Tab_Def_Flows[Name(EN)],Tab_Def_Flows[Flow_ID],,0,)</f>
        <v>#N/A</v>
      </c>
      <c r="Y8" s="51" t="s">
        <v>231</v>
      </c>
      <c r="Z8" s="49" t="e">
        <f>_xlfn.XLOOKUP(Y8,Tab_Def_Flows[Name(EN)],Tab_Def_Flows[Flow_ID],,0,)</f>
        <v>#N/A</v>
      </c>
      <c r="AA8" s="51" t="s">
        <v>231</v>
      </c>
      <c r="AB8" s="49" t="e">
        <f>_xlfn.XLOOKUP(AA8,Tab_Def_Flows[Name(EN)],Tab_Def_Flows[Flow_ID],,0,)</f>
        <v>#N/A</v>
      </c>
      <c r="AC8" s="51" t="s">
        <v>231</v>
      </c>
      <c r="AD8" s="49" t="e">
        <f>_xlfn.XLOOKUP(AC8,Tab_Def_Flows[Name(EN)],Tab_Def_Flows[Flow_ID],,0,)</f>
        <v>#N/A</v>
      </c>
      <c r="AE8" s="51" t="s">
        <v>231</v>
      </c>
      <c r="AF8" s="49" t="e">
        <f>_xlfn.XLOOKUP(AE8,Tab_Def_Flows[Name(EN)],Tab_Def_Flows[Flow_ID],,0,)</f>
        <v>#N/A</v>
      </c>
      <c r="AG8" s="51" t="s">
        <v>231</v>
      </c>
      <c r="AH8" s="53" t="e">
        <f>_xlfn.XLOOKUP(AG8,Tab_Def_Flows[Name(EN)],Tab_Def_Flows[Flow_ID],,0,)</f>
        <v>#N/A</v>
      </c>
    </row>
    <row r="9" spans="1:34" x14ac:dyDescent="0.35">
      <c r="A9" s="97" t="b">
        <v>1</v>
      </c>
      <c r="B9" s="117" t="s">
        <v>437</v>
      </c>
      <c r="C9" s="49" t="str">
        <f t="shared" si="0"/>
        <v>07_EoL_BB</v>
      </c>
      <c r="D9" s="51" t="s">
        <v>363</v>
      </c>
      <c r="E9" s="92"/>
      <c r="F9" s="51" t="s">
        <v>353</v>
      </c>
      <c r="G9" s="51" t="s">
        <v>350</v>
      </c>
      <c r="H9" s="51"/>
      <c r="I9" s="92"/>
      <c r="J9" s="95" t="s">
        <v>387</v>
      </c>
      <c r="K9" s="51" t="s">
        <v>68</v>
      </c>
      <c r="L9" s="99" t="s">
        <v>71</v>
      </c>
      <c r="M9" s="51" t="s">
        <v>394</v>
      </c>
      <c r="N9" s="49" t="str">
        <f>_xlfn.XLOOKUP(M9,Tab_Def_Flows[Name(EN)],Tab_Def_Flows[Flow_ID],,0,)</f>
        <v>F_03_07</v>
      </c>
      <c r="O9" s="51" t="s">
        <v>231</v>
      </c>
      <c r="P9" s="49" t="e">
        <f>_xlfn.XLOOKUP(O9,Tab_Def_Flows[Name(EN)],Tab_Def_Flows[Flow_ID],,0,)</f>
        <v>#N/A</v>
      </c>
      <c r="Q9" s="51" t="s">
        <v>231</v>
      </c>
      <c r="R9" s="49" t="e">
        <f>_xlfn.XLOOKUP(Q9,Tab_Def_Flows[Name(EN)],Tab_Def_Flows[Flow_ID],,0,)</f>
        <v>#N/A</v>
      </c>
      <c r="S9" s="51" t="s">
        <v>231</v>
      </c>
      <c r="T9" s="49" t="e">
        <f>_xlfn.XLOOKUP(S9,Tab_Def_Flows[Name(EN)],Tab_Def_Flows[Flow_ID],,0,)</f>
        <v>#N/A</v>
      </c>
      <c r="U9" s="51" t="s">
        <v>231</v>
      </c>
      <c r="V9" s="61" t="e">
        <f>_xlfn.XLOOKUP(U9,Tab_Def_Flows[Name(EN)],Tab_Def_Flows[Flow_ID],,0,)</f>
        <v>#N/A</v>
      </c>
      <c r="W9" s="51" t="s">
        <v>396</v>
      </c>
      <c r="X9" s="49" t="str">
        <f>_xlfn.XLOOKUP(W9,Tab_Def_Flows[Name(EN)],Tab_Def_Flows[Flow_ID],,0,)</f>
        <v>F_07_09</v>
      </c>
      <c r="Y9" s="51" t="s">
        <v>397</v>
      </c>
      <c r="Z9" s="49" t="str">
        <f>_xlfn.XLOOKUP(Y9,Tab_Def_Flows[Name(EN)],Tab_Def_Flows[Flow_ID],,0,)</f>
        <v>F_07_10</v>
      </c>
      <c r="AA9" s="51" t="s">
        <v>231</v>
      </c>
      <c r="AB9" s="49" t="e">
        <f>_xlfn.XLOOKUP(AA9,Tab_Def_Flows[Name(EN)],Tab_Def_Flows[Flow_ID],,0,)</f>
        <v>#N/A</v>
      </c>
      <c r="AC9" s="51" t="s">
        <v>231</v>
      </c>
      <c r="AD9" s="49" t="e">
        <f>_xlfn.XLOOKUP(AC9,Tab_Def_Flows[Name(EN)],Tab_Def_Flows[Flow_ID],,0,)</f>
        <v>#N/A</v>
      </c>
      <c r="AE9" s="51" t="s">
        <v>231</v>
      </c>
      <c r="AF9" s="49" t="e">
        <f>_xlfn.XLOOKUP(AE9,Tab_Def_Flows[Name(EN)],Tab_Def_Flows[Flow_ID],,0,)</f>
        <v>#N/A</v>
      </c>
      <c r="AG9" s="51" t="s">
        <v>231</v>
      </c>
      <c r="AH9" s="53" t="e">
        <f>_xlfn.XLOOKUP(AG9,Tab_Def_Flows[Name(EN)],Tab_Def_Flows[Flow_ID],,0,)</f>
        <v>#N/A</v>
      </c>
    </row>
    <row r="10" spans="1:34" x14ac:dyDescent="0.35">
      <c r="A10" s="97" t="b">
        <v>1</v>
      </c>
      <c r="B10" s="117" t="s">
        <v>438</v>
      </c>
      <c r="C10" s="49" t="str">
        <f t="shared" si="0"/>
        <v>08_Wat_BB</v>
      </c>
      <c r="D10" s="51" t="s">
        <v>444</v>
      </c>
      <c r="E10" s="92"/>
      <c r="F10" s="51" t="s">
        <v>353</v>
      </c>
      <c r="G10" s="51" t="s">
        <v>350</v>
      </c>
      <c r="H10" s="51"/>
      <c r="I10" s="92"/>
      <c r="J10" s="95" t="s">
        <v>387</v>
      </c>
      <c r="K10" s="51" t="s">
        <v>71</v>
      </c>
      <c r="L10" s="99" t="s">
        <v>71</v>
      </c>
      <c r="M10" s="51" t="s">
        <v>430</v>
      </c>
      <c r="N10" s="49" t="str">
        <f>_xlfn.XLOOKUP(M10,Tab_Def_Flows[Name(EN)],Tab_Def_Flows[Flow_ID],,0,)</f>
        <v>F_00_08</v>
      </c>
      <c r="O10" s="51" t="s">
        <v>231</v>
      </c>
      <c r="P10" s="49" t="e">
        <f>_xlfn.XLOOKUP(O10,Tab_Def_Flows[Name(EN)],Tab_Def_Flows[Flow_ID],,0,)</f>
        <v>#N/A</v>
      </c>
      <c r="Q10" s="51" t="s">
        <v>231</v>
      </c>
      <c r="R10" s="49" t="e">
        <f>_xlfn.XLOOKUP(Q10,Tab_Def_Flows[Name(EN)],Tab_Def_Flows[Flow_ID],,0,)</f>
        <v>#N/A</v>
      </c>
      <c r="S10" s="51" t="s">
        <v>231</v>
      </c>
      <c r="T10" s="49" t="e">
        <f>_xlfn.XLOOKUP(S10,Tab_Def_Flows[Name(EN)],Tab_Def_Flows[Flow_ID],,0,)</f>
        <v>#N/A</v>
      </c>
      <c r="U10" s="51" t="s">
        <v>231</v>
      </c>
      <c r="V10" s="61" t="e">
        <f>_xlfn.XLOOKUP(U10,Tab_Def_Flows[Name(EN)],Tab_Def_Flows[Flow_ID],,0,)</f>
        <v>#N/A</v>
      </c>
      <c r="W10" s="51" t="s">
        <v>343</v>
      </c>
      <c r="X10" s="49" t="str">
        <f>_xlfn.XLOOKUP(W10,Tab_Def_Flows[Name(EN)],Tab_Def_Flows[Flow_ID],,0,)</f>
        <v>F_08_02</v>
      </c>
      <c r="Y10" s="51" t="s">
        <v>231</v>
      </c>
      <c r="Z10" s="49" t="e">
        <f>_xlfn.XLOOKUP(Y10,Tab_Def_Flows[Name(EN)],Tab_Def_Flows[Flow_ID],,0,)</f>
        <v>#N/A</v>
      </c>
      <c r="AA10" s="51" t="s">
        <v>231</v>
      </c>
      <c r="AB10" s="49" t="e">
        <f>_xlfn.XLOOKUP(AA10,Tab_Def_Flows[Name(EN)],Tab_Def_Flows[Flow_ID],,0,)</f>
        <v>#N/A</v>
      </c>
      <c r="AC10" s="51" t="s">
        <v>231</v>
      </c>
      <c r="AD10" s="49" t="e">
        <f>_xlfn.XLOOKUP(AC10,Tab_Def_Flows[Name(EN)],Tab_Def_Flows[Flow_ID],,0,)</f>
        <v>#N/A</v>
      </c>
      <c r="AE10" s="51" t="s">
        <v>231</v>
      </c>
      <c r="AF10" s="49" t="e">
        <f>_xlfn.XLOOKUP(AE10,Tab_Def_Flows[Name(EN)],Tab_Def_Flows[Flow_ID],,0,)</f>
        <v>#N/A</v>
      </c>
      <c r="AG10" s="51" t="s">
        <v>231</v>
      </c>
      <c r="AH10" s="53" t="e">
        <f>_xlfn.XLOOKUP(AG10,Tab_Def_Flows[Name(EN)],Tab_Def_Flows[Flow_ID],,0,)</f>
        <v>#N/A</v>
      </c>
    </row>
    <row r="11" spans="1:34" x14ac:dyDescent="0.35">
      <c r="A11" s="97" t="b">
        <v>1</v>
      </c>
      <c r="B11" s="117" t="s">
        <v>439</v>
      </c>
      <c r="C11" s="49" t="str">
        <f t="shared" si="0"/>
        <v>09_Bio_BB</v>
      </c>
      <c r="D11" s="51" t="s">
        <v>364</v>
      </c>
      <c r="E11" s="92"/>
      <c r="F11" s="51" t="s">
        <v>353</v>
      </c>
      <c r="G11" s="51" t="s">
        <v>350</v>
      </c>
      <c r="H11" s="51"/>
      <c r="I11" s="92"/>
      <c r="J11" s="95" t="s">
        <v>387</v>
      </c>
      <c r="K11" s="51" t="s">
        <v>68</v>
      </c>
      <c r="L11" s="99" t="s">
        <v>71</v>
      </c>
      <c r="M11" s="51" t="s">
        <v>396</v>
      </c>
      <c r="N11" s="49" t="str">
        <f>_xlfn.XLOOKUP(M11,Tab_Def_Flows[Name(EN)],Tab_Def_Flows[Flow_ID],,0,)</f>
        <v>F_07_09</v>
      </c>
      <c r="O11" s="51" t="s">
        <v>231</v>
      </c>
      <c r="P11" s="49" t="e">
        <f>_xlfn.XLOOKUP(O11,Tab_Def_Flows[Name(EN)],Tab_Def_Flows[Flow_ID],,0,)</f>
        <v>#N/A</v>
      </c>
      <c r="Q11" s="51" t="s">
        <v>231</v>
      </c>
      <c r="R11" s="49" t="e">
        <f>_xlfn.XLOOKUP(Q11,Tab_Def_Flows[Name(EN)],Tab_Def_Flows[Flow_ID],,0,)</f>
        <v>#N/A</v>
      </c>
      <c r="S11" s="51" t="s">
        <v>231</v>
      </c>
      <c r="T11" s="49" t="e">
        <f>_xlfn.XLOOKUP(S11,Tab_Def_Flows[Name(EN)],Tab_Def_Flows[Flow_ID],,0,)</f>
        <v>#N/A</v>
      </c>
      <c r="U11" s="51" t="s">
        <v>231</v>
      </c>
      <c r="V11" s="61" t="e">
        <f>_xlfn.XLOOKUP(U11,Tab_Def_Flows[Name(EN)],Tab_Def_Flows[Flow_ID],,0,)</f>
        <v>#N/A</v>
      </c>
      <c r="W11" s="51" t="s">
        <v>399</v>
      </c>
      <c r="X11" s="49" t="str">
        <f>_xlfn.XLOOKUP(W11,Tab_Def_Flows[Name(EN)],Tab_Def_Flows[Flow_ID],,0,)</f>
        <v>F_09_17</v>
      </c>
      <c r="Y11" s="51" t="s">
        <v>503</v>
      </c>
      <c r="Z11" s="49" t="str">
        <f>_xlfn.XLOOKUP(Y11,Tab_Def_Flows[Name(EN)],Tab_Def_Flows[Flow_ID],,0,)</f>
        <v>F_09_19</v>
      </c>
      <c r="AA11" s="51" t="s">
        <v>231</v>
      </c>
      <c r="AB11" s="49" t="e">
        <f>_xlfn.XLOOKUP(AA11,Tab_Def_Flows[Name(EN)],Tab_Def_Flows[Flow_ID],,0,)</f>
        <v>#N/A</v>
      </c>
      <c r="AC11" s="51" t="s">
        <v>231</v>
      </c>
      <c r="AD11" s="49" t="e">
        <f>_xlfn.XLOOKUP(AC11,Tab_Def_Flows[Name(EN)],Tab_Def_Flows[Flow_ID],,0,)</f>
        <v>#N/A</v>
      </c>
      <c r="AE11" s="51" t="s">
        <v>231</v>
      </c>
      <c r="AF11" s="49" t="e">
        <f>_xlfn.XLOOKUP(AE11,Tab_Def_Flows[Name(EN)],Tab_Def_Flows[Flow_ID],,0,)</f>
        <v>#N/A</v>
      </c>
      <c r="AG11" s="51" t="s">
        <v>231</v>
      </c>
      <c r="AH11" s="53" t="e">
        <f>_xlfn.XLOOKUP(AG11,Tab_Def_Flows[Name(EN)],Tab_Def_Flows[Flow_ID],,0,)</f>
        <v>#N/A</v>
      </c>
    </row>
    <row r="12" spans="1:34" x14ac:dyDescent="0.35">
      <c r="A12" s="97" t="b">
        <v>1</v>
      </c>
      <c r="B12" s="117" t="s">
        <v>456</v>
      </c>
      <c r="C12" s="49" t="str">
        <f t="shared" si="0"/>
        <v>10_Bio_BB</v>
      </c>
      <c r="D12" s="51" t="s">
        <v>365</v>
      </c>
      <c r="E12" s="92"/>
      <c r="F12" s="51" t="s">
        <v>353</v>
      </c>
      <c r="G12" s="51" t="s">
        <v>350</v>
      </c>
      <c r="H12" s="51"/>
      <c r="I12" s="92"/>
      <c r="J12" s="95" t="s">
        <v>387</v>
      </c>
      <c r="K12" s="51" t="s">
        <v>68</v>
      </c>
      <c r="L12" s="99" t="s">
        <v>71</v>
      </c>
      <c r="M12" s="51" t="s">
        <v>397</v>
      </c>
      <c r="N12" s="49" t="str">
        <f>_xlfn.XLOOKUP(M12,Tab_Def_Flows[Name(EN)],Tab_Def_Flows[Flow_ID],,0,)</f>
        <v>F_07_10</v>
      </c>
      <c r="O12" s="51" t="s">
        <v>231</v>
      </c>
      <c r="P12" s="49" t="e">
        <f>_xlfn.XLOOKUP(O12,Tab_Def_Flows[Name(EN)],Tab_Def_Flows[Flow_ID],,0,)</f>
        <v>#N/A</v>
      </c>
      <c r="Q12" s="51" t="s">
        <v>231</v>
      </c>
      <c r="R12" s="49" t="e">
        <f>_xlfn.XLOOKUP(Q12,Tab_Def_Flows[Name(EN)],Tab_Def_Flows[Flow_ID],,0,)</f>
        <v>#N/A</v>
      </c>
      <c r="S12" s="51" t="s">
        <v>231</v>
      </c>
      <c r="T12" s="49" t="e">
        <f>_xlfn.XLOOKUP(S12,Tab_Def_Flows[Name(EN)],Tab_Def_Flows[Flow_ID],,0,)</f>
        <v>#N/A</v>
      </c>
      <c r="U12" s="51" t="s">
        <v>231</v>
      </c>
      <c r="V12" s="61" t="e">
        <f>_xlfn.XLOOKUP(U12,Tab_Def_Flows[Name(EN)],Tab_Def_Flows[Flow_ID],,0,)</f>
        <v>#N/A</v>
      </c>
      <c r="W12" s="51" t="s">
        <v>189</v>
      </c>
      <c r="X12" s="49" t="str">
        <f>_xlfn.XLOOKUP(W12,Tab_Def_Flows[Name(EN)],Tab_Def_Flows[Flow_ID],,0,)</f>
        <v>F_10_18</v>
      </c>
      <c r="Y12" s="51" t="s">
        <v>417</v>
      </c>
      <c r="Z12" s="49" t="str">
        <f>_xlfn.XLOOKUP(Y12,Tab_Def_Flows[Name(EN)],Tab_Def_Flows[Flow_ID],,0,)</f>
        <v>F_10_19</v>
      </c>
      <c r="AA12" s="51" t="s">
        <v>231</v>
      </c>
      <c r="AB12" s="49" t="e">
        <f>_xlfn.XLOOKUP(AA12,Tab_Def_Flows[Name(EN)],Tab_Def_Flows[Flow_ID],,0,)</f>
        <v>#N/A</v>
      </c>
      <c r="AC12" s="51" t="s">
        <v>231</v>
      </c>
      <c r="AD12" s="49" t="e">
        <f>_xlfn.XLOOKUP(AC12,Tab_Def_Flows[Name(EN)],Tab_Def_Flows[Flow_ID],,0,)</f>
        <v>#N/A</v>
      </c>
      <c r="AE12" s="51" t="s">
        <v>231</v>
      </c>
      <c r="AF12" s="49" t="e">
        <f>_xlfn.XLOOKUP(AE12,Tab_Def_Flows[Name(EN)],Tab_Def_Flows[Flow_ID],,0,)</f>
        <v>#N/A</v>
      </c>
      <c r="AG12" s="51" t="s">
        <v>231</v>
      </c>
      <c r="AH12" s="53" t="e">
        <f>_xlfn.XLOOKUP(AG12,Tab_Def_Flows[Name(EN)],Tab_Def_Flows[Flow_ID],,0,)</f>
        <v>#N/A</v>
      </c>
    </row>
    <row r="13" spans="1:34" x14ac:dyDescent="0.35">
      <c r="A13" s="97" t="b">
        <v>1</v>
      </c>
      <c r="B13" s="117" t="s">
        <v>457</v>
      </c>
      <c r="C13" s="49" t="str">
        <f t="shared" si="0"/>
        <v>11_Mil_BB</v>
      </c>
      <c r="D13" s="51" t="s">
        <v>445</v>
      </c>
      <c r="E13" s="92"/>
      <c r="F13" s="51" t="s">
        <v>353</v>
      </c>
      <c r="G13" s="51" t="s">
        <v>350</v>
      </c>
      <c r="H13" s="51"/>
      <c r="I13" s="92"/>
      <c r="J13" s="95" t="s">
        <v>387</v>
      </c>
      <c r="K13" s="51" t="s">
        <v>71</v>
      </c>
      <c r="L13" s="99" t="s">
        <v>71</v>
      </c>
      <c r="M13" s="51" t="s">
        <v>429</v>
      </c>
      <c r="N13" s="49" t="str">
        <f>_xlfn.XLOOKUP(M13,Tab_Def_Flows[Name(EN)],Tab_Def_Flows[Flow_ID],,0,)</f>
        <v>F_00_11</v>
      </c>
      <c r="O13" s="51" t="s">
        <v>231</v>
      </c>
      <c r="P13" s="49" t="e">
        <f>_xlfn.XLOOKUP(O13,Tab_Def_Flows[Name(EN)],Tab_Def_Flows[Flow_ID],,0,)</f>
        <v>#N/A</v>
      </c>
      <c r="Q13" s="51" t="s">
        <v>231</v>
      </c>
      <c r="R13" s="49" t="e">
        <f>_xlfn.XLOOKUP(Q13,Tab_Def_Flows[Name(EN)],Tab_Def_Flows[Flow_ID],,0,)</f>
        <v>#N/A</v>
      </c>
      <c r="S13" s="51" t="s">
        <v>231</v>
      </c>
      <c r="T13" s="49" t="e">
        <f>_xlfn.XLOOKUP(S13,Tab_Def_Flows[Name(EN)],Tab_Def_Flows[Flow_ID],,0,)</f>
        <v>#N/A</v>
      </c>
      <c r="U13" s="51" t="s">
        <v>231</v>
      </c>
      <c r="V13" s="61" t="e">
        <f>_xlfn.XLOOKUP(U13,Tab_Def_Flows[Name(EN)],Tab_Def_Flows[Flow_ID],,0,)</f>
        <v>#N/A</v>
      </c>
      <c r="W13" s="51" t="s">
        <v>341</v>
      </c>
      <c r="X13" s="49" t="str">
        <f>_xlfn.XLOOKUP(W13,Tab_Def_Flows[Name(EN)],Tab_Def_Flows[Flow_ID],,0,)</f>
        <v>F_11_02</v>
      </c>
      <c r="Y13" s="51" t="s">
        <v>231</v>
      </c>
      <c r="Z13" s="49" t="e">
        <f>_xlfn.XLOOKUP(Y13,Tab_Def_Flows[Name(EN)],Tab_Def_Flows[Flow_ID],,0,)</f>
        <v>#N/A</v>
      </c>
      <c r="AA13" s="51" t="s">
        <v>231</v>
      </c>
      <c r="AB13" s="49" t="e">
        <f>_xlfn.XLOOKUP(AA13,Tab_Def_Flows[Name(EN)],Tab_Def_Flows[Flow_ID],,0,)</f>
        <v>#N/A</v>
      </c>
      <c r="AC13" s="51" t="s">
        <v>231</v>
      </c>
      <c r="AD13" s="49" t="e">
        <f>_xlfn.XLOOKUP(AC13,Tab_Def_Flows[Name(EN)],Tab_Def_Flows[Flow_ID],,0,)</f>
        <v>#N/A</v>
      </c>
      <c r="AE13" s="51" t="s">
        <v>231</v>
      </c>
      <c r="AF13" s="49" t="e">
        <f>_xlfn.XLOOKUP(AE13,Tab_Def_Flows[Name(EN)],Tab_Def_Flows[Flow_ID],,0,)</f>
        <v>#N/A</v>
      </c>
      <c r="AG13" s="51" t="s">
        <v>231</v>
      </c>
      <c r="AH13" s="53" t="e">
        <f>_xlfn.XLOOKUP(AG13,Tab_Def_Flows[Name(EN)],Tab_Def_Flows[Flow_ID],,0,)</f>
        <v>#N/A</v>
      </c>
    </row>
    <row r="14" spans="1:34" x14ac:dyDescent="0.35">
      <c r="A14" s="97" t="b">
        <v>1</v>
      </c>
      <c r="B14" s="117" t="s">
        <v>458</v>
      </c>
      <c r="C14" s="49" t="str">
        <f t="shared" si="0"/>
        <v>12_Del_BB</v>
      </c>
      <c r="D14" s="51" t="s">
        <v>392</v>
      </c>
      <c r="E14" s="92"/>
      <c r="F14" s="51" t="s">
        <v>353</v>
      </c>
      <c r="G14" s="51" t="s">
        <v>350</v>
      </c>
      <c r="H14" s="51"/>
      <c r="I14" s="92"/>
      <c r="J14" s="95" t="s">
        <v>390</v>
      </c>
      <c r="K14" s="51" t="s">
        <v>71</v>
      </c>
      <c r="L14" s="99" t="s">
        <v>68</v>
      </c>
      <c r="M14" s="51" t="s">
        <v>367</v>
      </c>
      <c r="N14" s="49" t="str">
        <f>_xlfn.XLOOKUP(M14,Tab_Def_Flows[Name(EN)],Tab_Def_Flows[Flow_ID],,0,)</f>
        <v>F_02_12</v>
      </c>
      <c r="O14" s="51" t="s">
        <v>231</v>
      </c>
      <c r="P14" s="49" t="e">
        <f>_xlfn.XLOOKUP(O14,Tab_Def_Flows[Name(EN)],Tab_Def_Flows[Flow_ID],,0,)</f>
        <v>#N/A</v>
      </c>
      <c r="Q14" s="51" t="s">
        <v>231</v>
      </c>
      <c r="R14" s="49" t="e">
        <f>_xlfn.XLOOKUP(Q14,Tab_Def_Flows[Name(EN)],Tab_Def_Flows[Flow_ID],,0,)</f>
        <v>#N/A</v>
      </c>
      <c r="S14" s="51" t="s">
        <v>231</v>
      </c>
      <c r="T14" s="49" t="e">
        <f>_xlfn.XLOOKUP(S14,Tab_Def_Flows[Name(EN)],Tab_Def_Flows[Flow_ID],,0,)</f>
        <v>#N/A</v>
      </c>
      <c r="U14" s="51" t="s">
        <v>231</v>
      </c>
      <c r="V14" s="61" t="e">
        <f>_xlfn.XLOOKUP(U14,Tab_Def_Flows[Name(EN)],Tab_Def_Flows[Flow_ID],,0,)</f>
        <v>#N/A</v>
      </c>
      <c r="W14" s="51" t="s">
        <v>231</v>
      </c>
      <c r="X14" s="49" t="e">
        <f>_xlfn.XLOOKUP(W14,Tab_Def_Flows[Name(EN)],Tab_Def_Flows[Flow_ID],,0,)</f>
        <v>#N/A</v>
      </c>
      <c r="Y14" s="51" t="s">
        <v>231</v>
      </c>
      <c r="Z14" s="49" t="e">
        <f>_xlfn.XLOOKUP(Y14,Tab_Def_Flows[Name(EN)],Tab_Def_Flows[Flow_ID],,0,)</f>
        <v>#N/A</v>
      </c>
      <c r="AA14" s="51" t="s">
        <v>231</v>
      </c>
      <c r="AB14" s="49" t="e">
        <f>_xlfn.XLOOKUP(AA14,Tab_Def_Flows[Name(EN)],Tab_Def_Flows[Flow_ID],,0,)</f>
        <v>#N/A</v>
      </c>
      <c r="AC14" s="51" t="s">
        <v>231</v>
      </c>
      <c r="AD14" s="49" t="e">
        <f>_xlfn.XLOOKUP(AC14,Tab_Def_Flows[Name(EN)],Tab_Def_Flows[Flow_ID],,0,)</f>
        <v>#N/A</v>
      </c>
      <c r="AE14" s="51" t="s">
        <v>231</v>
      </c>
      <c r="AF14" s="49" t="e">
        <f>_xlfn.XLOOKUP(AE14,Tab_Def_Flows[Name(EN)],Tab_Def_Flows[Flow_ID],,0,)</f>
        <v>#N/A</v>
      </c>
      <c r="AG14" s="51" t="s">
        <v>231</v>
      </c>
      <c r="AH14" s="53" t="e">
        <f>_xlfn.XLOOKUP(AG14,Tab_Def_Flows[Name(EN)],Tab_Def_Flows[Flow_ID],,0,)</f>
        <v>#N/A</v>
      </c>
    </row>
    <row r="15" spans="1:34" x14ac:dyDescent="0.35">
      <c r="A15" s="97" t="b">
        <v>1</v>
      </c>
      <c r="B15" s="117" t="s">
        <v>459</v>
      </c>
      <c r="C15" s="49" t="str">
        <f t="shared" si="0"/>
        <v>13_Rye_BB</v>
      </c>
      <c r="D15" s="51" t="s">
        <v>391</v>
      </c>
      <c r="E15" s="92"/>
      <c r="F15" s="51" t="s">
        <v>353</v>
      </c>
      <c r="G15" s="51" t="s">
        <v>350</v>
      </c>
      <c r="H15" s="51"/>
      <c r="I15" s="92"/>
      <c r="J15" s="95" t="s">
        <v>387</v>
      </c>
      <c r="K15" s="51" t="s">
        <v>71</v>
      </c>
      <c r="L15" s="99" t="s">
        <v>71</v>
      </c>
      <c r="M15" s="51" t="s">
        <v>427</v>
      </c>
      <c r="N15" s="49" t="str">
        <f>_xlfn.XLOOKUP(M15,Tab_Def_Flows[Name(EN)],Tab_Def_Flows[Flow_ID],,0,)</f>
        <v>F_00_13</v>
      </c>
      <c r="O15" s="51" t="s">
        <v>231</v>
      </c>
      <c r="P15" s="49" t="e">
        <f>_xlfn.XLOOKUP(O15,Tab_Def_Flows[Name(EN)],Tab_Def_Flows[Flow_ID],,0,)</f>
        <v>#N/A</v>
      </c>
      <c r="Q15" s="51" t="s">
        <v>231</v>
      </c>
      <c r="R15" s="49" t="e">
        <f>_xlfn.XLOOKUP(Q15,Tab_Def_Flows[Name(EN)],Tab_Def_Flows[Flow_ID],,0,)</f>
        <v>#N/A</v>
      </c>
      <c r="S15" s="51" t="s">
        <v>231</v>
      </c>
      <c r="T15" s="49" t="e">
        <f>_xlfn.XLOOKUP(S15,Tab_Def_Flows[Name(EN)],Tab_Def_Flows[Flow_ID],,0,)</f>
        <v>#N/A</v>
      </c>
      <c r="U15" s="51" t="s">
        <v>231</v>
      </c>
      <c r="V15" s="66" t="e">
        <f>_xlfn.XLOOKUP(U15,Tab_Def_Flows[Name(EN)],Tab_Def_Flows[Flow_ID],,0,)</f>
        <v>#N/A</v>
      </c>
      <c r="W15" s="51" t="s">
        <v>450</v>
      </c>
      <c r="X15" s="49" t="str">
        <f>_xlfn.XLOOKUP(W15,Tab_Def_Flows[Name(EN)],Tab_Def_Flows[Flow_ID],,0,)</f>
        <v>F_13_20</v>
      </c>
      <c r="Y15" s="51" t="s">
        <v>231</v>
      </c>
      <c r="Z15" s="49" t="e">
        <f>_xlfn.XLOOKUP(Y15,Tab_Def_Flows[Name(EN)],Tab_Def_Flows[Flow_ID],,0,)</f>
        <v>#N/A</v>
      </c>
      <c r="AA15" s="51" t="s">
        <v>231</v>
      </c>
      <c r="AB15" s="49" t="e">
        <f>_xlfn.XLOOKUP(AA15,Tab_Def_Flows[Name(EN)],Tab_Def_Flows[Flow_ID],,0,)</f>
        <v>#N/A</v>
      </c>
      <c r="AC15" s="51" t="s">
        <v>231</v>
      </c>
      <c r="AD15" s="49" t="e">
        <f>_xlfn.XLOOKUP(AC15,Tab_Def_Flows[Name(EN)],Tab_Def_Flows[Flow_ID],,0,)</f>
        <v>#N/A</v>
      </c>
      <c r="AE15" s="51" t="s">
        <v>231</v>
      </c>
      <c r="AF15" s="49" t="e">
        <f>_xlfn.XLOOKUP(AE15,Tab_Def_Flows[Name(EN)],Tab_Def_Flows[Flow_ID],,0,)</f>
        <v>#N/A</v>
      </c>
      <c r="AG15" s="51" t="s">
        <v>231</v>
      </c>
      <c r="AH15" s="53" t="e">
        <f>_xlfn.XLOOKUP(AG15,Tab_Def_Flows[Name(EN)],Tab_Def_Flows[Flow_ID],,0,)</f>
        <v>#N/A</v>
      </c>
    </row>
    <row r="16" spans="1:34" x14ac:dyDescent="0.35">
      <c r="A16" s="97" t="b">
        <v>1</v>
      </c>
      <c r="B16" s="117" t="s">
        <v>460</v>
      </c>
      <c r="C16" s="49" t="str">
        <f t="shared" si="0"/>
        <v>14_Wat_BB</v>
      </c>
      <c r="D16" s="51" t="s">
        <v>446</v>
      </c>
      <c r="E16" s="92"/>
      <c r="F16" s="51" t="s">
        <v>353</v>
      </c>
      <c r="G16" s="51" t="s">
        <v>350</v>
      </c>
      <c r="H16" s="51"/>
      <c r="I16" s="92"/>
      <c r="J16" s="95" t="s">
        <v>390</v>
      </c>
      <c r="K16" s="51" t="s">
        <v>71</v>
      </c>
      <c r="L16" s="99" t="s">
        <v>68</v>
      </c>
      <c r="M16" s="51" t="s">
        <v>344</v>
      </c>
      <c r="N16" s="52" t="str">
        <f>_xlfn.XLOOKUP(M16,Tab_Def_Flows[Name(EN)],Tab_Def_Flows[Flow_ID],,0,)</f>
        <v>F_02_14</v>
      </c>
      <c r="O16" s="51" t="s">
        <v>231</v>
      </c>
      <c r="P16" s="52" t="e">
        <f>_xlfn.XLOOKUP(O16,Tab_Def_Flows[Name(EN)],Tab_Def_Flows[Flow_ID],,0,)</f>
        <v>#N/A</v>
      </c>
      <c r="Q16" s="51" t="s">
        <v>231</v>
      </c>
      <c r="R16" s="52" t="e">
        <f>_xlfn.XLOOKUP(Q16,Tab_Def_Flows[Name(EN)],Tab_Def_Flows[Flow_ID],,0,)</f>
        <v>#N/A</v>
      </c>
      <c r="S16" s="51" t="s">
        <v>231</v>
      </c>
      <c r="T16" s="52" t="e">
        <f>_xlfn.XLOOKUP(S16,Tab_Def_Flows[Name(EN)],Tab_Def_Flows[Flow_ID],,0,)</f>
        <v>#N/A</v>
      </c>
      <c r="U16" s="51" t="s">
        <v>231</v>
      </c>
      <c r="V16" s="53" t="e">
        <f>_xlfn.XLOOKUP(U16,Tab_Def_Flows[Name(EN)],Tab_Def_Flows[Flow_ID],,0,)</f>
        <v>#N/A</v>
      </c>
      <c r="W16" s="51" t="s">
        <v>231</v>
      </c>
      <c r="X16" s="52" t="e">
        <f>_xlfn.XLOOKUP(W16,Tab_Def_Flows[Name(EN)],Tab_Def_Flows[Flow_ID],,0,)</f>
        <v>#N/A</v>
      </c>
      <c r="Y16" s="51" t="s">
        <v>231</v>
      </c>
      <c r="Z16" s="52" t="e">
        <f>_xlfn.XLOOKUP(Y16,Tab_Def_Flows[Name(EN)],Tab_Def_Flows[Flow_ID],,0,)</f>
        <v>#N/A</v>
      </c>
      <c r="AA16" s="51" t="s">
        <v>231</v>
      </c>
      <c r="AB16" s="52" t="e">
        <f>_xlfn.XLOOKUP(AA16,Tab_Def_Flows[Name(EN)],Tab_Def_Flows[Flow_ID],,0,)</f>
        <v>#N/A</v>
      </c>
      <c r="AC16" s="51" t="s">
        <v>231</v>
      </c>
      <c r="AD16" s="52" t="e">
        <f>_xlfn.XLOOKUP(AC16,Tab_Def_Flows[Name(EN)],Tab_Def_Flows[Flow_ID],,0,)</f>
        <v>#N/A</v>
      </c>
      <c r="AE16" s="51" t="s">
        <v>231</v>
      </c>
      <c r="AF16" s="52" t="e">
        <f>_xlfn.XLOOKUP(AE16,Tab_Def_Flows[Name(EN)],Tab_Def_Flows[Flow_ID],,0,)</f>
        <v>#N/A</v>
      </c>
      <c r="AG16" s="51" t="s">
        <v>231</v>
      </c>
      <c r="AH16" s="53" t="e">
        <f>_xlfn.XLOOKUP(AG16,Tab_Def_Flows[Name(EN)],Tab_Def_Flows[Flow_ID],,0,)</f>
        <v>#N/A</v>
      </c>
    </row>
    <row r="17" spans="1:34" x14ac:dyDescent="0.35">
      <c r="A17" s="97" t="b">
        <v>1</v>
      </c>
      <c r="B17" s="117" t="s">
        <v>461</v>
      </c>
      <c r="C17" s="49" t="str">
        <f t="shared" si="0"/>
        <v>15_Rye_BB</v>
      </c>
      <c r="D17" s="51" t="s">
        <v>447</v>
      </c>
      <c r="E17" s="92"/>
      <c r="F17" s="51" t="s">
        <v>353</v>
      </c>
      <c r="G17" s="51" t="s">
        <v>350</v>
      </c>
      <c r="H17" s="51"/>
      <c r="I17" s="92"/>
      <c r="J17" s="95" t="s">
        <v>390</v>
      </c>
      <c r="K17" s="51" t="s">
        <v>71</v>
      </c>
      <c r="L17" s="99" t="s">
        <v>68</v>
      </c>
      <c r="M17" s="51" t="s">
        <v>334</v>
      </c>
      <c r="N17" s="52" t="str">
        <f>_xlfn.XLOOKUP(M17,Tab_Def_Flows[Name(EN)],Tab_Def_Flows[Flow_ID],,0,)</f>
        <v>F_20_15</v>
      </c>
      <c r="O17" s="51" t="s">
        <v>231</v>
      </c>
      <c r="P17" s="52" t="e">
        <f>_xlfn.XLOOKUP(O17,Tab_Def_Flows[Name(EN)],Tab_Def_Flows[Flow_ID],,0,)</f>
        <v>#N/A</v>
      </c>
      <c r="Q17" s="51" t="s">
        <v>231</v>
      </c>
      <c r="R17" s="52" t="e">
        <f>_xlfn.XLOOKUP(Q17,Tab_Def_Flows[Name(EN)],Tab_Def_Flows[Flow_ID],,0,)</f>
        <v>#N/A</v>
      </c>
      <c r="S17" s="51" t="s">
        <v>231</v>
      </c>
      <c r="T17" s="52" t="e">
        <f>_xlfn.XLOOKUP(S17,Tab_Def_Flows[Name(EN)],Tab_Def_Flows[Flow_ID],,0,)</f>
        <v>#N/A</v>
      </c>
      <c r="U17" s="51" t="s">
        <v>231</v>
      </c>
      <c r="V17" s="53" t="e">
        <f>_xlfn.XLOOKUP(U17,Tab_Def_Flows[Name(EN)],Tab_Def_Flows[Flow_ID],,0,)</f>
        <v>#N/A</v>
      </c>
      <c r="W17" s="51" t="s">
        <v>231</v>
      </c>
      <c r="X17" s="52" t="e">
        <f>_xlfn.XLOOKUP(W17,Tab_Def_Flows[Name(EN)],Tab_Def_Flows[Flow_ID],,0,)</f>
        <v>#N/A</v>
      </c>
      <c r="Y17" s="51" t="s">
        <v>231</v>
      </c>
      <c r="Z17" s="52" t="e">
        <f>_xlfn.XLOOKUP(Y17,Tab_Def_Flows[Name(EN)],Tab_Def_Flows[Flow_ID],,0,)</f>
        <v>#N/A</v>
      </c>
      <c r="AA17" s="51" t="s">
        <v>231</v>
      </c>
      <c r="AB17" s="52" t="e">
        <f>_xlfn.XLOOKUP(AA17,Tab_Def_Flows[Name(EN)],Tab_Def_Flows[Flow_ID],,0,)</f>
        <v>#N/A</v>
      </c>
      <c r="AC17" s="51" t="s">
        <v>231</v>
      </c>
      <c r="AD17" s="52" t="e">
        <f>_xlfn.XLOOKUP(AC17,Tab_Def_Flows[Name(EN)],Tab_Def_Flows[Flow_ID],,0,)</f>
        <v>#N/A</v>
      </c>
      <c r="AE17" s="51" t="s">
        <v>231</v>
      </c>
      <c r="AF17" s="52" t="e">
        <f>_xlfn.XLOOKUP(AE17,Tab_Def_Flows[Name(EN)],Tab_Def_Flows[Flow_ID],,0,)</f>
        <v>#N/A</v>
      </c>
      <c r="AG17" s="51" t="s">
        <v>231</v>
      </c>
      <c r="AH17" s="53" t="e">
        <f>_xlfn.XLOOKUP(AG17,Tab_Def_Flows[Name(EN)],Tab_Def_Flows[Flow_ID],,0,)</f>
        <v>#N/A</v>
      </c>
    </row>
    <row r="18" spans="1:34" x14ac:dyDescent="0.35">
      <c r="A18" s="97" t="b">
        <v>1</v>
      </c>
      <c r="B18" s="117" t="s">
        <v>462</v>
      </c>
      <c r="C18" s="49" t="str">
        <f t="shared" si="0"/>
        <v>16_Not_BB</v>
      </c>
      <c r="D18" s="51" t="s">
        <v>395</v>
      </c>
      <c r="E18" s="92"/>
      <c r="F18" s="51" t="s">
        <v>353</v>
      </c>
      <c r="G18" s="51" t="s">
        <v>350</v>
      </c>
      <c r="H18" s="51"/>
      <c r="I18" s="92"/>
      <c r="J18" s="95" t="s">
        <v>390</v>
      </c>
      <c r="K18" s="51" t="s">
        <v>71</v>
      </c>
      <c r="L18" s="99" t="s">
        <v>68</v>
      </c>
      <c r="M18" s="51" t="s">
        <v>336</v>
      </c>
      <c r="N18" s="52" t="str">
        <f>_xlfn.XLOOKUP(M18,Tab_Def_Flows[Name(EN)],Tab_Def_Flows[Flow_ID],,0,)</f>
        <v>F_20_16</v>
      </c>
      <c r="O18" s="51" t="s">
        <v>231</v>
      </c>
      <c r="P18" s="52" t="e">
        <f>_xlfn.XLOOKUP(O18,Tab_Def_Flows[Name(EN)],Tab_Def_Flows[Flow_ID],,0,)</f>
        <v>#N/A</v>
      </c>
      <c r="Q18" s="51" t="s">
        <v>231</v>
      </c>
      <c r="R18" s="52" t="e">
        <f>_xlfn.XLOOKUP(Q18,Tab_Def_Flows[Name(EN)],Tab_Def_Flows[Flow_ID],,0,)</f>
        <v>#N/A</v>
      </c>
      <c r="S18" s="51" t="s">
        <v>231</v>
      </c>
      <c r="T18" s="52" t="e">
        <f>_xlfn.XLOOKUP(S18,Tab_Def_Flows[Name(EN)],Tab_Def_Flows[Flow_ID],,0,)</f>
        <v>#N/A</v>
      </c>
      <c r="U18" s="51" t="s">
        <v>231</v>
      </c>
      <c r="V18" s="53" t="e">
        <f>_xlfn.XLOOKUP(U18,Tab_Def_Flows[Name(EN)],Tab_Def_Flows[Flow_ID],,0,)</f>
        <v>#N/A</v>
      </c>
      <c r="W18" s="51" t="s">
        <v>231</v>
      </c>
      <c r="X18" s="52" t="e">
        <f>_xlfn.XLOOKUP(W18,Tab_Def_Flows[Name(EN)],Tab_Def_Flows[Flow_ID],,0,)</f>
        <v>#N/A</v>
      </c>
      <c r="Y18" s="51" t="s">
        <v>231</v>
      </c>
      <c r="Z18" s="52" t="e">
        <f>_xlfn.XLOOKUP(Y18,Tab_Def_Flows[Name(EN)],Tab_Def_Flows[Flow_ID],,0,)</f>
        <v>#N/A</v>
      </c>
      <c r="AA18" s="51" t="s">
        <v>231</v>
      </c>
      <c r="AB18" s="52" t="e">
        <f>_xlfn.XLOOKUP(AA18,Tab_Def_Flows[Name(EN)],Tab_Def_Flows[Flow_ID],,0,)</f>
        <v>#N/A</v>
      </c>
      <c r="AC18" s="51" t="s">
        <v>231</v>
      </c>
      <c r="AD18" s="52" t="e">
        <f>_xlfn.XLOOKUP(AC18,Tab_Def_Flows[Name(EN)],Tab_Def_Flows[Flow_ID],,0,)</f>
        <v>#N/A</v>
      </c>
      <c r="AE18" s="51" t="s">
        <v>231</v>
      </c>
      <c r="AF18" s="52" t="e">
        <f>_xlfn.XLOOKUP(AE18,Tab_Def_Flows[Name(EN)],Tab_Def_Flows[Flow_ID],,0,)</f>
        <v>#N/A</v>
      </c>
      <c r="AG18" s="51" t="s">
        <v>231</v>
      </c>
      <c r="AH18" s="53" t="e">
        <f>_xlfn.XLOOKUP(AG18,Tab_Def_Flows[Name(EN)],Tab_Def_Flows[Flow_ID],,0,)</f>
        <v>#N/A</v>
      </c>
    </row>
    <row r="19" spans="1:34" x14ac:dyDescent="0.35">
      <c r="A19" s="97" t="b">
        <v>1</v>
      </c>
      <c r="B19" s="117" t="s">
        <v>463</v>
      </c>
      <c r="C19" s="49" t="str">
        <f t="shared" si="0"/>
        <v>17_Lit_BB</v>
      </c>
      <c r="D19" s="51" t="s">
        <v>349</v>
      </c>
      <c r="E19" s="92"/>
      <c r="F19" s="51" t="s">
        <v>353</v>
      </c>
      <c r="G19" s="51" t="s">
        <v>350</v>
      </c>
      <c r="H19" s="51"/>
      <c r="I19" s="92"/>
      <c r="J19" s="95" t="s">
        <v>390</v>
      </c>
      <c r="K19" s="51" t="s">
        <v>71</v>
      </c>
      <c r="L19" s="99" t="s">
        <v>68</v>
      </c>
      <c r="M19" s="51" t="s">
        <v>399</v>
      </c>
      <c r="N19" s="52" t="str">
        <f>_xlfn.XLOOKUP(M19,Tab_Def_Flows[Name(EN)],Tab_Def_Flows[Flow_ID],,0,)</f>
        <v>F_09_17</v>
      </c>
      <c r="O19" s="51" t="s">
        <v>231</v>
      </c>
      <c r="P19" s="52" t="e">
        <f>_xlfn.XLOOKUP(O19,Tab_Def_Flows[Name(EN)],Tab_Def_Flows[Flow_ID],,0,)</f>
        <v>#N/A</v>
      </c>
      <c r="Q19" s="51" t="s">
        <v>231</v>
      </c>
      <c r="R19" s="52" t="e">
        <f>_xlfn.XLOOKUP(Q19,Tab_Def_Flows[Name(EN)],Tab_Def_Flows[Flow_ID],,0,)</f>
        <v>#N/A</v>
      </c>
      <c r="S19" s="51" t="s">
        <v>231</v>
      </c>
      <c r="T19" s="52" t="e">
        <f>_xlfn.XLOOKUP(S19,Tab_Def_Flows[Name(EN)],Tab_Def_Flows[Flow_ID],,0,)</f>
        <v>#N/A</v>
      </c>
      <c r="U19" s="51" t="s">
        <v>231</v>
      </c>
      <c r="V19" s="53" t="e">
        <f>_xlfn.XLOOKUP(U19,Tab_Def_Flows[Name(EN)],Tab_Def_Flows[Flow_ID],,0,)</f>
        <v>#N/A</v>
      </c>
      <c r="W19" s="51" t="s">
        <v>231</v>
      </c>
      <c r="X19" s="52" t="e">
        <f>_xlfn.XLOOKUP(W19,Tab_Def_Flows[Name(EN)],Tab_Def_Flows[Flow_ID],,0,)</f>
        <v>#N/A</v>
      </c>
      <c r="Y19" s="51" t="s">
        <v>231</v>
      </c>
      <c r="Z19" s="52" t="e">
        <f>_xlfn.XLOOKUP(Y19,Tab_Def_Flows[Name(EN)],Tab_Def_Flows[Flow_ID],,0,)</f>
        <v>#N/A</v>
      </c>
      <c r="AA19" s="51" t="s">
        <v>231</v>
      </c>
      <c r="AB19" s="52" t="e">
        <f>_xlfn.XLOOKUP(AA19,Tab_Def_Flows[Name(EN)],Tab_Def_Flows[Flow_ID],,0,)</f>
        <v>#N/A</v>
      </c>
      <c r="AC19" s="51" t="s">
        <v>231</v>
      </c>
      <c r="AD19" s="52" t="e">
        <f>_xlfn.XLOOKUP(AC19,Tab_Def_Flows[Name(EN)],Tab_Def_Flows[Flow_ID],,0,)</f>
        <v>#N/A</v>
      </c>
      <c r="AE19" s="51" t="s">
        <v>231</v>
      </c>
      <c r="AF19" s="52" t="e">
        <f>_xlfn.XLOOKUP(AE19,Tab_Def_Flows[Name(EN)],Tab_Def_Flows[Flow_ID],,0,)</f>
        <v>#N/A</v>
      </c>
      <c r="AG19" s="51" t="s">
        <v>231</v>
      </c>
      <c r="AH19" s="53" t="e">
        <f>_xlfn.XLOOKUP(AG19,Tab_Def_Flows[Name(EN)],Tab_Def_Flows[Flow_ID],,0,)</f>
        <v>#N/A</v>
      </c>
    </row>
    <row r="20" spans="1:34" x14ac:dyDescent="0.35">
      <c r="A20" s="97" t="b">
        <v>1</v>
      </c>
      <c r="B20" s="117" t="s">
        <v>464</v>
      </c>
      <c r="C20" s="49" t="str">
        <f t="shared" si="0"/>
        <v>18_Ash_BB</v>
      </c>
      <c r="D20" s="51" t="s">
        <v>448</v>
      </c>
      <c r="E20" s="92"/>
      <c r="F20" s="51" t="s">
        <v>353</v>
      </c>
      <c r="G20" s="51" t="s">
        <v>350</v>
      </c>
      <c r="H20" s="51"/>
      <c r="I20" s="92"/>
      <c r="J20" s="95" t="s">
        <v>390</v>
      </c>
      <c r="K20" s="51" t="s">
        <v>71</v>
      </c>
      <c r="L20" s="99" t="s">
        <v>68</v>
      </c>
      <c r="M20" s="51" t="s">
        <v>189</v>
      </c>
      <c r="N20" s="52" t="str">
        <f>_xlfn.XLOOKUP(M20,Tab_Def_Flows[Name(EN)],Tab_Def_Flows[Flow_ID],,0,)</f>
        <v>F_10_18</v>
      </c>
      <c r="O20" s="51" t="s">
        <v>231</v>
      </c>
      <c r="P20" s="52" t="e">
        <f>_xlfn.XLOOKUP(O20,Tab_Def_Flows[Name(EN)],Tab_Def_Flows[Flow_ID],,0,)</f>
        <v>#N/A</v>
      </c>
      <c r="Q20" s="51" t="s">
        <v>231</v>
      </c>
      <c r="R20" s="52" t="e">
        <f>_xlfn.XLOOKUP(Q20,Tab_Def_Flows[Name(EN)],Tab_Def_Flows[Flow_ID],,0,)</f>
        <v>#N/A</v>
      </c>
      <c r="S20" s="51" t="s">
        <v>231</v>
      </c>
      <c r="T20" s="52" t="e">
        <f>_xlfn.XLOOKUP(S20,Tab_Def_Flows[Name(EN)],Tab_Def_Flows[Flow_ID],,0,)</f>
        <v>#N/A</v>
      </c>
      <c r="U20" s="51" t="s">
        <v>231</v>
      </c>
      <c r="V20" s="53" t="e">
        <f>_xlfn.XLOOKUP(U20,Tab_Def_Flows[Name(EN)],Tab_Def_Flows[Flow_ID],,0,)</f>
        <v>#N/A</v>
      </c>
      <c r="W20" s="51" t="s">
        <v>231</v>
      </c>
      <c r="X20" s="52" t="e">
        <f>_xlfn.XLOOKUP(W20,Tab_Def_Flows[Name(EN)],Tab_Def_Flows[Flow_ID],,0,)</f>
        <v>#N/A</v>
      </c>
      <c r="Y20" s="51" t="s">
        <v>231</v>
      </c>
      <c r="Z20" s="52" t="e">
        <f>_xlfn.XLOOKUP(Y20,Tab_Def_Flows[Name(EN)],Tab_Def_Flows[Flow_ID],,0,)</f>
        <v>#N/A</v>
      </c>
      <c r="AA20" s="51" t="s">
        <v>231</v>
      </c>
      <c r="AB20" s="52" t="e">
        <f>_xlfn.XLOOKUP(AA20,Tab_Def_Flows[Name(EN)],Tab_Def_Flows[Flow_ID],,0,)</f>
        <v>#N/A</v>
      </c>
      <c r="AC20" s="51" t="s">
        <v>231</v>
      </c>
      <c r="AD20" s="52" t="e">
        <f>_xlfn.XLOOKUP(AC20,Tab_Def_Flows[Name(EN)],Tab_Def_Flows[Flow_ID],,0,)</f>
        <v>#N/A</v>
      </c>
      <c r="AE20" s="51" t="s">
        <v>231</v>
      </c>
      <c r="AF20" s="52" t="e">
        <f>_xlfn.XLOOKUP(AE20,Tab_Def_Flows[Name(EN)],Tab_Def_Flows[Flow_ID],,0,)</f>
        <v>#N/A</v>
      </c>
      <c r="AG20" s="51" t="s">
        <v>231</v>
      </c>
      <c r="AH20" s="53" t="e">
        <f>_xlfn.XLOOKUP(AG20,Tab_Def_Flows[Name(EN)],Tab_Def_Flows[Flow_ID],,0,)</f>
        <v>#N/A</v>
      </c>
    </row>
    <row r="21" spans="1:34" ht="15" thickBot="1" x14ac:dyDescent="0.4">
      <c r="A21" s="97" t="b">
        <v>1</v>
      </c>
      <c r="B21" s="117" t="s">
        <v>465</v>
      </c>
      <c r="C21" s="49" t="str">
        <f t="shared" si="0"/>
        <v>19_Atm_BB</v>
      </c>
      <c r="D21" s="51" t="s">
        <v>449</v>
      </c>
      <c r="E21" s="92"/>
      <c r="F21" s="51" t="s">
        <v>353</v>
      </c>
      <c r="G21" s="51" t="s">
        <v>348</v>
      </c>
      <c r="H21" s="51"/>
      <c r="I21" s="92"/>
      <c r="J21" s="95" t="s">
        <v>390</v>
      </c>
      <c r="K21" s="51" t="s">
        <v>71</v>
      </c>
      <c r="L21" s="99" t="s">
        <v>68</v>
      </c>
      <c r="M21" s="51" t="s">
        <v>417</v>
      </c>
      <c r="N21" s="52" t="str">
        <f>_xlfn.XLOOKUP(M21,Tab_Def_Flows[Name(EN)],Tab_Def_Flows[Flow_ID],,0,)</f>
        <v>F_10_19</v>
      </c>
      <c r="O21" s="51" t="s">
        <v>503</v>
      </c>
      <c r="P21" s="52" t="str">
        <f>_xlfn.XLOOKUP(O21,Tab_Def_Flows[Name(EN)],Tab_Def_Flows[Flow_ID],,0,)</f>
        <v>F_09_19</v>
      </c>
      <c r="Q21" s="51" t="s">
        <v>231</v>
      </c>
      <c r="R21" s="52" t="e">
        <f>_xlfn.XLOOKUP(Q21,Tab_Def_Flows[Name(EN)],Tab_Def_Flows[Flow_ID],,0,)</f>
        <v>#N/A</v>
      </c>
      <c r="S21" s="51" t="s">
        <v>231</v>
      </c>
      <c r="T21" s="52" t="e">
        <f>_xlfn.XLOOKUP(S21,Tab_Def_Flows[Name(EN)],Tab_Def_Flows[Flow_ID],,0,)</f>
        <v>#N/A</v>
      </c>
      <c r="U21" s="51" t="s">
        <v>231</v>
      </c>
      <c r="V21" s="53" t="e">
        <f>_xlfn.XLOOKUP(U21,Tab_Def_Flows[Name(EN)],Tab_Def_Flows[Flow_ID],,0,)</f>
        <v>#N/A</v>
      </c>
      <c r="W21" s="51" t="s">
        <v>231</v>
      </c>
      <c r="X21" s="52" t="e">
        <f>_xlfn.XLOOKUP(W21,Tab_Def_Flows[Name(EN)],Tab_Def_Flows[Flow_ID],,0,)</f>
        <v>#N/A</v>
      </c>
      <c r="Y21" s="51" t="s">
        <v>231</v>
      </c>
      <c r="Z21" s="52" t="e">
        <f>_xlfn.XLOOKUP(Y21,Tab_Def_Flows[Name(EN)],Tab_Def_Flows[Flow_ID],,0,)</f>
        <v>#N/A</v>
      </c>
      <c r="AA21" s="51" t="s">
        <v>231</v>
      </c>
      <c r="AB21" s="52" t="e">
        <f>_xlfn.XLOOKUP(AA21,Tab_Def_Flows[Name(EN)],Tab_Def_Flows[Flow_ID],,0,)</f>
        <v>#N/A</v>
      </c>
      <c r="AC21" s="51" t="s">
        <v>231</v>
      </c>
      <c r="AD21" s="52" t="e">
        <f>_xlfn.XLOOKUP(AC21,Tab_Def_Flows[Name(EN)],Tab_Def_Flows[Flow_ID],,0,)</f>
        <v>#N/A</v>
      </c>
      <c r="AE21" s="51" t="s">
        <v>231</v>
      </c>
      <c r="AF21" s="52" t="e">
        <f>_xlfn.XLOOKUP(AE21,Tab_Def_Flows[Name(EN)],Tab_Def_Flows[Flow_ID],,0,)</f>
        <v>#N/A</v>
      </c>
      <c r="AG21" s="51" t="s">
        <v>231</v>
      </c>
      <c r="AH21" s="53" t="e">
        <f>_xlfn.XLOOKUP(AG21,Tab_Def_Flows[Name(EN)],Tab_Def_Flows[Flow_ID],,0,)</f>
        <v>#N/A</v>
      </c>
    </row>
    <row r="22" spans="1:34" x14ac:dyDescent="0.35">
      <c r="A22" s="97" t="b">
        <v>1</v>
      </c>
      <c r="B22" s="117" t="s">
        <v>466</v>
      </c>
      <c r="C22" s="49" t="str">
        <f t="shared" si="0"/>
        <v>20_Rye_BB</v>
      </c>
      <c r="D22" s="51" t="s">
        <v>345</v>
      </c>
      <c r="E22" s="92"/>
      <c r="F22" s="51" t="s">
        <v>353</v>
      </c>
      <c r="G22" s="51" t="s">
        <v>350</v>
      </c>
      <c r="H22" s="51" t="s">
        <v>229</v>
      </c>
      <c r="I22" s="92"/>
      <c r="J22" s="95" t="s">
        <v>387</v>
      </c>
      <c r="K22" s="51" t="s">
        <v>68</v>
      </c>
      <c r="L22" s="99" t="s">
        <v>71</v>
      </c>
      <c r="M22" s="51" t="s">
        <v>450</v>
      </c>
      <c r="N22" s="50" t="str">
        <f>_xlfn.XLOOKUP(M22,Tab_Def_Flows[Name(EN)],Tab_Def_Flows[Flow_ID],,0,)</f>
        <v>F_13_20</v>
      </c>
      <c r="O22" s="51" t="s">
        <v>231</v>
      </c>
      <c r="P22" s="50" t="e">
        <f>_xlfn.XLOOKUP(O22,Tab_Def_Flows[Name(EN)],Tab_Def_Flows[Flow_ID],,0,)</f>
        <v>#N/A</v>
      </c>
      <c r="Q22" s="51" t="s">
        <v>231</v>
      </c>
      <c r="R22" s="50" t="e">
        <f>_xlfn.XLOOKUP(Q22,Tab_Def_Flows[Name(EN)],Tab_Def_Flows[Flow_ID],,0,)</f>
        <v>#N/A</v>
      </c>
      <c r="S22" s="51" t="s">
        <v>231</v>
      </c>
      <c r="T22" s="50" t="e">
        <f>_xlfn.XLOOKUP(S22,Tab_Def_Flows[Name(EN)],Tab_Def_Flows[Flow_ID],,0,)</f>
        <v>#N/A</v>
      </c>
      <c r="U22" s="51" t="s">
        <v>231</v>
      </c>
      <c r="V22" s="59" t="e">
        <f>_xlfn.XLOOKUP(U22,Tab_Def_Flows[Name(EN)],Tab_Def_Flows[Flow_ID],,0,)</f>
        <v>#N/A</v>
      </c>
      <c r="W22" s="51" t="s">
        <v>334</v>
      </c>
      <c r="X22" s="52" t="str">
        <f>_xlfn.XLOOKUP(W22,Tab_Def_Flows[Name(EN)],Tab_Def_Flows[Flow_ID],,0,)</f>
        <v>F_20_15</v>
      </c>
      <c r="Y22" s="51" t="s">
        <v>335</v>
      </c>
      <c r="Z22" s="52" t="str">
        <f>_xlfn.XLOOKUP(Y22,Tab_Def_Flows[Name(EN)],Tab_Def_Flows[Flow_ID],,0,)</f>
        <v>F_20_01</v>
      </c>
      <c r="AA22" s="51" t="s">
        <v>336</v>
      </c>
      <c r="AB22" s="52" t="str">
        <f>_xlfn.XLOOKUP(AA22,Tab_Def_Flows[Name(EN)],Tab_Def_Flows[Flow_ID],,0,)</f>
        <v>F_20_16</v>
      </c>
      <c r="AC22" s="51" t="s">
        <v>231</v>
      </c>
      <c r="AD22" s="52" t="e">
        <f>_xlfn.XLOOKUP(AC22,Tab_Def_Flows[Name(EN)],Tab_Def_Flows[Flow_ID],,0,)</f>
        <v>#N/A</v>
      </c>
      <c r="AE22" s="51" t="s">
        <v>231</v>
      </c>
      <c r="AF22" s="52" t="e">
        <f>_xlfn.XLOOKUP(AE22,Tab_Def_Flows[Name(EN)],Tab_Def_Flows[Flow_ID],,0,)</f>
        <v>#N/A</v>
      </c>
      <c r="AG22" s="51" t="s">
        <v>231</v>
      </c>
      <c r="AH22" s="53" t="e">
        <f>_xlfn.XLOOKUP(AG22,Tab_Def_Flows[Name(EN)],Tab_Def_Flows[Flow_ID],,0,)</f>
        <v>#N/A</v>
      </c>
    </row>
    <row r="23" spans="1:34" x14ac:dyDescent="0.35">
      <c r="A23" s="97" t="b">
        <v>0</v>
      </c>
      <c r="B23" s="117" t="s">
        <v>467</v>
      </c>
      <c r="C23" s="49" t="str">
        <f t="shared" si="0"/>
        <v>21__</v>
      </c>
      <c r="D23" s="51"/>
      <c r="E23" s="92"/>
      <c r="F23" s="51"/>
      <c r="G23" s="51"/>
      <c r="H23" s="51"/>
      <c r="I23" s="92"/>
      <c r="J23" s="95"/>
      <c r="K23" s="51"/>
      <c r="L23" s="99"/>
      <c r="M23" s="51" t="s">
        <v>231</v>
      </c>
      <c r="N23" s="52" t="e">
        <f>_xlfn.XLOOKUP(M23,Tab_Def_Flows[Name(EN)],Tab_Def_Flows[Flow_ID],,0,)</f>
        <v>#N/A</v>
      </c>
      <c r="O23" s="51" t="s">
        <v>231</v>
      </c>
      <c r="P23" s="52" t="e">
        <f>_xlfn.XLOOKUP(O23,Tab_Def_Flows[Name(EN)],Tab_Def_Flows[Flow_ID],,0,)</f>
        <v>#N/A</v>
      </c>
      <c r="Q23" s="51" t="s">
        <v>231</v>
      </c>
      <c r="R23" s="52" t="e">
        <f>_xlfn.XLOOKUP(Q23,Tab_Def_Flows[Name(EN)],Tab_Def_Flows[Flow_ID],,0,)</f>
        <v>#N/A</v>
      </c>
      <c r="S23" s="51" t="s">
        <v>231</v>
      </c>
      <c r="T23" s="52" t="e">
        <f>_xlfn.XLOOKUP(S23,Tab_Def_Flows[Name(EN)],Tab_Def_Flows[Flow_ID],,0,)</f>
        <v>#N/A</v>
      </c>
      <c r="U23" s="51" t="s">
        <v>231</v>
      </c>
      <c r="V23" s="53" t="e">
        <f>_xlfn.XLOOKUP(U23,Tab_Def_Flows[Name(EN)],Tab_Def_Flows[Flow_ID],,0,)</f>
        <v>#N/A</v>
      </c>
      <c r="W23" s="51" t="s">
        <v>231</v>
      </c>
      <c r="X23" s="52" t="e">
        <f>_xlfn.XLOOKUP(W23,Tab_Def_Flows[Name(EN)],Tab_Def_Flows[Flow_ID],,0,)</f>
        <v>#N/A</v>
      </c>
      <c r="Y23" s="51" t="s">
        <v>231</v>
      </c>
      <c r="Z23" s="52" t="e">
        <f>_xlfn.XLOOKUP(Y23,Tab_Def_Flows[Name(EN)],Tab_Def_Flows[Flow_ID],,0,)</f>
        <v>#N/A</v>
      </c>
      <c r="AA23" s="51" t="s">
        <v>231</v>
      </c>
      <c r="AB23" s="52" t="e">
        <f>_xlfn.XLOOKUP(AA23,Tab_Def_Flows[Name(EN)],Tab_Def_Flows[Flow_ID],,0,)</f>
        <v>#N/A</v>
      </c>
      <c r="AC23" s="51" t="s">
        <v>231</v>
      </c>
      <c r="AD23" s="52" t="e">
        <f>_xlfn.XLOOKUP(AC23,Tab_Def_Flows[Name(EN)],Tab_Def_Flows[Flow_ID],,0,)</f>
        <v>#N/A</v>
      </c>
      <c r="AE23" s="51" t="s">
        <v>231</v>
      </c>
      <c r="AF23" s="52" t="e">
        <f>_xlfn.XLOOKUP(AE23,Tab_Def_Flows[Name(EN)],Tab_Def_Flows[Flow_ID],,0,)</f>
        <v>#N/A</v>
      </c>
      <c r="AG23" s="51" t="s">
        <v>231</v>
      </c>
      <c r="AH23" s="53" t="e">
        <f>_xlfn.XLOOKUP(AG23,Tab_Def_Flows[Name(EN)],Tab_Def_Flows[Flow_ID],,0,)</f>
        <v>#N/A</v>
      </c>
    </row>
    <row r="24" spans="1:34" x14ac:dyDescent="0.35">
      <c r="A24" s="97" t="b">
        <v>0</v>
      </c>
      <c r="B24" s="117" t="s">
        <v>468</v>
      </c>
      <c r="C24" s="49" t="str">
        <f t="shared" si="0"/>
        <v>22__</v>
      </c>
      <c r="D24" s="51"/>
      <c r="E24" s="92"/>
      <c r="F24" s="51"/>
      <c r="G24" s="51"/>
      <c r="H24" s="51"/>
      <c r="I24" s="92"/>
      <c r="J24" s="95"/>
      <c r="K24" s="51"/>
      <c r="L24" s="99"/>
      <c r="M24" s="51" t="s">
        <v>231</v>
      </c>
      <c r="N24" s="52" t="e">
        <f>_xlfn.XLOOKUP(M24,Tab_Def_Flows[Name(EN)],Tab_Def_Flows[Flow_ID],,0,)</f>
        <v>#N/A</v>
      </c>
      <c r="O24" s="51" t="s">
        <v>231</v>
      </c>
      <c r="P24" s="52" t="e">
        <f>_xlfn.XLOOKUP(O24,Tab_Def_Flows[Name(EN)],Tab_Def_Flows[Flow_ID],,0,)</f>
        <v>#N/A</v>
      </c>
      <c r="Q24" s="51" t="s">
        <v>231</v>
      </c>
      <c r="R24" s="52" t="e">
        <f>_xlfn.XLOOKUP(Q24,Tab_Def_Flows[Name(EN)],Tab_Def_Flows[Flow_ID],,0,)</f>
        <v>#N/A</v>
      </c>
      <c r="S24" s="51" t="s">
        <v>231</v>
      </c>
      <c r="T24" s="52" t="e">
        <f>_xlfn.XLOOKUP(S24,Tab_Def_Flows[Name(EN)],Tab_Def_Flows[Flow_ID],,0,)</f>
        <v>#N/A</v>
      </c>
      <c r="U24" s="51" t="s">
        <v>231</v>
      </c>
      <c r="V24" s="53" t="e">
        <f>_xlfn.XLOOKUP(U24,Tab_Def_Flows[Name(EN)],Tab_Def_Flows[Flow_ID],,0,)</f>
        <v>#N/A</v>
      </c>
      <c r="W24" s="51" t="s">
        <v>231</v>
      </c>
      <c r="X24" s="52" t="e">
        <f>_xlfn.XLOOKUP(W24,Tab_Def_Flows[Name(EN)],Tab_Def_Flows[Flow_ID],,0,)</f>
        <v>#N/A</v>
      </c>
      <c r="Y24" s="51" t="s">
        <v>231</v>
      </c>
      <c r="Z24" s="52" t="e">
        <f>_xlfn.XLOOKUP(Y24,Tab_Def_Flows[Name(EN)],Tab_Def_Flows[Flow_ID],,0,)</f>
        <v>#N/A</v>
      </c>
      <c r="AA24" s="51" t="s">
        <v>231</v>
      </c>
      <c r="AB24" s="52" t="e">
        <f>_xlfn.XLOOKUP(AA24,Tab_Def_Flows[Name(EN)],Tab_Def_Flows[Flow_ID],,0,)</f>
        <v>#N/A</v>
      </c>
      <c r="AC24" s="51" t="s">
        <v>231</v>
      </c>
      <c r="AD24" s="52" t="e">
        <f>_xlfn.XLOOKUP(AC24,Tab_Def_Flows[Name(EN)],Tab_Def_Flows[Flow_ID],,0,)</f>
        <v>#N/A</v>
      </c>
      <c r="AE24" s="51" t="s">
        <v>231</v>
      </c>
      <c r="AF24" s="52" t="e">
        <f>_xlfn.XLOOKUP(AE24,Tab_Def_Flows[Name(EN)],Tab_Def_Flows[Flow_ID],,0,)</f>
        <v>#N/A</v>
      </c>
      <c r="AG24" s="51" t="s">
        <v>231</v>
      </c>
      <c r="AH24" s="53" t="e">
        <f>_xlfn.XLOOKUP(AG24,Tab_Def_Flows[Name(EN)],Tab_Def_Flows[Flow_ID],,0,)</f>
        <v>#N/A</v>
      </c>
    </row>
    <row r="25" spans="1:34" x14ac:dyDescent="0.35">
      <c r="A25" s="97" t="b">
        <v>0</v>
      </c>
      <c r="B25" s="117" t="s">
        <v>469</v>
      </c>
      <c r="C25" s="49" t="str">
        <f t="shared" si="0"/>
        <v>23__</v>
      </c>
      <c r="D25" s="51"/>
      <c r="E25" s="92"/>
      <c r="F25" s="51"/>
      <c r="G25" s="51"/>
      <c r="H25" s="51"/>
      <c r="I25" s="92"/>
      <c r="J25" s="95"/>
      <c r="K25" s="51"/>
      <c r="L25" s="99"/>
      <c r="M25" s="51" t="s">
        <v>231</v>
      </c>
      <c r="N25" s="52" t="e">
        <f>_xlfn.XLOOKUP(M25,Tab_Def_Flows[Name(EN)],Tab_Def_Flows[Flow_ID],,0,)</f>
        <v>#N/A</v>
      </c>
      <c r="O25" s="51" t="s">
        <v>231</v>
      </c>
      <c r="P25" s="52" t="e">
        <f>_xlfn.XLOOKUP(O25,Tab_Def_Flows[Name(EN)],Tab_Def_Flows[Flow_ID],,0,)</f>
        <v>#N/A</v>
      </c>
      <c r="Q25" s="51" t="s">
        <v>231</v>
      </c>
      <c r="R25" s="52" t="e">
        <f>_xlfn.XLOOKUP(Q25,Tab_Def_Flows[Name(EN)],Tab_Def_Flows[Flow_ID],,0,)</f>
        <v>#N/A</v>
      </c>
      <c r="S25" s="51" t="s">
        <v>231</v>
      </c>
      <c r="T25" s="52" t="e">
        <f>_xlfn.XLOOKUP(S25,Tab_Def_Flows[Name(EN)],Tab_Def_Flows[Flow_ID],,0,)</f>
        <v>#N/A</v>
      </c>
      <c r="U25" s="51" t="s">
        <v>231</v>
      </c>
      <c r="V25" s="53" t="e">
        <f>_xlfn.XLOOKUP(U25,Tab_Def_Flows[Name(EN)],Tab_Def_Flows[Flow_ID],,0,)</f>
        <v>#N/A</v>
      </c>
      <c r="W25" s="51" t="s">
        <v>231</v>
      </c>
      <c r="X25" s="52" t="e">
        <f>_xlfn.XLOOKUP(W25,Tab_Def_Flows[Name(EN)],Tab_Def_Flows[Flow_ID],,0,)</f>
        <v>#N/A</v>
      </c>
      <c r="Y25" s="51" t="s">
        <v>231</v>
      </c>
      <c r="Z25" s="52" t="e">
        <f>_xlfn.XLOOKUP(Y25,Tab_Def_Flows[Name(EN)],Tab_Def_Flows[Flow_ID],,0,)</f>
        <v>#N/A</v>
      </c>
      <c r="AA25" s="51" t="s">
        <v>231</v>
      </c>
      <c r="AB25" s="52" t="e">
        <f>_xlfn.XLOOKUP(AA25,Tab_Def_Flows[Name(EN)],Tab_Def_Flows[Flow_ID],,0,)</f>
        <v>#N/A</v>
      </c>
      <c r="AC25" s="51" t="s">
        <v>231</v>
      </c>
      <c r="AD25" s="52" t="e">
        <f>_xlfn.XLOOKUP(AC25,Tab_Def_Flows[Name(EN)],Tab_Def_Flows[Flow_ID],,0,)</f>
        <v>#N/A</v>
      </c>
      <c r="AE25" s="51" t="s">
        <v>231</v>
      </c>
      <c r="AF25" s="52" t="e">
        <f>_xlfn.XLOOKUP(AE25,Tab_Def_Flows[Name(EN)],Tab_Def_Flows[Flow_ID],,0,)</f>
        <v>#N/A</v>
      </c>
      <c r="AG25" s="51" t="s">
        <v>231</v>
      </c>
      <c r="AH25" s="53" t="e">
        <f>_xlfn.XLOOKUP(AG25,Tab_Def_Flows[Name(EN)],Tab_Def_Flows[Flow_ID],,0,)</f>
        <v>#N/A</v>
      </c>
    </row>
    <row r="26" spans="1:34" x14ac:dyDescent="0.35">
      <c r="A26" s="97" t="b">
        <v>0</v>
      </c>
      <c r="B26" s="117" t="s">
        <v>470</v>
      </c>
      <c r="C26" s="49" t="str">
        <f t="shared" si="0"/>
        <v>24__</v>
      </c>
      <c r="D26" s="51"/>
      <c r="E26" s="92"/>
      <c r="F26" s="51"/>
      <c r="G26" s="51"/>
      <c r="H26" s="51"/>
      <c r="I26" s="92"/>
      <c r="J26" s="95"/>
      <c r="K26" s="51"/>
      <c r="L26" s="99"/>
      <c r="M26" s="51" t="s">
        <v>231</v>
      </c>
      <c r="N26" s="52" t="e">
        <f>_xlfn.XLOOKUP(M26,Tab_Def_Flows[Name(EN)],Tab_Def_Flows[Flow_ID],,0,)</f>
        <v>#N/A</v>
      </c>
      <c r="O26" s="51" t="s">
        <v>231</v>
      </c>
      <c r="P26" s="52" t="e">
        <f>_xlfn.XLOOKUP(O26,Tab_Def_Flows[Name(EN)],Tab_Def_Flows[Flow_ID],,0,)</f>
        <v>#N/A</v>
      </c>
      <c r="Q26" s="51" t="s">
        <v>231</v>
      </c>
      <c r="R26" s="52" t="e">
        <f>_xlfn.XLOOKUP(Q26,Tab_Def_Flows[Name(EN)],Tab_Def_Flows[Flow_ID],,0,)</f>
        <v>#N/A</v>
      </c>
      <c r="S26" s="51" t="s">
        <v>231</v>
      </c>
      <c r="T26" s="52" t="e">
        <f>_xlfn.XLOOKUP(S26,Tab_Def_Flows[Name(EN)],Tab_Def_Flows[Flow_ID],,0,)</f>
        <v>#N/A</v>
      </c>
      <c r="U26" s="51" t="s">
        <v>231</v>
      </c>
      <c r="V26" s="53" t="e">
        <f>_xlfn.XLOOKUP(U26,Tab_Def_Flows[Name(EN)],Tab_Def_Flows[Flow_ID],,0,)</f>
        <v>#N/A</v>
      </c>
      <c r="W26" s="51" t="s">
        <v>231</v>
      </c>
      <c r="X26" s="52" t="e">
        <f>_xlfn.XLOOKUP(W26,Tab_Def_Flows[Name(EN)],Tab_Def_Flows[Flow_ID],,0,)</f>
        <v>#N/A</v>
      </c>
      <c r="Y26" s="51" t="s">
        <v>231</v>
      </c>
      <c r="Z26" s="52" t="e">
        <f>_xlfn.XLOOKUP(Y26,Tab_Def_Flows[Name(EN)],Tab_Def_Flows[Flow_ID],,0,)</f>
        <v>#N/A</v>
      </c>
      <c r="AA26" s="51" t="s">
        <v>231</v>
      </c>
      <c r="AB26" s="52" t="e">
        <f>_xlfn.XLOOKUP(AA26,Tab_Def_Flows[Name(EN)],Tab_Def_Flows[Flow_ID],,0,)</f>
        <v>#N/A</v>
      </c>
      <c r="AC26" s="51" t="s">
        <v>231</v>
      </c>
      <c r="AD26" s="52" t="e">
        <f>_xlfn.XLOOKUP(AC26,Tab_Def_Flows[Name(EN)],Tab_Def_Flows[Flow_ID],,0,)</f>
        <v>#N/A</v>
      </c>
      <c r="AE26" s="51" t="s">
        <v>231</v>
      </c>
      <c r="AF26" s="52" t="e">
        <f>_xlfn.XLOOKUP(AE26,Tab_Def_Flows[Name(EN)],Tab_Def_Flows[Flow_ID],,0,)</f>
        <v>#N/A</v>
      </c>
      <c r="AG26" s="51" t="s">
        <v>231</v>
      </c>
      <c r="AH26" s="53" t="e">
        <f>_xlfn.XLOOKUP(AG26,Tab_Def_Flows[Name(EN)],Tab_Def_Flows[Flow_ID],,0,)</f>
        <v>#N/A</v>
      </c>
    </row>
    <row r="27" spans="1:34" x14ac:dyDescent="0.35">
      <c r="A27" s="97" t="b">
        <v>0</v>
      </c>
      <c r="B27" s="117" t="s">
        <v>471</v>
      </c>
      <c r="C27" s="49" t="str">
        <f t="shared" si="0"/>
        <v>25__</v>
      </c>
      <c r="D27" s="51"/>
      <c r="E27" s="92"/>
      <c r="F27" s="51"/>
      <c r="G27" s="51"/>
      <c r="H27" s="51"/>
      <c r="I27" s="92"/>
      <c r="J27" s="95"/>
      <c r="K27" s="51"/>
      <c r="L27" s="99"/>
      <c r="M27" s="51" t="s">
        <v>231</v>
      </c>
      <c r="N27" s="52" t="e">
        <f>_xlfn.XLOOKUP(M27,Tab_Def_Flows[Name(EN)],Tab_Def_Flows[Flow_ID],,0,)</f>
        <v>#N/A</v>
      </c>
      <c r="O27" s="51" t="s">
        <v>231</v>
      </c>
      <c r="P27" s="52" t="e">
        <f>_xlfn.XLOOKUP(O27,Tab_Def_Flows[Name(EN)],Tab_Def_Flows[Flow_ID],,0,)</f>
        <v>#N/A</v>
      </c>
      <c r="Q27" s="51" t="s">
        <v>231</v>
      </c>
      <c r="R27" s="52" t="e">
        <f>_xlfn.XLOOKUP(Q27,Tab_Def_Flows[Name(EN)],Tab_Def_Flows[Flow_ID],,0,)</f>
        <v>#N/A</v>
      </c>
      <c r="S27" s="51" t="s">
        <v>231</v>
      </c>
      <c r="T27" s="52" t="e">
        <f>_xlfn.XLOOKUP(S27,Tab_Def_Flows[Name(EN)],Tab_Def_Flows[Flow_ID],,0,)</f>
        <v>#N/A</v>
      </c>
      <c r="U27" s="51" t="s">
        <v>231</v>
      </c>
      <c r="V27" s="53" t="e">
        <f>_xlfn.XLOOKUP(U27,Tab_Def_Flows[Name(EN)],Tab_Def_Flows[Flow_ID],,0,)</f>
        <v>#N/A</v>
      </c>
      <c r="W27" s="51" t="s">
        <v>231</v>
      </c>
      <c r="X27" s="52" t="e">
        <f>_xlfn.XLOOKUP(W27,Tab_Def_Flows[Name(EN)],Tab_Def_Flows[Flow_ID],,0,)</f>
        <v>#N/A</v>
      </c>
      <c r="Y27" s="51" t="s">
        <v>231</v>
      </c>
      <c r="Z27" s="52" t="e">
        <f>_xlfn.XLOOKUP(Y27,Tab_Def_Flows[Name(EN)],Tab_Def_Flows[Flow_ID],,0,)</f>
        <v>#N/A</v>
      </c>
      <c r="AA27" s="51" t="s">
        <v>231</v>
      </c>
      <c r="AB27" s="52" t="e">
        <f>_xlfn.XLOOKUP(AA27,Tab_Def_Flows[Name(EN)],Tab_Def_Flows[Flow_ID],,0,)</f>
        <v>#N/A</v>
      </c>
      <c r="AC27" s="51" t="s">
        <v>231</v>
      </c>
      <c r="AD27" s="52" t="e">
        <f>_xlfn.XLOOKUP(AC27,Tab_Def_Flows[Name(EN)],Tab_Def_Flows[Flow_ID],,0,)</f>
        <v>#N/A</v>
      </c>
      <c r="AE27" s="51" t="s">
        <v>231</v>
      </c>
      <c r="AF27" s="52" t="e">
        <f>_xlfn.XLOOKUP(AE27,Tab_Def_Flows[Name(EN)],Tab_Def_Flows[Flow_ID],,0,)</f>
        <v>#N/A</v>
      </c>
      <c r="AG27" s="51" t="s">
        <v>231</v>
      </c>
      <c r="AH27" s="53" t="e">
        <f>_xlfn.XLOOKUP(AG27,Tab_Def_Flows[Name(EN)],Tab_Def_Flows[Flow_ID],,0,)</f>
        <v>#N/A</v>
      </c>
    </row>
    <row r="28" spans="1:34" x14ac:dyDescent="0.35">
      <c r="A28" s="97" t="b">
        <v>0</v>
      </c>
      <c r="B28" s="117" t="s">
        <v>472</v>
      </c>
      <c r="C28" s="49" t="str">
        <f t="shared" si="0"/>
        <v>26__</v>
      </c>
      <c r="D28" s="51"/>
      <c r="E28" s="92"/>
      <c r="F28" s="51"/>
      <c r="G28" s="51"/>
      <c r="H28" s="51"/>
      <c r="I28" s="92"/>
      <c r="J28" s="95"/>
      <c r="K28" s="51"/>
      <c r="L28" s="99"/>
      <c r="M28" s="51" t="s">
        <v>231</v>
      </c>
      <c r="N28" s="52" t="e">
        <f>_xlfn.XLOOKUP(M28,Tab_Def_Flows[Name(EN)],Tab_Def_Flows[Flow_ID],,0,)</f>
        <v>#N/A</v>
      </c>
      <c r="O28" s="51" t="s">
        <v>231</v>
      </c>
      <c r="P28" s="52" t="e">
        <f>_xlfn.XLOOKUP(O28,Tab_Def_Flows[Name(EN)],Tab_Def_Flows[Flow_ID],,0,)</f>
        <v>#N/A</v>
      </c>
      <c r="Q28" s="51" t="s">
        <v>231</v>
      </c>
      <c r="R28" s="52" t="e">
        <f>_xlfn.XLOOKUP(Q28,Tab_Def_Flows[Name(EN)],Tab_Def_Flows[Flow_ID],,0,)</f>
        <v>#N/A</v>
      </c>
      <c r="S28" s="51" t="s">
        <v>231</v>
      </c>
      <c r="T28" s="52" t="e">
        <f>_xlfn.XLOOKUP(S28,Tab_Def_Flows[Name(EN)],Tab_Def_Flows[Flow_ID],,0,)</f>
        <v>#N/A</v>
      </c>
      <c r="U28" s="51" t="s">
        <v>231</v>
      </c>
      <c r="V28" s="53" t="e">
        <f>_xlfn.XLOOKUP(U28,Tab_Def_Flows[Name(EN)],Tab_Def_Flows[Flow_ID],,0,)</f>
        <v>#N/A</v>
      </c>
      <c r="W28" s="51" t="s">
        <v>231</v>
      </c>
      <c r="X28" s="52" t="e">
        <f>_xlfn.XLOOKUP(W28,Tab_Def_Flows[Name(EN)],Tab_Def_Flows[Flow_ID],,0,)</f>
        <v>#N/A</v>
      </c>
      <c r="Y28" s="51" t="s">
        <v>231</v>
      </c>
      <c r="Z28" s="52" t="e">
        <f>_xlfn.XLOOKUP(Y28,Tab_Def_Flows[Name(EN)],Tab_Def_Flows[Flow_ID],,0,)</f>
        <v>#N/A</v>
      </c>
      <c r="AA28" s="51" t="s">
        <v>231</v>
      </c>
      <c r="AB28" s="52" t="e">
        <f>_xlfn.XLOOKUP(AA28,Tab_Def_Flows[Name(EN)],Tab_Def_Flows[Flow_ID],,0,)</f>
        <v>#N/A</v>
      </c>
      <c r="AC28" s="51" t="s">
        <v>231</v>
      </c>
      <c r="AD28" s="52" t="e">
        <f>_xlfn.XLOOKUP(AC28,Tab_Def_Flows[Name(EN)],Tab_Def_Flows[Flow_ID],,0,)</f>
        <v>#N/A</v>
      </c>
      <c r="AE28" s="51" t="s">
        <v>231</v>
      </c>
      <c r="AF28" s="52" t="e">
        <f>_xlfn.XLOOKUP(AE28,Tab_Def_Flows[Name(EN)],Tab_Def_Flows[Flow_ID],,0,)</f>
        <v>#N/A</v>
      </c>
      <c r="AG28" s="51" t="s">
        <v>231</v>
      </c>
      <c r="AH28" s="53" t="e">
        <f>_xlfn.XLOOKUP(AG28,Tab_Def_Flows[Name(EN)],Tab_Def_Flows[Flow_ID],,0,)</f>
        <v>#N/A</v>
      </c>
    </row>
    <row r="29" spans="1:34" x14ac:dyDescent="0.35">
      <c r="A29" s="97" t="b">
        <v>0</v>
      </c>
      <c r="B29" s="117" t="s">
        <v>473</v>
      </c>
      <c r="C29" s="49" t="str">
        <f t="shared" si="0"/>
        <v>27__</v>
      </c>
      <c r="D29" s="51"/>
      <c r="E29" s="92"/>
      <c r="F29" s="51"/>
      <c r="G29" s="51"/>
      <c r="H29" s="51"/>
      <c r="I29" s="92"/>
      <c r="J29" s="95"/>
      <c r="K29" s="51"/>
      <c r="L29" s="99"/>
      <c r="M29" s="51" t="s">
        <v>231</v>
      </c>
      <c r="N29" s="52" t="e">
        <f>_xlfn.XLOOKUP(M29,Tab_Def_Flows[Name(EN)],Tab_Def_Flows[Flow_ID],,0,)</f>
        <v>#N/A</v>
      </c>
      <c r="O29" s="51" t="s">
        <v>231</v>
      </c>
      <c r="P29" s="52" t="e">
        <f>_xlfn.XLOOKUP(O29,Tab_Def_Flows[Name(EN)],Tab_Def_Flows[Flow_ID],,0,)</f>
        <v>#N/A</v>
      </c>
      <c r="Q29" s="51" t="s">
        <v>231</v>
      </c>
      <c r="R29" s="52" t="e">
        <f>_xlfn.XLOOKUP(Q29,Tab_Def_Flows[Name(EN)],Tab_Def_Flows[Flow_ID],,0,)</f>
        <v>#N/A</v>
      </c>
      <c r="S29" s="51" t="s">
        <v>231</v>
      </c>
      <c r="T29" s="52" t="e">
        <f>_xlfn.XLOOKUP(S29,Tab_Def_Flows[Name(EN)],Tab_Def_Flows[Flow_ID],,0,)</f>
        <v>#N/A</v>
      </c>
      <c r="U29" s="51" t="s">
        <v>231</v>
      </c>
      <c r="V29" s="53" t="e">
        <f>_xlfn.XLOOKUP(U29,Tab_Def_Flows[Name(EN)],Tab_Def_Flows[Flow_ID],,0,)</f>
        <v>#N/A</v>
      </c>
      <c r="W29" s="51" t="s">
        <v>231</v>
      </c>
      <c r="X29" s="52" t="e">
        <f>_xlfn.XLOOKUP(W29,Tab_Def_Flows[Name(EN)],Tab_Def_Flows[Flow_ID],,0,)</f>
        <v>#N/A</v>
      </c>
      <c r="Y29" s="51" t="s">
        <v>231</v>
      </c>
      <c r="Z29" s="52" t="e">
        <f>_xlfn.XLOOKUP(Y29,Tab_Def_Flows[Name(EN)],Tab_Def_Flows[Flow_ID],,0,)</f>
        <v>#N/A</v>
      </c>
      <c r="AA29" s="51" t="s">
        <v>231</v>
      </c>
      <c r="AB29" s="52" t="e">
        <f>_xlfn.XLOOKUP(AA29,Tab_Def_Flows[Name(EN)],Tab_Def_Flows[Flow_ID],,0,)</f>
        <v>#N/A</v>
      </c>
      <c r="AC29" s="51" t="s">
        <v>231</v>
      </c>
      <c r="AD29" s="52" t="e">
        <f>_xlfn.XLOOKUP(AC29,Tab_Def_Flows[Name(EN)],Tab_Def_Flows[Flow_ID],,0,)</f>
        <v>#N/A</v>
      </c>
      <c r="AE29" s="51" t="s">
        <v>231</v>
      </c>
      <c r="AF29" s="52" t="e">
        <f>_xlfn.XLOOKUP(AE29,Tab_Def_Flows[Name(EN)],Tab_Def_Flows[Flow_ID],,0,)</f>
        <v>#N/A</v>
      </c>
      <c r="AG29" s="51" t="s">
        <v>231</v>
      </c>
      <c r="AH29" s="53" t="e">
        <f>_xlfn.XLOOKUP(AG29,Tab_Def_Flows[Name(EN)],Tab_Def_Flows[Flow_ID],,0,)</f>
        <v>#N/A</v>
      </c>
    </row>
    <row r="30" spans="1:34" x14ac:dyDescent="0.35">
      <c r="A30" s="97" t="b">
        <v>0</v>
      </c>
      <c r="B30" s="117" t="s">
        <v>474</v>
      </c>
      <c r="C30" s="49" t="str">
        <f t="shared" si="0"/>
        <v>28__</v>
      </c>
      <c r="D30" s="51"/>
      <c r="E30" s="92"/>
      <c r="F30" s="51"/>
      <c r="G30" s="51"/>
      <c r="H30" s="51"/>
      <c r="I30" s="92"/>
      <c r="J30" s="95"/>
      <c r="K30" s="51"/>
      <c r="L30" s="99"/>
      <c r="M30" s="51" t="s">
        <v>231</v>
      </c>
      <c r="N30" s="52" t="e">
        <f>_xlfn.XLOOKUP(M30,Tab_Def_Flows[Name(EN)],Tab_Def_Flows[Flow_ID],,0,)</f>
        <v>#N/A</v>
      </c>
      <c r="O30" s="51" t="s">
        <v>231</v>
      </c>
      <c r="P30" s="52" t="e">
        <f>_xlfn.XLOOKUP(O30,Tab_Def_Flows[Name(EN)],Tab_Def_Flows[Flow_ID],,0,)</f>
        <v>#N/A</v>
      </c>
      <c r="Q30" s="51" t="s">
        <v>231</v>
      </c>
      <c r="R30" s="52" t="e">
        <f>_xlfn.XLOOKUP(Q30,Tab_Def_Flows[Name(EN)],Tab_Def_Flows[Flow_ID],,0,)</f>
        <v>#N/A</v>
      </c>
      <c r="S30" s="51" t="s">
        <v>231</v>
      </c>
      <c r="T30" s="52" t="e">
        <f>_xlfn.XLOOKUP(S30,Tab_Def_Flows[Name(EN)],Tab_Def_Flows[Flow_ID],,0,)</f>
        <v>#N/A</v>
      </c>
      <c r="U30" s="51" t="s">
        <v>231</v>
      </c>
      <c r="V30" s="53" t="e">
        <f>_xlfn.XLOOKUP(U30,Tab_Def_Flows[Name(EN)],Tab_Def_Flows[Flow_ID],,0,)</f>
        <v>#N/A</v>
      </c>
      <c r="W30" s="51" t="s">
        <v>231</v>
      </c>
      <c r="X30" s="52" t="e">
        <f>_xlfn.XLOOKUP(W30,Tab_Def_Flows[Name(EN)],Tab_Def_Flows[Flow_ID],,0,)</f>
        <v>#N/A</v>
      </c>
      <c r="Y30" s="51" t="s">
        <v>231</v>
      </c>
      <c r="Z30" s="52" t="e">
        <f>_xlfn.XLOOKUP(Y30,Tab_Def_Flows[Name(EN)],Tab_Def_Flows[Flow_ID],,0,)</f>
        <v>#N/A</v>
      </c>
      <c r="AA30" s="51" t="s">
        <v>231</v>
      </c>
      <c r="AB30" s="52" t="e">
        <f>_xlfn.XLOOKUP(AA30,Tab_Def_Flows[Name(EN)],Tab_Def_Flows[Flow_ID],,0,)</f>
        <v>#N/A</v>
      </c>
      <c r="AC30" s="51" t="s">
        <v>231</v>
      </c>
      <c r="AD30" s="52" t="e">
        <f>_xlfn.XLOOKUP(AC30,Tab_Def_Flows[Name(EN)],Tab_Def_Flows[Flow_ID],,0,)</f>
        <v>#N/A</v>
      </c>
      <c r="AE30" s="51" t="s">
        <v>231</v>
      </c>
      <c r="AF30" s="52" t="e">
        <f>_xlfn.XLOOKUP(AE30,Tab_Def_Flows[Name(EN)],Tab_Def_Flows[Flow_ID],,0,)</f>
        <v>#N/A</v>
      </c>
      <c r="AG30" s="51" t="s">
        <v>231</v>
      </c>
      <c r="AH30" s="53" t="e">
        <f>_xlfn.XLOOKUP(AG30,Tab_Def_Flows[Name(EN)],Tab_Def_Flows[Flow_ID],,0,)</f>
        <v>#N/A</v>
      </c>
    </row>
    <row r="31" spans="1:34" x14ac:dyDescent="0.35">
      <c r="A31" s="97" t="b">
        <v>0</v>
      </c>
      <c r="B31" s="117" t="s">
        <v>475</v>
      </c>
      <c r="C31" s="49" t="str">
        <f t="shared" si="0"/>
        <v>29__</v>
      </c>
      <c r="D31" s="51"/>
      <c r="E31" s="92"/>
      <c r="F31" s="51"/>
      <c r="G31" s="51"/>
      <c r="H31" s="51"/>
      <c r="I31" s="92"/>
      <c r="J31" s="95"/>
      <c r="K31" s="51"/>
      <c r="L31" s="99"/>
      <c r="M31" s="51" t="s">
        <v>231</v>
      </c>
      <c r="N31" s="52" t="e">
        <f>_xlfn.XLOOKUP(M31,Tab_Def_Flows[Name(EN)],Tab_Def_Flows[Flow_ID],,0,)</f>
        <v>#N/A</v>
      </c>
      <c r="O31" s="51" t="s">
        <v>231</v>
      </c>
      <c r="P31" s="52" t="e">
        <f>_xlfn.XLOOKUP(O31,Tab_Def_Flows[Name(EN)],Tab_Def_Flows[Flow_ID],,0,)</f>
        <v>#N/A</v>
      </c>
      <c r="Q31" s="51" t="s">
        <v>231</v>
      </c>
      <c r="R31" s="52" t="e">
        <f>_xlfn.XLOOKUP(Q31,Tab_Def_Flows[Name(EN)],Tab_Def_Flows[Flow_ID],,0,)</f>
        <v>#N/A</v>
      </c>
      <c r="S31" s="51" t="s">
        <v>231</v>
      </c>
      <c r="T31" s="52" t="e">
        <f>_xlfn.XLOOKUP(S31,Tab_Def_Flows[Name(EN)],Tab_Def_Flows[Flow_ID],,0,)</f>
        <v>#N/A</v>
      </c>
      <c r="U31" s="51" t="s">
        <v>231</v>
      </c>
      <c r="V31" s="53" t="e">
        <f>_xlfn.XLOOKUP(U31,Tab_Def_Flows[Name(EN)],Tab_Def_Flows[Flow_ID],,0,)</f>
        <v>#N/A</v>
      </c>
      <c r="W31" s="51" t="s">
        <v>231</v>
      </c>
      <c r="X31" s="52" t="e">
        <f>_xlfn.XLOOKUP(W31,Tab_Def_Flows[Name(EN)],Tab_Def_Flows[Flow_ID],,0,)</f>
        <v>#N/A</v>
      </c>
      <c r="Y31" s="51" t="s">
        <v>231</v>
      </c>
      <c r="Z31" s="52" t="e">
        <f>_xlfn.XLOOKUP(Y31,Tab_Def_Flows[Name(EN)],Tab_Def_Flows[Flow_ID],,0,)</f>
        <v>#N/A</v>
      </c>
      <c r="AA31" s="51" t="s">
        <v>231</v>
      </c>
      <c r="AB31" s="52" t="e">
        <f>_xlfn.XLOOKUP(AA31,Tab_Def_Flows[Name(EN)],Tab_Def_Flows[Flow_ID],,0,)</f>
        <v>#N/A</v>
      </c>
      <c r="AC31" s="51" t="s">
        <v>231</v>
      </c>
      <c r="AD31" s="52" t="e">
        <f>_xlfn.XLOOKUP(AC31,Tab_Def_Flows[Name(EN)],Tab_Def_Flows[Flow_ID],,0,)</f>
        <v>#N/A</v>
      </c>
      <c r="AE31" s="51" t="s">
        <v>231</v>
      </c>
      <c r="AF31" s="52" t="e">
        <f>_xlfn.XLOOKUP(AE31,Tab_Def_Flows[Name(EN)],Tab_Def_Flows[Flow_ID],,0,)</f>
        <v>#N/A</v>
      </c>
      <c r="AG31" s="51" t="s">
        <v>231</v>
      </c>
      <c r="AH31" s="53" t="e">
        <f>_xlfn.XLOOKUP(AG31,Tab_Def_Flows[Name(EN)],Tab_Def_Flows[Flow_ID],,0,)</f>
        <v>#N/A</v>
      </c>
    </row>
    <row r="32" spans="1:34" x14ac:dyDescent="0.35">
      <c r="A32" s="97" t="b">
        <v>0</v>
      </c>
      <c r="B32" s="117" t="s">
        <v>476</v>
      </c>
      <c r="C32" s="49" t="str">
        <f t="shared" si="0"/>
        <v>30__</v>
      </c>
      <c r="D32" s="51"/>
      <c r="E32" s="92"/>
      <c r="F32" s="51"/>
      <c r="G32" s="51"/>
      <c r="H32" s="51"/>
      <c r="I32" s="92"/>
      <c r="J32" s="95"/>
      <c r="K32" s="51"/>
      <c r="L32" s="99"/>
      <c r="M32" s="51" t="s">
        <v>231</v>
      </c>
      <c r="N32" s="52" t="e">
        <f>_xlfn.XLOOKUP(M32,Tab_Def_Flows[Name(EN)],Tab_Def_Flows[Flow_ID],,0,)</f>
        <v>#N/A</v>
      </c>
      <c r="O32" s="51" t="s">
        <v>231</v>
      </c>
      <c r="P32" s="52" t="e">
        <f>_xlfn.XLOOKUP(O32,Tab_Def_Flows[Name(EN)],Tab_Def_Flows[Flow_ID],,0,)</f>
        <v>#N/A</v>
      </c>
      <c r="Q32" s="51" t="s">
        <v>231</v>
      </c>
      <c r="R32" s="52" t="e">
        <f>_xlfn.XLOOKUP(Q32,Tab_Def_Flows[Name(EN)],Tab_Def_Flows[Flow_ID],,0,)</f>
        <v>#N/A</v>
      </c>
      <c r="S32" s="51" t="s">
        <v>231</v>
      </c>
      <c r="T32" s="52" t="e">
        <f>_xlfn.XLOOKUP(S32,Tab_Def_Flows[Name(EN)],Tab_Def_Flows[Flow_ID],,0,)</f>
        <v>#N/A</v>
      </c>
      <c r="U32" s="51" t="s">
        <v>231</v>
      </c>
      <c r="V32" s="53" t="e">
        <f>_xlfn.XLOOKUP(U32,Tab_Def_Flows[Name(EN)],Tab_Def_Flows[Flow_ID],,0,)</f>
        <v>#N/A</v>
      </c>
      <c r="W32" s="51" t="s">
        <v>231</v>
      </c>
      <c r="X32" s="52" t="e">
        <f>_xlfn.XLOOKUP(W32,Tab_Def_Flows[Name(EN)],Tab_Def_Flows[Flow_ID],,0,)</f>
        <v>#N/A</v>
      </c>
      <c r="Y32" s="51" t="s">
        <v>231</v>
      </c>
      <c r="Z32" s="52" t="e">
        <f>_xlfn.XLOOKUP(Y32,Tab_Def_Flows[Name(EN)],Tab_Def_Flows[Flow_ID],,0,)</f>
        <v>#N/A</v>
      </c>
      <c r="AA32" s="51" t="s">
        <v>231</v>
      </c>
      <c r="AB32" s="52" t="e">
        <f>_xlfn.XLOOKUP(AA32,Tab_Def_Flows[Name(EN)],Tab_Def_Flows[Flow_ID],,0,)</f>
        <v>#N/A</v>
      </c>
      <c r="AC32" s="51" t="s">
        <v>231</v>
      </c>
      <c r="AD32" s="52" t="e">
        <f>_xlfn.XLOOKUP(AC32,Tab_Def_Flows[Name(EN)],Tab_Def_Flows[Flow_ID],,0,)</f>
        <v>#N/A</v>
      </c>
      <c r="AE32" s="51" t="s">
        <v>231</v>
      </c>
      <c r="AF32" s="52" t="e">
        <f>_xlfn.XLOOKUP(AE32,Tab_Def_Flows[Name(EN)],Tab_Def_Flows[Flow_ID],,0,)</f>
        <v>#N/A</v>
      </c>
      <c r="AG32" s="51" t="s">
        <v>231</v>
      </c>
      <c r="AH32" s="53" t="e">
        <f>_xlfn.XLOOKUP(AG32,Tab_Def_Flows[Name(EN)],Tab_Def_Flows[Flow_ID],,0,)</f>
        <v>#N/A</v>
      </c>
    </row>
    <row r="33" spans="1:34" x14ac:dyDescent="0.35">
      <c r="A33" s="97" t="b">
        <v>0</v>
      </c>
      <c r="B33" s="117" t="s">
        <v>477</v>
      </c>
      <c r="C33" s="49" t="str">
        <f t="shared" si="0"/>
        <v>31__</v>
      </c>
      <c r="D33" s="51"/>
      <c r="E33" s="92"/>
      <c r="F33" s="51"/>
      <c r="G33" s="51"/>
      <c r="H33" s="51"/>
      <c r="I33" s="92"/>
      <c r="J33" s="95"/>
      <c r="K33" s="51"/>
      <c r="L33" s="99"/>
      <c r="M33" s="51" t="s">
        <v>231</v>
      </c>
      <c r="N33" s="52" t="e">
        <f>_xlfn.XLOOKUP(M33,Tab_Def_Flows[Name(EN)],Tab_Def_Flows[Flow_ID],,0,)</f>
        <v>#N/A</v>
      </c>
      <c r="O33" s="51" t="s">
        <v>231</v>
      </c>
      <c r="P33" s="52" t="e">
        <f>_xlfn.XLOOKUP(O33,Tab_Def_Flows[Name(EN)],Tab_Def_Flows[Flow_ID],,0,)</f>
        <v>#N/A</v>
      </c>
      <c r="Q33" s="51" t="s">
        <v>231</v>
      </c>
      <c r="R33" s="52" t="e">
        <f>_xlfn.XLOOKUP(Q33,Tab_Def_Flows[Name(EN)],Tab_Def_Flows[Flow_ID],,0,)</f>
        <v>#N/A</v>
      </c>
      <c r="S33" s="51" t="s">
        <v>231</v>
      </c>
      <c r="T33" s="52" t="e">
        <f>_xlfn.XLOOKUP(S33,Tab_Def_Flows[Name(EN)],Tab_Def_Flows[Flow_ID],,0,)</f>
        <v>#N/A</v>
      </c>
      <c r="U33" s="51" t="s">
        <v>231</v>
      </c>
      <c r="V33" s="53" t="e">
        <f>_xlfn.XLOOKUP(U33,Tab_Def_Flows[Name(EN)],Tab_Def_Flows[Flow_ID],,0,)</f>
        <v>#N/A</v>
      </c>
      <c r="W33" s="51" t="s">
        <v>231</v>
      </c>
      <c r="X33" s="52" t="e">
        <f>_xlfn.XLOOKUP(W33,Tab_Def_Flows[Name(EN)],Tab_Def_Flows[Flow_ID],,0,)</f>
        <v>#N/A</v>
      </c>
      <c r="Y33" s="51" t="s">
        <v>231</v>
      </c>
      <c r="Z33" s="52" t="e">
        <f>_xlfn.XLOOKUP(Y33,Tab_Def_Flows[Name(EN)],Tab_Def_Flows[Flow_ID],,0,)</f>
        <v>#N/A</v>
      </c>
      <c r="AA33" s="51" t="s">
        <v>231</v>
      </c>
      <c r="AB33" s="52" t="e">
        <f>_xlfn.XLOOKUP(AA33,Tab_Def_Flows[Name(EN)],Tab_Def_Flows[Flow_ID],,0,)</f>
        <v>#N/A</v>
      </c>
      <c r="AC33" s="51" t="s">
        <v>231</v>
      </c>
      <c r="AD33" s="52" t="e">
        <f>_xlfn.XLOOKUP(AC33,Tab_Def_Flows[Name(EN)],Tab_Def_Flows[Flow_ID],,0,)</f>
        <v>#N/A</v>
      </c>
      <c r="AE33" s="51" t="s">
        <v>231</v>
      </c>
      <c r="AF33" s="52" t="e">
        <f>_xlfn.XLOOKUP(AE33,Tab_Def_Flows[Name(EN)],Tab_Def_Flows[Flow_ID],,0,)</f>
        <v>#N/A</v>
      </c>
      <c r="AG33" s="51" t="s">
        <v>231</v>
      </c>
      <c r="AH33" s="53" t="e">
        <f>_xlfn.XLOOKUP(AG33,Tab_Def_Flows[Name(EN)],Tab_Def_Flows[Flow_ID],,0,)</f>
        <v>#N/A</v>
      </c>
    </row>
    <row r="34" spans="1:34" x14ac:dyDescent="0.35">
      <c r="A34" s="97" t="b">
        <v>0</v>
      </c>
      <c r="B34" s="117" t="s">
        <v>478</v>
      </c>
      <c r="C34" s="49" t="str">
        <f t="shared" si="0"/>
        <v>32__</v>
      </c>
      <c r="D34" s="51"/>
      <c r="E34" s="92"/>
      <c r="F34" s="51"/>
      <c r="G34" s="51"/>
      <c r="H34" s="51"/>
      <c r="I34" s="92"/>
      <c r="J34" s="95"/>
      <c r="K34" s="51"/>
      <c r="L34" s="99"/>
      <c r="M34" s="51" t="s">
        <v>231</v>
      </c>
      <c r="N34" s="52" t="e">
        <f>_xlfn.XLOOKUP(M34,Tab_Def_Flows[Name(EN)],Tab_Def_Flows[Flow_ID],,0,)</f>
        <v>#N/A</v>
      </c>
      <c r="O34" s="51" t="s">
        <v>231</v>
      </c>
      <c r="P34" s="52" t="e">
        <f>_xlfn.XLOOKUP(O34,Tab_Def_Flows[Name(EN)],Tab_Def_Flows[Flow_ID],,0,)</f>
        <v>#N/A</v>
      </c>
      <c r="Q34" s="51" t="s">
        <v>231</v>
      </c>
      <c r="R34" s="52" t="e">
        <f>_xlfn.XLOOKUP(Q34,Tab_Def_Flows[Name(EN)],Tab_Def_Flows[Flow_ID],,0,)</f>
        <v>#N/A</v>
      </c>
      <c r="S34" s="51" t="s">
        <v>231</v>
      </c>
      <c r="T34" s="52" t="e">
        <f>_xlfn.XLOOKUP(S34,Tab_Def_Flows[Name(EN)],Tab_Def_Flows[Flow_ID],,0,)</f>
        <v>#N/A</v>
      </c>
      <c r="U34" s="51" t="s">
        <v>231</v>
      </c>
      <c r="V34" s="53" t="e">
        <f>_xlfn.XLOOKUP(U34,Tab_Def_Flows[Name(EN)],Tab_Def_Flows[Flow_ID],,0,)</f>
        <v>#N/A</v>
      </c>
      <c r="W34" s="51" t="s">
        <v>231</v>
      </c>
      <c r="X34" s="52" t="e">
        <f>_xlfn.XLOOKUP(W34,Tab_Def_Flows[Name(EN)],Tab_Def_Flows[Flow_ID],,0,)</f>
        <v>#N/A</v>
      </c>
      <c r="Y34" s="51" t="s">
        <v>231</v>
      </c>
      <c r="Z34" s="52" t="e">
        <f>_xlfn.XLOOKUP(Y34,Tab_Def_Flows[Name(EN)],Tab_Def_Flows[Flow_ID],,0,)</f>
        <v>#N/A</v>
      </c>
      <c r="AA34" s="51" t="s">
        <v>231</v>
      </c>
      <c r="AB34" s="52" t="e">
        <f>_xlfn.XLOOKUP(AA34,Tab_Def_Flows[Name(EN)],Tab_Def_Flows[Flow_ID],,0,)</f>
        <v>#N/A</v>
      </c>
      <c r="AC34" s="51" t="s">
        <v>231</v>
      </c>
      <c r="AD34" s="52" t="e">
        <f>_xlfn.XLOOKUP(AC34,Tab_Def_Flows[Name(EN)],Tab_Def_Flows[Flow_ID],,0,)</f>
        <v>#N/A</v>
      </c>
      <c r="AE34" s="51" t="s">
        <v>231</v>
      </c>
      <c r="AF34" s="52" t="e">
        <f>_xlfn.XLOOKUP(AE34,Tab_Def_Flows[Name(EN)],Tab_Def_Flows[Flow_ID],,0,)</f>
        <v>#N/A</v>
      </c>
      <c r="AG34" s="51" t="s">
        <v>231</v>
      </c>
      <c r="AH34" s="53" t="e">
        <f>_xlfn.XLOOKUP(AG34,Tab_Def_Flows[Name(EN)],Tab_Def_Flows[Flow_ID],,0,)</f>
        <v>#N/A</v>
      </c>
    </row>
    <row r="35" spans="1:34" x14ac:dyDescent="0.35">
      <c r="A35" s="97" t="b">
        <v>0</v>
      </c>
      <c r="B35" s="117" t="s">
        <v>479</v>
      </c>
      <c r="C35" s="49" t="str">
        <f t="shared" si="0"/>
        <v>33__</v>
      </c>
      <c r="D35" s="51"/>
      <c r="E35" s="92"/>
      <c r="F35" s="51"/>
      <c r="G35" s="51"/>
      <c r="H35" s="51"/>
      <c r="I35" s="92"/>
      <c r="J35" s="95"/>
      <c r="K35" s="51"/>
      <c r="L35" s="99"/>
      <c r="M35" s="51" t="s">
        <v>231</v>
      </c>
      <c r="N35" s="52" t="e">
        <f>_xlfn.XLOOKUP(M35,Tab_Def_Flows[Name(EN)],Tab_Def_Flows[Flow_ID],,0,)</f>
        <v>#N/A</v>
      </c>
      <c r="O35" s="51" t="s">
        <v>231</v>
      </c>
      <c r="P35" s="52" t="e">
        <f>_xlfn.XLOOKUP(O35,Tab_Def_Flows[Name(EN)],Tab_Def_Flows[Flow_ID],,0,)</f>
        <v>#N/A</v>
      </c>
      <c r="Q35" s="51" t="s">
        <v>231</v>
      </c>
      <c r="R35" s="52" t="e">
        <f>_xlfn.XLOOKUP(Q35,Tab_Def_Flows[Name(EN)],Tab_Def_Flows[Flow_ID],,0,)</f>
        <v>#N/A</v>
      </c>
      <c r="S35" s="51" t="s">
        <v>231</v>
      </c>
      <c r="T35" s="52" t="e">
        <f>_xlfn.XLOOKUP(S35,Tab_Def_Flows[Name(EN)],Tab_Def_Flows[Flow_ID],,0,)</f>
        <v>#N/A</v>
      </c>
      <c r="U35" s="51" t="s">
        <v>231</v>
      </c>
      <c r="V35" s="53" t="e">
        <f>_xlfn.XLOOKUP(U35,Tab_Def_Flows[Name(EN)],Tab_Def_Flows[Flow_ID],,0,)</f>
        <v>#N/A</v>
      </c>
      <c r="W35" s="51" t="s">
        <v>231</v>
      </c>
      <c r="X35" s="52" t="e">
        <f>_xlfn.XLOOKUP(W35,Tab_Def_Flows[Name(EN)],Tab_Def_Flows[Flow_ID],,0,)</f>
        <v>#N/A</v>
      </c>
      <c r="Y35" s="51" t="s">
        <v>231</v>
      </c>
      <c r="Z35" s="52" t="e">
        <f>_xlfn.XLOOKUP(Y35,Tab_Def_Flows[Name(EN)],Tab_Def_Flows[Flow_ID],,0,)</f>
        <v>#N/A</v>
      </c>
      <c r="AA35" s="51" t="s">
        <v>231</v>
      </c>
      <c r="AB35" s="52" t="e">
        <f>_xlfn.XLOOKUP(AA35,Tab_Def_Flows[Name(EN)],Tab_Def_Flows[Flow_ID],,0,)</f>
        <v>#N/A</v>
      </c>
      <c r="AC35" s="51" t="s">
        <v>231</v>
      </c>
      <c r="AD35" s="52" t="e">
        <f>_xlfn.XLOOKUP(AC35,Tab_Def_Flows[Name(EN)],Tab_Def_Flows[Flow_ID],,0,)</f>
        <v>#N/A</v>
      </c>
      <c r="AE35" s="51" t="s">
        <v>231</v>
      </c>
      <c r="AF35" s="52" t="e">
        <f>_xlfn.XLOOKUP(AE35,Tab_Def_Flows[Name(EN)],Tab_Def_Flows[Flow_ID],,0,)</f>
        <v>#N/A</v>
      </c>
      <c r="AG35" s="51" t="s">
        <v>231</v>
      </c>
      <c r="AH35" s="53" t="e">
        <f>_xlfn.XLOOKUP(AG35,Tab_Def_Flows[Name(EN)],Tab_Def_Flows[Flow_ID],,0,)</f>
        <v>#N/A</v>
      </c>
    </row>
    <row r="36" spans="1:34" x14ac:dyDescent="0.35">
      <c r="A36" s="97" t="b">
        <v>0</v>
      </c>
      <c r="B36" s="117" t="s">
        <v>480</v>
      </c>
      <c r="C36" s="49" t="str">
        <f t="shared" si="0"/>
        <v>34__</v>
      </c>
      <c r="D36" s="51"/>
      <c r="E36" s="92"/>
      <c r="F36" s="51"/>
      <c r="G36" s="51"/>
      <c r="H36" s="51"/>
      <c r="I36" s="92"/>
      <c r="J36" s="95"/>
      <c r="K36" s="51"/>
      <c r="L36" s="99"/>
      <c r="M36" s="51" t="s">
        <v>231</v>
      </c>
      <c r="N36" s="52" t="e">
        <f>_xlfn.XLOOKUP(M36,Tab_Def_Flows[Name(EN)],Tab_Def_Flows[Flow_ID],,0,)</f>
        <v>#N/A</v>
      </c>
      <c r="O36" s="51" t="s">
        <v>231</v>
      </c>
      <c r="P36" s="52" t="e">
        <f>_xlfn.XLOOKUP(O36,Tab_Def_Flows[Name(EN)],Tab_Def_Flows[Flow_ID],,0,)</f>
        <v>#N/A</v>
      </c>
      <c r="Q36" s="51" t="s">
        <v>231</v>
      </c>
      <c r="R36" s="52" t="e">
        <f>_xlfn.XLOOKUP(Q36,Tab_Def_Flows[Name(EN)],Tab_Def_Flows[Flow_ID],,0,)</f>
        <v>#N/A</v>
      </c>
      <c r="S36" s="51" t="s">
        <v>231</v>
      </c>
      <c r="T36" s="52" t="e">
        <f>_xlfn.XLOOKUP(S36,Tab_Def_Flows[Name(EN)],Tab_Def_Flows[Flow_ID],,0,)</f>
        <v>#N/A</v>
      </c>
      <c r="U36" s="51" t="s">
        <v>231</v>
      </c>
      <c r="V36" s="53" t="e">
        <f>_xlfn.XLOOKUP(U36,Tab_Def_Flows[Name(EN)],Tab_Def_Flows[Flow_ID],,0,)</f>
        <v>#N/A</v>
      </c>
      <c r="W36" s="51" t="s">
        <v>231</v>
      </c>
      <c r="X36" s="52" t="e">
        <f>_xlfn.XLOOKUP(W36,Tab_Def_Flows[Name(EN)],Tab_Def_Flows[Flow_ID],,0,)</f>
        <v>#N/A</v>
      </c>
      <c r="Y36" s="51" t="s">
        <v>231</v>
      </c>
      <c r="Z36" s="52" t="e">
        <f>_xlfn.XLOOKUP(Y36,Tab_Def_Flows[Name(EN)],Tab_Def_Flows[Flow_ID],,0,)</f>
        <v>#N/A</v>
      </c>
      <c r="AA36" s="51" t="s">
        <v>231</v>
      </c>
      <c r="AB36" s="52" t="e">
        <f>_xlfn.XLOOKUP(AA36,Tab_Def_Flows[Name(EN)],Tab_Def_Flows[Flow_ID],,0,)</f>
        <v>#N/A</v>
      </c>
      <c r="AC36" s="51" t="s">
        <v>231</v>
      </c>
      <c r="AD36" s="52" t="e">
        <f>_xlfn.XLOOKUP(AC36,Tab_Def_Flows[Name(EN)],Tab_Def_Flows[Flow_ID],,0,)</f>
        <v>#N/A</v>
      </c>
      <c r="AE36" s="51" t="s">
        <v>231</v>
      </c>
      <c r="AF36" s="52" t="e">
        <f>_xlfn.XLOOKUP(AE36,Tab_Def_Flows[Name(EN)],Tab_Def_Flows[Flow_ID],,0,)</f>
        <v>#N/A</v>
      </c>
      <c r="AG36" s="51" t="s">
        <v>231</v>
      </c>
      <c r="AH36" s="53" t="e">
        <f>_xlfn.XLOOKUP(AG36,Tab_Def_Flows[Name(EN)],Tab_Def_Flows[Flow_ID],,0,)</f>
        <v>#N/A</v>
      </c>
    </row>
    <row r="37" spans="1:34" x14ac:dyDescent="0.35">
      <c r="A37" s="97" t="b">
        <v>0</v>
      </c>
      <c r="B37" s="117" t="s">
        <v>481</v>
      </c>
      <c r="C37" s="49" t="str">
        <f t="shared" si="0"/>
        <v>35__</v>
      </c>
      <c r="D37" s="51"/>
      <c r="E37" s="92"/>
      <c r="F37" s="51"/>
      <c r="G37" s="51"/>
      <c r="H37" s="51"/>
      <c r="I37" s="92"/>
      <c r="J37" s="95"/>
      <c r="K37" s="51"/>
      <c r="L37" s="99"/>
      <c r="M37" s="51" t="s">
        <v>231</v>
      </c>
      <c r="N37" s="52" t="e">
        <f>_xlfn.XLOOKUP(M37,Tab_Def_Flows[Name(EN)],Tab_Def_Flows[Flow_ID],,0,)</f>
        <v>#N/A</v>
      </c>
      <c r="O37" s="51" t="s">
        <v>231</v>
      </c>
      <c r="P37" s="52" t="e">
        <f>_xlfn.XLOOKUP(O37,Tab_Def_Flows[Name(EN)],Tab_Def_Flows[Flow_ID],,0,)</f>
        <v>#N/A</v>
      </c>
      <c r="Q37" s="51" t="s">
        <v>231</v>
      </c>
      <c r="R37" s="52" t="e">
        <f>_xlfn.XLOOKUP(Q37,Tab_Def_Flows[Name(EN)],Tab_Def_Flows[Flow_ID],,0,)</f>
        <v>#N/A</v>
      </c>
      <c r="S37" s="51" t="s">
        <v>231</v>
      </c>
      <c r="T37" s="52" t="e">
        <f>_xlfn.XLOOKUP(S37,Tab_Def_Flows[Name(EN)],Tab_Def_Flows[Flow_ID],,0,)</f>
        <v>#N/A</v>
      </c>
      <c r="U37" s="51" t="s">
        <v>231</v>
      </c>
      <c r="V37" s="53" t="e">
        <f>_xlfn.XLOOKUP(U37,Tab_Def_Flows[Name(EN)],Tab_Def_Flows[Flow_ID],,0,)</f>
        <v>#N/A</v>
      </c>
      <c r="W37" s="51" t="s">
        <v>231</v>
      </c>
      <c r="X37" s="52" t="e">
        <f>_xlfn.XLOOKUP(W37,Tab_Def_Flows[Name(EN)],Tab_Def_Flows[Flow_ID],,0,)</f>
        <v>#N/A</v>
      </c>
      <c r="Y37" s="51" t="s">
        <v>231</v>
      </c>
      <c r="Z37" s="52" t="e">
        <f>_xlfn.XLOOKUP(Y37,Tab_Def_Flows[Name(EN)],Tab_Def_Flows[Flow_ID],,0,)</f>
        <v>#N/A</v>
      </c>
      <c r="AA37" s="51" t="s">
        <v>231</v>
      </c>
      <c r="AB37" s="52" t="e">
        <f>_xlfn.XLOOKUP(AA37,Tab_Def_Flows[Name(EN)],Tab_Def_Flows[Flow_ID],,0,)</f>
        <v>#N/A</v>
      </c>
      <c r="AC37" s="51" t="s">
        <v>231</v>
      </c>
      <c r="AD37" s="52" t="e">
        <f>_xlfn.XLOOKUP(AC37,Tab_Def_Flows[Name(EN)],Tab_Def_Flows[Flow_ID],,0,)</f>
        <v>#N/A</v>
      </c>
      <c r="AE37" s="51" t="s">
        <v>231</v>
      </c>
      <c r="AF37" s="52" t="e">
        <f>_xlfn.XLOOKUP(AE37,Tab_Def_Flows[Name(EN)],Tab_Def_Flows[Flow_ID],,0,)</f>
        <v>#N/A</v>
      </c>
      <c r="AG37" s="51" t="s">
        <v>231</v>
      </c>
      <c r="AH37" s="53" t="e">
        <f>_xlfn.XLOOKUP(AG37,Tab_Def_Flows[Name(EN)],Tab_Def_Flows[Flow_ID],,0,)</f>
        <v>#N/A</v>
      </c>
    </row>
    <row r="38" spans="1:34" x14ac:dyDescent="0.35">
      <c r="A38" s="97" t="b">
        <v>0</v>
      </c>
      <c r="B38" s="117" t="s">
        <v>482</v>
      </c>
      <c r="C38" s="49" t="str">
        <f t="shared" si="0"/>
        <v>36__</v>
      </c>
      <c r="D38" s="51"/>
      <c r="E38" s="92"/>
      <c r="F38" s="51"/>
      <c r="G38" s="51"/>
      <c r="H38" s="51"/>
      <c r="I38" s="92"/>
      <c r="J38" s="95"/>
      <c r="K38" s="51"/>
      <c r="L38" s="99"/>
      <c r="M38" s="51" t="s">
        <v>231</v>
      </c>
      <c r="N38" s="52" t="e">
        <f>_xlfn.XLOOKUP(M38,Tab_Def_Flows[Name(EN)],Tab_Def_Flows[Flow_ID],,0,)</f>
        <v>#N/A</v>
      </c>
      <c r="O38" s="51" t="s">
        <v>231</v>
      </c>
      <c r="P38" s="52" t="e">
        <f>_xlfn.XLOOKUP(O38,Tab_Def_Flows[Name(EN)],Tab_Def_Flows[Flow_ID],,0,)</f>
        <v>#N/A</v>
      </c>
      <c r="Q38" s="51" t="s">
        <v>231</v>
      </c>
      <c r="R38" s="52" t="e">
        <f>_xlfn.XLOOKUP(Q38,Tab_Def_Flows[Name(EN)],Tab_Def_Flows[Flow_ID],,0,)</f>
        <v>#N/A</v>
      </c>
      <c r="S38" s="51" t="s">
        <v>231</v>
      </c>
      <c r="T38" s="52" t="e">
        <f>_xlfn.XLOOKUP(S38,Tab_Def_Flows[Name(EN)],Tab_Def_Flows[Flow_ID],,0,)</f>
        <v>#N/A</v>
      </c>
      <c r="U38" s="51" t="s">
        <v>231</v>
      </c>
      <c r="V38" s="53" t="e">
        <f>_xlfn.XLOOKUP(U38,Tab_Def_Flows[Name(EN)],Tab_Def_Flows[Flow_ID],,0,)</f>
        <v>#N/A</v>
      </c>
      <c r="W38" s="51" t="s">
        <v>231</v>
      </c>
      <c r="X38" s="52" t="e">
        <f>_xlfn.XLOOKUP(W38,Tab_Def_Flows[Name(EN)],Tab_Def_Flows[Flow_ID],,0,)</f>
        <v>#N/A</v>
      </c>
      <c r="Y38" s="51" t="s">
        <v>231</v>
      </c>
      <c r="Z38" s="52" t="e">
        <f>_xlfn.XLOOKUP(Y38,Tab_Def_Flows[Name(EN)],Tab_Def_Flows[Flow_ID],,0,)</f>
        <v>#N/A</v>
      </c>
      <c r="AA38" s="51" t="s">
        <v>231</v>
      </c>
      <c r="AB38" s="52" t="e">
        <f>_xlfn.XLOOKUP(AA38,Tab_Def_Flows[Name(EN)],Tab_Def_Flows[Flow_ID],,0,)</f>
        <v>#N/A</v>
      </c>
      <c r="AC38" s="51" t="s">
        <v>231</v>
      </c>
      <c r="AD38" s="52" t="e">
        <f>_xlfn.XLOOKUP(AC38,Tab_Def_Flows[Name(EN)],Tab_Def_Flows[Flow_ID],,0,)</f>
        <v>#N/A</v>
      </c>
      <c r="AE38" s="51" t="s">
        <v>231</v>
      </c>
      <c r="AF38" s="52" t="e">
        <f>_xlfn.XLOOKUP(AE38,Tab_Def_Flows[Name(EN)],Tab_Def_Flows[Flow_ID],,0,)</f>
        <v>#N/A</v>
      </c>
      <c r="AG38" s="51" t="s">
        <v>231</v>
      </c>
      <c r="AH38" s="53" t="e">
        <f>_xlfn.XLOOKUP(AG38,Tab_Def_Flows[Name(EN)],Tab_Def_Flows[Flow_ID],,0,)</f>
        <v>#N/A</v>
      </c>
    </row>
    <row r="39" spans="1:34" x14ac:dyDescent="0.35">
      <c r="A39" s="97" t="b">
        <v>0</v>
      </c>
      <c r="B39" s="117" t="s">
        <v>483</v>
      </c>
      <c r="C39" s="49" t="str">
        <f t="shared" si="0"/>
        <v>37__</v>
      </c>
      <c r="D39" s="51"/>
      <c r="E39" s="92"/>
      <c r="F39" s="51"/>
      <c r="G39" s="51"/>
      <c r="H39" s="51"/>
      <c r="I39" s="92"/>
      <c r="J39" s="95"/>
      <c r="K39" s="51"/>
      <c r="L39" s="99"/>
      <c r="M39" s="51" t="s">
        <v>231</v>
      </c>
      <c r="N39" s="52" t="e">
        <f>_xlfn.XLOOKUP(M39,Tab_Def_Flows[Name(EN)],Tab_Def_Flows[Flow_ID],,0,)</f>
        <v>#N/A</v>
      </c>
      <c r="O39" s="51" t="s">
        <v>231</v>
      </c>
      <c r="P39" s="52" t="e">
        <f>_xlfn.XLOOKUP(O39,Tab_Def_Flows[Name(EN)],Tab_Def_Flows[Flow_ID],,0,)</f>
        <v>#N/A</v>
      </c>
      <c r="Q39" s="51" t="s">
        <v>231</v>
      </c>
      <c r="R39" s="52" t="e">
        <f>_xlfn.XLOOKUP(Q39,Tab_Def_Flows[Name(EN)],Tab_Def_Flows[Flow_ID],,0,)</f>
        <v>#N/A</v>
      </c>
      <c r="S39" s="51" t="s">
        <v>231</v>
      </c>
      <c r="T39" s="52" t="e">
        <f>_xlfn.XLOOKUP(S39,Tab_Def_Flows[Name(EN)],Tab_Def_Flows[Flow_ID],,0,)</f>
        <v>#N/A</v>
      </c>
      <c r="U39" s="51" t="s">
        <v>231</v>
      </c>
      <c r="V39" s="53" t="e">
        <f>_xlfn.XLOOKUP(U39,Tab_Def_Flows[Name(EN)],Tab_Def_Flows[Flow_ID],,0,)</f>
        <v>#N/A</v>
      </c>
      <c r="W39" s="51" t="s">
        <v>231</v>
      </c>
      <c r="X39" s="52" t="e">
        <f>_xlfn.XLOOKUP(W39,Tab_Def_Flows[Name(EN)],Tab_Def_Flows[Flow_ID],,0,)</f>
        <v>#N/A</v>
      </c>
      <c r="Y39" s="51" t="s">
        <v>231</v>
      </c>
      <c r="Z39" s="52" t="e">
        <f>_xlfn.XLOOKUP(Y39,Tab_Def_Flows[Name(EN)],Tab_Def_Flows[Flow_ID],,0,)</f>
        <v>#N/A</v>
      </c>
      <c r="AA39" s="51" t="s">
        <v>231</v>
      </c>
      <c r="AB39" s="52" t="e">
        <f>_xlfn.XLOOKUP(AA39,Tab_Def_Flows[Name(EN)],Tab_Def_Flows[Flow_ID],,0,)</f>
        <v>#N/A</v>
      </c>
      <c r="AC39" s="51" t="s">
        <v>231</v>
      </c>
      <c r="AD39" s="52" t="e">
        <f>_xlfn.XLOOKUP(AC39,Tab_Def_Flows[Name(EN)],Tab_Def_Flows[Flow_ID],,0,)</f>
        <v>#N/A</v>
      </c>
      <c r="AE39" s="51" t="s">
        <v>231</v>
      </c>
      <c r="AF39" s="52" t="e">
        <f>_xlfn.XLOOKUP(AE39,Tab_Def_Flows[Name(EN)],Tab_Def_Flows[Flow_ID],,0,)</f>
        <v>#N/A</v>
      </c>
      <c r="AG39" s="51" t="s">
        <v>231</v>
      </c>
      <c r="AH39" s="53" t="e">
        <f>_xlfn.XLOOKUP(AG39,Tab_Def_Flows[Name(EN)],Tab_Def_Flows[Flow_ID],,0,)</f>
        <v>#N/A</v>
      </c>
    </row>
    <row r="40" spans="1:34" x14ac:dyDescent="0.35">
      <c r="A40" s="97" t="b">
        <v>0</v>
      </c>
      <c r="B40" s="117" t="s">
        <v>484</v>
      </c>
      <c r="C40" s="49" t="str">
        <f t="shared" si="0"/>
        <v>38__</v>
      </c>
      <c r="D40" s="51"/>
      <c r="E40" s="92"/>
      <c r="F40" s="51"/>
      <c r="G40" s="51"/>
      <c r="H40" s="51"/>
      <c r="I40" s="92"/>
      <c r="J40" s="95"/>
      <c r="K40" s="51"/>
      <c r="L40" s="99"/>
      <c r="M40" s="51" t="s">
        <v>231</v>
      </c>
      <c r="N40" s="52" t="e">
        <f>_xlfn.XLOOKUP(M40,Tab_Def_Flows[Name(EN)],Tab_Def_Flows[Flow_ID],,0,)</f>
        <v>#N/A</v>
      </c>
      <c r="O40" s="51" t="s">
        <v>231</v>
      </c>
      <c r="P40" s="52" t="e">
        <f>_xlfn.XLOOKUP(O40,Tab_Def_Flows[Name(EN)],Tab_Def_Flows[Flow_ID],,0,)</f>
        <v>#N/A</v>
      </c>
      <c r="Q40" s="51" t="s">
        <v>231</v>
      </c>
      <c r="R40" s="52" t="e">
        <f>_xlfn.XLOOKUP(Q40,Tab_Def_Flows[Name(EN)],Tab_Def_Flows[Flow_ID],,0,)</f>
        <v>#N/A</v>
      </c>
      <c r="S40" s="51" t="s">
        <v>231</v>
      </c>
      <c r="T40" s="52" t="e">
        <f>_xlfn.XLOOKUP(S40,Tab_Def_Flows[Name(EN)],Tab_Def_Flows[Flow_ID],,0,)</f>
        <v>#N/A</v>
      </c>
      <c r="U40" s="51" t="s">
        <v>231</v>
      </c>
      <c r="V40" s="53" t="e">
        <f>_xlfn.XLOOKUP(U40,Tab_Def_Flows[Name(EN)],Tab_Def_Flows[Flow_ID],,0,)</f>
        <v>#N/A</v>
      </c>
      <c r="W40" s="51" t="s">
        <v>231</v>
      </c>
      <c r="X40" s="52" t="e">
        <f>_xlfn.XLOOKUP(W40,Tab_Def_Flows[Name(EN)],Tab_Def_Flows[Flow_ID],,0,)</f>
        <v>#N/A</v>
      </c>
      <c r="Y40" s="51" t="s">
        <v>231</v>
      </c>
      <c r="Z40" s="52" t="e">
        <f>_xlfn.XLOOKUP(Y40,Tab_Def_Flows[Name(EN)],Tab_Def_Flows[Flow_ID],,0,)</f>
        <v>#N/A</v>
      </c>
      <c r="AA40" s="51" t="s">
        <v>231</v>
      </c>
      <c r="AB40" s="52" t="e">
        <f>_xlfn.XLOOKUP(AA40,Tab_Def_Flows[Name(EN)],Tab_Def_Flows[Flow_ID],,0,)</f>
        <v>#N/A</v>
      </c>
      <c r="AC40" s="51" t="s">
        <v>231</v>
      </c>
      <c r="AD40" s="52" t="e">
        <f>_xlfn.XLOOKUP(AC40,Tab_Def_Flows[Name(EN)],Tab_Def_Flows[Flow_ID],,0,)</f>
        <v>#N/A</v>
      </c>
      <c r="AE40" s="51" t="s">
        <v>231</v>
      </c>
      <c r="AF40" s="52" t="e">
        <f>_xlfn.XLOOKUP(AE40,Tab_Def_Flows[Name(EN)],Tab_Def_Flows[Flow_ID],,0,)</f>
        <v>#N/A</v>
      </c>
      <c r="AG40" s="51" t="s">
        <v>231</v>
      </c>
      <c r="AH40" s="53" t="e">
        <f>_xlfn.XLOOKUP(AG40,Tab_Def_Flows[Name(EN)],Tab_Def_Flows[Flow_ID],,0,)</f>
        <v>#N/A</v>
      </c>
    </row>
    <row r="41" spans="1:34" x14ac:dyDescent="0.35">
      <c r="A41" s="97" t="b">
        <v>0</v>
      </c>
      <c r="B41" s="117" t="s">
        <v>485</v>
      </c>
      <c r="C41" s="49" t="str">
        <f t="shared" si="0"/>
        <v>39__</v>
      </c>
      <c r="D41" s="51"/>
      <c r="E41" s="92"/>
      <c r="F41" s="51"/>
      <c r="G41" s="51"/>
      <c r="H41" s="51"/>
      <c r="I41" s="92"/>
      <c r="J41" s="95"/>
      <c r="K41" s="51"/>
      <c r="L41" s="99"/>
      <c r="M41" s="51" t="s">
        <v>231</v>
      </c>
      <c r="N41" s="52" t="e">
        <f>_xlfn.XLOOKUP(M41,Tab_Def_Flows[Name(EN)],Tab_Def_Flows[Flow_ID],,0,)</f>
        <v>#N/A</v>
      </c>
      <c r="O41" s="51" t="s">
        <v>231</v>
      </c>
      <c r="P41" s="52" t="e">
        <f>_xlfn.XLOOKUP(O41,Tab_Def_Flows[Name(EN)],Tab_Def_Flows[Flow_ID],,0,)</f>
        <v>#N/A</v>
      </c>
      <c r="Q41" s="51" t="s">
        <v>231</v>
      </c>
      <c r="R41" s="52" t="e">
        <f>_xlfn.XLOOKUP(Q41,Tab_Def_Flows[Name(EN)],Tab_Def_Flows[Flow_ID],,0,)</f>
        <v>#N/A</v>
      </c>
      <c r="S41" s="51" t="s">
        <v>231</v>
      </c>
      <c r="T41" s="52" t="e">
        <f>_xlfn.XLOOKUP(S41,Tab_Def_Flows[Name(EN)],Tab_Def_Flows[Flow_ID],,0,)</f>
        <v>#N/A</v>
      </c>
      <c r="U41" s="51" t="s">
        <v>231</v>
      </c>
      <c r="V41" s="53" t="e">
        <f>_xlfn.XLOOKUP(U41,Tab_Def_Flows[Name(EN)],Tab_Def_Flows[Flow_ID],,0,)</f>
        <v>#N/A</v>
      </c>
      <c r="W41" s="51" t="s">
        <v>231</v>
      </c>
      <c r="X41" s="52" t="e">
        <f>_xlfn.XLOOKUP(W41,Tab_Def_Flows[Name(EN)],Tab_Def_Flows[Flow_ID],,0,)</f>
        <v>#N/A</v>
      </c>
      <c r="Y41" s="51" t="s">
        <v>231</v>
      </c>
      <c r="Z41" s="52" t="e">
        <f>_xlfn.XLOOKUP(Y41,Tab_Def_Flows[Name(EN)],Tab_Def_Flows[Flow_ID],,0,)</f>
        <v>#N/A</v>
      </c>
      <c r="AA41" s="51" t="s">
        <v>231</v>
      </c>
      <c r="AB41" s="52" t="e">
        <f>_xlfn.XLOOKUP(AA41,Tab_Def_Flows[Name(EN)],Tab_Def_Flows[Flow_ID],,0,)</f>
        <v>#N/A</v>
      </c>
      <c r="AC41" s="51" t="s">
        <v>231</v>
      </c>
      <c r="AD41" s="52" t="e">
        <f>_xlfn.XLOOKUP(AC41,Tab_Def_Flows[Name(EN)],Tab_Def_Flows[Flow_ID],,0,)</f>
        <v>#N/A</v>
      </c>
      <c r="AE41" s="51" t="s">
        <v>231</v>
      </c>
      <c r="AF41" s="52" t="e">
        <f>_xlfn.XLOOKUP(AE41,Tab_Def_Flows[Name(EN)],Tab_Def_Flows[Flow_ID],,0,)</f>
        <v>#N/A</v>
      </c>
      <c r="AG41" s="51" t="s">
        <v>231</v>
      </c>
      <c r="AH41" s="53" t="e">
        <f>_xlfn.XLOOKUP(AG41,Tab_Def_Flows[Name(EN)],Tab_Def_Flows[Flow_ID],,0,)</f>
        <v>#N/A</v>
      </c>
    </row>
    <row r="42" spans="1:34" x14ac:dyDescent="0.35">
      <c r="A42" s="97" t="b">
        <v>0</v>
      </c>
      <c r="B42" s="117" t="s">
        <v>486</v>
      </c>
      <c r="C42" s="49" t="str">
        <f t="shared" si="0"/>
        <v>40__</v>
      </c>
      <c r="D42" s="51"/>
      <c r="E42" s="92"/>
      <c r="F42" s="51"/>
      <c r="G42" s="51"/>
      <c r="H42" s="51"/>
      <c r="I42" s="92"/>
      <c r="J42" s="95"/>
      <c r="K42" s="51"/>
      <c r="L42" s="99"/>
      <c r="M42" s="51" t="s">
        <v>231</v>
      </c>
      <c r="N42" s="52" t="e">
        <f>_xlfn.XLOOKUP(M42,Tab_Def_Flows[Name(EN)],Tab_Def_Flows[Flow_ID],,0,)</f>
        <v>#N/A</v>
      </c>
      <c r="O42" s="51" t="s">
        <v>231</v>
      </c>
      <c r="P42" s="52" t="e">
        <f>_xlfn.XLOOKUP(O42,Tab_Def_Flows[Name(EN)],Tab_Def_Flows[Flow_ID],,0,)</f>
        <v>#N/A</v>
      </c>
      <c r="Q42" s="51" t="s">
        <v>231</v>
      </c>
      <c r="R42" s="52" t="e">
        <f>_xlfn.XLOOKUP(Q42,Tab_Def_Flows[Name(EN)],Tab_Def_Flows[Flow_ID],,0,)</f>
        <v>#N/A</v>
      </c>
      <c r="S42" s="51" t="s">
        <v>231</v>
      </c>
      <c r="T42" s="52" t="e">
        <f>_xlfn.XLOOKUP(S42,Tab_Def_Flows[Name(EN)],Tab_Def_Flows[Flow_ID],,0,)</f>
        <v>#N/A</v>
      </c>
      <c r="U42" s="51" t="s">
        <v>231</v>
      </c>
      <c r="V42" s="53" t="e">
        <f>_xlfn.XLOOKUP(U42,Tab_Def_Flows[Name(EN)],Tab_Def_Flows[Flow_ID],,0,)</f>
        <v>#N/A</v>
      </c>
      <c r="W42" s="51" t="s">
        <v>231</v>
      </c>
      <c r="X42" s="52" t="e">
        <f>_xlfn.XLOOKUP(W42,Tab_Def_Flows[Name(EN)],Tab_Def_Flows[Flow_ID],,0,)</f>
        <v>#N/A</v>
      </c>
      <c r="Y42" s="51" t="s">
        <v>231</v>
      </c>
      <c r="Z42" s="52" t="e">
        <f>_xlfn.XLOOKUP(Y42,Tab_Def_Flows[Name(EN)],Tab_Def_Flows[Flow_ID],,0,)</f>
        <v>#N/A</v>
      </c>
      <c r="AA42" s="51" t="s">
        <v>231</v>
      </c>
      <c r="AB42" s="52" t="e">
        <f>_xlfn.XLOOKUP(AA42,Tab_Def_Flows[Name(EN)],Tab_Def_Flows[Flow_ID],,0,)</f>
        <v>#N/A</v>
      </c>
      <c r="AC42" s="51" t="s">
        <v>231</v>
      </c>
      <c r="AD42" s="52" t="e">
        <f>_xlfn.XLOOKUP(AC42,Tab_Def_Flows[Name(EN)],Tab_Def_Flows[Flow_ID],,0,)</f>
        <v>#N/A</v>
      </c>
      <c r="AE42" s="51" t="s">
        <v>231</v>
      </c>
      <c r="AF42" s="52" t="e">
        <f>_xlfn.XLOOKUP(AE42,Tab_Def_Flows[Name(EN)],Tab_Def_Flows[Flow_ID],,0,)</f>
        <v>#N/A</v>
      </c>
      <c r="AG42" s="51" t="s">
        <v>231</v>
      </c>
      <c r="AH42" s="53" t="e">
        <f>_xlfn.XLOOKUP(AG42,Tab_Def_Flows[Name(EN)],Tab_Def_Flows[Flow_ID],,0,)</f>
        <v>#N/A</v>
      </c>
    </row>
    <row r="43" spans="1:34" x14ac:dyDescent="0.35">
      <c r="A43" s="97" t="b">
        <v>0</v>
      </c>
      <c r="B43" s="117" t="s">
        <v>487</v>
      </c>
      <c r="C43" s="49" t="str">
        <f t="shared" si="0"/>
        <v>41__</v>
      </c>
      <c r="D43" s="51"/>
      <c r="E43" s="92"/>
      <c r="F43" s="51"/>
      <c r="G43" s="51"/>
      <c r="H43" s="51"/>
      <c r="I43" s="92"/>
      <c r="J43" s="95"/>
      <c r="K43" s="51"/>
      <c r="L43" s="99"/>
      <c r="M43" s="51" t="s">
        <v>231</v>
      </c>
      <c r="N43" s="52" t="e">
        <f>_xlfn.XLOOKUP(M43,Tab_Def_Flows[Name(EN)],Tab_Def_Flows[Flow_ID],,0,)</f>
        <v>#N/A</v>
      </c>
      <c r="O43" s="51" t="s">
        <v>231</v>
      </c>
      <c r="P43" s="52" t="e">
        <f>_xlfn.XLOOKUP(O43,Tab_Def_Flows[Name(EN)],Tab_Def_Flows[Flow_ID],,0,)</f>
        <v>#N/A</v>
      </c>
      <c r="Q43" s="51" t="s">
        <v>231</v>
      </c>
      <c r="R43" s="52" t="e">
        <f>_xlfn.XLOOKUP(Q43,Tab_Def_Flows[Name(EN)],Tab_Def_Flows[Flow_ID],,0,)</f>
        <v>#N/A</v>
      </c>
      <c r="S43" s="51" t="s">
        <v>231</v>
      </c>
      <c r="T43" s="52" t="e">
        <f>_xlfn.XLOOKUP(S43,Tab_Def_Flows[Name(EN)],Tab_Def_Flows[Flow_ID],,0,)</f>
        <v>#N/A</v>
      </c>
      <c r="U43" s="51" t="s">
        <v>231</v>
      </c>
      <c r="V43" s="53" t="e">
        <f>_xlfn.XLOOKUP(U43,Tab_Def_Flows[Name(EN)],Tab_Def_Flows[Flow_ID],,0,)</f>
        <v>#N/A</v>
      </c>
      <c r="W43" s="51" t="s">
        <v>231</v>
      </c>
      <c r="X43" s="52" t="e">
        <f>_xlfn.XLOOKUP(W43,Tab_Def_Flows[Name(EN)],Tab_Def_Flows[Flow_ID],,0,)</f>
        <v>#N/A</v>
      </c>
      <c r="Y43" s="51" t="s">
        <v>231</v>
      </c>
      <c r="Z43" s="52" t="e">
        <f>_xlfn.XLOOKUP(Y43,Tab_Def_Flows[Name(EN)],Tab_Def_Flows[Flow_ID],,0,)</f>
        <v>#N/A</v>
      </c>
      <c r="AA43" s="51" t="s">
        <v>231</v>
      </c>
      <c r="AB43" s="52" t="e">
        <f>_xlfn.XLOOKUP(AA43,Tab_Def_Flows[Name(EN)],Tab_Def_Flows[Flow_ID],,0,)</f>
        <v>#N/A</v>
      </c>
      <c r="AC43" s="51" t="s">
        <v>231</v>
      </c>
      <c r="AD43" s="52" t="e">
        <f>_xlfn.XLOOKUP(AC43,Tab_Def_Flows[Name(EN)],Tab_Def_Flows[Flow_ID],,0,)</f>
        <v>#N/A</v>
      </c>
      <c r="AE43" s="51" t="s">
        <v>231</v>
      </c>
      <c r="AF43" s="52" t="e">
        <f>_xlfn.XLOOKUP(AE43,Tab_Def_Flows[Name(EN)],Tab_Def_Flows[Flow_ID],,0,)</f>
        <v>#N/A</v>
      </c>
      <c r="AG43" s="51" t="s">
        <v>231</v>
      </c>
      <c r="AH43" s="53" t="e">
        <f>_xlfn.XLOOKUP(AG43,Tab_Def_Flows[Name(EN)],Tab_Def_Flows[Flow_ID],,0,)</f>
        <v>#N/A</v>
      </c>
    </row>
    <row r="44" spans="1:34" x14ac:dyDescent="0.35">
      <c r="A44" s="97" t="b">
        <v>0</v>
      </c>
      <c r="B44" s="117" t="s">
        <v>488</v>
      </c>
      <c r="C44" s="49" t="str">
        <f t="shared" si="0"/>
        <v>42__</v>
      </c>
      <c r="D44" s="51"/>
      <c r="E44" s="92"/>
      <c r="F44" s="51"/>
      <c r="G44" s="51"/>
      <c r="H44" s="51"/>
      <c r="I44" s="92"/>
      <c r="J44" s="95"/>
      <c r="K44" s="51"/>
      <c r="L44" s="99"/>
      <c r="M44" s="51" t="s">
        <v>231</v>
      </c>
      <c r="N44" s="52" t="e">
        <f>_xlfn.XLOOKUP(M44,Tab_Def_Flows[Name(EN)],Tab_Def_Flows[Flow_ID],,0,)</f>
        <v>#N/A</v>
      </c>
      <c r="O44" s="51" t="s">
        <v>231</v>
      </c>
      <c r="P44" s="52" t="e">
        <f>_xlfn.XLOOKUP(O44,Tab_Def_Flows[Name(EN)],Tab_Def_Flows[Flow_ID],,0,)</f>
        <v>#N/A</v>
      </c>
      <c r="Q44" s="51" t="s">
        <v>231</v>
      </c>
      <c r="R44" s="52" t="e">
        <f>_xlfn.XLOOKUP(Q44,Tab_Def_Flows[Name(EN)],Tab_Def_Flows[Flow_ID],,0,)</f>
        <v>#N/A</v>
      </c>
      <c r="S44" s="51" t="s">
        <v>231</v>
      </c>
      <c r="T44" s="52" t="e">
        <f>_xlfn.XLOOKUP(S44,Tab_Def_Flows[Name(EN)],Tab_Def_Flows[Flow_ID],,0,)</f>
        <v>#N/A</v>
      </c>
      <c r="U44" s="51" t="s">
        <v>231</v>
      </c>
      <c r="V44" s="53" t="e">
        <f>_xlfn.XLOOKUP(U44,Tab_Def_Flows[Name(EN)],Tab_Def_Flows[Flow_ID],,0,)</f>
        <v>#N/A</v>
      </c>
      <c r="W44" s="51" t="s">
        <v>231</v>
      </c>
      <c r="X44" s="52" t="e">
        <f>_xlfn.XLOOKUP(W44,Tab_Def_Flows[Name(EN)],Tab_Def_Flows[Flow_ID],,0,)</f>
        <v>#N/A</v>
      </c>
      <c r="Y44" s="51" t="s">
        <v>231</v>
      </c>
      <c r="Z44" s="52" t="e">
        <f>_xlfn.XLOOKUP(Y44,Tab_Def_Flows[Name(EN)],Tab_Def_Flows[Flow_ID],,0,)</f>
        <v>#N/A</v>
      </c>
      <c r="AA44" s="51" t="s">
        <v>231</v>
      </c>
      <c r="AB44" s="52" t="e">
        <f>_xlfn.XLOOKUP(AA44,Tab_Def_Flows[Name(EN)],Tab_Def_Flows[Flow_ID],,0,)</f>
        <v>#N/A</v>
      </c>
      <c r="AC44" s="51" t="s">
        <v>231</v>
      </c>
      <c r="AD44" s="52" t="e">
        <f>_xlfn.XLOOKUP(AC44,Tab_Def_Flows[Name(EN)],Tab_Def_Flows[Flow_ID],,0,)</f>
        <v>#N/A</v>
      </c>
      <c r="AE44" s="51" t="s">
        <v>231</v>
      </c>
      <c r="AF44" s="52" t="e">
        <f>_xlfn.XLOOKUP(AE44,Tab_Def_Flows[Name(EN)],Tab_Def_Flows[Flow_ID],,0,)</f>
        <v>#N/A</v>
      </c>
      <c r="AG44" s="51" t="s">
        <v>231</v>
      </c>
      <c r="AH44" s="53" t="e">
        <f>_xlfn.XLOOKUP(AG44,Tab_Def_Flows[Name(EN)],Tab_Def_Flows[Flow_ID],,0,)</f>
        <v>#N/A</v>
      </c>
    </row>
    <row r="45" spans="1:34" x14ac:dyDescent="0.35">
      <c r="A45" s="97" t="b">
        <v>0</v>
      </c>
      <c r="B45" s="117" t="s">
        <v>489</v>
      </c>
      <c r="C45" s="49" t="str">
        <f t="shared" si="0"/>
        <v>43__</v>
      </c>
      <c r="D45" s="51"/>
      <c r="E45" s="92"/>
      <c r="F45" s="51"/>
      <c r="G45" s="51"/>
      <c r="H45" s="51"/>
      <c r="I45" s="92"/>
      <c r="J45" s="95"/>
      <c r="K45" s="51"/>
      <c r="L45" s="99"/>
      <c r="M45" s="51" t="s">
        <v>231</v>
      </c>
      <c r="N45" s="52" t="e">
        <f>_xlfn.XLOOKUP(M45,Tab_Def_Flows[Name(EN)],Tab_Def_Flows[Flow_ID],,0,)</f>
        <v>#N/A</v>
      </c>
      <c r="O45" s="51" t="s">
        <v>231</v>
      </c>
      <c r="P45" s="52" t="e">
        <f>_xlfn.XLOOKUP(O45,Tab_Def_Flows[Name(EN)],Tab_Def_Flows[Flow_ID],,0,)</f>
        <v>#N/A</v>
      </c>
      <c r="Q45" s="51" t="s">
        <v>231</v>
      </c>
      <c r="R45" s="52" t="e">
        <f>_xlfn.XLOOKUP(Q45,Tab_Def_Flows[Name(EN)],Tab_Def_Flows[Flow_ID],,0,)</f>
        <v>#N/A</v>
      </c>
      <c r="S45" s="51" t="s">
        <v>231</v>
      </c>
      <c r="T45" s="52" t="e">
        <f>_xlfn.XLOOKUP(S45,Tab_Def_Flows[Name(EN)],Tab_Def_Flows[Flow_ID],,0,)</f>
        <v>#N/A</v>
      </c>
      <c r="U45" s="51" t="s">
        <v>231</v>
      </c>
      <c r="V45" s="53" t="e">
        <f>_xlfn.XLOOKUP(U45,Tab_Def_Flows[Name(EN)],Tab_Def_Flows[Flow_ID],,0,)</f>
        <v>#N/A</v>
      </c>
      <c r="W45" s="51" t="s">
        <v>231</v>
      </c>
      <c r="X45" s="52" t="e">
        <f>_xlfn.XLOOKUP(W45,Tab_Def_Flows[Name(EN)],Tab_Def_Flows[Flow_ID],,0,)</f>
        <v>#N/A</v>
      </c>
      <c r="Y45" s="51" t="s">
        <v>231</v>
      </c>
      <c r="Z45" s="52" t="e">
        <f>_xlfn.XLOOKUP(Y45,Tab_Def_Flows[Name(EN)],Tab_Def_Flows[Flow_ID],,0,)</f>
        <v>#N/A</v>
      </c>
      <c r="AA45" s="51" t="s">
        <v>231</v>
      </c>
      <c r="AB45" s="52" t="e">
        <f>_xlfn.XLOOKUP(AA45,Tab_Def_Flows[Name(EN)],Tab_Def_Flows[Flow_ID],,0,)</f>
        <v>#N/A</v>
      </c>
      <c r="AC45" s="51" t="s">
        <v>231</v>
      </c>
      <c r="AD45" s="52" t="e">
        <f>_xlfn.XLOOKUP(AC45,Tab_Def_Flows[Name(EN)],Tab_Def_Flows[Flow_ID],,0,)</f>
        <v>#N/A</v>
      </c>
      <c r="AE45" s="51" t="s">
        <v>231</v>
      </c>
      <c r="AF45" s="52" t="e">
        <f>_xlfn.XLOOKUP(AE45,Tab_Def_Flows[Name(EN)],Tab_Def_Flows[Flow_ID],,0,)</f>
        <v>#N/A</v>
      </c>
      <c r="AG45" s="51" t="s">
        <v>231</v>
      </c>
      <c r="AH45" s="53" t="e">
        <f>_xlfn.XLOOKUP(AG45,Tab_Def_Flows[Name(EN)],Tab_Def_Flows[Flow_ID],,0,)</f>
        <v>#N/A</v>
      </c>
    </row>
    <row r="46" spans="1:34" x14ac:dyDescent="0.35">
      <c r="A46" s="97" t="b">
        <v>0</v>
      </c>
      <c r="B46" s="117" t="s">
        <v>490</v>
      </c>
      <c r="C46" s="49" t="str">
        <f t="shared" si="0"/>
        <v>44__</v>
      </c>
      <c r="D46" s="51"/>
      <c r="E46" s="92"/>
      <c r="F46" s="51"/>
      <c r="G46" s="51"/>
      <c r="H46" s="51"/>
      <c r="I46" s="92"/>
      <c r="J46" s="95"/>
      <c r="K46" s="51"/>
      <c r="L46" s="99"/>
      <c r="M46" s="51" t="s">
        <v>231</v>
      </c>
      <c r="N46" s="52" t="e">
        <f>_xlfn.XLOOKUP(M46,Tab_Def_Flows[Name(EN)],Tab_Def_Flows[Flow_ID],,0,)</f>
        <v>#N/A</v>
      </c>
      <c r="O46" s="51" t="s">
        <v>231</v>
      </c>
      <c r="P46" s="52" t="e">
        <f>_xlfn.XLOOKUP(O46,Tab_Def_Flows[Name(EN)],Tab_Def_Flows[Flow_ID],,0,)</f>
        <v>#N/A</v>
      </c>
      <c r="Q46" s="51" t="s">
        <v>231</v>
      </c>
      <c r="R46" s="52" t="e">
        <f>_xlfn.XLOOKUP(Q46,Tab_Def_Flows[Name(EN)],Tab_Def_Flows[Flow_ID],,0,)</f>
        <v>#N/A</v>
      </c>
      <c r="S46" s="51" t="s">
        <v>231</v>
      </c>
      <c r="T46" s="52" t="e">
        <f>_xlfn.XLOOKUP(S46,Tab_Def_Flows[Name(EN)],Tab_Def_Flows[Flow_ID],,0,)</f>
        <v>#N/A</v>
      </c>
      <c r="U46" s="51" t="s">
        <v>231</v>
      </c>
      <c r="V46" s="53" t="e">
        <f>_xlfn.XLOOKUP(U46,Tab_Def_Flows[Name(EN)],Tab_Def_Flows[Flow_ID],,0,)</f>
        <v>#N/A</v>
      </c>
      <c r="W46" s="51" t="s">
        <v>231</v>
      </c>
      <c r="X46" s="52" t="e">
        <f>_xlfn.XLOOKUP(W46,Tab_Def_Flows[Name(EN)],Tab_Def_Flows[Flow_ID],,0,)</f>
        <v>#N/A</v>
      </c>
      <c r="Y46" s="51" t="s">
        <v>231</v>
      </c>
      <c r="Z46" s="52" t="e">
        <f>_xlfn.XLOOKUP(Y46,Tab_Def_Flows[Name(EN)],Tab_Def_Flows[Flow_ID],,0,)</f>
        <v>#N/A</v>
      </c>
      <c r="AA46" s="51" t="s">
        <v>231</v>
      </c>
      <c r="AB46" s="52" t="e">
        <f>_xlfn.XLOOKUP(AA46,Tab_Def_Flows[Name(EN)],Tab_Def_Flows[Flow_ID],,0,)</f>
        <v>#N/A</v>
      </c>
      <c r="AC46" s="51" t="s">
        <v>231</v>
      </c>
      <c r="AD46" s="52" t="e">
        <f>_xlfn.XLOOKUP(AC46,Tab_Def_Flows[Name(EN)],Tab_Def_Flows[Flow_ID],,0,)</f>
        <v>#N/A</v>
      </c>
      <c r="AE46" s="51" t="s">
        <v>231</v>
      </c>
      <c r="AF46" s="52" t="e">
        <f>_xlfn.XLOOKUP(AE46,Tab_Def_Flows[Name(EN)],Tab_Def_Flows[Flow_ID],,0,)</f>
        <v>#N/A</v>
      </c>
      <c r="AG46" s="51" t="s">
        <v>231</v>
      </c>
      <c r="AH46" s="53" t="e">
        <f>_xlfn.XLOOKUP(AG46,Tab_Def_Flows[Name(EN)],Tab_Def_Flows[Flow_ID],,0,)</f>
        <v>#N/A</v>
      </c>
    </row>
    <row r="47" spans="1:34" x14ac:dyDescent="0.35">
      <c r="A47" s="97" t="b">
        <v>0</v>
      </c>
      <c r="B47" s="117" t="s">
        <v>491</v>
      </c>
      <c r="C47" s="49" t="str">
        <f t="shared" si="0"/>
        <v>45__</v>
      </c>
      <c r="D47" s="51"/>
      <c r="E47" s="92"/>
      <c r="F47" s="51"/>
      <c r="G47" s="51"/>
      <c r="H47" s="51"/>
      <c r="I47" s="92"/>
      <c r="J47" s="95"/>
      <c r="K47" s="51"/>
      <c r="L47" s="99"/>
      <c r="M47" s="51" t="s">
        <v>231</v>
      </c>
      <c r="N47" s="52" t="e">
        <f>_xlfn.XLOOKUP(M47,Tab_Def_Flows[Name(EN)],Tab_Def_Flows[Flow_ID],,0,)</f>
        <v>#N/A</v>
      </c>
      <c r="O47" s="51" t="s">
        <v>231</v>
      </c>
      <c r="P47" s="52" t="e">
        <f>_xlfn.XLOOKUP(O47,Tab_Def_Flows[Name(EN)],Tab_Def_Flows[Flow_ID],,0,)</f>
        <v>#N/A</v>
      </c>
      <c r="Q47" s="51" t="s">
        <v>231</v>
      </c>
      <c r="R47" s="52" t="e">
        <f>_xlfn.XLOOKUP(Q47,Tab_Def_Flows[Name(EN)],Tab_Def_Flows[Flow_ID],,0,)</f>
        <v>#N/A</v>
      </c>
      <c r="S47" s="51" t="s">
        <v>231</v>
      </c>
      <c r="T47" s="52" t="e">
        <f>_xlfn.XLOOKUP(S47,Tab_Def_Flows[Name(EN)],Tab_Def_Flows[Flow_ID],,0,)</f>
        <v>#N/A</v>
      </c>
      <c r="U47" s="51" t="s">
        <v>231</v>
      </c>
      <c r="V47" s="53" t="e">
        <f>_xlfn.XLOOKUP(U47,Tab_Def_Flows[Name(EN)],Tab_Def_Flows[Flow_ID],,0,)</f>
        <v>#N/A</v>
      </c>
      <c r="W47" s="51" t="s">
        <v>231</v>
      </c>
      <c r="X47" s="52" t="e">
        <f>_xlfn.XLOOKUP(W47,Tab_Def_Flows[Name(EN)],Tab_Def_Flows[Flow_ID],,0,)</f>
        <v>#N/A</v>
      </c>
      <c r="Y47" s="51" t="s">
        <v>231</v>
      </c>
      <c r="Z47" s="52" t="e">
        <f>_xlfn.XLOOKUP(Y47,Tab_Def_Flows[Name(EN)],Tab_Def_Flows[Flow_ID],,0,)</f>
        <v>#N/A</v>
      </c>
      <c r="AA47" s="51" t="s">
        <v>231</v>
      </c>
      <c r="AB47" s="52" t="e">
        <f>_xlfn.XLOOKUP(AA47,Tab_Def_Flows[Name(EN)],Tab_Def_Flows[Flow_ID],,0,)</f>
        <v>#N/A</v>
      </c>
      <c r="AC47" s="51" t="s">
        <v>231</v>
      </c>
      <c r="AD47" s="52" t="e">
        <f>_xlfn.XLOOKUP(AC47,Tab_Def_Flows[Name(EN)],Tab_Def_Flows[Flow_ID],,0,)</f>
        <v>#N/A</v>
      </c>
      <c r="AE47" s="51" t="s">
        <v>231</v>
      </c>
      <c r="AF47" s="52" t="e">
        <f>_xlfn.XLOOKUP(AE47,Tab_Def_Flows[Name(EN)],Tab_Def_Flows[Flow_ID],,0,)</f>
        <v>#N/A</v>
      </c>
      <c r="AG47" s="51" t="s">
        <v>231</v>
      </c>
      <c r="AH47" s="53" t="e">
        <f>_xlfn.XLOOKUP(AG47,Tab_Def_Flows[Name(EN)],Tab_Def_Flows[Flow_ID],,0,)</f>
        <v>#N/A</v>
      </c>
    </row>
    <row r="48" spans="1:34" x14ac:dyDescent="0.35">
      <c r="A48" s="97" t="b">
        <v>0</v>
      </c>
      <c r="B48" s="117" t="s">
        <v>492</v>
      </c>
      <c r="C48" s="49" t="str">
        <f t="shared" si="0"/>
        <v>46__</v>
      </c>
      <c r="D48" s="51"/>
      <c r="E48" s="92"/>
      <c r="F48" s="51"/>
      <c r="G48" s="51"/>
      <c r="H48" s="51"/>
      <c r="I48" s="92"/>
      <c r="J48" s="95"/>
      <c r="K48" s="51"/>
      <c r="L48" s="99"/>
      <c r="M48" s="51" t="s">
        <v>231</v>
      </c>
      <c r="N48" s="52" t="e">
        <f>_xlfn.XLOOKUP(M48,Tab_Def_Flows[Name(EN)],Tab_Def_Flows[Flow_ID],,0,)</f>
        <v>#N/A</v>
      </c>
      <c r="O48" s="51" t="s">
        <v>231</v>
      </c>
      <c r="P48" s="52" t="e">
        <f>_xlfn.XLOOKUP(O48,Tab_Def_Flows[Name(EN)],Tab_Def_Flows[Flow_ID],,0,)</f>
        <v>#N/A</v>
      </c>
      <c r="Q48" s="51" t="s">
        <v>231</v>
      </c>
      <c r="R48" s="52" t="e">
        <f>_xlfn.XLOOKUP(Q48,Tab_Def_Flows[Name(EN)],Tab_Def_Flows[Flow_ID],,0,)</f>
        <v>#N/A</v>
      </c>
      <c r="S48" s="51" t="s">
        <v>231</v>
      </c>
      <c r="T48" s="52" t="e">
        <f>_xlfn.XLOOKUP(S48,Tab_Def_Flows[Name(EN)],Tab_Def_Flows[Flow_ID],,0,)</f>
        <v>#N/A</v>
      </c>
      <c r="U48" s="51" t="s">
        <v>231</v>
      </c>
      <c r="V48" s="53" t="e">
        <f>_xlfn.XLOOKUP(U48,Tab_Def_Flows[Name(EN)],Tab_Def_Flows[Flow_ID],,0,)</f>
        <v>#N/A</v>
      </c>
      <c r="W48" s="51" t="s">
        <v>231</v>
      </c>
      <c r="X48" s="52" t="e">
        <f>_xlfn.XLOOKUP(W48,Tab_Def_Flows[Name(EN)],Tab_Def_Flows[Flow_ID],,0,)</f>
        <v>#N/A</v>
      </c>
      <c r="Y48" s="51" t="s">
        <v>231</v>
      </c>
      <c r="Z48" s="52" t="e">
        <f>_xlfn.XLOOKUP(Y48,Tab_Def_Flows[Name(EN)],Tab_Def_Flows[Flow_ID],,0,)</f>
        <v>#N/A</v>
      </c>
      <c r="AA48" s="51" t="s">
        <v>231</v>
      </c>
      <c r="AB48" s="52" t="e">
        <f>_xlfn.XLOOKUP(AA48,Tab_Def_Flows[Name(EN)],Tab_Def_Flows[Flow_ID],,0,)</f>
        <v>#N/A</v>
      </c>
      <c r="AC48" s="51" t="s">
        <v>231</v>
      </c>
      <c r="AD48" s="52" t="e">
        <f>_xlfn.XLOOKUP(AC48,Tab_Def_Flows[Name(EN)],Tab_Def_Flows[Flow_ID],,0,)</f>
        <v>#N/A</v>
      </c>
      <c r="AE48" s="51" t="s">
        <v>231</v>
      </c>
      <c r="AF48" s="52" t="e">
        <f>_xlfn.XLOOKUP(AE48,Tab_Def_Flows[Name(EN)],Tab_Def_Flows[Flow_ID],,0,)</f>
        <v>#N/A</v>
      </c>
      <c r="AG48" s="51" t="s">
        <v>231</v>
      </c>
      <c r="AH48" s="53" t="e">
        <f>_xlfn.XLOOKUP(AG48,Tab_Def_Flows[Name(EN)],Tab_Def_Flows[Flow_ID],,0,)</f>
        <v>#N/A</v>
      </c>
    </row>
    <row r="49" spans="1:34" x14ac:dyDescent="0.35">
      <c r="A49" s="97" t="b">
        <v>0</v>
      </c>
      <c r="B49" s="117" t="s">
        <v>493</v>
      </c>
      <c r="C49" s="49" t="str">
        <f t="shared" si="0"/>
        <v>47__</v>
      </c>
      <c r="D49" s="51"/>
      <c r="E49" s="92"/>
      <c r="F49" s="51"/>
      <c r="G49" s="51"/>
      <c r="H49" s="51"/>
      <c r="I49" s="92"/>
      <c r="J49" s="95"/>
      <c r="K49" s="51"/>
      <c r="L49" s="99"/>
      <c r="M49" s="51" t="s">
        <v>231</v>
      </c>
      <c r="N49" s="52" t="e">
        <f>_xlfn.XLOOKUP(M49,Tab_Def_Flows[Name(EN)],Tab_Def_Flows[Flow_ID],,0,)</f>
        <v>#N/A</v>
      </c>
      <c r="O49" s="51" t="s">
        <v>231</v>
      </c>
      <c r="P49" s="52" t="e">
        <f>_xlfn.XLOOKUP(O49,Tab_Def_Flows[Name(EN)],Tab_Def_Flows[Flow_ID],,0,)</f>
        <v>#N/A</v>
      </c>
      <c r="Q49" s="51" t="s">
        <v>231</v>
      </c>
      <c r="R49" s="52" t="e">
        <f>_xlfn.XLOOKUP(Q49,Tab_Def_Flows[Name(EN)],Tab_Def_Flows[Flow_ID],,0,)</f>
        <v>#N/A</v>
      </c>
      <c r="S49" s="51" t="s">
        <v>231</v>
      </c>
      <c r="T49" s="52" t="e">
        <f>_xlfn.XLOOKUP(S49,Tab_Def_Flows[Name(EN)],Tab_Def_Flows[Flow_ID],,0,)</f>
        <v>#N/A</v>
      </c>
      <c r="U49" s="51" t="s">
        <v>231</v>
      </c>
      <c r="V49" s="53" t="e">
        <f>_xlfn.XLOOKUP(U49,Tab_Def_Flows[Name(EN)],Tab_Def_Flows[Flow_ID],,0,)</f>
        <v>#N/A</v>
      </c>
      <c r="W49" s="51" t="s">
        <v>231</v>
      </c>
      <c r="X49" s="52" t="e">
        <f>_xlfn.XLOOKUP(W49,Tab_Def_Flows[Name(EN)],Tab_Def_Flows[Flow_ID],,0,)</f>
        <v>#N/A</v>
      </c>
      <c r="Y49" s="51" t="s">
        <v>231</v>
      </c>
      <c r="Z49" s="52" t="e">
        <f>_xlfn.XLOOKUP(Y49,Tab_Def_Flows[Name(EN)],Tab_Def_Flows[Flow_ID],,0,)</f>
        <v>#N/A</v>
      </c>
      <c r="AA49" s="51" t="s">
        <v>231</v>
      </c>
      <c r="AB49" s="52" t="e">
        <f>_xlfn.XLOOKUP(AA49,Tab_Def_Flows[Name(EN)],Tab_Def_Flows[Flow_ID],,0,)</f>
        <v>#N/A</v>
      </c>
      <c r="AC49" s="51" t="s">
        <v>231</v>
      </c>
      <c r="AD49" s="52" t="e">
        <f>_xlfn.XLOOKUP(AC49,Tab_Def_Flows[Name(EN)],Tab_Def_Flows[Flow_ID],,0,)</f>
        <v>#N/A</v>
      </c>
      <c r="AE49" s="51" t="s">
        <v>231</v>
      </c>
      <c r="AF49" s="52" t="e">
        <f>_xlfn.XLOOKUP(AE49,Tab_Def_Flows[Name(EN)],Tab_Def_Flows[Flow_ID],,0,)</f>
        <v>#N/A</v>
      </c>
      <c r="AG49" s="51" t="s">
        <v>231</v>
      </c>
      <c r="AH49" s="53" t="e">
        <f>_xlfn.XLOOKUP(AG49,Tab_Def_Flows[Name(EN)],Tab_Def_Flows[Flow_ID],,0,)</f>
        <v>#N/A</v>
      </c>
    </row>
    <row r="50" spans="1:34" x14ac:dyDescent="0.35">
      <c r="A50" s="97" t="b">
        <v>0</v>
      </c>
      <c r="B50" s="117" t="s">
        <v>494</v>
      </c>
      <c r="C50" s="49" t="str">
        <f t="shared" si="0"/>
        <v>48__</v>
      </c>
      <c r="D50" s="51"/>
      <c r="E50" s="92"/>
      <c r="F50" s="51"/>
      <c r="G50" s="51"/>
      <c r="H50" s="51"/>
      <c r="I50" s="92"/>
      <c r="J50" s="95"/>
      <c r="K50" s="51"/>
      <c r="L50" s="99"/>
      <c r="M50" s="51" t="s">
        <v>231</v>
      </c>
      <c r="N50" s="52" t="e">
        <f>_xlfn.XLOOKUP(M50,Tab_Def_Flows[Name(EN)],Tab_Def_Flows[Flow_ID],,0,)</f>
        <v>#N/A</v>
      </c>
      <c r="O50" s="51" t="s">
        <v>231</v>
      </c>
      <c r="P50" s="52" t="e">
        <f>_xlfn.XLOOKUP(O50,Tab_Def_Flows[Name(EN)],Tab_Def_Flows[Flow_ID],,0,)</f>
        <v>#N/A</v>
      </c>
      <c r="Q50" s="51" t="s">
        <v>231</v>
      </c>
      <c r="R50" s="52" t="e">
        <f>_xlfn.XLOOKUP(Q50,Tab_Def_Flows[Name(EN)],Tab_Def_Flows[Flow_ID],,0,)</f>
        <v>#N/A</v>
      </c>
      <c r="S50" s="51" t="s">
        <v>231</v>
      </c>
      <c r="T50" s="52" t="e">
        <f>_xlfn.XLOOKUP(S50,Tab_Def_Flows[Name(EN)],Tab_Def_Flows[Flow_ID],,0,)</f>
        <v>#N/A</v>
      </c>
      <c r="U50" s="51" t="s">
        <v>231</v>
      </c>
      <c r="V50" s="53" t="e">
        <f>_xlfn.XLOOKUP(U50,Tab_Def_Flows[Name(EN)],Tab_Def_Flows[Flow_ID],,0,)</f>
        <v>#N/A</v>
      </c>
      <c r="W50" s="51" t="s">
        <v>231</v>
      </c>
      <c r="X50" s="52" t="e">
        <f>_xlfn.XLOOKUP(W50,Tab_Def_Flows[Name(EN)],Tab_Def_Flows[Flow_ID],,0,)</f>
        <v>#N/A</v>
      </c>
      <c r="Y50" s="51" t="s">
        <v>231</v>
      </c>
      <c r="Z50" s="52" t="e">
        <f>_xlfn.XLOOKUP(Y50,Tab_Def_Flows[Name(EN)],Tab_Def_Flows[Flow_ID],,0,)</f>
        <v>#N/A</v>
      </c>
      <c r="AA50" s="51" t="s">
        <v>231</v>
      </c>
      <c r="AB50" s="52" t="e">
        <f>_xlfn.XLOOKUP(AA50,Tab_Def_Flows[Name(EN)],Tab_Def_Flows[Flow_ID],,0,)</f>
        <v>#N/A</v>
      </c>
      <c r="AC50" s="51" t="s">
        <v>231</v>
      </c>
      <c r="AD50" s="52" t="e">
        <f>_xlfn.XLOOKUP(AC50,Tab_Def_Flows[Name(EN)],Tab_Def_Flows[Flow_ID],,0,)</f>
        <v>#N/A</v>
      </c>
      <c r="AE50" s="51" t="s">
        <v>231</v>
      </c>
      <c r="AF50" s="52" t="e">
        <f>_xlfn.XLOOKUP(AE50,Tab_Def_Flows[Name(EN)],Tab_Def_Flows[Flow_ID],,0,)</f>
        <v>#N/A</v>
      </c>
      <c r="AG50" s="51" t="s">
        <v>231</v>
      </c>
      <c r="AH50" s="53" t="e">
        <f>_xlfn.XLOOKUP(AG50,Tab_Def_Flows[Name(EN)],Tab_Def_Flows[Flow_ID],,0,)</f>
        <v>#N/A</v>
      </c>
    </row>
    <row r="51" spans="1:34" x14ac:dyDescent="0.35">
      <c r="A51" s="97" t="b">
        <v>0</v>
      </c>
      <c r="B51" s="117" t="s">
        <v>495</v>
      </c>
      <c r="C51" s="49" t="str">
        <f t="shared" si="0"/>
        <v>49__</v>
      </c>
      <c r="D51" s="51"/>
      <c r="E51" s="92"/>
      <c r="F51" s="51"/>
      <c r="G51" s="51"/>
      <c r="H51" s="51"/>
      <c r="I51" s="92"/>
      <c r="J51" s="95"/>
      <c r="K51" s="51"/>
      <c r="L51" s="99"/>
      <c r="M51" s="51" t="s">
        <v>231</v>
      </c>
      <c r="N51" s="52" t="e">
        <f>_xlfn.XLOOKUP(M51,Tab_Def_Flows[Name(EN)],Tab_Def_Flows[Flow_ID],,0,)</f>
        <v>#N/A</v>
      </c>
      <c r="O51" s="51" t="s">
        <v>231</v>
      </c>
      <c r="P51" s="52" t="e">
        <f>_xlfn.XLOOKUP(O51,Tab_Def_Flows[Name(EN)],Tab_Def_Flows[Flow_ID],,0,)</f>
        <v>#N/A</v>
      </c>
      <c r="Q51" s="51" t="s">
        <v>231</v>
      </c>
      <c r="R51" s="52" t="e">
        <f>_xlfn.XLOOKUP(Q51,Tab_Def_Flows[Name(EN)],Tab_Def_Flows[Flow_ID],,0,)</f>
        <v>#N/A</v>
      </c>
      <c r="S51" s="51" t="s">
        <v>231</v>
      </c>
      <c r="T51" s="52" t="e">
        <f>_xlfn.XLOOKUP(S51,Tab_Def_Flows[Name(EN)],Tab_Def_Flows[Flow_ID],,0,)</f>
        <v>#N/A</v>
      </c>
      <c r="U51" s="51" t="s">
        <v>231</v>
      </c>
      <c r="V51" s="53" t="e">
        <f>_xlfn.XLOOKUP(U51,Tab_Def_Flows[Name(EN)],Tab_Def_Flows[Flow_ID],,0,)</f>
        <v>#N/A</v>
      </c>
      <c r="W51" s="51" t="s">
        <v>231</v>
      </c>
      <c r="X51" s="52" t="e">
        <f>_xlfn.XLOOKUP(W51,Tab_Def_Flows[Name(EN)],Tab_Def_Flows[Flow_ID],,0,)</f>
        <v>#N/A</v>
      </c>
      <c r="Y51" s="51" t="s">
        <v>231</v>
      </c>
      <c r="Z51" s="52" t="e">
        <f>_xlfn.XLOOKUP(Y51,Tab_Def_Flows[Name(EN)],Tab_Def_Flows[Flow_ID],,0,)</f>
        <v>#N/A</v>
      </c>
      <c r="AA51" s="51" t="s">
        <v>231</v>
      </c>
      <c r="AB51" s="52" t="e">
        <f>_xlfn.XLOOKUP(AA51,Tab_Def_Flows[Name(EN)],Tab_Def_Flows[Flow_ID],,0,)</f>
        <v>#N/A</v>
      </c>
      <c r="AC51" s="51" t="s">
        <v>231</v>
      </c>
      <c r="AD51" s="52" t="e">
        <f>_xlfn.XLOOKUP(AC51,Tab_Def_Flows[Name(EN)],Tab_Def_Flows[Flow_ID],,0,)</f>
        <v>#N/A</v>
      </c>
      <c r="AE51" s="51" t="s">
        <v>231</v>
      </c>
      <c r="AF51" s="52" t="e">
        <f>_xlfn.XLOOKUP(AE51,Tab_Def_Flows[Name(EN)],Tab_Def_Flows[Flow_ID],,0,)</f>
        <v>#N/A</v>
      </c>
      <c r="AG51" s="51" t="s">
        <v>231</v>
      </c>
      <c r="AH51" s="53" t="e">
        <f>_xlfn.XLOOKUP(AG51,Tab_Def_Flows[Name(EN)],Tab_Def_Flows[Flow_ID],,0,)</f>
        <v>#N/A</v>
      </c>
    </row>
    <row r="52" spans="1:34" x14ac:dyDescent="0.35">
      <c r="A52" s="97" t="b">
        <v>0</v>
      </c>
      <c r="B52" s="117" t="s">
        <v>496</v>
      </c>
      <c r="C52" s="49" t="str">
        <f t="shared" si="0"/>
        <v>50__</v>
      </c>
      <c r="D52" s="51"/>
      <c r="E52" s="92"/>
      <c r="F52" s="51"/>
      <c r="G52" s="51"/>
      <c r="H52" s="51"/>
      <c r="I52" s="92"/>
      <c r="J52" s="95"/>
      <c r="K52" s="51"/>
      <c r="L52" s="99"/>
      <c r="M52" s="51" t="s">
        <v>231</v>
      </c>
      <c r="N52" s="52" t="e">
        <f>_xlfn.XLOOKUP(M52,Tab_Def_Flows[Name(EN)],Tab_Def_Flows[Flow_ID],,0,)</f>
        <v>#N/A</v>
      </c>
      <c r="O52" s="51" t="s">
        <v>231</v>
      </c>
      <c r="P52" s="52" t="e">
        <f>_xlfn.XLOOKUP(O52,Tab_Def_Flows[Name(EN)],Tab_Def_Flows[Flow_ID],,0,)</f>
        <v>#N/A</v>
      </c>
      <c r="Q52" s="51" t="s">
        <v>231</v>
      </c>
      <c r="R52" s="52" t="e">
        <f>_xlfn.XLOOKUP(Q52,Tab_Def_Flows[Name(EN)],Tab_Def_Flows[Flow_ID],,0,)</f>
        <v>#N/A</v>
      </c>
      <c r="S52" s="51" t="s">
        <v>231</v>
      </c>
      <c r="T52" s="52" t="e">
        <f>_xlfn.XLOOKUP(S52,Tab_Def_Flows[Name(EN)],Tab_Def_Flows[Flow_ID],,0,)</f>
        <v>#N/A</v>
      </c>
      <c r="U52" s="51" t="s">
        <v>231</v>
      </c>
      <c r="V52" s="53" t="e">
        <f>_xlfn.XLOOKUP(U52,Tab_Def_Flows[Name(EN)],Tab_Def_Flows[Flow_ID],,0,)</f>
        <v>#N/A</v>
      </c>
      <c r="W52" s="51" t="s">
        <v>231</v>
      </c>
      <c r="X52" s="52" t="e">
        <f>_xlfn.XLOOKUP(W52,Tab_Def_Flows[Name(EN)],Tab_Def_Flows[Flow_ID],,0,)</f>
        <v>#N/A</v>
      </c>
      <c r="Y52" s="51" t="s">
        <v>231</v>
      </c>
      <c r="Z52" s="52" t="e">
        <f>_xlfn.XLOOKUP(Y52,Tab_Def_Flows[Name(EN)],Tab_Def_Flows[Flow_ID],,0,)</f>
        <v>#N/A</v>
      </c>
      <c r="AA52" s="51" t="s">
        <v>231</v>
      </c>
      <c r="AB52" s="52" t="e">
        <f>_xlfn.XLOOKUP(AA52,Tab_Def_Flows[Name(EN)],Tab_Def_Flows[Flow_ID],,0,)</f>
        <v>#N/A</v>
      </c>
      <c r="AC52" s="51" t="s">
        <v>231</v>
      </c>
      <c r="AD52" s="52" t="e">
        <f>_xlfn.XLOOKUP(AC52,Tab_Def_Flows[Name(EN)],Tab_Def_Flows[Flow_ID],,0,)</f>
        <v>#N/A</v>
      </c>
      <c r="AE52" s="51" t="s">
        <v>231</v>
      </c>
      <c r="AF52" s="52" t="e">
        <f>_xlfn.XLOOKUP(AE52,Tab_Def_Flows[Name(EN)],Tab_Def_Flows[Flow_ID],,0,)</f>
        <v>#N/A</v>
      </c>
      <c r="AG52" s="51" t="s">
        <v>231</v>
      </c>
      <c r="AH52" s="53" t="e">
        <f>_xlfn.XLOOKUP(AG52,Tab_Def_Flows[Name(EN)],Tab_Def_Flows[Flow_ID],,0,)</f>
        <v>#N/A</v>
      </c>
    </row>
    <row r="53" spans="1:34" x14ac:dyDescent="0.35">
      <c r="A53" s="97" t="b">
        <v>0</v>
      </c>
      <c r="B53" s="117" t="s">
        <v>497</v>
      </c>
      <c r="C53" s="49" t="str">
        <f t="shared" si="0"/>
        <v>51__</v>
      </c>
      <c r="D53" s="51"/>
      <c r="E53" s="92"/>
      <c r="F53" s="51"/>
      <c r="G53" s="51"/>
      <c r="H53" s="51"/>
      <c r="I53" s="92"/>
      <c r="J53" s="95"/>
      <c r="K53" s="51"/>
      <c r="L53" s="99"/>
      <c r="M53" s="51" t="s">
        <v>231</v>
      </c>
      <c r="N53" s="52" t="e">
        <f>_xlfn.XLOOKUP(M53,Tab_Def_Flows[Name(EN)],Tab_Def_Flows[Flow_ID],,0,)</f>
        <v>#N/A</v>
      </c>
      <c r="O53" s="51" t="s">
        <v>231</v>
      </c>
      <c r="P53" s="52" t="e">
        <f>_xlfn.XLOOKUP(O53,Tab_Def_Flows[Name(EN)],Tab_Def_Flows[Flow_ID],,0,)</f>
        <v>#N/A</v>
      </c>
      <c r="Q53" s="51" t="s">
        <v>231</v>
      </c>
      <c r="R53" s="52" t="e">
        <f>_xlfn.XLOOKUP(Q53,Tab_Def_Flows[Name(EN)],Tab_Def_Flows[Flow_ID],,0,)</f>
        <v>#N/A</v>
      </c>
      <c r="S53" s="51" t="s">
        <v>231</v>
      </c>
      <c r="T53" s="52" t="e">
        <f>_xlfn.XLOOKUP(S53,Tab_Def_Flows[Name(EN)],Tab_Def_Flows[Flow_ID],,0,)</f>
        <v>#N/A</v>
      </c>
      <c r="U53" s="51" t="s">
        <v>231</v>
      </c>
      <c r="V53" s="53" t="e">
        <f>_xlfn.XLOOKUP(U53,Tab_Def_Flows[Name(EN)],Tab_Def_Flows[Flow_ID],,0,)</f>
        <v>#N/A</v>
      </c>
      <c r="W53" s="51" t="s">
        <v>231</v>
      </c>
      <c r="X53" s="52" t="e">
        <f>_xlfn.XLOOKUP(W53,Tab_Def_Flows[Name(EN)],Tab_Def_Flows[Flow_ID],,0,)</f>
        <v>#N/A</v>
      </c>
      <c r="Y53" s="51" t="s">
        <v>231</v>
      </c>
      <c r="Z53" s="52" t="e">
        <f>_xlfn.XLOOKUP(Y53,Tab_Def_Flows[Name(EN)],Tab_Def_Flows[Flow_ID],,0,)</f>
        <v>#N/A</v>
      </c>
      <c r="AA53" s="51" t="s">
        <v>231</v>
      </c>
      <c r="AB53" s="52" t="e">
        <f>_xlfn.XLOOKUP(AA53,Tab_Def_Flows[Name(EN)],Tab_Def_Flows[Flow_ID],,0,)</f>
        <v>#N/A</v>
      </c>
      <c r="AC53" s="51" t="s">
        <v>231</v>
      </c>
      <c r="AD53" s="52" t="e">
        <f>_xlfn.XLOOKUP(AC53,Tab_Def_Flows[Name(EN)],Tab_Def_Flows[Flow_ID],,0,)</f>
        <v>#N/A</v>
      </c>
      <c r="AE53" s="51" t="s">
        <v>231</v>
      </c>
      <c r="AF53" s="52" t="e">
        <f>_xlfn.XLOOKUP(AE53,Tab_Def_Flows[Name(EN)],Tab_Def_Flows[Flow_ID],,0,)</f>
        <v>#N/A</v>
      </c>
      <c r="AG53" s="51" t="s">
        <v>231</v>
      </c>
      <c r="AH53" s="53" t="e">
        <f>_xlfn.XLOOKUP(AG53,Tab_Def_Flows[Name(EN)],Tab_Def_Flows[Flow_ID],,0,)</f>
        <v>#N/A</v>
      </c>
    </row>
    <row r="54" spans="1:34" x14ac:dyDescent="0.35">
      <c r="A54" s="97" t="b">
        <v>0</v>
      </c>
      <c r="B54" s="117" t="s">
        <v>498</v>
      </c>
      <c r="C54" s="49" t="str">
        <f t="shared" si="0"/>
        <v>52__</v>
      </c>
      <c r="D54" s="51"/>
      <c r="E54" s="92"/>
      <c r="F54" s="51"/>
      <c r="G54" s="51"/>
      <c r="H54" s="51"/>
      <c r="I54" s="92"/>
      <c r="J54" s="95"/>
      <c r="K54" s="51"/>
      <c r="L54" s="99"/>
      <c r="M54" s="51" t="s">
        <v>231</v>
      </c>
      <c r="N54" s="52" t="e">
        <f>_xlfn.XLOOKUP(M54,Tab_Def_Flows[Name(EN)],Tab_Def_Flows[Flow_ID],,0,)</f>
        <v>#N/A</v>
      </c>
      <c r="O54" s="51" t="s">
        <v>231</v>
      </c>
      <c r="P54" s="52" t="e">
        <f>_xlfn.XLOOKUP(O54,Tab_Def_Flows[Name(EN)],Tab_Def_Flows[Flow_ID],,0,)</f>
        <v>#N/A</v>
      </c>
      <c r="Q54" s="51" t="s">
        <v>231</v>
      </c>
      <c r="R54" s="52" t="e">
        <f>_xlfn.XLOOKUP(Q54,Tab_Def_Flows[Name(EN)],Tab_Def_Flows[Flow_ID],,0,)</f>
        <v>#N/A</v>
      </c>
      <c r="S54" s="51" t="s">
        <v>231</v>
      </c>
      <c r="T54" s="52" t="e">
        <f>_xlfn.XLOOKUP(S54,Tab_Def_Flows[Name(EN)],Tab_Def_Flows[Flow_ID],,0,)</f>
        <v>#N/A</v>
      </c>
      <c r="U54" s="51" t="s">
        <v>231</v>
      </c>
      <c r="V54" s="53" t="e">
        <f>_xlfn.XLOOKUP(U54,Tab_Def_Flows[Name(EN)],Tab_Def_Flows[Flow_ID],,0,)</f>
        <v>#N/A</v>
      </c>
      <c r="W54" s="51" t="s">
        <v>231</v>
      </c>
      <c r="X54" s="52" t="e">
        <f>_xlfn.XLOOKUP(W54,Tab_Def_Flows[Name(EN)],Tab_Def_Flows[Flow_ID],,0,)</f>
        <v>#N/A</v>
      </c>
      <c r="Y54" s="51" t="s">
        <v>231</v>
      </c>
      <c r="Z54" s="52" t="e">
        <f>_xlfn.XLOOKUP(Y54,Tab_Def_Flows[Name(EN)],Tab_Def_Flows[Flow_ID],,0,)</f>
        <v>#N/A</v>
      </c>
      <c r="AA54" s="51" t="s">
        <v>231</v>
      </c>
      <c r="AB54" s="52" t="e">
        <f>_xlfn.XLOOKUP(AA54,Tab_Def_Flows[Name(EN)],Tab_Def_Flows[Flow_ID],,0,)</f>
        <v>#N/A</v>
      </c>
      <c r="AC54" s="51" t="s">
        <v>231</v>
      </c>
      <c r="AD54" s="52" t="e">
        <f>_xlfn.XLOOKUP(AC54,Tab_Def_Flows[Name(EN)],Tab_Def_Flows[Flow_ID],,0,)</f>
        <v>#N/A</v>
      </c>
      <c r="AE54" s="51" t="s">
        <v>231</v>
      </c>
      <c r="AF54" s="52" t="e">
        <f>_xlfn.XLOOKUP(AE54,Tab_Def_Flows[Name(EN)],Tab_Def_Flows[Flow_ID],,0,)</f>
        <v>#N/A</v>
      </c>
      <c r="AG54" s="51" t="s">
        <v>231</v>
      </c>
      <c r="AH54" s="53" t="e">
        <f>_xlfn.XLOOKUP(AG54,Tab_Def_Flows[Name(EN)],Tab_Def_Flows[Flow_ID],,0,)</f>
        <v>#N/A</v>
      </c>
    </row>
    <row r="55" spans="1:34" x14ac:dyDescent="0.35">
      <c r="A55" s="97" t="b">
        <v>0</v>
      </c>
      <c r="B55" s="117" t="s">
        <v>499</v>
      </c>
      <c r="C55" s="49" t="str">
        <f t="shared" si="0"/>
        <v>53__</v>
      </c>
      <c r="D55" s="51"/>
      <c r="E55" s="92"/>
      <c r="F55" s="51"/>
      <c r="G55" s="51"/>
      <c r="H55" s="51"/>
      <c r="I55" s="92"/>
      <c r="J55" s="95"/>
      <c r="K55" s="51"/>
      <c r="L55" s="99"/>
      <c r="M55" s="51" t="s">
        <v>231</v>
      </c>
      <c r="N55" s="52" t="e">
        <f>_xlfn.XLOOKUP(M55,Tab_Def_Flows[Name(EN)],Tab_Def_Flows[Flow_ID],,0,)</f>
        <v>#N/A</v>
      </c>
      <c r="O55" s="51" t="s">
        <v>231</v>
      </c>
      <c r="P55" s="52" t="e">
        <f>_xlfn.XLOOKUP(O55,Tab_Def_Flows[Name(EN)],Tab_Def_Flows[Flow_ID],,0,)</f>
        <v>#N/A</v>
      </c>
      <c r="Q55" s="51" t="s">
        <v>231</v>
      </c>
      <c r="R55" s="52" t="e">
        <f>_xlfn.XLOOKUP(Q55,Tab_Def_Flows[Name(EN)],Tab_Def_Flows[Flow_ID],,0,)</f>
        <v>#N/A</v>
      </c>
      <c r="S55" s="51" t="s">
        <v>231</v>
      </c>
      <c r="T55" s="52" t="e">
        <f>_xlfn.XLOOKUP(S55,Tab_Def_Flows[Name(EN)],Tab_Def_Flows[Flow_ID],,0,)</f>
        <v>#N/A</v>
      </c>
      <c r="U55" s="51" t="s">
        <v>231</v>
      </c>
      <c r="V55" s="53" t="e">
        <f>_xlfn.XLOOKUP(U55,Tab_Def_Flows[Name(EN)],Tab_Def_Flows[Flow_ID],,0,)</f>
        <v>#N/A</v>
      </c>
      <c r="W55" s="51" t="s">
        <v>231</v>
      </c>
      <c r="X55" s="52" t="e">
        <f>_xlfn.XLOOKUP(W55,Tab_Def_Flows[Name(EN)],Tab_Def_Flows[Flow_ID],,0,)</f>
        <v>#N/A</v>
      </c>
      <c r="Y55" s="51" t="s">
        <v>231</v>
      </c>
      <c r="Z55" s="52" t="e">
        <f>_xlfn.XLOOKUP(Y55,Tab_Def_Flows[Name(EN)],Tab_Def_Flows[Flow_ID],,0,)</f>
        <v>#N/A</v>
      </c>
      <c r="AA55" s="51" t="s">
        <v>231</v>
      </c>
      <c r="AB55" s="52" t="e">
        <f>_xlfn.XLOOKUP(AA55,Tab_Def_Flows[Name(EN)],Tab_Def_Flows[Flow_ID],,0,)</f>
        <v>#N/A</v>
      </c>
      <c r="AC55" s="51" t="s">
        <v>231</v>
      </c>
      <c r="AD55" s="52" t="e">
        <f>_xlfn.XLOOKUP(AC55,Tab_Def_Flows[Name(EN)],Tab_Def_Flows[Flow_ID],,0,)</f>
        <v>#N/A</v>
      </c>
      <c r="AE55" s="51" t="s">
        <v>231</v>
      </c>
      <c r="AF55" s="52" t="e">
        <f>_xlfn.XLOOKUP(AE55,Tab_Def_Flows[Name(EN)],Tab_Def_Flows[Flow_ID],,0,)</f>
        <v>#N/A</v>
      </c>
      <c r="AG55" s="51" t="s">
        <v>231</v>
      </c>
      <c r="AH55" s="53" t="e">
        <f>_xlfn.XLOOKUP(AG55,Tab_Def_Flows[Name(EN)],Tab_Def_Flows[Flow_ID],,0,)</f>
        <v>#N/A</v>
      </c>
    </row>
    <row r="56" spans="1:34" x14ac:dyDescent="0.35">
      <c r="A56" s="97" t="b">
        <v>0</v>
      </c>
      <c r="B56" s="117" t="s">
        <v>500</v>
      </c>
      <c r="C56" s="49" t="str">
        <f t="shared" si="0"/>
        <v>54__</v>
      </c>
      <c r="D56" s="51"/>
      <c r="E56" s="92"/>
      <c r="F56" s="51"/>
      <c r="G56" s="51"/>
      <c r="H56" s="51"/>
      <c r="I56" s="92"/>
      <c r="J56" s="95"/>
      <c r="K56" s="51"/>
      <c r="L56" s="99"/>
      <c r="M56" s="51"/>
      <c r="N56" s="49" t="str">
        <f>_xlfn.XLOOKUP(M56,Tab_Def_Flows[Name(EN)],Tab_Def_Flows[Flow_ID],,0,)</f>
        <v>F_21_21</v>
      </c>
      <c r="O56" s="51"/>
      <c r="P56" s="49" t="str">
        <f>_xlfn.XLOOKUP(O56,Tab_Def_Flows[Name(EN)],Tab_Def_Flows[Flow_ID],,0,)</f>
        <v>F_21_21</v>
      </c>
      <c r="Q56" s="51"/>
      <c r="R56" s="49" t="str">
        <f>_xlfn.XLOOKUP(Q56,Tab_Def_Flows[Name(EN)],Tab_Def_Flows[Flow_ID],,0,)</f>
        <v>F_21_21</v>
      </c>
      <c r="S56" s="51"/>
      <c r="T56" s="49" t="str">
        <f>_xlfn.XLOOKUP(S56,Tab_Def_Flows[Name(EN)],Tab_Def_Flows[Flow_ID],,0,)</f>
        <v>F_21_21</v>
      </c>
      <c r="U56" s="51"/>
      <c r="V56" s="65" t="str">
        <f>_xlfn.XLOOKUP(U56,Tab_Def_Flows[Name(EN)],Tab_Def_Flows[Flow_ID],,0,)</f>
        <v>F_21_21</v>
      </c>
      <c r="W56" s="51"/>
      <c r="X56" s="49" t="str">
        <f>_xlfn.XLOOKUP(W56,Tab_Def_Flows[Name(EN)],Tab_Def_Flows[Flow_ID],,0,)</f>
        <v>F_21_21</v>
      </c>
      <c r="Y56" s="51"/>
      <c r="Z56" s="49" t="str">
        <f>_xlfn.XLOOKUP(Y56,Tab_Def_Flows[Name(EN)],Tab_Def_Flows[Flow_ID],,0,)</f>
        <v>F_21_21</v>
      </c>
      <c r="AA56" s="51"/>
      <c r="AB56" s="49" t="str">
        <f>_xlfn.XLOOKUP(AA56,Tab_Def_Flows[Name(EN)],Tab_Def_Flows[Flow_ID],,0,)</f>
        <v>F_21_21</v>
      </c>
      <c r="AC56" s="51"/>
      <c r="AD56" s="49" t="str">
        <f>_xlfn.XLOOKUP(AC56,Tab_Def_Flows[Name(EN)],Tab_Def_Flows[Flow_ID],,0,)</f>
        <v>F_21_21</v>
      </c>
      <c r="AE56" s="51"/>
      <c r="AF56" s="49" t="str">
        <f>_xlfn.XLOOKUP(AE56,Tab_Def_Flows[Name(EN)],Tab_Def_Flows[Flow_ID],,0,)</f>
        <v>F_21_21</v>
      </c>
      <c r="AG56" s="51"/>
      <c r="AH56" s="53" t="str">
        <f>_xlfn.XLOOKUP(AG56,Tab_Def_Flows[Name(EN)],Tab_Def_Flows[Flow_ID],,0,)</f>
        <v>F_21_21</v>
      </c>
    </row>
    <row r="57" spans="1:34" x14ac:dyDescent="0.35">
      <c r="A57" s="97" t="b">
        <v>0</v>
      </c>
      <c r="B57" s="117" t="s">
        <v>501</v>
      </c>
      <c r="C57" s="49" t="str">
        <f t="shared" si="0"/>
        <v>55__</v>
      </c>
      <c r="D57" s="51"/>
      <c r="E57" s="92"/>
      <c r="F57" s="51"/>
      <c r="G57" s="51"/>
      <c r="H57" s="51"/>
      <c r="I57" s="92"/>
      <c r="J57" s="95"/>
      <c r="K57" s="51"/>
      <c r="L57" s="99"/>
      <c r="M57" s="51"/>
      <c r="N57" s="49" t="str">
        <f>_xlfn.XLOOKUP(M57,Tab_Def_Flows[Name(EN)],Tab_Def_Flows[Flow_ID],,0,)</f>
        <v>F_21_21</v>
      </c>
      <c r="O57" s="51"/>
      <c r="P57" s="49" t="str">
        <f>_xlfn.XLOOKUP(O57,Tab_Def_Flows[Name(EN)],Tab_Def_Flows[Flow_ID],,0,)</f>
        <v>F_21_21</v>
      </c>
      <c r="Q57" s="51"/>
      <c r="R57" s="49" t="str">
        <f>_xlfn.XLOOKUP(Q57,Tab_Def_Flows[Name(EN)],Tab_Def_Flows[Flow_ID],,0,)</f>
        <v>F_21_21</v>
      </c>
      <c r="S57" s="51"/>
      <c r="T57" s="49" t="str">
        <f>_xlfn.XLOOKUP(S57,Tab_Def_Flows[Name(EN)],Tab_Def_Flows[Flow_ID],,0,)</f>
        <v>F_21_21</v>
      </c>
      <c r="U57" s="51"/>
      <c r="V57" s="66" t="str">
        <f>_xlfn.XLOOKUP(U57,Tab_Def_Flows[Name(EN)],Tab_Def_Flows[Flow_ID],,0,)</f>
        <v>F_21_21</v>
      </c>
      <c r="W57" s="51"/>
      <c r="X57" s="49" t="str">
        <f>_xlfn.XLOOKUP(W57,Tab_Def_Flows[Name(EN)],Tab_Def_Flows[Flow_ID],,0,)</f>
        <v>F_21_21</v>
      </c>
      <c r="Y57" s="51"/>
      <c r="Z57" s="49" t="str">
        <f>_xlfn.XLOOKUP(Y57,Tab_Def_Flows[Name(EN)],Tab_Def_Flows[Flow_ID],,0,)</f>
        <v>F_21_21</v>
      </c>
      <c r="AA57" s="51"/>
      <c r="AB57" s="49" t="str">
        <f>_xlfn.XLOOKUP(AA57,Tab_Def_Flows[Name(EN)],Tab_Def_Flows[Flow_ID],,0,)</f>
        <v>F_21_21</v>
      </c>
      <c r="AC57" s="51"/>
      <c r="AD57" s="49" t="str">
        <f>_xlfn.XLOOKUP(AC57,Tab_Def_Flows[Name(EN)],Tab_Def_Flows[Flow_ID],,0,)</f>
        <v>F_21_21</v>
      </c>
      <c r="AE57" s="51"/>
      <c r="AF57" s="49" t="str">
        <f>_xlfn.XLOOKUP(AE57,Tab_Def_Flows[Name(EN)],Tab_Def_Flows[Flow_ID],,0,)</f>
        <v>F_21_21</v>
      </c>
      <c r="AG57" s="51"/>
      <c r="AH57" s="53" t="str">
        <f>_xlfn.XLOOKUP(AG57,Tab_Def_Flows[Name(EN)],Tab_Def_Flows[Flow_ID],,0,)</f>
        <v>F_21_21</v>
      </c>
    </row>
    <row r="58" spans="1:34" x14ac:dyDescent="0.35">
      <c r="A58" s="97" t="b">
        <v>0</v>
      </c>
      <c r="B58" s="117" t="s">
        <v>502</v>
      </c>
      <c r="C58" s="49" t="str">
        <f t="shared" si="0"/>
        <v>56__</v>
      </c>
      <c r="D58" s="51"/>
      <c r="E58" s="92"/>
      <c r="F58" s="51"/>
      <c r="G58" s="51"/>
      <c r="H58" s="51"/>
      <c r="I58" s="92"/>
      <c r="J58" s="95"/>
      <c r="K58" s="51"/>
      <c r="L58" s="99"/>
      <c r="M58" s="51" t="s">
        <v>231</v>
      </c>
      <c r="N58" s="52" t="e">
        <f>_xlfn.XLOOKUP(M58,Tab_Def_Flows[Name(EN)],Tab_Def_Flows[Flow_ID],,0,)</f>
        <v>#N/A</v>
      </c>
      <c r="O58" s="51" t="s">
        <v>231</v>
      </c>
      <c r="P58" s="52" t="e">
        <f>_xlfn.XLOOKUP(O58,Tab_Def_Flows[Name(EN)],Tab_Def_Flows[Flow_ID],,0,)</f>
        <v>#N/A</v>
      </c>
      <c r="Q58" s="51" t="s">
        <v>231</v>
      </c>
      <c r="R58" s="52" t="e">
        <f>_xlfn.XLOOKUP(Q58,Tab_Def_Flows[Name(EN)],Tab_Def_Flows[Flow_ID],,0,)</f>
        <v>#N/A</v>
      </c>
      <c r="S58" s="51" t="s">
        <v>231</v>
      </c>
      <c r="T58" s="52" t="e">
        <f>_xlfn.XLOOKUP(S58,Tab_Def_Flows[Name(EN)],Tab_Def_Flows[Flow_ID],,0,)</f>
        <v>#N/A</v>
      </c>
      <c r="U58" s="51" t="s">
        <v>231</v>
      </c>
      <c r="V58" s="53" t="e">
        <f>_xlfn.XLOOKUP(U58,Tab_Def_Flows[Name(EN)],Tab_Def_Flows[Flow_ID],,0,)</f>
        <v>#N/A</v>
      </c>
      <c r="W58" s="51" t="s">
        <v>231</v>
      </c>
      <c r="X58" s="52" t="e">
        <f>_xlfn.XLOOKUP(W58,Tab_Def_Flows[Name(EN)],Tab_Def_Flows[Flow_ID],,0,)</f>
        <v>#N/A</v>
      </c>
      <c r="Y58" s="51" t="s">
        <v>231</v>
      </c>
      <c r="Z58" s="52" t="e">
        <f>_xlfn.XLOOKUP(Y58,Tab_Def_Flows[Name(EN)],Tab_Def_Flows[Flow_ID],,0,)</f>
        <v>#N/A</v>
      </c>
      <c r="AA58" s="51" t="s">
        <v>231</v>
      </c>
      <c r="AB58" s="52" t="e">
        <f>_xlfn.XLOOKUP(AA58,Tab_Def_Flows[Name(EN)],Tab_Def_Flows[Flow_ID],,0,)</f>
        <v>#N/A</v>
      </c>
      <c r="AC58" s="51" t="s">
        <v>231</v>
      </c>
      <c r="AD58" s="52" t="e">
        <f>_xlfn.XLOOKUP(AC58,Tab_Def_Flows[Name(EN)],Tab_Def_Flows[Flow_ID],,0,)</f>
        <v>#N/A</v>
      </c>
      <c r="AE58" s="51" t="s">
        <v>231</v>
      </c>
      <c r="AF58" s="52" t="e">
        <f>_xlfn.XLOOKUP(AE58,Tab_Def_Flows[Name(EN)],Tab_Def_Flows[Flow_ID],,0,)</f>
        <v>#N/A</v>
      </c>
      <c r="AG58" s="51" t="s">
        <v>231</v>
      </c>
      <c r="AH58" s="53" t="e">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K2:L58</xm:sqref>
        </x14:dataValidation>
        <x14:dataValidation type="list" allowBlank="1" showInputMessage="1" showErrorMessage="1" xr:uid="{56152067-6CEA-441E-B290-B5CA24D3608F}">
          <x14:formula1>
            <xm:f>'4_1 Codelists'!$K$4:$K$9</xm:f>
          </x14:formula1>
          <xm:sqref>G2:G58</xm:sqref>
        </x14:dataValidation>
        <x14:dataValidation type="list" allowBlank="1" showInputMessage="1" showErrorMessage="1" xr:uid="{0B6559FC-6BA5-474A-9290-C66996DA9F0D}">
          <x14:formula1>
            <xm:f>'4_1 Codelists'!$G$4:$G$8</xm:f>
          </x14:formula1>
          <xm:sqref>H2:H58</xm:sqref>
        </x14:dataValidation>
        <x14:dataValidation type="list" allowBlank="1" showInputMessage="1" showErrorMessage="1" xr:uid="{352DC256-B5CA-4775-B41E-D06A6C1541F5}">
          <x14:formula1>
            <xm:f>'4_1 Codelists'!$C$16:$C$18</xm:f>
          </x14:formula1>
          <xm:sqref>J2:J58</xm:sqref>
        </x14:dataValidation>
        <x14:dataValidation type="list" allowBlank="1" showInputMessage="1" showErrorMessage="1" xr:uid="{291A32E8-7F61-4A8B-A05D-9A0A09455503}">
          <x14:formula1>
            <xm:f>'1_1_Definition_Flows'!$D$2:$D$77</xm:f>
          </x14:formula1>
          <xm:sqref>M2:M58 W2:W58 AE2:AE58 Q2:Q58 AA2:AA58 U2:U58 AC2:AC58 AG2:AG58 O2:O58 S2:S58 Y2:Y58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tabColor theme="9" tint="0.79998168889431442"/>
  </sheetPr>
  <dimension ref="A1:BI63"/>
  <sheetViews>
    <sheetView zoomScale="55" zoomScaleNormal="55" workbookViewId="0">
      <pane xSplit="5" topLeftCell="AB1" activePane="topRight" state="frozen"/>
      <selection pane="topRight" activeCell="AG7" sqref="AG7"/>
    </sheetView>
  </sheetViews>
  <sheetFormatPr defaultColWidth="10.81640625" defaultRowHeight="14.5" x14ac:dyDescent="0.35"/>
  <cols>
    <col min="2" max="3" width="16.54296875" customWidth="1"/>
    <col min="4" max="4" width="16.54296875" style="120" customWidth="1"/>
    <col min="5" max="5" width="26.453125" customWidth="1"/>
    <col min="6" max="6" width="32.54296875" customWidth="1"/>
    <col min="7" max="8" width="15.54296875" customWidth="1"/>
    <col min="9" max="9" width="21.453125" customWidth="1"/>
    <col min="10" max="10" width="15.54296875" customWidth="1"/>
    <col min="11" max="11" width="15.453125" customWidth="1"/>
    <col min="12" max="12" width="12.54296875" customWidth="1"/>
    <col min="13" max="13" width="17" customWidth="1"/>
    <col min="14" max="14" width="16.54296875" customWidth="1"/>
    <col min="15" max="15" width="16.1796875" customWidth="1"/>
    <col min="16" max="16" width="15.7265625" customWidth="1"/>
    <col min="18" max="18" width="13.81640625" customWidth="1"/>
    <col min="26" max="26" width="17.453125" customWidth="1"/>
    <col min="27" max="31" width="17.81640625" customWidth="1"/>
    <col min="32" max="32" width="30.54296875" customWidth="1"/>
    <col min="33" max="50" width="17.81640625" customWidth="1"/>
  </cols>
  <sheetData>
    <row r="1" spans="1:61" x14ac:dyDescent="0.35">
      <c r="A1" s="68" t="s">
        <v>223</v>
      </c>
      <c r="B1" s="9" t="s">
        <v>225</v>
      </c>
      <c r="C1" s="48" t="s">
        <v>323</v>
      </c>
      <c r="D1" s="120" t="s">
        <v>290</v>
      </c>
      <c r="E1" t="s">
        <v>320</v>
      </c>
      <c r="F1" t="s">
        <v>234</v>
      </c>
      <c r="G1" t="s">
        <v>291</v>
      </c>
      <c r="H1" t="s">
        <v>292</v>
      </c>
      <c r="I1" s="48" t="s">
        <v>18</v>
      </c>
      <c r="J1" s="25" t="s">
        <v>325</v>
      </c>
      <c r="K1" s="26" t="s">
        <v>293</v>
      </c>
      <c r="L1" s="32" t="s">
        <v>324</v>
      </c>
      <c r="M1" s="57" t="s">
        <v>294</v>
      </c>
      <c r="N1" s="57" t="s">
        <v>295</v>
      </c>
      <c r="O1" s="75" t="s">
        <v>326</v>
      </c>
      <c r="P1" s="57" t="s">
        <v>296</v>
      </c>
      <c r="Q1" s="57" t="s">
        <v>301</v>
      </c>
      <c r="R1" s="75" t="s">
        <v>330</v>
      </c>
      <c r="S1" s="76" t="s">
        <v>297</v>
      </c>
      <c r="T1" s="71" t="s">
        <v>154</v>
      </c>
      <c r="U1" s="79" t="s">
        <v>329</v>
      </c>
      <c r="V1" s="76" t="s">
        <v>298</v>
      </c>
      <c r="W1" s="70" t="s">
        <v>157</v>
      </c>
      <c r="X1" s="75" t="s">
        <v>328</v>
      </c>
      <c r="Y1" s="76" t="s">
        <v>299</v>
      </c>
      <c r="Z1" s="70" t="s">
        <v>159</v>
      </c>
      <c r="AA1" s="75" t="s">
        <v>327</v>
      </c>
      <c r="AB1" s="74" t="s">
        <v>331</v>
      </c>
      <c r="AC1" s="72" t="s">
        <v>304</v>
      </c>
      <c r="AD1" s="72" t="s">
        <v>310</v>
      </c>
      <c r="AE1" s="83" t="s">
        <v>420</v>
      </c>
      <c r="AF1" s="72" t="s">
        <v>305</v>
      </c>
      <c r="AG1" s="72" t="s">
        <v>311</v>
      </c>
      <c r="AH1" s="83" t="s">
        <v>421</v>
      </c>
      <c r="AI1" s="72" t="s">
        <v>306</v>
      </c>
      <c r="AJ1" s="72" t="s">
        <v>312</v>
      </c>
      <c r="AK1" s="72" t="s">
        <v>422</v>
      </c>
      <c r="AL1" s="72" t="s">
        <v>307</v>
      </c>
      <c r="AM1" s="72" t="s">
        <v>313</v>
      </c>
      <c r="AN1" s="72" t="s">
        <v>425</v>
      </c>
      <c r="AO1" s="72" t="s">
        <v>308</v>
      </c>
      <c r="AP1" s="72" t="s">
        <v>314</v>
      </c>
      <c r="AQ1" s="72" t="s">
        <v>423</v>
      </c>
      <c r="AR1" s="72" t="s">
        <v>309</v>
      </c>
      <c r="AS1" s="72" t="s">
        <v>315</v>
      </c>
      <c r="AT1" s="72" t="s">
        <v>424</v>
      </c>
      <c r="AU1" s="73" t="s">
        <v>332</v>
      </c>
      <c r="AV1" s="90" t="s">
        <v>263</v>
      </c>
      <c r="AW1" s="90" t="s">
        <v>265</v>
      </c>
      <c r="AX1" s="90" t="s">
        <v>9</v>
      </c>
      <c r="AY1" s="90" t="s">
        <v>8</v>
      </c>
      <c r="AZ1" s="91" t="s">
        <v>10</v>
      </c>
    </row>
    <row r="2" spans="1:61" x14ac:dyDescent="0.35">
      <c r="A2" s="97" t="b">
        <v>1</v>
      </c>
      <c r="B2" s="49">
        <f t="shared" ref="B2:B33" si="0">ROW()-1</f>
        <v>1</v>
      </c>
      <c r="C2" s="49" t="str">
        <f t="shared" ref="C2:C33" si="1">"TC"&amp;LEFT(B2,2)&amp;"_"&amp;LEFT(D2,3)&amp;"_"&amp;LEFT(E2,3)&amp;"_"&amp;LEFT(F2,3)&amp;"_"&amp;LEFT(G2,3)</f>
        <v>TC1_20_Rye__Ant</v>
      </c>
      <c r="D2" s="121" t="str">
        <f>_xlfn.XLOOKUP($E2,Tab_Def_Processes[Name(EN)],Tab_Def_Processes[ID],,0,)</f>
        <v>20</v>
      </c>
      <c r="E2" s="51" t="s">
        <v>345</v>
      </c>
      <c r="F2" s="49"/>
      <c r="G2" s="49" t="str">
        <f>_xlfn.XLOOKUP(E2,Tab_Def_Processes[Name(EN)],Tab_Def_Processes[Carbon_Stock],,0,)</f>
        <v>Anthroposphere</v>
      </c>
      <c r="H2" s="49" t="str">
        <f>_xlfn.XLOOKUP(E2,Tab_Def_Processes[Name(EN)],Tab_Def_Processes[Life_Phase],,0,)</f>
        <v>Raw material production (processing)</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No</v>
      </c>
      <c r="M2" s="60" t="str">
        <f>_xlfn.XLOOKUP($E2,Tab_Def_Processes[Name(EN)],Tab_Def_Processes[Input_Flow_I_1],,0,)</f>
        <v>Rye plant</v>
      </c>
      <c r="N2" s="60" t="str">
        <f>_xlfn.XLOOKUP($E2,Tab_Def_Processes[Name(EN)],Tab_Def_Processes[Flow_ID_I_1],,0,)</f>
        <v>F_13_20</v>
      </c>
      <c r="O2" s="82">
        <v>1</v>
      </c>
      <c r="P2" s="77" t="str">
        <f>_xlfn.XLOOKUP($E2,Tab_Def_Processes[Name(EN)],Tab_Def_Processes[Input_Flow_I_2],,0,)</f>
        <v>N.A.</v>
      </c>
      <c r="Q2" s="60" t="e">
        <f>_xlfn.XLOOKUP($E2,Tab_Def_Processes[Name(EN)],Tab_Def_Processes[Flow_ID_I_2],,0,)</f>
        <v>#N/A</v>
      </c>
      <c r="R2" s="82"/>
      <c r="S2" s="77" t="str">
        <f>_xlfn.XLOOKUP($E2,Tab_Def_Processes[Name(EN)],Tab_Def_Processes[Input_Flow_I_3],,0,)</f>
        <v>N.A.</v>
      </c>
      <c r="T2" s="60" t="e">
        <f>_xlfn.XLOOKUP($E2,Tab_Def_Processes[Name(EN)],Tab_Def_Processes[Flow_ID_I_3],,0,)</f>
        <v>#N/A</v>
      </c>
      <c r="U2" s="82"/>
      <c r="V2" s="77" t="str">
        <f>_xlfn.XLOOKUP($E2,Tab_Def_Processes[Name(EN)],Tab_Def_Processes[Input_Flow_I_4],,0,)</f>
        <v>N.A.</v>
      </c>
      <c r="W2" s="60" t="e">
        <f>_xlfn.XLOOKUP($E2,Tab_Def_Processes[Name(EN)],Tab_Def_Processes[Flow_ID_I_4],,0,)</f>
        <v>#N/A</v>
      </c>
      <c r="X2" s="82"/>
      <c r="Y2" s="77" t="str">
        <f>_xlfn.XLOOKUP($E2,Tab_Def_Processes[Name(EN)],Tab_Def_Processes[Input_Flow_I_5],,0,)</f>
        <v>N.A.</v>
      </c>
      <c r="Z2" s="60" t="e">
        <f>_xlfn.XLOOKUP($E2,Tab_Def_Processes[Name(EN)],Tab_Def_Processes[Flow_ID_I_5],,0,)</f>
        <v>#N/A</v>
      </c>
      <c r="AA2" s="82"/>
      <c r="AB2" s="80">
        <f>Tab_Process_TCs[[#This Row],[Flow_TC_I_1_'[%']]]+Tab_Process_TCs[[#This Row],[Flow_TC_I_2_'[%']]]+Tab_Process_TCs[[#This Row],[Flow_TC_I_3_'[%']]]+Tab_Process_TCs[[#This Row],[Flow_TC_I_4_'[%']]]+Tab_Process_TCs[[#This Row],[Flow_TC_I_5_'[%']]]</f>
        <v>1</v>
      </c>
      <c r="AC2" s="60" t="str">
        <f>_xlfn.XLOOKUP($E2,Tab_Def_Processes[Name(EN)],Tab_Def_Processes[Output_Flow_O_1],,0,)</f>
        <v>Rye grain</v>
      </c>
      <c r="AD2" s="60" t="str">
        <f>_xlfn.XLOOKUP($E2,Tab_Def_Processes[Name(EN)],Tab_Def_Processes[Flow_ID_O_1],,0,)</f>
        <v>F_20_15</v>
      </c>
      <c r="AE2" s="82">
        <v>0.4</v>
      </c>
      <c r="AF2" s="60" t="str">
        <f>_xlfn.XLOOKUP($E2,Tab_Def_Processes[Name(EN)],Tab_Def_Processes[Output_Flow_O_2],,0,)</f>
        <v>Technical usable rye straw</v>
      </c>
      <c r="AG2" s="60" t="str">
        <f>_xlfn.XLOOKUP($E2,Tab_Def_Processes[Name(EN)],Tab_Def_Processes[Flow_ID_O_2],,0,)</f>
        <v>F_20_01</v>
      </c>
      <c r="AH2" s="82">
        <v>0.4</v>
      </c>
      <c r="AI2" s="60" t="str">
        <f>_xlfn.XLOOKUP($E2,Tab_Def_Processes[Name(EN)],Tab_Def_Processes[Output_Flow_O_3],,0,)</f>
        <v>Non technical usable Rye straw</v>
      </c>
      <c r="AJ2" s="60" t="str">
        <f>_xlfn.XLOOKUP($E2,Tab_Def_Processes[Name(EN)],Tab_Def_Processes[Flow_ID_O_3],,0,)</f>
        <v>F_20_16</v>
      </c>
      <c r="AK2" s="82">
        <v>0.2</v>
      </c>
      <c r="AL2" s="60" t="str">
        <f>_xlfn.XLOOKUP($E2,Tab_Def_Processes[Name(EN)],Tab_Def_Processes[Output_Flow_O_4],,0,)</f>
        <v>N.A.</v>
      </c>
      <c r="AM2" s="60" t="e">
        <f>_xlfn.XLOOKUP($E2,Tab_Def_Processes[Name(EN)],Tab_Def_Processes[Flow_ID_O_4],,0,)</f>
        <v>#N/A</v>
      </c>
      <c r="AN2" s="82"/>
      <c r="AO2" s="60" t="str">
        <f>_xlfn.XLOOKUP($E2,Tab_Def_Processes[Name(EN)],Tab_Def_Processes[Output_Flow_O_5],,0,)</f>
        <v>N.A.</v>
      </c>
      <c r="AP2" s="60" t="e">
        <f>_xlfn.XLOOKUP($E2,Tab_Def_Processes[Name(EN)],Tab_Def_Processes[Flow_ID_O_5],,0,)</f>
        <v>#N/A</v>
      </c>
      <c r="AQ2" s="82"/>
      <c r="AR2" s="60" t="str">
        <f>_xlfn.XLOOKUP($E2,Tab_Def_Processes[Name(EN)],Tab_Def_Processes[Output_Flow_O_6],,0,)</f>
        <v>N.A.</v>
      </c>
      <c r="AS2" s="60" t="e">
        <f>_xlfn.XLOOKUP($E2,Tab_Def_Processes[Name(EN)],Tab_Def_Processes[Flow_ID_O_6],,0,)</f>
        <v>#N/A</v>
      </c>
      <c r="AT2" s="82"/>
      <c r="AU2" s="80">
        <f>SUM(Tab_Process_TCs[[#This Row],[Flow_TC O_6_'[%']]],Tab_Process_TCs[[#This Row],[Flow_TC O_5_'[%']]],Tab_Process_TCs[[#This Row],[Flow_TC_O_4_'[%']]],Tab_Process_TCs[[#This Row],[Flow_TC_O_3_'[%']]],,Tab_Process_TCs[[#This Row],[Flow_TC_O_2_'[%']]],Tab_Process_TCs[[#This Row],[Flow_TC_O_1_'[%']]])</f>
        <v>1</v>
      </c>
      <c r="AV2" s="51"/>
      <c r="AW2" s="51"/>
      <c r="AX2" s="51"/>
      <c r="AY2" s="51"/>
      <c r="AZ2" s="51"/>
    </row>
    <row r="3" spans="1:61" x14ac:dyDescent="0.35">
      <c r="A3" s="97" t="b">
        <v>1</v>
      </c>
      <c r="B3" s="49">
        <f t="shared" si="0"/>
        <v>2</v>
      </c>
      <c r="C3" s="49" t="str">
        <f t="shared" si="1"/>
        <v>TC2_01_Bio__Ant</v>
      </c>
      <c r="D3" s="121" t="str">
        <f>_xlfn.XLOOKUP($E3,Tab_Def_Processes[Name(EN)],Tab_Def_Processes[ID],,0,)</f>
        <v>01</v>
      </c>
      <c r="E3" s="51" t="s">
        <v>346</v>
      </c>
      <c r="F3" s="49"/>
      <c r="G3" s="49" t="str">
        <f>_xlfn.XLOOKUP(E3,Tab_Def_Processes[Name(EN)],Tab_Def_Processes[Carbon_Stock],,0,)</f>
        <v>Anthroposphere</v>
      </c>
      <c r="H3" s="49" t="str">
        <f>_xlfn.XLOOKUP(E3,Tab_Def_Processes[Name(EN)],Tab_Def_Processes[Life_Phase],,0,)</f>
        <v>Product manufacturing</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_xlfn.XLOOKUP($E3,Tab_Def_Processes[Name(EN)],Tab_Def_Processes[Stock?],,0,)</f>
        <v>No</v>
      </c>
      <c r="M3" s="60" t="str">
        <f>_xlfn.XLOOKUP($E3,Tab_Def_Processes[Name(EN)],Tab_Def_Processes[Input_Flow_I_1],,0,)</f>
        <v>Technical usable rye straw</v>
      </c>
      <c r="N3" s="49" t="str">
        <f>_xlfn.XLOOKUP($E3,Tab_Def_Processes[Name(EN)],Tab_Def_Processes[Flow_ID_I_1],,0,)</f>
        <v>F_20_01</v>
      </c>
      <c r="O3" s="82">
        <v>0.67</v>
      </c>
      <c r="P3" s="77" t="str">
        <f>_xlfn.XLOOKUP($E3,Tab_Def_Processes[Name(EN)],Tab_Def_Processes[Input_Flow_I_2],,0,)</f>
        <v>Cow Manure</v>
      </c>
      <c r="Q3" s="49" t="str">
        <f>_xlfn.XLOOKUP($E3,Tab_Def_Processes[Name(EN)],Tab_Def_Processes[Flow_ID_I_2],,0,)</f>
        <v>F_04_01</v>
      </c>
      <c r="R3" s="82">
        <v>0.33</v>
      </c>
      <c r="S3" s="77" t="str">
        <f>_xlfn.XLOOKUP($E3,Tab_Def_Processes[Name(EN)],Tab_Def_Processes[Input_Flow_I_3],,0,)</f>
        <v>N.A.</v>
      </c>
      <c r="T3" s="49" t="e">
        <f>_xlfn.XLOOKUP($E3,Tab_Def_Processes[Name(EN)],Tab_Def_Processes[Flow_ID_I_3],,0,)</f>
        <v>#N/A</v>
      </c>
      <c r="U3" s="82"/>
      <c r="V3" s="77" t="str">
        <f>_xlfn.XLOOKUP($E3,Tab_Def_Processes[Name(EN)],Tab_Def_Processes[Input_Flow_I_4],,0,)</f>
        <v>N.A.</v>
      </c>
      <c r="W3" s="49" t="e">
        <f>_xlfn.XLOOKUP($E3,Tab_Def_Processes[Name(EN)],Tab_Def_Processes[Flow_ID_I_4],,0,)</f>
        <v>#N/A</v>
      </c>
      <c r="X3" s="82"/>
      <c r="Y3" s="77" t="str">
        <f>_xlfn.XLOOKUP($E3,Tab_Def_Processes[Name(EN)],Tab_Def_Processes[Input_Flow_I_5],,0,)</f>
        <v>N.A.</v>
      </c>
      <c r="Z3" s="49" t="e">
        <f>_xlfn.XLOOKUP($E3,Tab_Def_Processes[Name(EN)],Tab_Def_Processes[Flow_ID_I_5],,0,)</f>
        <v>#N/A</v>
      </c>
      <c r="AA3" s="82"/>
      <c r="AB3" s="80">
        <f>Tab_Process_TCs[[#This Row],[Flow_TC_I_1_'[%']]]+Tab_Process_TCs[[#This Row],[Flow_TC_I_2_'[%']]]+Tab_Process_TCs[[#This Row],[Flow_TC_I_3_'[%']]]+Tab_Process_TCs[[#This Row],[Flow_TC_I_4_'[%']]]+Tab_Process_TCs[[#This Row],[Flow_TC_I_5_'[%']]]</f>
        <v>1</v>
      </c>
      <c r="AC3" s="49" t="str">
        <f>_xlfn.XLOOKUP($E3,Tab_Def_Processes[Name(EN)],Tab_Def_Processes[Output_Flow_O_1],,0,)</f>
        <v>Biogas</v>
      </c>
      <c r="AD3" s="49" t="str">
        <f>_xlfn.XLOOKUP($E3,Tab_Def_Processes[Name(EN)],Tab_Def_Processes[Flow_ID_O_1],,0,)</f>
        <v>F_01_05</v>
      </c>
      <c r="AE3" s="82">
        <v>0.253</v>
      </c>
      <c r="AF3" s="49" t="str">
        <f>_xlfn.XLOOKUP($E3,Tab_Def_Processes[Name(EN)],Tab_Def_Processes[Output_Flow_O_2],,0,)</f>
        <v>Rye straw digestate</v>
      </c>
      <c r="AG3" s="49" t="str">
        <f>_xlfn.XLOOKUP($E3,Tab_Def_Processes[Name(EN)],Tab_Def_Processes[Flow_ID_O_2],,0,)</f>
        <v>F_01_02</v>
      </c>
      <c r="AH3" s="82">
        <v>0.747</v>
      </c>
      <c r="AI3" s="49" t="str">
        <f>_xlfn.XLOOKUP($E3,Tab_Def_Processes[Name(EN)],Tab_Def_Processes[Output_Flow_O_3],,0,)</f>
        <v>N.A.</v>
      </c>
      <c r="AJ3" s="49" t="e">
        <f>_xlfn.XLOOKUP($E3,Tab_Def_Processes[Name(EN)],Tab_Def_Processes[Flow_ID_O_3],,0,)</f>
        <v>#N/A</v>
      </c>
      <c r="AK3" s="82"/>
      <c r="AL3" s="49" t="str">
        <f>_xlfn.XLOOKUP($E3,Tab_Def_Processes[Name(EN)],Tab_Def_Processes[Output_Flow_O_4],,0,)</f>
        <v>N.A.</v>
      </c>
      <c r="AM3" s="49" t="e">
        <f>_xlfn.XLOOKUP($E3,Tab_Def_Processes[Name(EN)],Tab_Def_Processes[Flow_ID_O_4],,0,)</f>
        <v>#N/A</v>
      </c>
      <c r="AN3" s="82"/>
      <c r="AO3" s="49" t="str">
        <f>_xlfn.XLOOKUP($E3,Tab_Def_Processes[Name(EN)],Tab_Def_Processes[Output_Flow_O_5],,0,)</f>
        <v>N.A.</v>
      </c>
      <c r="AP3" s="49" t="e">
        <f>_xlfn.XLOOKUP($E3,Tab_Def_Processes[Name(EN)],Tab_Def_Processes[Flow_ID_O_5],,0,)</f>
        <v>#N/A</v>
      </c>
      <c r="AQ3" s="82"/>
      <c r="AR3" s="49" t="str">
        <f>_xlfn.XLOOKUP($E3,Tab_Def_Processes[Name(EN)],Tab_Def_Processes[Output_Flow_O_6],,0,)</f>
        <v>N.A.</v>
      </c>
      <c r="AS3" s="49" t="e">
        <f>_xlfn.XLOOKUP($E3,Tab_Def_Processes[Name(EN)],Tab_Def_Processes[Flow_ID_O_6],,0,)</f>
        <v>#N/A</v>
      </c>
      <c r="AT3" s="82"/>
      <c r="AU3" s="80">
        <f>SUM(Tab_Process_TCs[[#This Row],[Flow_TC O_6_'[%']]],Tab_Process_TCs[[#This Row],[Flow_TC O_5_'[%']]],Tab_Process_TCs[[#This Row],[Flow_TC_O_4_'[%']]],Tab_Process_TCs[[#This Row],[Flow_TC_O_3_'[%']]],,Tab_Process_TCs[[#This Row],[Flow_TC_O_2_'[%']]],Tab_Process_TCs[[#This Row],[Flow_TC_O_1_'[%']]])</f>
        <v>1</v>
      </c>
      <c r="AV3" s="51"/>
      <c r="AW3" s="51"/>
      <c r="AX3" s="51"/>
      <c r="AY3" s="51"/>
      <c r="AZ3" s="51"/>
    </row>
    <row r="4" spans="1:61" x14ac:dyDescent="0.35">
      <c r="A4" s="97" t="b">
        <v>1</v>
      </c>
      <c r="B4" s="49">
        <f t="shared" si="0"/>
        <v>3</v>
      </c>
      <c r="C4" s="49" t="str">
        <f t="shared" si="1"/>
        <v>TC3_02_MBC__Ant</v>
      </c>
      <c r="D4" s="121" t="str">
        <f>_xlfn.XLOOKUP($E4,Tab_Def_Processes[Name(EN)],Tab_Def_Processes[ID],,0,)</f>
        <v>02</v>
      </c>
      <c r="E4" s="51" t="s">
        <v>347</v>
      </c>
      <c r="F4" s="49"/>
      <c r="G4" s="49" t="str">
        <f>_xlfn.XLOOKUP(E4,Tab_Def_Processes[Name(EN)],Tab_Def_Processes[Carbon_Stock],,0,)</f>
        <v>Anthroposphere</v>
      </c>
      <c r="H4" s="49" t="str">
        <f>_xlfn.XLOOKUP(E4,Tab_Def_Processes[Name(EN)],Tab_Def_Processes[Life_Phase],,0,)</f>
        <v>Product manufacturing</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_xlfn.XLOOKUP($E4,Tab_Def_Processes[Name(EN)],Tab_Def_Processes[Stock?],,0,)</f>
        <v>No</v>
      </c>
      <c r="M4" s="60" t="str">
        <f>_xlfn.XLOOKUP($E4,Tab_Def_Processes[Name(EN)],Tab_Def_Processes[Input_Flow_I_1],,0,)</f>
        <v>Rye straw digestate</v>
      </c>
      <c r="N4" s="49" t="str">
        <f>_xlfn.XLOOKUP($E4,Tab_Def_Processes[Name(EN)],Tab_Def_Processes[Flow_ID_I_1],,0,)</f>
        <v>F_01_02</v>
      </c>
      <c r="O4" s="82">
        <v>0.73</v>
      </c>
      <c r="P4" s="77" t="str">
        <f>_xlfn.XLOOKUP($E4,Tab_Def_Processes[Name(EN)],Tab_Def_Processes[Input_Flow_I_2],,0,)</f>
        <v>Millet grain</v>
      </c>
      <c r="Q4" s="49" t="str">
        <f>_xlfn.XLOOKUP($E4,Tab_Def_Processes[Name(EN)],Tab_Def_Processes[Flow_ID_I_2],,0,)</f>
        <v>F_11_02</v>
      </c>
      <c r="R4" s="82">
        <v>0.02</v>
      </c>
      <c r="S4" s="77" t="str">
        <f>_xlfn.XLOOKUP($E4,Tab_Def_Processes[Name(EN)],Tab_Def_Processes[Input_Flow_I_3],,0,)</f>
        <v>Water Input MBC Production</v>
      </c>
      <c r="T4" s="49" t="str">
        <f>_xlfn.XLOOKUP($E4,Tab_Def_Processes[Name(EN)],Tab_Def_Processes[Flow_ID_I_3],,0,)</f>
        <v>F_08_02</v>
      </c>
      <c r="U4" s="82">
        <v>0.25</v>
      </c>
      <c r="V4" s="77" t="str">
        <f>_xlfn.XLOOKUP($E4,Tab_Def_Processes[Name(EN)],Tab_Def_Processes[Input_Flow_I_4],,0,)</f>
        <v>N.A.</v>
      </c>
      <c r="W4" s="49" t="e">
        <f>_xlfn.XLOOKUP($E4,Tab_Def_Processes[Name(EN)],Tab_Def_Processes[Flow_ID_I_4],,0,)</f>
        <v>#N/A</v>
      </c>
      <c r="X4" s="82"/>
      <c r="Y4" s="77" t="str">
        <f>_xlfn.XLOOKUP($E4,Tab_Def_Processes[Name(EN)],Tab_Def_Processes[Input_Flow_I_5],,0,)</f>
        <v>N.A.</v>
      </c>
      <c r="Z4" s="49" t="e">
        <f>_xlfn.XLOOKUP($E4,Tab_Def_Processes[Name(EN)],Tab_Def_Processes[Flow_ID_I_5],,0,)</f>
        <v>#N/A</v>
      </c>
      <c r="AA4" s="82"/>
      <c r="AB4" s="80">
        <f>Tab_Process_TCs[[#This Row],[Flow_TC_I_1_'[%']]]+Tab_Process_TCs[[#This Row],[Flow_TC_I_2_'[%']]]+Tab_Process_TCs[[#This Row],[Flow_TC_I_3_'[%']]]+Tab_Process_TCs[[#This Row],[Flow_TC_I_4_'[%']]]+Tab_Process_TCs[[#This Row],[Flow_TC_I_5_'[%']]]</f>
        <v>1</v>
      </c>
      <c r="AC4" s="49" t="str">
        <f>_xlfn.XLOOKUP($E4,Tab_Def_Processes[Name(EN)],Tab_Def_Processes[Output_Flow_O_1],,0,)</f>
        <v>MBC (new)</v>
      </c>
      <c r="AD4" s="49" t="str">
        <f>_xlfn.XLOOKUP($E4,Tab_Def_Processes[Name(EN)],Tab_Def_Processes[Flow_ID_O_1],,0,)</f>
        <v>F_02_03</v>
      </c>
      <c r="AE4" s="82">
        <v>0.38</v>
      </c>
      <c r="AF4" s="49" t="str">
        <f>_xlfn.XLOOKUP($E4,Tab_Def_Processes[Name(EN)],Tab_Def_Processes[Output_Flow_O_2],,0,)</f>
        <v>MBC production waste</v>
      </c>
      <c r="AG4" s="49" t="str">
        <f>_xlfn.XLOOKUP($E4,Tab_Def_Processes[Name(EN)],Tab_Def_Processes[Flow_ID_O_2],,0,)</f>
        <v>F_02_06</v>
      </c>
      <c r="AH4" s="82">
        <v>0.09</v>
      </c>
      <c r="AI4" s="49" t="str">
        <f>_xlfn.XLOOKUP($E4,Tab_Def_Processes[Name(EN)],Tab_Def_Processes[Output_Flow_O_3],,0,)</f>
        <v>Water Output MBC Production</v>
      </c>
      <c r="AJ4" s="49" t="str">
        <f>_xlfn.XLOOKUP($E4,Tab_Def_Processes[Name(EN)],Tab_Def_Processes[Flow_ID_O_3],,0,)</f>
        <v>F_02_14</v>
      </c>
      <c r="AK4" s="82">
        <v>0.47</v>
      </c>
      <c r="AL4" s="49" t="str">
        <f>_xlfn.XLOOKUP($E4,Tab_Def_Processes[Name(EN)],Tab_Def_Processes[Output_Flow_O_4],,0,)</f>
        <v>Mass Delta MBC production</v>
      </c>
      <c r="AM4" s="49" t="str">
        <f>_xlfn.XLOOKUP($E4,Tab_Def_Processes[Name(EN)],Tab_Def_Processes[Flow_ID_O_4],,0,)</f>
        <v>F_02_12</v>
      </c>
      <c r="AN4" s="82">
        <v>0.06</v>
      </c>
      <c r="AO4" s="49" t="str">
        <f>_xlfn.XLOOKUP($E4,Tab_Def_Processes[Name(EN)],Tab_Def_Processes[Output_Flow_O_5],,0,)</f>
        <v>N.A.</v>
      </c>
      <c r="AP4" s="49" t="e">
        <f>_xlfn.XLOOKUP($E4,Tab_Def_Processes[Name(EN)],Tab_Def_Processes[Flow_ID_O_5],,0,)</f>
        <v>#N/A</v>
      </c>
      <c r="AQ4" s="82"/>
      <c r="AR4" s="49" t="str">
        <f>_xlfn.XLOOKUP($E4,Tab_Def_Processes[Name(EN)],Tab_Def_Processes[Output_Flow_O_6],,0,)</f>
        <v>N.A.</v>
      </c>
      <c r="AS4" s="49" t="e">
        <f>_xlfn.XLOOKUP($E4,Tab_Def_Processes[Name(EN)],Tab_Def_Processes[Flow_ID_O_6],,0,)</f>
        <v>#N/A</v>
      </c>
      <c r="AT4" s="82"/>
      <c r="AU4" s="80">
        <f>SUM(Tab_Process_TCs[[#This Row],[Flow_TC O_6_'[%']]],Tab_Process_TCs[[#This Row],[Flow_TC O_5_'[%']]],Tab_Process_TCs[[#This Row],[Flow_TC_O_4_'[%']]],Tab_Process_TCs[[#This Row],[Flow_TC_O_3_'[%']]],,Tab_Process_TCs[[#This Row],[Flow_TC_O_2_'[%']]],Tab_Process_TCs[[#This Row],[Flow_TC_O_1_'[%']]])</f>
        <v>1</v>
      </c>
      <c r="AV4" s="51"/>
      <c r="AW4" s="51"/>
      <c r="AX4" s="51"/>
      <c r="AY4" s="51"/>
      <c r="AZ4" s="51"/>
      <c r="BG4" s="51"/>
      <c r="BH4" s="51"/>
      <c r="BI4" s="51"/>
    </row>
    <row r="5" spans="1:61" x14ac:dyDescent="0.35">
      <c r="A5" s="97" t="b">
        <v>1</v>
      </c>
      <c r="B5" s="49">
        <f t="shared" si="0"/>
        <v>4</v>
      </c>
      <c r="C5" s="49" t="str">
        <f t="shared" si="1"/>
        <v>TC4_07_EoL__Ant</v>
      </c>
      <c r="D5" s="121" t="str">
        <f>_xlfn.XLOOKUP($E5,Tab_Def_Processes[Name(EN)],Tab_Def_Processes[ID],,0,)</f>
        <v>07</v>
      </c>
      <c r="E5" s="51" t="s">
        <v>363</v>
      </c>
      <c r="F5" s="49"/>
      <c r="G5" s="49" t="str">
        <f>_xlfn.XLOOKUP(E5,Tab_Def_Processes[Name(EN)],Tab_Def_Processes[Carbon_Stock],,0,)</f>
        <v>Anthroposphere</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_xlfn.XLOOKUP($E5,Tab_Def_Processes[Name(EN)],Tab_Def_Processes[Stock?],,0,)</f>
        <v>No</v>
      </c>
      <c r="M5" s="60" t="str">
        <f>_xlfn.XLOOKUP($E5,Tab_Def_Processes[Name(EN)],Tab_Def_Processes[Input_Flow_I_1],,0,)</f>
        <v>MBC (used)</v>
      </c>
      <c r="N5" s="49" t="str">
        <f>_xlfn.XLOOKUP($E5,Tab_Def_Processes[Name(EN)],Tab_Def_Processes[Flow_ID_I_1],,0,)</f>
        <v>F_03_07</v>
      </c>
      <c r="O5" s="82">
        <v>1</v>
      </c>
      <c r="P5" s="77" t="str">
        <f>_xlfn.XLOOKUP($E5,Tab_Def_Processes[Name(EN)],Tab_Def_Processes[Input_Flow_I_2],,0,)</f>
        <v>N.A.</v>
      </c>
      <c r="Q5" s="49" t="e">
        <f>_xlfn.XLOOKUP($E5,Tab_Def_Processes[Name(EN)],Tab_Def_Processes[Flow_ID_I_2],,0,)</f>
        <v>#N/A</v>
      </c>
      <c r="R5" s="82"/>
      <c r="S5" s="77" t="str">
        <f>_xlfn.XLOOKUP($E5,Tab_Def_Processes[Name(EN)],Tab_Def_Processes[Input_Flow_I_3],,0,)</f>
        <v>N.A.</v>
      </c>
      <c r="T5" s="49" t="e">
        <f>_xlfn.XLOOKUP($E5,Tab_Def_Processes[Name(EN)],Tab_Def_Processes[Flow_ID_I_3],,0,)</f>
        <v>#N/A</v>
      </c>
      <c r="U5" s="82"/>
      <c r="V5" s="77" t="str">
        <f>_xlfn.XLOOKUP($E5,Tab_Def_Processes[Name(EN)],Tab_Def_Processes[Input_Flow_I_4],,0,)</f>
        <v>N.A.</v>
      </c>
      <c r="W5" s="49" t="e">
        <f>_xlfn.XLOOKUP($E5,Tab_Def_Processes[Name(EN)],Tab_Def_Processes[Flow_ID_I_4],,0,)</f>
        <v>#N/A</v>
      </c>
      <c r="X5" s="82"/>
      <c r="Y5" s="77" t="str">
        <f>_xlfn.XLOOKUP($E5,Tab_Def_Processes[Name(EN)],Tab_Def_Processes[Input_Flow_I_5],,0,)</f>
        <v>N.A.</v>
      </c>
      <c r="Z5" s="49" t="e">
        <f>_xlfn.XLOOKUP($E5,Tab_Def_Processes[Name(EN)],Tab_Def_Processes[Flow_ID_I_5],,0,)</f>
        <v>#N/A</v>
      </c>
      <c r="AA5" s="82"/>
      <c r="AB5" s="80">
        <f>Tab_Process_TCs[[#This Row],[Flow_TC_I_1_'[%']]]+Tab_Process_TCs[[#This Row],[Flow_TC_I_2_'[%']]]+Tab_Process_TCs[[#This Row],[Flow_TC_I_3_'[%']]]+Tab_Process_TCs[[#This Row],[Flow_TC_I_4_'[%']]]+Tab_Process_TCs[[#This Row],[Flow_TC_I_5_'[%']]]</f>
        <v>1</v>
      </c>
      <c r="AC5" s="49" t="str">
        <f>_xlfn.XLOOKUP($E5,Tab_Def_Processes[Name(EN)],Tab_Def_Processes[Output_Flow_O_1],,0,)</f>
        <v>EoL-MBC (Pyro)</v>
      </c>
      <c r="AD5" s="49" t="str">
        <f>_xlfn.XLOOKUP($E5,Tab_Def_Processes[Name(EN)],Tab_Def_Processes[Flow_ID_O_1],,0,)</f>
        <v>F_07_09</v>
      </c>
      <c r="AE5" s="82">
        <v>0.2</v>
      </c>
      <c r="AF5" s="49" t="str">
        <f>_xlfn.XLOOKUP($E5,Tab_Def_Processes[Name(EN)],Tab_Def_Processes[Output_Flow_O_2],,0,)</f>
        <v>EoL-MBC (Inci)</v>
      </c>
      <c r="AG5" s="49" t="str">
        <f>_xlfn.XLOOKUP($E5,Tab_Def_Processes[Name(EN)],Tab_Def_Processes[Flow_ID_O_2],,0,)</f>
        <v>F_07_10</v>
      </c>
      <c r="AH5" s="82">
        <v>0.8</v>
      </c>
      <c r="AI5" s="49" t="str">
        <f>_xlfn.XLOOKUP($E5,Tab_Def_Processes[Name(EN)],Tab_Def_Processes[Output_Flow_O_3],,0,)</f>
        <v>N.A.</v>
      </c>
      <c r="AJ5" s="49" t="e">
        <f>_xlfn.XLOOKUP($E5,Tab_Def_Processes[Name(EN)],Tab_Def_Processes[Flow_ID_O_3],,0,)</f>
        <v>#N/A</v>
      </c>
      <c r="AK5" s="82"/>
      <c r="AL5" s="49" t="str">
        <f>_xlfn.XLOOKUP($E5,Tab_Def_Processes[Name(EN)],Tab_Def_Processes[Output_Flow_O_4],,0,)</f>
        <v>N.A.</v>
      </c>
      <c r="AM5" s="49" t="e">
        <f>_xlfn.XLOOKUP($E5,Tab_Def_Processes[Name(EN)],Tab_Def_Processes[Flow_ID_O_4],,0,)</f>
        <v>#N/A</v>
      </c>
      <c r="AN5" s="82"/>
      <c r="AO5" s="49" t="str">
        <f>_xlfn.XLOOKUP($E5,Tab_Def_Processes[Name(EN)],Tab_Def_Processes[Output_Flow_O_5],,0,)</f>
        <v>N.A.</v>
      </c>
      <c r="AP5" s="49" t="e">
        <f>_xlfn.XLOOKUP($E5,Tab_Def_Processes[Name(EN)],Tab_Def_Processes[Flow_ID_O_5],,0,)</f>
        <v>#N/A</v>
      </c>
      <c r="AQ5" s="82"/>
      <c r="AR5" s="49" t="str">
        <f>_xlfn.XLOOKUP($E5,Tab_Def_Processes[Name(EN)],Tab_Def_Processes[Output_Flow_O_6],,0,)</f>
        <v>N.A.</v>
      </c>
      <c r="AS5" s="49" t="e">
        <f>_xlfn.XLOOKUP($E5,Tab_Def_Processes[Name(EN)],Tab_Def_Processes[Flow_ID_O_6],,0,)</f>
        <v>#N/A</v>
      </c>
      <c r="AT5" s="82"/>
      <c r="AU5" s="80">
        <f>SUM(Tab_Process_TCs[[#This Row],[Flow_TC O_6_'[%']]],Tab_Process_TCs[[#This Row],[Flow_TC O_5_'[%']]],Tab_Process_TCs[[#This Row],[Flow_TC_O_4_'[%']]],Tab_Process_TCs[[#This Row],[Flow_TC_O_3_'[%']]],,Tab_Process_TCs[[#This Row],[Flow_TC_O_2_'[%']]],Tab_Process_TCs[[#This Row],[Flow_TC_O_1_'[%']]])</f>
        <v>1</v>
      </c>
      <c r="AV5" s="51"/>
      <c r="AW5" s="51"/>
      <c r="AX5" s="51"/>
      <c r="AY5" s="51"/>
      <c r="AZ5" s="51"/>
    </row>
    <row r="6" spans="1:61" x14ac:dyDescent="0.35">
      <c r="A6" s="97" t="b">
        <v>1</v>
      </c>
      <c r="B6" s="49">
        <f t="shared" si="0"/>
        <v>5</v>
      </c>
      <c r="C6" s="49" t="str">
        <f t="shared" si="1"/>
        <v>TC5_03_MBC__Ant</v>
      </c>
      <c r="D6" s="121" t="str">
        <f>_xlfn.XLOOKUP($E6,Tab_Def_Processes[Name(EN)],Tab_Def_Processes[ID],,0,)</f>
        <v>03</v>
      </c>
      <c r="E6" s="51" t="s">
        <v>440</v>
      </c>
      <c r="F6" s="49"/>
      <c r="G6" s="49" t="str">
        <f>_xlfn.XLOOKUP(E6,Tab_Def_Processes[Name(EN)],Tab_Def_Processes[Carbon_Stock],,0,)</f>
        <v>Anthroposphere</v>
      </c>
      <c r="H6" s="49" t="str">
        <f>_xlfn.XLOOKUP(E6,Tab_Def_Processes[Name(EN)],Tab_Def_Processes[Life_Phase],,0,)</f>
        <v>Use (Re-use)</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_xlfn.XLOOKUP($E6,Tab_Def_Processes[Name(EN)],Tab_Def_Processes[Stock?],,0,)</f>
        <v>Yes</v>
      </c>
      <c r="M6" s="60" t="str">
        <f>_xlfn.XLOOKUP($E6,Tab_Def_Processes[Name(EN)],Tab_Def_Processes[Input_Flow_I_1],,0,)</f>
        <v>MBC (new)</v>
      </c>
      <c r="N6" s="49" t="str">
        <f>_xlfn.XLOOKUP($E6,Tab_Def_Processes[Name(EN)],Tab_Def_Processes[Flow_ID_I_1],,0,)</f>
        <v>F_02_03</v>
      </c>
      <c r="O6" s="82">
        <v>1</v>
      </c>
      <c r="P6" s="77" t="str">
        <f>_xlfn.XLOOKUP($E6,Tab_Def_Processes[Name(EN)],Tab_Def_Processes[Input_Flow_I_2],,0,)</f>
        <v>N.A.</v>
      </c>
      <c r="Q6" s="49" t="e">
        <f>_xlfn.XLOOKUP($E6,Tab_Def_Processes[Name(EN)],Tab_Def_Processes[Flow_ID_I_2],,0,)</f>
        <v>#N/A</v>
      </c>
      <c r="R6" s="82"/>
      <c r="S6" s="77" t="str">
        <f>_xlfn.XLOOKUP($E6,Tab_Def_Processes[Name(EN)],Tab_Def_Processes[Input_Flow_I_3],,0,)</f>
        <v>N.A.</v>
      </c>
      <c r="T6" s="49" t="e">
        <f>_xlfn.XLOOKUP($E6,Tab_Def_Processes[Name(EN)],Tab_Def_Processes[Flow_ID_I_3],,0,)</f>
        <v>#N/A</v>
      </c>
      <c r="U6" s="82"/>
      <c r="V6" s="77" t="str">
        <f>_xlfn.XLOOKUP($E6,Tab_Def_Processes[Name(EN)],Tab_Def_Processes[Input_Flow_I_4],,0,)</f>
        <v>N.A.</v>
      </c>
      <c r="W6" s="49" t="e">
        <f>_xlfn.XLOOKUP($E6,Tab_Def_Processes[Name(EN)],Tab_Def_Processes[Flow_ID_I_4],,0,)</f>
        <v>#N/A</v>
      </c>
      <c r="X6" s="82"/>
      <c r="Y6" s="77" t="str">
        <f>_xlfn.XLOOKUP($E6,Tab_Def_Processes[Name(EN)],Tab_Def_Processes[Input_Flow_I_5],,0,)</f>
        <v>N.A.</v>
      </c>
      <c r="Z6" s="49" t="e">
        <f>_xlfn.XLOOKUP($E6,Tab_Def_Processes[Name(EN)],Tab_Def_Processes[Flow_ID_I_5],,0,)</f>
        <v>#N/A</v>
      </c>
      <c r="AA6" s="82"/>
      <c r="AB6" s="80">
        <f>Tab_Process_TCs[[#This Row],[Flow_TC_I_1_'[%']]]+Tab_Process_TCs[[#This Row],[Flow_TC_I_2_'[%']]]+Tab_Process_TCs[[#This Row],[Flow_TC_I_3_'[%']]]+Tab_Process_TCs[[#This Row],[Flow_TC_I_4_'[%']]]+Tab_Process_TCs[[#This Row],[Flow_TC_I_5_'[%']]]</f>
        <v>1</v>
      </c>
      <c r="AC6" s="49" t="str">
        <f>_xlfn.XLOOKUP($E6,Tab_Def_Processes[Name(EN)],Tab_Def_Processes[Output_Flow_O_1],,0,)</f>
        <v>MBC (used)</v>
      </c>
      <c r="AD6" s="49" t="str">
        <f>_xlfn.XLOOKUP($E6,Tab_Def_Processes[Name(EN)],Tab_Def_Processes[Flow_ID_O_1],,0,)</f>
        <v>F_03_07</v>
      </c>
      <c r="AE6" s="82">
        <v>1</v>
      </c>
      <c r="AF6" s="49" t="str">
        <f>_xlfn.XLOOKUP($E6,Tab_Def_Processes[Name(EN)],Tab_Def_Processes[Output_Flow_O_2],,0,)</f>
        <v>N.A.</v>
      </c>
      <c r="AG6" s="49" t="e">
        <f>_xlfn.XLOOKUP($E6,Tab_Def_Processes[Name(EN)],Tab_Def_Processes[Flow_ID_O_2],,0,)</f>
        <v>#N/A</v>
      </c>
      <c r="AH6" s="82"/>
      <c r="AI6" s="49" t="str">
        <f>_xlfn.XLOOKUP($E6,Tab_Def_Processes[Name(EN)],Tab_Def_Processes[Output_Flow_O_3],,0,)</f>
        <v>N.A.</v>
      </c>
      <c r="AJ6" s="49" t="e">
        <f>_xlfn.XLOOKUP($E6,Tab_Def_Processes[Name(EN)],Tab_Def_Processes[Flow_ID_O_3],,0,)</f>
        <v>#N/A</v>
      </c>
      <c r="AK6" s="82"/>
      <c r="AL6" s="49" t="str">
        <f>_xlfn.XLOOKUP($E6,Tab_Def_Processes[Name(EN)],Tab_Def_Processes[Output_Flow_O_4],,0,)</f>
        <v>N.A.</v>
      </c>
      <c r="AM6" s="49" t="e">
        <f>_xlfn.XLOOKUP($E6,Tab_Def_Processes[Name(EN)],Tab_Def_Processes[Flow_ID_O_4],,0,)</f>
        <v>#N/A</v>
      </c>
      <c r="AN6" s="82"/>
      <c r="AO6" s="49" t="str">
        <f>_xlfn.XLOOKUP($E6,Tab_Def_Processes[Name(EN)],Tab_Def_Processes[Output_Flow_O_5],,0,)</f>
        <v>N.A.</v>
      </c>
      <c r="AP6" s="49" t="e">
        <f>_xlfn.XLOOKUP($E6,Tab_Def_Processes[Name(EN)],Tab_Def_Processes[Flow_ID_O_5],,0,)</f>
        <v>#N/A</v>
      </c>
      <c r="AQ6" s="82"/>
      <c r="AR6" s="49" t="str">
        <f>_xlfn.XLOOKUP($E6,Tab_Def_Processes[Name(EN)],Tab_Def_Processes[Output_Flow_O_6],,0,)</f>
        <v>N.A.</v>
      </c>
      <c r="AS6" s="49" t="e">
        <f>_xlfn.XLOOKUP($E6,Tab_Def_Processes[Name(EN)],Tab_Def_Processes[Flow_ID_O_6],,0,)</f>
        <v>#N/A</v>
      </c>
      <c r="AT6" s="82"/>
      <c r="AU6" s="80">
        <f>SUM(Tab_Process_TCs[[#This Row],[Flow_TC O_6_'[%']]],Tab_Process_TCs[[#This Row],[Flow_TC O_5_'[%']]],Tab_Process_TCs[[#This Row],[Flow_TC_O_4_'[%']]],Tab_Process_TCs[[#This Row],[Flow_TC_O_3_'[%']]],,Tab_Process_TCs[[#This Row],[Flow_TC_O_2_'[%']]],Tab_Process_TCs[[#This Row],[Flow_TC_O_1_'[%']]])</f>
        <v>1</v>
      </c>
      <c r="AV6" s="51"/>
      <c r="AW6" s="51"/>
      <c r="AX6" s="51"/>
      <c r="AY6" s="51"/>
      <c r="AZ6" s="51"/>
    </row>
    <row r="7" spans="1:61" x14ac:dyDescent="0.35">
      <c r="A7" s="97" t="b">
        <v>1</v>
      </c>
      <c r="B7" s="49">
        <f t="shared" si="0"/>
        <v>6</v>
      </c>
      <c r="C7" s="49" t="str">
        <f t="shared" si="1"/>
        <v>TC6_09_Bio__Ant</v>
      </c>
      <c r="D7" s="121" t="str">
        <f>_xlfn.XLOOKUP($E7,Tab_Def_Processes[Name(EN)],Tab_Def_Processes[ID],,0,)</f>
        <v>09</v>
      </c>
      <c r="E7" s="51" t="s">
        <v>364</v>
      </c>
      <c r="F7" s="49"/>
      <c r="G7" s="49" t="str">
        <f>_xlfn.XLOOKUP(E7,Tab_Def_Processes[Name(EN)],Tab_Def_Processes[Carbon_Stock],,0,)</f>
        <v>Anthroposphere</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_xlfn.XLOOKUP($E7,Tab_Def_Processes[Name(EN)],Tab_Def_Processes[Stock?],,0,)</f>
        <v>No</v>
      </c>
      <c r="M7" s="60" t="str">
        <f>_xlfn.XLOOKUP($E7,Tab_Def_Processes[Name(EN)],Tab_Def_Processes[Input_Flow_I_1],,0,)</f>
        <v>EoL-MBC (Pyro)</v>
      </c>
      <c r="N7" s="49" t="str">
        <f>_xlfn.XLOOKUP($E7,Tab_Def_Processes[Name(EN)],Tab_Def_Processes[Flow_ID_I_1],,0,)</f>
        <v>F_07_09</v>
      </c>
      <c r="O7" s="82">
        <v>1</v>
      </c>
      <c r="P7" s="77" t="str">
        <f>_xlfn.XLOOKUP($E7,Tab_Def_Processes[Name(EN)],Tab_Def_Processes[Input_Flow_I_2],,0,)</f>
        <v>N.A.</v>
      </c>
      <c r="Q7" s="49" t="e">
        <f>_xlfn.XLOOKUP($E7,Tab_Def_Processes[Name(EN)],Tab_Def_Processes[Flow_ID_I_2],,0,)</f>
        <v>#N/A</v>
      </c>
      <c r="R7" s="82"/>
      <c r="S7" s="77" t="str">
        <f>_xlfn.XLOOKUP($E7,Tab_Def_Processes[Name(EN)],Tab_Def_Processes[Input_Flow_I_3],,0,)</f>
        <v>N.A.</v>
      </c>
      <c r="T7" s="49" t="e">
        <f>_xlfn.XLOOKUP($E7,Tab_Def_Processes[Name(EN)],Tab_Def_Processes[Flow_ID_I_3],,0,)</f>
        <v>#N/A</v>
      </c>
      <c r="U7" s="82"/>
      <c r="V7" s="77" t="str">
        <f>_xlfn.XLOOKUP($E7,Tab_Def_Processes[Name(EN)],Tab_Def_Processes[Input_Flow_I_4],,0,)</f>
        <v>N.A.</v>
      </c>
      <c r="W7" s="49" t="e">
        <f>_xlfn.XLOOKUP($E7,Tab_Def_Processes[Name(EN)],Tab_Def_Processes[Flow_ID_I_4],,0,)</f>
        <v>#N/A</v>
      </c>
      <c r="X7" s="82"/>
      <c r="Y7" s="77" t="str">
        <f>_xlfn.XLOOKUP($E7,Tab_Def_Processes[Name(EN)],Tab_Def_Processes[Input_Flow_I_5],,0,)</f>
        <v>N.A.</v>
      </c>
      <c r="Z7" s="49" t="e">
        <f>_xlfn.XLOOKUP($E7,Tab_Def_Processes[Name(EN)],Tab_Def_Processes[Flow_ID_I_5],,0,)</f>
        <v>#N/A</v>
      </c>
      <c r="AA7" s="82"/>
      <c r="AB7" s="80">
        <f>Tab_Process_TCs[[#This Row],[Flow_TC_I_1_'[%']]]+Tab_Process_TCs[[#This Row],[Flow_TC_I_2_'[%']]]+Tab_Process_TCs[[#This Row],[Flow_TC_I_3_'[%']]]+Tab_Process_TCs[[#This Row],[Flow_TC_I_4_'[%']]]+Tab_Process_TCs[[#This Row],[Flow_TC_I_5_'[%']]]</f>
        <v>1</v>
      </c>
      <c r="AC7" s="49" t="str">
        <f>_xlfn.XLOOKUP($E7,Tab_Def_Processes[Name(EN)],Tab_Def_Processes[Output_Flow_O_1],,0,)</f>
        <v>Pyrolisis Char</v>
      </c>
      <c r="AD7" s="49" t="str">
        <f>_xlfn.XLOOKUP($E7,Tab_Def_Processes[Name(EN)],Tab_Def_Processes[Flow_ID_O_1],,0,)</f>
        <v>F_09_17</v>
      </c>
      <c r="AE7" s="82">
        <v>0.3</v>
      </c>
      <c r="AF7" s="49" t="str">
        <f>_xlfn.XLOOKUP($E7,Tab_Def_Processes[Name(EN)],Tab_Def_Processes[Output_Flow_O_2],,0,)</f>
        <v>Flue Gas from Biomass Pyrolysis</v>
      </c>
      <c r="AG7" s="49" t="str">
        <f>_xlfn.XLOOKUP($E7,Tab_Def_Processes[Name(EN)],Tab_Def_Processes[Flow_ID_O_2],,0,)</f>
        <v>F_09_19</v>
      </c>
      <c r="AH7" s="82">
        <v>0.7</v>
      </c>
      <c r="AI7" s="49" t="str">
        <f>_xlfn.XLOOKUP($E7,Tab_Def_Processes[Name(EN)],Tab_Def_Processes[Output_Flow_O_3],,0,)</f>
        <v>N.A.</v>
      </c>
      <c r="AJ7" s="49" t="e">
        <f>_xlfn.XLOOKUP($E7,Tab_Def_Processes[Name(EN)],Tab_Def_Processes[Flow_ID_O_3],,0,)</f>
        <v>#N/A</v>
      </c>
      <c r="AK7" s="82"/>
      <c r="AL7" s="49" t="str">
        <f>_xlfn.XLOOKUP($E7,Tab_Def_Processes[Name(EN)],Tab_Def_Processes[Output_Flow_O_4],,0,)</f>
        <v>N.A.</v>
      </c>
      <c r="AM7" s="49" t="e">
        <f>_xlfn.XLOOKUP($E7,Tab_Def_Processes[Name(EN)],Tab_Def_Processes[Flow_ID_O_4],,0,)</f>
        <v>#N/A</v>
      </c>
      <c r="AN7" s="82"/>
      <c r="AO7" s="49" t="str">
        <f>_xlfn.XLOOKUP($E7,Tab_Def_Processes[Name(EN)],Tab_Def_Processes[Output_Flow_O_5],,0,)</f>
        <v>N.A.</v>
      </c>
      <c r="AP7" s="49" t="e">
        <f>_xlfn.XLOOKUP($E7,Tab_Def_Processes[Name(EN)],Tab_Def_Processes[Flow_ID_O_5],,0,)</f>
        <v>#N/A</v>
      </c>
      <c r="AQ7" s="82"/>
      <c r="AR7" s="49" t="str">
        <f>_xlfn.XLOOKUP($E7,Tab_Def_Processes[Name(EN)],Tab_Def_Processes[Output_Flow_O_6],,0,)</f>
        <v>N.A.</v>
      </c>
      <c r="AS7" s="49" t="e">
        <f>_xlfn.XLOOKUP($E7,Tab_Def_Processes[Name(EN)],Tab_Def_Processes[Flow_ID_O_6],,0,)</f>
        <v>#N/A</v>
      </c>
      <c r="AT7" s="82"/>
      <c r="AU7" s="80">
        <f>SUM(Tab_Process_TCs[[#This Row],[Flow_TC O_6_'[%']]],Tab_Process_TCs[[#This Row],[Flow_TC O_5_'[%']]],Tab_Process_TCs[[#This Row],[Flow_TC_O_4_'[%']]],Tab_Process_TCs[[#This Row],[Flow_TC_O_3_'[%']]],,Tab_Process_TCs[[#This Row],[Flow_TC_O_2_'[%']]],Tab_Process_TCs[[#This Row],[Flow_TC_O_1_'[%']]])</f>
        <v>1</v>
      </c>
      <c r="AV7" s="51"/>
      <c r="AW7" s="51"/>
      <c r="AX7" s="51"/>
      <c r="AY7" s="51"/>
      <c r="AZ7" s="51"/>
    </row>
    <row r="8" spans="1:61" x14ac:dyDescent="0.35">
      <c r="A8" s="97" t="b">
        <v>1</v>
      </c>
      <c r="B8" s="49">
        <f t="shared" si="0"/>
        <v>7</v>
      </c>
      <c r="C8" s="49" t="str">
        <f t="shared" si="1"/>
        <v>TC7_10_Bio__Ant</v>
      </c>
      <c r="D8" s="121" t="str">
        <f>_xlfn.XLOOKUP($E8,Tab_Def_Processes[Name(EN)],Tab_Def_Processes[ID],,0,)</f>
        <v>10</v>
      </c>
      <c r="E8" s="51" t="s">
        <v>365</v>
      </c>
      <c r="F8" s="49"/>
      <c r="G8" s="49" t="str">
        <f>_xlfn.XLOOKUP(E8,Tab_Def_Processes[Name(EN)],Tab_Def_Processes[Carbon_Stock],,0,)</f>
        <v>Anthroposphere</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_xlfn.XLOOKUP($E8,Tab_Def_Processes[Name(EN)],Tab_Def_Processes[Stock?],,0,)</f>
        <v>No</v>
      </c>
      <c r="M8" s="60" t="str">
        <f>_xlfn.XLOOKUP($E8,Tab_Def_Processes[Name(EN)],Tab_Def_Processes[Input_Flow_I_1],,0,)</f>
        <v>EoL-MBC (Inci)</v>
      </c>
      <c r="N8" s="49" t="str">
        <f>_xlfn.XLOOKUP($E8,Tab_Def_Processes[Name(EN)],Tab_Def_Processes[Flow_ID_I_1],,0,)</f>
        <v>F_07_10</v>
      </c>
      <c r="O8" s="82">
        <v>1</v>
      </c>
      <c r="P8" s="77" t="str">
        <f>_xlfn.XLOOKUP($E8,Tab_Def_Processes[Name(EN)],Tab_Def_Processes[Input_Flow_I_2],,0,)</f>
        <v>N.A.</v>
      </c>
      <c r="Q8" s="49" t="e">
        <f>_xlfn.XLOOKUP($E8,Tab_Def_Processes[Name(EN)],Tab_Def_Processes[Flow_ID_I_2],,0,)</f>
        <v>#N/A</v>
      </c>
      <c r="R8" s="82"/>
      <c r="S8" s="77" t="str">
        <f>_xlfn.XLOOKUP($E8,Tab_Def_Processes[Name(EN)],Tab_Def_Processes[Input_Flow_I_3],,0,)</f>
        <v>N.A.</v>
      </c>
      <c r="T8" s="49" t="e">
        <f>_xlfn.XLOOKUP($E8,Tab_Def_Processes[Name(EN)],Tab_Def_Processes[Flow_ID_I_3],,0,)</f>
        <v>#N/A</v>
      </c>
      <c r="U8" s="82"/>
      <c r="V8" s="77" t="str">
        <f>_xlfn.XLOOKUP($E8,Tab_Def_Processes[Name(EN)],Tab_Def_Processes[Input_Flow_I_4],,0,)</f>
        <v>N.A.</v>
      </c>
      <c r="W8" s="49" t="e">
        <f>_xlfn.XLOOKUP($E8,Tab_Def_Processes[Name(EN)],Tab_Def_Processes[Flow_ID_I_4],,0,)</f>
        <v>#N/A</v>
      </c>
      <c r="X8" s="82"/>
      <c r="Y8" s="77" t="str">
        <f>_xlfn.XLOOKUP($E8,Tab_Def_Processes[Name(EN)],Tab_Def_Processes[Input_Flow_I_5],,0,)</f>
        <v>N.A.</v>
      </c>
      <c r="Z8" s="49" t="e">
        <f>_xlfn.XLOOKUP($E8,Tab_Def_Processes[Name(EN)],Tab_Def_Processes[Flow_ID_I_5],,0,)</f>
        <v>#N/A</v>
      </c>
      <c r="AA8" s="82"/>
      <c r="AB8" s="80">
        <f>Tab_Process_TCs[[#This Row],[Flow_TC_I_1_'[%']]]+Tab_Process_TCs[[#This Row],[Flow_TC_I_2_'[%']]]+Tab_Process_TCs[[#This Row],[Flow_TC_I_3_'[%']]]+Tab_Process_TCs[[#This Row],[Flow_TC_I_4_'[%']]]+Tab_Process_TCs[[#This Row],[Flow_TC_I_5_'[%']]]</f>
        <v>1</v>
      </c>
      <c r="AC8" s="49" t="str">
        <f>_xlfn.XLOOKUP($E8,Tab_Def_Processes[Name(EN)],Tab_Def_Processes[Output_Flow_O_1],,0,)</f>
        <v>Ash</v>
      </c>
      <c r="AD8" s="49" t="str">
        <f>_xlfn.XLOOKUP($E8,Tab_Def_Processes[Name(EN)],Tab_Def_Processes[Flow_ID_O_1],,0,)</f>
        <v>F_10_18</v>
      </c>
      <c r="AE8" s="82">
        <v>0.1</v>
      </c>
      <c r="AF8" s="49" t="str">
        <f>_xlfn.XLOOKUP($E8,Tab_Def_Processes[Name(EN)],Tab_Def_Processes[Output_Flow_O_2],,0,)</f>
        <v>Flue Gas</v>
      </c>
      <c r="AG8" s="49" t="str">
        <f>_xlfn.XLOOKUP($E8,Tab_Def_Processes[Name(EN)],Tab_Def_Processes[Flow_ID_O_2],,0,)</f>
        <v>F_10_19</v>
      </c>
      <c r="AH8" s="82">
        <v>0.9</v>
      </c>
      <c r="AI8" s="49" t="str">
        <f>_xlfn.XLOOKUP($E8,Tab_Def_Processes[Name(EN)],Tab_Def_Processes[Output_Flow_O_3],,0,)</f>
        <v>N.A.</v>
      </c>
      <c r="AJ8" s="49" t="e">
        <f>_xlfn.XLOOKUP($E8,Tab_Def_Processes[Name(EN)],Tab_Def_Processes[Flow_ID_O_3],,0,)</f>
        <v>#N/A</v>
      </c>
      <c r="AK8" s="82"/>
      <c r="AL8" s="49" t="str">
        <f>_xlfn.XLOOKUP($E8,Tab_Def_Processes[Name(EN)],Tab_Def_Processes[Output_Flow_O_4],,0,)</f>
        <v>N.A.</v>
      </c>
      <c r="AM8" s="49" t="e">
        <f>_xlfn.XLOOKUP($E8,Tab_Def_Processes[Name(EN)],Tab_Def_Processes[Flow_ID_O_4],,0,)</f>
        <v>#N/A</v>
      </c>
      <c r="AN8" s="82"/>
      <c r="AO8" s="49" t="str">
        <f>_xlfn.XLOOKUP($E8,Tab_Def_Processes[Name(EN)],Tab_Def_Processes[Output_Flow_O_5],,0,)</f>
        <v>N.A.</v>
      </c>
      <c r="AP8" s="49" t="e">
        <f>_xlfn.XLOOKUP($E8,Tab_Def_Processes[Name(EN)],Tab_Def_Processes[Flow_ID_O_5],,0,)</f>
        <v>#N/A</v>
      </c>
      <c r="AQ8" s="82"/>
      <c r="AR8" s="49" t="str">
        <f>_xlfn.XLOOKUP($E8,Tab_Def_Processes[Name(EN)],Tab_Def_Processes[Output_Flow_O_6],,0,)</f>
        <v>N.A.</v>
      </c>
      <c r="AS8" s="49" t="e">
        <f>_xlfn.XLOOKUP($E8,Tab_Def_Processes[Name(EN)],Tab_Def_Processes[Flow_ID_O_6],,0,)</f>
        <v>#N/A</v>
      </c>
      <c r="AT8" s="82"/>
      <c r="AU8" s="80">
        <f>SUM(Tab_Process_TCs[[#This Row],[Flow_TC O_6_'[%']]],Tab_Process_TCs[[#This Row],[Flow_TC O_5_'[%']]],Tab_Process_TCs[[#This Row],[Flow_TC_O_4_'[%']]],Tab_Process_TCs[[#This Row],[Flow_TC_O_3_'[%']]],,Tab_Process_TCs[[#This Row],[Flow_TC_O_2_'[%']]],Tab_Process_TCs[[#This Row],[Flow_TC_O_1_'[%']]])</f>
        <v>1</v>
      </c>
      <c r="AV8" s="51"/>
      <c r="AW8" s="51"/>
      <c r="AX8" s="51"/>
      <c r="AY8" s="51"/>
      <c r="AZ8" s="51"/>
    </row>
    <row r="9" spans="1:61" x14ac:dyDescent="0.35">
      <c r="A9" s="97" t="b">
        <v>0</v>
      </c>
      <c r="B9" s="49">
        <f t="shared" si="0"/>
        <v>8</v>
      </c>
      <c r="C9" s="49" t="e">
        <f t="shared" si="1"/>
        <v>#N/A</v>
      </c>
      <c r="D9" s="121" t="e">
        <f>_xlfn.XLOOKUP($E9,Tab_Def_Processes[Name(EN)],Tab_Def_Processes[ID],,0,)</f>
        <v>#N/A</v>
      </c>
      <c r="E9" s="51" t="s">
        <v>231</v>
      </c>
      <c r="F9" s="49"/>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60" t="e">
        <f>_xlfn.XLOOKUP($E9,Tab_Def_Processes[Name(EN)],Tab_Def_Processes[Input_Flow_I_1],,0,)</f>
        <v>#N/A</v>
      </c>
      <c r="N9" s="49" t="e">
        <f>_xlfn.XLOOKUP($E9,Tab_Def_Processes[Name(EN)],Tab_Def_Processes[Flow_ID_I_1],,0,)</f>
        <v>#N/A</v>
      </c>
      <c r="O9" s="82"/>
      <c r="P9" s="77" t="e">
        <f>_xlfn.XLOOKUP($E9,Tab_Def_Processes[Name(EN)],Tab_Def_Processes[Input_Flow_I_2],,0,)</f>
        <v>#N/A</v>
      </c>
      <c r="Q9" s="49" t="e">
        <f>_xlfn.XLOOKUP($E9,Tab_Def_Processes[Name(EN)],Tab_Def_Processes[Flow_ID_I_2],,0,)</f>
        <v>#N/A</v>
      </c>
      <c r="R9" s="82"/>
      <c r="S9" s="77" t="e">
        <f>_xlfn.XLOOKUP($E9,Tab_Def_Processes[Name(EN)],Tab_Def_Processes[Input_Flow_I_3],,0,)</f>
        <v>#N/A</v>
      </c>
      <c r="T9" s="49" t="e">
        <f>_xlfn.XLOOKUP($E9,Tab_Def_Processes[Name(EN)],Tab_Def_Processes[Flow_ID_I_3],,0,)</f>
        <v>#N/A</v>
      </c>
      <c r="U9" s="82"/>
      <c r="V9" s="77" t="e">
        <f>_xlfn.XLOOKUP($E9,Tab_Def_Processes[Name(EN)],Tab_Def_Processes[Input_Flow_I_4],,0,)</f>
        <v>#N/A</v>
      </c>
      <c r="W9" s="49" t="e">
        <f>_xlfn.XLOOKUP($E9,Tab_Def_Processes[Name(EN)],Tab_Def_Processes[Flow_ID_I_4],,0,)</f>
        <v>#N/A</v>
      </c>
      <c r="X9" s="82"/>
      <c r="Y9" s="77" t="e">
        <f>_xlfn.XLOOKUP($E9,Tab_Def_Processes[Name(EN)],Tab_Def_Processes[Input_Flow_I_5],,0,)</f>
        <v>#N/A</v>
      </c>
      <c r="Z9" s="49" t="e">
        <f>_xlfn.XLOOKUP($E9,Tab_Def_Processes[Name(EN)],Tab_Def_Processes[Flow_ID_I_5],,0,)</f>
        <v>#N/A</v>
      </c>
      <c r="AA9" s="82"/>
      <c r="AB9" s="80">
        <f>Tab_Process_TCs[[#This Row],[Flow_TC_I_1_'[%']]]+Tab_Process_TCs[[#This Row],[Flow_TC_I_2_'[%']]]+Tab_Process_TCs[[#This Row],[Flow_TC_I_3_'[%']]]+Tab_Process_TCs[[#This Row],[Flow_TC_I_4_'[%']]]+Tab_Process_TCs[[#This Row],[Flow_TC_I_5_'[%']]]</f>
        <v>0</v>
      </c>
      <c r="AC9" s="49" t="e">
        <f>_xlfn.XLOOKUP($E9,Tab_Def_Processes[Name(EN)],Tab_Def_Processes[Output_Flow_O_1],,0,)</f>
        <v>#N/A</v>
      </c>
      <c r="AD9" s="49" t="e">
        <f>_xlfn.XLOOKUP($E9,Tab_Def_Processes[Name(EN)],Tab_Def_Processes[Flow_ID_O_1],,0,)</f>
        <v>#N/A</v>
      </c>
      <c r="AE9" s="82"/>
      <c r="AF9" s="49" t="e">
        <f>_xlfn.XLOOKUP($E9,Tab_Def_Processes[Name(EN)],Tab_Def_Processes[Output_Flow_O_2],,0,)</f>
        <v>#N/A</v>
      </c>
      <c r="AG9" s="49" t="e">
        <f>_xlfn.XLOOKUP($E9,Tab_Def_Processes[Name(EN)],Tab_Def_Processes[Flow_ID_O_2],,0,)</f>
        <v>#N/A</v>
      </c>
      <c r="AH9" s="82"/>
      <c r="AI9" s="49" t="e">
        <f>_xlfn.XLOOKUP($E9,Tab_Def_Processes[Name(EN)],Tab_Def_Processes[Output_Flow_O_3],,0,)</f>
        <v>#N/A</v>
      </c>
      <c r="AJ9" s="49" t="e">
        <f>_xlfn.XLOOKUP($E9,Tab_Def_Processes[Name(EN)],Tab_Def_Processes[Flow_ID_O_3],,0,)</f>
        <v>#N/A</v>
      </c>
      <c r="AK9" s="82"/>
      <c r="AL9" s="49" t="e">
        <f>_xlfn.XLOOKUP($E9,Tab_Def_Processes[Name(EN)],Tab_Def_Processes[Output_Flow_O_4],,0,)</f>
        <v>#N/A</v>
      </c>
      <c r="AM9" s="49" t="e">
        <f>_xlfn.XLOOKUP($E9,Tab_Def_Processes[Name(EN)],Tab_Def_Processes[Flow_ID_O_4],,0,)</f>
        <v>#N/A</v>
      </c>
      <c r="AN9" s="82"/>
      <c r="AO9" s="49" t="e">
        <f>_xlfn.XLOOKUP($E9,Tab_Def_Processes[Name(EN)],Tab_Def_Processes[Output_Flow_O_5],,0,)</f>
        <v>#N/A</v>
      </c>
      <c r="AP9" s="49" t="e">
        <f>_xlfn.XLOOKUP($E9,Tab_Def_Processes[Name(EN)],Tab_Def_Processes[Flow_ID_O_5],,0,)</f>
        <v>#N/A</v>
      </c>
      <c r="AQ9" s="82"/>
      <c r="AR9" s="49" t="e">
        <f>_xlfn.XLOOKUP($E9,Tab_Def_Processes[Name(EN)],Tab_Def_Processes[Output_Flow_O_6],,0,)</f>
        <v>#N/A</v>
      </c>
      <c r="AS9" s="49" t="e">
        <f>_xlfn.XLOOKUP($E9,Tab_Def_Processes[Name(EN)],Tab_Def_Processes[Flow_ID_O_6],,0,)</f>
        <v>#N/A</v>
      </c>
      <c r="AT9" s="82"/>
      <c r="AU9" s="80">
        <f>SUM(Tab_Process_TCs[[#This Row],[Flow_TC O_6_'[%']]],Tab_Process_TCs[[#This Row],[Flow_TC O_5_'[%']]],Tab_Process_TCs[[#This Row],[Flow_TC_O_4_'[%']]],Tab_Process_TCs[[#This Row],[Flow_TC_O_3_'[%']]],,Tab_Process_TCs[[#This Row],[Flow_TC_O_2_'[%']]],Tab_Process_TCs[[#This Row],[Flow_TC_O_1_'[%']]])</f>
        <v>0</v>
      </c>
      <c r="AV9" s="51"/>
      <c r="AW9" s="51"/>
      <c r="AX9" s="51"/>
      <c r="AY9" s="51"/>
      <c r="AZ9" s="51"/>
    </row>
    <row r="10" spans="1:61" x14ac:dyDescent="0.35">
      <c r="A10" s="97" t="b">
        <v>0</v>
      </c>
      <c r="B10" s="49">
        <f t="shared" si="0"/>
        <v>9</v>
      </c>
      <c r="C10" s="49" t="e">
        <f t="shared" si="1"/>
        <v>#N/A</v>
      </c>
      <c r="D10" s="121" t="e">
        <f>_xlfn.XLOOKUP($E10,Tab_Def_Processes[Name(EN)],Tab_Def_Processes[ID],,0,)</f>
        <v>#N/A</v>
      </c>
      <c r="E10" s="51" t="s">
        <v>231</v>
      </c>
      <c r="F10" s="49"/>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60" t="e">
        <f>_xlfn.XLOOKUP($E10,Tab_Def_Processes[Name(EN)],Tab_Def_Processes[Input_Flow_I_1],,0,)</f>
        <v>#N/A</v>
      </c>
      <c r="N10" s="49" t="e">
        <f>_xlfn.XLOOKUP($E10,Tab_Def_Processes[Name(EN)],Tab_Def_Processes[Flow_ID_I_1],,0,)</f>
        <v>#N/A</v>
      </c>
      <c r="O10" s="82"/>
      <c r="P10" s="77" t="e">
        <f>_xlfn.XLOOKUP($E10,Tab_Def_Processes[Name(EN)],Tab_Def_Processes[Input_Flow_I_2],,0,)</f>
        <v>#N/A</v>
      </c>
      <c r="Q10" s="49" t="e">
        <f>_xlfn.XLOOKUP($E10,Tab_Def_Processes[Name(EN)],Tab_Def_Processes[Flow_ID_I_2],,0,)</f>
        <v>#N/A</v>
      </c>
      <c r="R10" s="82"/>
      <c r="S10" s="77" t="e">
        <f>_xlfn.XLOOKUP($E10,Tab_Def_Processes[Name(EN)],Tab_Def_Processes[Input_Flow_I_3],,0,)</f>
        <v>#N/A</v>
      </c>
      <c r="T10" s="49" t="e">
        <f>_xlfn.XLOOKUP($E10,Tab_Def_Processes[Name(EN)],Tab_Def_Processes[Flow_ID_I_3],,0,)</f>
        <v>#N/A</v>
      </c>
      <c r="U10" s="82"/>
      <c r="V10" s="77" t="e">
        <f>_xlfn.XLOOKUP($E10,Tab_Def_Processes[Name(EN)],Tab_Def_Processes[Input_Flow_I_4],,0,)</f>
        <v>#N/A</v>
      </c>
      <c r="W10" s="49" t="e">
        <f>_xlfn.XLOOKUP($E10,Tab_Def_Processes[Name(EN)],Tab_Def_Processes[Flow_ID_I_4],,0,)</f>
        <v>#N/A</v>
      </c>
      <c r="X10" s="82"/>
      <c r="Y10" s="77" t="e">
        <f>_xlfn.XLOOKUP($E10,Tab_Def_Processes[Name(EN)],Tab_Def_Processes[Input_Flow_I_5],,0,)</f>
        <v>#N/A</v>
      </c>
      <c r="Z10" s="49" t="e">
        <f>_xlfn.XLOOKUP($E10,Tab_Def_Processes[Name(EN)],Tab_Def_Processes[Flow_ID_I_5],,0,)</f>
        <v>#N/A</v>
      </c>
      <c r="AA10" s="82"/>
      <c r="AB10" s="80">
        <f>Tab_Process_TCs[[#This Row],[Flow_TC_I_1_'[%']]]+Tab_Process_TCs[[#This Row],[Flow_TC_I_2_'[%']]]+Tab_Process_TCs[[#This Row],[Flow_TC_I_3_'[%']]]+Tab_Process_TCs[[#This Row],[Flow_TC_I_4_'[%']]]+Tab_Process_TCs[[#This Row],[Flow_TC_I_5_'[%']]]</f>
        <v>0</v>
      </c>
      <c r="AC10" s="49" t="e">
        <f>_xlfn.XLOOKUP($E10,Tab_Def_Processes[Name(EN)],Tab_Def_Processes[Output_Flow_O_1],,0,)</f>
        <v>#N/A</v>
      </c>
      <c r="AD10" s="49" t="e">
        <f>_xlfn.XLOOKUP($E10,Tab_Def_Processes[Name(EN)],Tab_Def_Processes[Flow_ID_O_1],,0,)</f>
        <v>#N/A</v>
      </c>
      <c r="AE10" s="82"/>
      <c r="AF10" s="49" t="e">
        <f>_xlfn.XLOOKUP($E10,Tab_Def_Processes[Name(EN)],Tab_Def_Processes[Output_Flow_O_2],,0,)</f>
        <v>#N/A</v>
      </c>
      <c r="AG10" s="49" t="e">
        <f>_xlfn.XLOOKUP($E10,Tab_Def_Processes[Name(EN)],Tab_Def_Processes[Flow_ID_O_2],,0,)</f>
        <v>#N/A</v>
      </c>
      <c r="AH10" s="82"/>
      <c r="AI10" s="49" t="e">
        <f>_xlfn.XLOOKUP($E10,Tab_Def_Processes[Name(EN)],Tab_Def_Processes[Output_Flow_O_3],,0,)</f>
        <v>#N/A</v>
      </c>
      <c r="AJ10" s="49" t="e">
        <f>_xlfn.XLOOKUP($E10,Tab_Def_Processes[Name(EN)],Tab_Def_Processes[Flow_ID_O_3],,0,)</f>
        <v>#N/A</v>
      </c>
      <c r="AK10" s="82"/>
      <c r="AL10" s="49" t="e">
        <f>_xlfn.XLOOKUP($E10,Tab_Def_Processes[Name(EN)],Tab_Def_Processes[Output_Flow_O_4],,0,)</f>
        <v>#N/A</v>
      </c>
      <c r="AM10" s="49" t="e">
        <f>_xlfn.XLOOKUP($E10,Tab_Def_Processes[Name(EN)],Tab_Def_Processes[Flow_ID_O_4],,0,)</f>
        <v>#N/A</v>
      </c>
      <c r="AN10" s="82"/>
      <c r="AO10" s="49" t="e">
        <f>_xlfn.XLOOKUP($E10,Tab_Def_Processes[Name(EN)],Tab_Def_Processes[Output_Flow_O_5],,0,)</f>
        <v>#N/A</v>
      </c>
      <c r="AP10" s="49" t="e">
        <f>_xlfn.XLOOKUP($E10,Tab_Def_Processes[Name(EN)],Tab_Def_Processes[Flow_ID_O_5],,0,)</f>
        <v>#N/A</v>
      </c>
      <c r="AQ10" s="82"/>
      <c r="AR10" s="49" t="e">
        <f>_xlfn.XLOOKUP($E10,Tab_Def_Processes[Name(EN)],Tab_Def_Processes[Output_Flow_O_6],,0,)</f>
        <v>#N/A</v>
      </c>
      <c r="AS10" s="49" t="e">
        <f>_xlfn.XLOOKUP($E10,Tab_Def_Processes[Name(EN)],Tab_Def_Processes[Flow_ID_O_6],,0,)</f>
        <v>#N/A</v>
      </c>
      <c r="AT10" s="82"/>
      <c r="AU10" s="80">
        <f>SUM(Tab_Process_TCs[[#This Row],[Flow_TC O_6_'[%']]],Tab_Process_TCs[[#This Row],[Flow_TC O_5_'[%']]],Tab_Process_TCs[[#This Row],[Flow_TC_O_4_'[%']]],Tab_Process_TCs[[#This Row],[Flow_TC_O_3_'[%']]],,Tab_Process_TCs[[#This Row],[Flow_TC_O_2_'[%']]],Tab_Process_TCs[[#This Row],[Flow_TC_O_1_'[%']]])</f>
        <v>0</v>
      </c>
      <c r="AV10" s="51"/>
      <c r="AW10" s="51"/>
      <c r="AX10" s="51"/>
      <c r="AY10" s="51"/>
      <c r="AZ10" s="51"/>
    </row>
    <row r="11" spans="1:61" x14ac:dyDescent="0.35">
      <c r="A11" s="97" t="b">
        <v>0</v>
      </c>
      <c r="B11" s="49">
        <f t="shared" si="0"/>
        <v>10</v>
      </c>
      <c r="C11" s="49" t="e">
        <f t="shared" si="1"/>
        <v>#N/A</v>
      </c>
      <c r="D11" s="121" t="e">
        <f>_xlfn.XLOOKUP($E11,Tab_Def_Processes[Name(EN)],Tab_Def_Processes[ID],,0,)</f>
        <v>#N/A</v>
      </c>
      <c r="E11" s="51" t="s">
        <v>231</v>
      </c>
      <c r="F11" s="49"/>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60" t="e">
        <f>_xlfn.XLOOKUP($E11,Tab_Def_Processes[Name(EN)],Tab_Def_Processes[Input_Flow_I_1],,0,)</f>
        <v>#N/A</v>
      </c>
      <c r="N11" s="49" t="e">
        <f>_xlfn.XLOOKUP($E11,Tab_Def_Processes[Name(EN)],Tab_Def_Processes[Flow_ID_I_1],,0,)</f>
        <v>#N/A</v>
      </c>
      <c r="O11" s="82"/>
      <c r="P11" s="77" t="e">
        <f>_xlfn.XLOOKUP($E11,Tab_Def_Processes[Name(EN)],Tab_Def_Processes[Input_Flow_I_2],,0,)</f>
        <v>#N/A</v>
      </c>
      <c r="Q11" s="49" t="e">
        <f>_xlfn.XLOOKUP($E11,Tab_Def_Processes[Name(EN)],Tab_Def_Processes[Flow_ID_I_2],,0,)</f>
        <v>#N/A</v>
      </c>
      <c r="R11" s="82"/>
      <c r="S11" s="77" t="e">
        <f>_xlfn.XLOOKUP($E11,Tab_Def_Processes[Name(EN)],Tab_Def_Processes[Input_Flow_I_3],,0,)</f>
        <v>#N/A</v>
      </c>
      <c r="T11" s="49" t="e">
        <f>_xlfn.XLOOKUP($E11,Tab_Def_Processes[Name(EN)],Tab_Def_Processes[Flow_ID_I_3],,0,)</f>
        <v>#N/A</v>
      </c>
      <c r="U11" s="82"/>
      <c r="V11" s="77" t="e">
        <f>_xlfn.XLOOKUP($E11,Tab_Def_Processes[Name(EN)],Tab_Def_Processes[Input_Flow_I_4],,0,)</f>
        <v>#N/A</v>
      </c>
      <c r="W11" s="49" t="e">
        <f>_xlfn.XLOOKUP($E11,Tab_Def_Processes[Name(EN)],Tab_Def_Processes[Flow_ID_I_4],,0,)</f>
        <v>#N/A</v>
      </c>
      <c r="X11" s="82"/>
      <c r="Y11" s="77" t="e">
        <f>_xlfn.XLOOKUP($E11,Tab_Def_Processes[Name(EN)],Tab_Def_Processes[Input_Flow_I_5],,0,)</f>
        <v>#N/A</v>
      </c>
      <c r="Z11" s="49" t="e">
        <f>_xlfn.XLOOKUP($E11,Tab_Def_Processes[Name(EN)],Tab_Def_Processes[Flow_ID_I_5],,0,)</f>
        <v>#N/A</v>
      </c>
      <c r="AA11" s="82"/>
      <c r="AB11" s="80">
        <f>Tab_Process_TCs[[#This Row],[Flow_TC_I_1_'[%']]]+Tab_Process_TCs[[#This Row],[Flow_TC_I_2_'[%']]]+Tab_Process_TCs[[#This Row],[Flow_TC_I_3_'[%']]]+Tab_Process_TCs[[#This Row],[Flow_TC_I_4_'[%']]]+Tab_Process_TCs[[#This Row],[Flow_TC_I_5_'[%']]]</f>
        <v>0</v>
      </c>
      <c r="AC11" s="49" t="e">
        <f>_xlfn.XLOOKUP($E11,Tab_Def_Processes[Name(EN)],Tab_Def_Processes[Output_Flow_O_1],,0,)</f>
        <v>#N/A</v>
      </c>
      <c r="AD11" s="49" t="e">
        <f>_xlfn.XLOOKUP($E11,Tab_Def_Processes[Name(EN)],Tab_Def_Processes[Flow_ID_O_1],,0,)</f>
        <v>#N/A</v>
      </c>
      <c r="AE11" s="82"/>
      <c r="AF11" s="49" t="e">
        <f>_xlfn.XLOOKUP($E11,Tab_Def_Processes[Name(EN)],Tab_Def_Processes[Output_Flow_O_2],,0,)</f>
        <v>#N/A</v>
      </c>
      <c r="AG11" s="49" t="e">
        <f>_xlfn.XLOOKUP($E11,Tab_Def_Processes[Name(EN)],Tab_Def_Processes[Flow_ID_O_2],,0,)</f>
        <v>#N/A</v>
      </c>
      <c r="AH11" s="82"/>
      <c r="AI11" s="49" t="e">
        <f>_xlfn.XLOOKUP($E11,Tab_Def_Processes[Name(EN)],Tab_Def_Processes[Output_Flow_O_3],,0,)</f>
        <v>#N/A</v>
      </c>
      <c r="AJ11" s="49" t="e">
        <f>_xlfn.XLOOKUP($E11,Tab_Def_Processes[Name(EN)],Tab_Def_Processes[Flow_ID_O_3],,0,)</f>
        <v>#N/A</v>
      </c>
      <c r="AK11" s="82"/>
      <c r="AL11" s="49" t="e">
        <f>_xlfn.XLOOKUP($E11,Tab_Def_Processes[Name(EN)],Tab_Def_Processes[Output_Flow_O_4],,0,)</f>
        <v>#N/A</v>
      </c>
      <c r="AM11" s="49" t="e">
        <f>_xlfn.XLOOKUP($E11,Tab_Def_Processes[Name(EN)],Tab_Def_Processes[Flow_ID_O_4],,0,)</f>
        <v>#N/A</v>
      </c>
      <c r="AN11" s="82"/>
      <c r="AO11" s="49" t="e">
        <f>_xlfn.XLOOKUP($E11,Tab_Def_Processes[Name(EN)],Tab_Def_Processes[Output_Flow_O_5],,0,)</f>
        <v>#N/A</v>
      </c>
      <c r="AP11" s="49" t="e">
        <f>_xlfn.XLOOKUP($E11,Tab_Def_Processes[Name(EN)],Tab_Def_Processes[Flow_ID_O_5],,0,)</f>
        <v>#N/A</v>
      </c>
      <c r="AQ11" s="82"/>
      <c r="AR11" s="49" t="e">
        <f>_xlfn.XLOOKUP($E11,Tab_Def_Processes[Name(EN)],Tab_Def_Processes[Output_Flow_O_6],,0,)</f>
        <v>#N/A</v>
      </c>
      <c r="AS11" s="49" t="e">
        <f>_xlfn.XLOOKUP($E11,Tab_Def_Processes[Name(EN)],Tab_Def_Processes[Flow_ID_O_6],,0,)</f>
        <v>#N/A</v>
      </c>
      <c r="AT11" s="82"/>
      <c r="AU11" s="80">
        <f>SUM(Tab_Process_TCs[[#This Row],[Flow_TC O_6_'[%']]],Tab_Process_TCs[[#This Row],[Flow_TC O_5_'[%']]],Tab_Process_TCs[[#This Row],[Flow_TC_O_4_'[%']]],Tab_Process_TCs[[#This Row],[Flow_TC_O_3_'[%']]],,Tab_Process_TCs[[#This Row],[Flow_TC_O_2_'[%']]],Tab_Process_TCs[[#This Row],[Flow_TC_O_1_'[%']]])</f>
        <v>0</v>
      </c>
      <c r="AV11" s="51"/>
      <c r="AW11" s="51"/>
      <c r="AX11" s="51"/>
      <c r="AY11" s="51"/>
      <c r="AZ11" s="51"/>
    </row>
    <row r="12" spans="1:61" x14ac:dyDescent="0.35">
      <c r="A12" s="97" t="b">
        <v>0</v>
      </c>
      <c r="B12" s="49">
        <f t="shared" si="0"/>
        <v>11</v>
      </c>
      <c r="C12" s="49" t="e">
        <f t="shared" si="1"/>
        <v>#N/A</v>
      </c>
      <c r="D12" s="121" t="e">
        <f>_xlfn.XLOOKUP($E12,Tab_Def_Processes[Name(EN)],Tab_Def_Processes[ID],,0,)</f>
        <v>#N/A</v>
      </c>
      <c r="E12" s="51" t="s">
        <v>231</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60" t="e">
        <f>_xlfn.XLOOKUP($E12,Tab_Def_Processes[Name(EN)],Tab_Def_Processes[Input_Flow_I_1],,0,)</f>
        <v>#N/A</v>
      </c>
      <c r="N12" s="49" t="e">
        <f>_xlfn.XLOOKUP($E12,Tab_Def_Processes[Name(EN)],Tab_Def_Processes[Flow_ID_I_1],,0,)</f>
        <v>#N/A</v>
      </c>
      <c r="O12" s="82"/>
      <c r="P12" s="77" t="e">
        <f>_xlfn.XLOOKUP($E12,Tab_Def_Processes[Name(EN)],Tab_Def_Processes[Input_Flow_I_2],,0,)</f>
        <v>#N/A</v>
      </c>
      <c r="Q12" s="49" t="e">
        <f>_xlfn.XLOOKUP($E12,Tab_Def_Processes[Name(EN)],Tab_Def_Processes[Flow_ID_I_2],,0,)</f>
        <v>#N/A</v>
      </c>
      <c r="R12" s="82"/>
      <c r="S12" s="77" t="e">
        <f>_xlfn.XLOOKUP($E12,Tab_Def_Processes[Name(EN)],Tab_Def_Processes[Input_Flow_I_3],,0,)</f>
        <v>#N/A</v>
      </c>
      <c r="T12" s="49" t="e">
        <f>_xlfn.XLOOKUP($E12,Tab_Def_Processes[Name(EN)],Tab_Def_Processes[Flow_ID_I_3],,0,)</f>
        <v>#N/A</v>
      </c>
      <c r="U12" s="82"/>
      <c r="V12" s="77" t="e">
        <f>_xlfn.XLOOKUP($E12,Tab_Def_Processes[Name(EN)],Tab_Def_Processes[Input_Flow_I_4],,0,)</f>
        <v>#N/A</v>
      </c>
      <c r="W12" s="49" t="e">
        <f>_xlfn.XLOOKUP($E12,Tab_Def_Processes[Name(EN)],Tab_Def_Processes[Flow_ID_I_4],,0,)</f>
        <v>#N/A</v>
      </c>
      <c r="X12" s="82"/>
      <c r="Y12" s="77" t="e">
        <f>_xlfn.XLOOKUP($E12,Tab_Def_Processes[Name(EN)],Tab_Def_Processes[Input_Flow_I_5],,0,)</f>
        <v>#N/A</v>
      </c>
      <c r="Z12" s="49" t="e">
        <f>_xlfn.XLOOKUP($E12,Tab_Def_Processes[Name(EN)],Tab_Def_Processes[Flow_ID_I_5],,0,)</f>
        <v>#N/A</v>
      </c>
      <c r="AA12" s="82"/>
      <c r="AB12" s="80">
        <f>Tab_Process_TCs[[#This Row],[Flow_TC_I_1_'[%']]]+Tab_Process_TCs[[#This Row],[Flow_TC_I_2_'[%']]]+Tab_Process_TCs[[#This Row],[Flow_TC_I_3_'[%']]]+Tab_Process_TCs[[#This Row],[Flow_TC_I_4_'[%']]]+Tab_Process_TCs[[#This Row],[Flow_TC_I_5_'[%']]]</f>
        <v>0</v>
      </c>
      <c r="AC12" s="49" t="e">
        <f>_xlfn.XLOOKUP($E12,Tab_Def_Processes[Name(EN)],Tab_Def_Processes[Output_Flow_O_1],,0,)</f>
        <v>#N/A</v>
      </c>
      <c r="AD12" s="49" t="e">
        <f>_xlfn.XLOOKUP($E12,Tab_Def_Processes[Name(EN)],Tab_Def_Processes[Flow_ID_O_1],,0,)</f>
        <v>#N/A</v>
      </c>
      <c r="AE12" s="82"/>
      <c r="AF12" s="49" t="e">
        <f>_xlfn.XLOOKUP($E12,Tab_Def_Processes[Name(EN)],Tab_Def_Processes[Output_Flow_O_2],,0,)</f>
        <v>#N/A</v>
      </c>
      <c r="AG12" s="49" t="e">
        <f>_xlfn.XLOOKUP($E12,Tab_Def_Processes[Name(EN)],Tab_Def_Processes[Flow_ID_O_2],,0,)</f>
        <v>#N/A</v>
      </c>
      <c r="AH12" s="82"/>
      <c r="AI12" s="49" t="e">
        <f>_xlfn.XLOOKUP($E12,Tab_Def_Processes[Name(EN)],Tab_Def_Processes[Output_Flow_O_3],,0,)</f>
        <v>#N/A</v>
      </c>
      <c r="AJ12" s="49" t="e">
        <f>_xlfn.XLOOKUP($E12,Tab_Def_Processes[Name(EN)],Tab_Def_Processes[Flow_ID_O_3],,0,)</f>
        <v>#N/A</v>
      </c>
      <c r="AK12" s="82"/>
      <c r="AL12" s="49" t="e">
        <f>_xlfn.XLOOKUP($E12,Tab_Def_Processes[Name(EN)],Tab_Def_Processes[Output_Flow_O_4],,0,)</f>
        <v>#N/A</v>
      </c>
      <c r="AM12" s="49" t="e">
        <f>_xlfn.XLOOKUP($E12,Tab_Def_Processes[Name(EN)],Tab_Def_Processes[Flow_ID_O_4],,0,)</f>
        <v>#N/A</v>
      </c>
      <c r="AN12" s="82"/>
      <c r="AO12" s="49" t="e">
        <f>_xlfn.XLOOKUP($E12,Tab_Def_Processes[Name(EN)],Tab_Def_Processes[Output_Flow_O_5],,0,)</f>
        <v>#N/A</v>
      </c>
      <c r="AP12" s="49" t="e">
        <f>_xlfn.XLOOKUP($E12,Tab_Def_Processes[Name(EN)],Tab_Def_Processes[Flow_ID_O_5],,0,)</f>
        <v>#N/A</v>
      </c>
      <c r="AQ12" s="82"/>
      <c r="AR12" s="49" t="e">
        <f>_xlfn.XLOOKUP($E12,Tab_Def_Processes[Name(EN)],Tab_Def_Processes[Output_Flow_O_6],,0,)</f>
        <v>#N/A</v>
      </c>
      <c r="AS12" s="49" t="e">
        <f>_xlfn.XLOOKUP($E12,Tab_Def_Processes[Name(EN)],Tab_Def_Processes[Flow_ID_O_6],,0,)</f>
        <v>#N/A</v>
      </c>
      <c r="AT12" s="82"/>
      <c r="AU12" s="80">
        <f>SUM(Tab_Process_TCs[[#This Row],[Flow_TC O_6_'[%']]],Tab_Process_TCs[[#This Row],[Flow_TC O_5_'[%']]],Tab_Process_TCs[[#This Row],[Flow_TC_O_4_'[%']]],Tab_Process_TCs[[#This Row],[Flow_TC_O_3_'[%']]],,Tab_Process_TCs[[#This Row],[Flow_TC_O_2_'[%']]],Tab_Process_TCs[[#This Row],[Flow_TC_O_1_'[%']]])</f>
        <v>0</v>
      </c>
      <c r="AV12" s="51"/>
      <c r="AW12" s="51"/>
      <c r="AX12" s="51"/>
      <c r="AY12" s="51"/>
      <c r="AZ12" s="51"/>
    </row>
    <row r="13" spans="1:61" x14ac:dyDescent="0.35">
      <c r="A13" s="97" t="b">
        <v>0</v>
      </c>
      <c r="B13" s="49">
        <f t="shared" si="0"/>
        <v>12</v>
      </c>
      <c r="C13" s="49" t="e">
        <f t="shared" si="1"/>
        <v>#N/A</v>
      </c>
      <c r="D13" s="121" t="e">
        <f>_xlfn.XLOOKUP($E13,Tab_Def_Processes[Name(EN)],Tab_Def_Processes[ID],,0,)</f>
        <v>#N/A</v>
      </c>
      <c r="E13" s="51" t="s">
        <v>231</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60" t="e">
        <f>_xlfn.XLOOKUP($E13,Tab_Def_Processes[Name(EN)],Tab_Def_Processes[Input_Flow_I_1],,0,)</f>
        <v>#N/A</v>
      </c>
      <c r="N13" s="49" t="e">
        <f>_xlfn.XLOOKUP($E13,Tab_Def_Processes[Name(EN)],Tab_Def_Processes[Flow_ID_I_1],,0,)</f>
        <v>#N/A</v>
      </c>
      <c r="O13" s="82"/>
      <c r="P13" s="77" t="e">
        <f>_xlfn.XLOOKUP($E13,Tab_Def_Processes[Name(EN)],Tab_Def_Processes[Input_Flow_I_2],,0,)</f>
        <v>#N/A</v>
      </c>
      <c r="Q13" s="49" t="e">
        <f>_xlfn.XLOOKUP($E13,Tab_Def_Processes[Name(EN)],Tab_Def_Processes[Flow_ID_I_2],,0,)</f>
        <v>#N/A</v>
      </c>
      <c r="R13" s="82"/>
      <c r="S13" s="77" t="e">
        <f>_xlfn.XLOOKUP($E13,Tab_Def_Processes[Name(EN)],Tab_Def_Processes[Input_Flow_I_3],,0,)</f>
        <v>#N/A</v>
      </c>
      <c r="T13" s="49" t="e">
        <f>_xlfn.XLOOKUP($E13,Tab_Def_Processes[Name(EN)],Tab_Def_Processes[Flow_ID_I_3],,0,)</f>
        <v>#N/A</v>
      </c>
      <c r="U13" s="82"/>
      <c r="V13" s="77" t="e">
        <f>_xlfn.XLOOKUP($E13,Tab_Def_Processes[Name(EN)],Tab_Def_Processes[Input_Flow_I_4],,0,)</f>
        <v>#N/A</v>
      </c>
      <c r="W13" s="49" t="e">
        <f>_xlfn.XLOOKUP($E13,Tab_Def_Processes[Name(EN)],Tab_Def_Processes[Flow_ID_I_4],,0,)</f>
        <v>#N/A</v>
      </c>
      <c r="X13" s="82"/>
      <c r="Y13" s="77" t="e">
        <f>_xlfn.XLOOKUP($E13,Tab_Def_Processes[Name(EN)],Tab_Def_Processes[Input_Flow_I_5],,0,)</f>
        <v>#N/A</v>
      </c>
      <c r="Z13" s="49" t="e">
        <f>_xlfn.XLOOKUP($E13,Tab_Def_Processes[Name(EN)],Tab_Def_Processes[Flow_ID_I_5],,0,)</f>
        <v>#N/A</v>
      </c>
      <c r="AA13" s="82"/>
      <c r="AB13" s="80">
        <f>Tab_Process_TCs[[#This Row],[Flow_TC_I_1_'[%']]]+Tab_Process_TCs[[#This Row],[Flow_TC_I_2_'[%']]]+Tab_Process_TCs[[#This Row],[Flow_TC_I_3_'[%']]]+Tab_Process_TCs[[#This Row],[Flow_TC_I_4_'[%']]]+Tab_Process_TCs[[#This Row],[Flow_TC_I_5_'[%']]]</f>
        <v>0</v>
      </c>
      <c r="AC13" s="49" t="e">
        <f>_xlfn.XLOOKUP($E13,Tab_Def_Processes[Name(EN)],Tab_Def_Processes[Output_Flow_O_1],,0,)</f>
        <v>#N/A</v>
      </c>
      <c r="AD13" s="49" t="e">
        <f>_xlfn.XLOOKUP($E13,Tab_Def_Processes[Name(EN)],Tab_Def_Processes[Flow_ID_O_1],,0,)</f>
        <v>#N/A</v>
      </c>
      <c r="AE13" s="82"/>
      <c r="AF13" s="49" t="e">
        <f>_xlfn.XLOOKUP($E13,Tab_Def_Processes[Name(EN)],Tab_Def_Processes[Output_Flow_O_2],,0,)</f>
        <v>#N/A</v>
      </c>
      <c r="AG13" s="49" t="e">
        <f>_xlfn.XLOOKUP($E13,Tab_Def_Processes[Name(EN)],Tab_Def_Processes[Flow_ID_O_2],,0,)</f>
        <v>#N/A</v>
      </c>
      <c r="AH13" s="82"/>
      <c r="AI13" s="49" t="e">
        <f>_xlfn.XLOOKUP($E13,Tab_Def_Processes[Name(EN)],Tab_Def_Processes[Output_Flow_O_3],,0,)</f>
        <v>#N/A</v>
      </c>
      <c r="AJ13" s="49" t="e">
        <f>_xlfn.XLOOKUP($E13,Tab_Def_Processes[Name(EN)],Tab_Def_Processes[Flow_ID_O_3],,0,)</f>
        <v>#N/A</v>
      </c>
      <c r="AK13" s="82"/>
      <c r="AL13" s="49" t="e">
        <f>_xlfn.XLOOKUP($E13,Tab_Def_Processes[Name(EN)],Tab_Def_Processes[Output_Flow_O_4],,0,)</f>
        <v>#N/A</v>
      </c>
      <c r="AM13" s="49" t="e">
        <f>_xlfn.XLOOKUP($E13,Tab_Def_Processes[Name(EN)],Tab_Def_Processes[Flow_ID_O_4],,0,)</f>
        <v>#N/A</v>
      </c>
      <c r="AN13" s="82"/>
      <c r="AO13" s="49" t="e">
        <f>_xlfn.XLOOKUP($E13,Tab_Def_Processes[Name(EN)],Tab_Def_Processes[Output_Flow_O_5],,0,)</f>
        <v>#N/A</v>
      </c>
      <c r="AP13" s="49" t="e">
        <f>_xlfn.XLOOKUP($E13,Tab_Def_Processes[Name(EN)],Tab_Def_Processes[Flow_ID_O_5],,0,)</f>
        <v>#N/A</v>
      </c>
      <c r="AQ13" s="82"/>
      <c r="AR13" s="49" t="e">
        <f>_xlfn.XLOOKUP($E13,Tab_Def_Processes[Name(EN)],Tab_Def_Processes[Output_Flow_O_6],,0,)</f>
        <v>#N/A</v>
      </c>
      <c r="AS13" s="49" t="e">
        <f>_xlfn.XLOOKUP($E13,Tab_Def_Processes[Name(EN)],Tab_Def_Processes[Flow_ID_O_6],,0,)</f>
        <v>#N/A</v>
      </c>
      <c r="AT13" s="82"/>
      <c r="AU13" s="80">
        <f>SUM(Tab_Process_TCs[[#This Row],[Flow_TC O_6_'[%']]],Tab_Process_TCs[[#This Row],[Flow_TC O_5_'[%']]],Tab_Process_TCs[[#This Row],[Flow_TC_O_4_'[%']]],Tab_Process_TCs[[#This Row],[Flow_TC_O_3_'[%']]],,Tab_Process_TCs[[#This Row],[Flow_TC_O_2_'[%']]],Tab_Process_TCs[[#This Row],[Flow_TC_O_1_'[%']]])</f>
        <v>0</v>
      </c>
      <c r="AV13" s="51"/>
      <c r="AW13" s="51"/>
      <c r="AX13" s="51"/>
      <c r="AY13" s="51"/>
      <c r="AZ13" s="51"/>
    </row>
    <row r="14" spans="1:61" x14ac:dyDescent="0.35">
      <c r="A14" s="97" t="b">
        <v>0</v>
      </c>
      <c r="B14" s="49">
        <f t="shared" si="0"/>
        <v>13</v>
      </c>
      <c r="C14" s="49" t="e">
        <f t="shared" si="1"/>
        <v>#N/A</v>
      </c>
      <c r="D14" s="121" t="e">
        <f>_xlfn.XLOOKUP($E14,Tab_Def_Processes[Name(EN)],Tab_Def_Processes[ID],,0,)</f>
        <v>#N/A</v>
      </c>
      <c r="E14" s="51" t="s">
        <v>231</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60" t="e">
        <f>_xlfn.XLOOKUP($E14,Tab_Def_Processes[Name(EN)],Tab_Def_Processes[Input_Flow_I_1],,0,)</f>
        <v>#N/A</v>
      </c>
      <c r="N14" s="49" t="e">
        <f>_xlfn.XLOOKUP($E14,Tab_Def_Processes[Name(EN)],Tab_Def_Processes[Flow_ID_I_1],,0,)</f>
        <v>#N/A</v>
      </c>
      <c r="O14" s="82"/>
      <c r="P14" s="77" t="e">
        <f>_xlfn.XLOOKUP($E14,Tab_Def_Processes[Name(EN)],Tab_Def_Processes[Input_Flow_I_2],,0,)</f>
        <v>#N/A</v>
      </c>
      <c r="Q14" s="49" t="e">
        <f>_xlfn.XLOOKUP($E14,Tab_Def_Processes[Name(EN)],Tab_Def_Processes[Flow_ID_I_2],,0,)</f>
        <v>#N/A</v>
      </c>
      <c r="R14" s="82"/>
      <c r="S14" s="77" t="e">
        <f>_xlfn.XLOOKUP($E14,Tab_Def_Processes[Name(EN)],Tab_Def_Processes[Input_Flow_I_3],,0,)</f>
        <v>#N/A</v>
      </c>
      <c r="T14" s="49" t="e">
        <f>_xlfn.XLOOKUP($E14,Tab_Def_Processes[Name(EN)],Tab_Def_Processes[Flow_ID_I_3],,0,)</f>
        <v>#N/A</v>
      </c>
      <c r="U14" s="82"/>
      <c r="V14" s="77" t="e">
        <f>_xlfn.XLOOKUP($E14,Tab_Def_Processes[Name(EN)],Tab_Def_Processes[Input_Flow_I_4],,0,)</f>
        <v>#N/A</v>
      </c>
      <c r="W14" s="49" t="e">
        <f>_xlfn.XLOOKUP($E14,Tab_Def_Processes[Name(EN)],Tab_Def_Processes[Flow_ID_I_4],,0,)</f>
        <v>#N/A</v>
      </c>
      <c r="X14" s="82"/>
      <c r="Y14" s="77" t="e">
        <f>_xlfn.XLOOKUP($E14,Tab_Def_Processes[Name(EN)],Tab_Def_Processes[Input_Flow_I_5],,0,)</f>
        <v>#N/A</v>
      </c>
      <c r="Z14" s="49" t="e">
        <f>_xlfn.XLOOKUP($E14,Tab_Def_Processes[Name(EN)],Tab_Def_Processes[Flow_ID_I_5],,0,)</f>
        <v>#N/A</v>
      </c>
      <c r="AA14" s="82"/>
      <c r="AB14" s="80">
        <f>Tab_Process_TCs[[#This Row],[Flow_TC_I_1_'[%']]]+Tab_Process_TCs[[#This Row],[Flow_TC_I_2_'[%']]]+Tab_Process_TCs[[#This Row],[Flow_TC_I_3_'[%']]]+Tab_Process_TCs[[#This Row],[Flow_TC_I_4_'[%']]]+Tab_Process_TCs[[#This Row],[Flow_TC_I_5_'[%']]]</f>
        <v>0</v>
      </c>
      <c r="AC14" s="49" t="e">
        <f>_xlfn.XLOOKUP($E14,Tab_Def_Processes[Name(EN)],Tab_Def_Processes[Output_Flow_O_1],,0,)</f>
        <v>#N/A</v>
      </c>
      <c r="AD14" s="49" t="e">
        <f>_xlfn.XLOOKUP($E14,Tab_Def_Processes[Name(EN)],Tab_Def_Processes[Flow_ID_O_1],,0,)</f>
        <v>#N/A</v>
      </c>
      <c r="AE14" s="82"/>
      <c r="AF14" s="49" t="e">
        <f>_xlfn.XLOOKUP($E14,Tab_Def_Processes[Name(EN)],Tab_Def_Processes[Output_Flow_O_2],,0,)</f>
        <v>#N/A</v>
      </c>
      <c r="AG14" s="49" t="e">
        <f>_xlfn.XLOOKUP($E14,Tab_Def_Processes[Name(EN)],Tab_Def_Processes[Flow_ID_O_2],,0,)</f>
        <v>#N/A</v>
      </c>
      <c r="AH14" s="82"/>
      <c r="AI14" s="49" t="e">
        <f>_xlfn.XLOOKUP($E14,Tab_Def_Processes[Name(EN)],Tab_Def_Processes[Output_Flow_O_3],,0,)</f>
        <v>#N/A</v>
      </c>
      <c r="AJ14" s="49" t="e">
        <f>_xlfn.XLOOKUP($E14,Tab_Def_Processes[Name(EN)],Tab_Def_Processes[Flow_ID_O_3],,0,)</f>
        <v>#N/A</v>
      </c>
      <c r="AK14" s="82"/>
      <c r="AL14" s="49" t="e">
        <f>_xlfn.XLOOKUP($E14,Tab_Def_Processes[Name(EN)],Tab_Def_Processes[Output_Flow_O_4],,0,)</f>
        <v>#N/A</v>
      </c>
      <c r="AM14" s="49" t="e">
        <f>_xlfn.XLOOKUP($E14,Tab_Def_Processes[Name(EN)],Tab_Def_Processes[Flow_ID_O_4],,0,)</f>
        <v>#N/A</v>
      </c>
      <c r="AN14" s="82"/>
      <c r="AO14" s="49" t="e">
        <f>_xlfn.XLOOKUP($E14,Tab_Def_Processes[Name(EN)],Tab_Def_Processes[Output_Flow_O_5],,0,)</f>
        <v>#N/A</v>
      </c>
      <c r="AP14" s="49" t="e">
        <f>_xlfn.XLOOKUP($E14,Tab_Def_Processes[Name(EN)],Tab_Def_Processes[Flow_ID_O_5],,0,)</f>
        <v>#N/A</v>
      </c>
      <c r="AQ14" s="82"/>
      <c r="AR14" s="49" t="e">
        <f>_xlfn.XLOOKUP($E14,Tab_Def_Processes[Name(EN)],Tab_Def_Processes[Output_Flow_O_6],,0,)</f>
        <v>#N/A</v>
      </c>
      <c r="AS14" s="49" t="e">
        <f>_xlfn.XLOOKUP($E14,Tab_Def_Processes[Name(EN)],Tab_Def_Processes[Flow_ID_O_6],,0,)</f>
        <v>#N/A</v>
      </c>
      <c r="AT14" s="82"/>
      <c r="AU14" s="80">
        <f>SUM(Tab_Process_TCs[[#This Row],[Flow_TC O_6_'[%']]],Tab_Process_TCs[[#This Row],[Flow_TC O_5_'[%']]],Tab_Process_TCs[[#This Row],[Flow_TC_O_4_'[%']]],Tab_Process_TCs[[#This Row],[Flow_TC_O_3_'[%']]],,Tab_Process_TCs[[#This Row],[Flow_TC_O_2_'[%']]],Tab_Process_TCs[[#This Row],[Flow_TC_O_1_'[%']]])</f>
        <v>0</v>
      </c>
      <c r="AV14" s="51"/>
      <c r="AW14" s="51"/>
      <c r="AX14" s="51"/>
      <c r="AY14" s="51"/>
      <c r="AZ14" s="51"/>
    </row>
    <row r="15" spans="1:61" x14ac:dyDescent="0.35">
      <c r="A15" s="97" t="b">
        <v>0</v>
      </c>
      <c r="B15" s="49">
        <f t="shared" si="0"/>
        <v>14</v>
      </c>
      <c r="C15" s="49" t="e">
        <f t="shared" si="1"/>
        <v>#N/A</v>
      </c>
      <c r="D15" s="121" t="e">
        <f>_xlfn.XLOOKUP($E15,Tab_Def_Processes[Name(EN)],Tab_Def_Processes[ID],,0,)</f>
        <v>#N/A</v>
      </c>
      <c r="E15" s="51" t="s">
        <v>231</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60" t="e">
        <f>_xlfn.XLOOKUP($E15,Tab_Def_Processes[Name(EN)],Tab_Def_Processes[Input_Flow_I_1],,0,)</f>
        <v>#N/A</v>
      </c>
      <c r="N15" s="49" t="e">
        <f>_xlfn.XLOOKUP($E15,Tab_Def_Processes[Name(EN)],Tab_Def_Processes[Flow_ID_I_1],,0,)</f>
        <v>#N/A</v>
      </c>
      <c r="O15" s="82"/>
      <c r="P15" s="77" t="e">
        <f>_xlfn.XLOOKUP($E15,Tab_Def_Processes[Name(EN)],Tab_Def_Processes[Input_Flow_I_2],,0,)</f>
        <v>#N/A</v>
      </c>
      <c r="Q15" s="49" t="e">
        <f>_xlfn.XLOOKUP($E15,Tab_Def_Processes[Name(EN)],Tab_Def_Processes[Flow_ID_I_2],,0,)</f>
        <v>#N/A</v>
      </c>
      <c r="R15" s="82"/>
      <c r="S15" s="77" t="e">
        <f>_xlfn.XLOOKUP($E15,Tab_Def_Processes[Name(EN)],Tab_Def_Processes[Input_Flow_I_3],,0,)</f>
        <v>#N/A</v>
      </c>
      <c r="T15" s="49" t="e">
        <f>_xlfn.XLOOKUP($E15,Tab_Def_Processes[Name(EN)],Tab_Def_Processes[Flow_ID_I_3],,0,)</f>
        <v>#N/A</v>
      </c>
      <c r="U15" s="82"/>
      <c r="V15" s="77" t="e">
        <f>_xlfn.XLOOKUP($E15,Tab_Def_Processes[Name(EN)],Tab_Def_Processes[Input_Flow_I_4],,0,)</f>
        <v>#N/A</v>
      </c>
      <c r="W15" s="49" t="e">
        <f>_xlfn.XLOOKUP($E15,Tab_Def_Processes[Name(EN)],Tab_Def_Processes[Flow_ID_I_4],,0,)</f>
        <v>#N/A</v>
      </c>
      <c r="X15" s="82"/>
      <c r="Y15" s="77" t="e">
        <f>_xlfn.XLOOKUP($E15,Tab_Def_Processes[Name(EN)],Tab_Def_Processes[Input_Flow_I_5],,0,)</f>
        <v>#N/A</v>
      </c>
      <c r="Z15" s="49" t="e">
        <f>_xlfn.XLOOKUP($E15,Tab_Def_Processes[Name(EN)],Tab_Def_Processes[Flow_ID_I_5],,0,)</f>
        <v>#N/A</v>
      </c>
      <c r="AA15" s="82"/>
      <c r="AB15" s="80">
        <f>Tab_Process_TCs[[#This Row],[Flow_TC_I_1_'[%']]]+Tab_Process_TCs[[#This Row],[Flow_TC_I_2_'[%']]]+Tab_Process_TCs[[#This Row],[Flow_TC_I_3_'[%']]]+Tab_Process_TCs[[#This Row],[Flow_TC_I_4_'[%']]]+Tab_Process_TCs[[#This Row],[Flow_TC_I_5_'[%']]]</f>
        <v>0</v>
      </c>
      <c r="AC15" s="49" t="e">
        <f>_xlfn.XLOOKUP($E15,Tab_Def_Processes[Name(EN)],Tab_Def_Processes[Output_Flow_O_1],,0,)</f>
        <v>#N/A</v>
      </c>
      <c r="AD15" s="49" t="e">
        <f>_xlfn.XLOOKUP($E15,Tab_Def_Processes[Name(EN)],Tab_Def_Processes[Flow_ID_O_1],,0,)</f>
        <v>#N/A</v>
      </c>
      <c r="AE15" s="82"/>
      <c r="AF15" s="49" t="e">
        <f>_xlfn.XLOOKUP($E15,Tab_Def_Processes[Name(EN)],Tab_Def_Processes[Output_Flow_O_2],,0,)</f>
        <v>#N/A</v>
      </c>
      <c r="AG15" s="49" t="e">
        <f>_xlfn.XLOOKUP($E15,Tab_Def_Processes[Name(EN)],Tab_Def_Processes[Flow_ID_O_2],,0,)</f>
        <v>#N/A</v>
      </c>
      <c r="AH15" s="82"/>
      <c r="AI15" s="49" t="e">
        <f>_xlfn.XLOOKUP($E15,Tab_Def_Processes[Name(EN)],Tab_Def_Processes[Output_Flow_O_3],,0,)</f>
        <v>#N/A</v>
      </c>
      <c r="AJ15" s="49" t="e">
        <f>_xlfn.XLOOKUP($E15,Tab_Def_Processes[Name(EN)],Tab_Def_Processes[Flow_ID_O_3],,0,)</f>
        <v>#N/A</v>
      </c>
      <c r="AK15" s="82"/>
      <c r="AL15" s="49" t="e">
        <f>_xlfn.XLOOKUP($E15,Tab_Def_Processes[Name(EN)],Tab_Def_Processes[Output_Flow_O_4],,0,)</f>
        <v>#N/A</v>
      </c>
      <c r="AM15" s="49" t="e">
        <f>_xlfn.XLOOKUP($E15,Tab_Def_Processes[Name(EN)],Tab_Def_Processes[Flow_ID_O_4],,0,)</f>
        <v>#N/A</v>
      </c>
      <c r="AN15" s="82"/>
      <c r="AO15" s="49" t="e">
        <f>_xlfn.XLOOKUP($E15,Tab_Def_Processes[Name(EN)],Tab_Def_Processes[Output_Flow_O_5],,0,)</f>
        <v>#N/A</v>
      </c>
      <c r="AP15" s="49" t="e">
        <f>_xlfn.XLOOKUP($E15,Tab_Def_Processes[Name(EN)],Tab_Def_Processes[Flow_ID_O_5],,0,)</f>
        <v>#N/A</v>
      </c>
      <c r="AQ15" s="82"/>
      <c r="AR15" s="49" t="e">
        <f>_xlfn.XLOOKUP($E15,Tab_Def_Processes[Name(EN)],Tab_Def_Processes[Output_Flow_O_6],,0,)</f>
        <v>#N/A</v>
      </c>
      <c r="AS15" s="49" t="e">
        <f>_xlfn.XLOOKUP($E15,Tab_Def_Processes[Name(EN)],Tab_Def_Processes[Flow_ID_O_6],,0,)</f>
        <v>#N/A</v>
      </c>
      <c r="AT15" s="82"/>
      <c r="AU15" s="80">
        <f>SUM(Tab_Process_TCs[[#This Row],[Flow_TC O_6_'[%']]],Tab_Process_TCs[[#This Row],[Flow_TC O_5_'[%']]],Tab_Process_TCs[[#This Row],[Flow_TC_O_4_'[%']]],Tab_Process_TCs[[#This Row],[Flow_TC_O_3_'[%']]],,Tab_Process_TCs[[#This Row],[Flow_TC_O_2_'[%']]],Tab_Process_TCs[[#This Row],[Flow_TC_O_1_'[%']]])</f>
        <v>0</v>
      </c>
      <c r="AV15" s="51"/>
      <c r="AW15" s="51"/>
      <c r="AX15" s="51"/>
      <c r="AY15" s="51"/>
      <c r="AZ15" s="51"/>
    </row>
    <row r="16" spans="1:61" x14ac:dyDescent="0.35">
      <c r="A16" s="97" t="b">
        <v>0</v>
      </c>
      <c r="B16" s="49">
        <f t="shared" si="0"/>
        <v>15</v>
      </c>
      <c r="C16" s="49" t="e">
        <f t="shared" si="1"/>
        <v>#N/A</v>
      </c>
      <c r="D16" s="121" t="e">
        <f>_xlfn.XLOOKUP($E16,Tab_Def_Processes[Name(EN)],Tab_Def_Processes[ID],,0,)</f>
        <v>#N/A</v>
      </c>
      <c r="E16" s="51" t="s">
        <v>231</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60" t="e">
        <f>_xlfn.XLOOKUP($E16,Tab_Def_Processes[Name(EN)],Tab_Def_Processes[Input_Flow_I_1],,0,)</f>
        <v>#N/A</v>
      </c>
      <c r="N16" s="49" t="e">
        <f>_xlfn.XLOOKUP($E16,Tab_Def_Processes[Name(EN)],Tab_Def_Processes[Flow_ID_I_1],,0,)</f>
        <v>#N/A</v>
      </c>
      <c r="O16" s="82"/>
      <c r="P16" s="77" t="e">
        <f>_xlfn.XLOOKUP($E16,Tab_Def_Processes[Name(EN)],Tab_Def_Processes[Input_Flow_I_2],,0,)</f>
        <v>#N/A</v>
      </c>
      <c r="Q16" s="49" t="e">
        <f>_xlfn.XLOOKUP($E16,Tab_Def_Processes[Name(EN)],Tab_Def_Processes[Flow_ID_I_2],,0,)</f>
        <v>#N/A</v>
      </c>
      <c r="R16" s="82"/>
      <c r="S16" s="77" t="e">
        <f>_xlfn.XLOOKUP($E16,Tab_Def_Processes[Name(EN)],Tab_Def_Processes[Input_Flow_I_3],,0,)</f>
        <v>#N/A</v>
      </c>
      <c r="T16" s="49" t="e">
        <f>_xlfn.XLOOKUP($E16,Tab_Def_Processes[Name(EN)],Tab_Def_Processes[Flow_ID_I_3],,0,)</f>
        <v>#N/A</v>
      </c>
      <c r="U16" s="82"/>
      <c r="V16" s="77" t="e">
        <f>_xlfn.XLOOKUP($E16,Tab_Def_Processes[Name(EN)],Tab_Def_Processes[Input_Flow_I_4],,0,)</f>
        <v>#N/A</v>
      </c>
      <c r="W16" s="49" t="e">
        <f>_xlfn.XLOOKUP($E16,Tab_Def_Processes[Name(EN)],Tab_Def_Processes[Flow_ID_I_4],,0,)</f>
        <v>#N/A</v>
      </c>
      <c r="X16" s="82"/>
      <c r="Y16" s="77" t="e">
        <f>_xlfn.XLOOKUP($E16,Tab_Def_Processes[Name(EN)],Tab_Def_Processes[Input_Flow_I_5],,0,)</f>
        <v>#N/A</v>
      </c>
      <c r="Z16" s="49" t="e">
        <f>_xlfn.XLOOKUP($E16,Tab_Def_Processes[Name(EN)],Tab_Def_Processes[Flow_ID_I_5],,0,)</f>
        <v>#N/A</v>
      </c>
      <c r="AA16" s="82"/>
      <c r="AB16" s="80">
        <f>Tab_Process_TCs[[#This Row],[Flow_TC_I_1_'[%']]]+Tab_Process_TCs[[#This Row],[Flow_TC_I_2_'[%']]]+Tab_Process_TCs[[#This Row],[Flow_TC_I_3_'[%']]]+Tab_Process_TCs[[#This Row],[Flow_TC_I_4_'[%']]]+Tab_Process_TCs[[#This Row],[Flow_TC_I_5_'[%']]]</f>
        <v>0</v>
      </c>
      <c r="AC16" s="49" t="e">
        <f>_xlfn.XLOOKUP($E16,Tab_Def_Processes[Name(EN)],Tab_Def_Processes[Output_Flow_O_1],,0,)</f>
        <v>#N/A</v>
      </c>
      <c r="AD16" s="49" t="e">
        <f>_xlfn.XLOOKUP($E16,Tab_Def_Processes[Name(EN)],Tab_Def_Processes[Flow_ID_O_1],,0,)</f>
        <v>#N/A</v>
      </c>
      <c r="AE16" s="82"/>
      <c r="AF16" s="49" t="e">
        <f>_xlfn.XLOOKUP($E16,Tab_Def_Processes[Name(EN)],Tab_Def_Processes[Output_Flow_O_2],,0,)</f>
        <v>#N/A</v>
      </c>
      <c r="AG16" s="49" t="e">
        <f>_xlfn.XLOOKUP($E16,Tab_Def_Processes[Name(EN)],Tab_Def_Processes[Flow_ID_O_2],,0,)</f>
        <v>#N/A</v>
      </c>
      <c r="AH16" s="82"/>
      <c r="AI16" s="49" t="e">
        <f>_xlfn.XLOOKUP($E16,Tab_Def_Processes[Name(EN)],Tab_Def_Processes[Output_Flow_O_3],,0,)</f>
        <v>#N/A</v>
      </c>
      <c r="AJ16" s="49" t="e">
        <f>_xlfn.XLOOKUP($E16,Tab_Def_Processes[Name(EN)],Tab_Def_Processes[Flow_ID_O_3],,0,)</f>
        <v>#N/A</v>
      </c>
      <c r="AK16" s="82"/>
      <c r="AL16" s="49" t="e">
        <f>_xlfn.XLOOKUP($E16,Tab_Def_Processes[Name(EN)],Tab_Def_Processes[Output_Flow_O_4],,0,)</f>
        <v>#N/A</v>
      </c>
      <c r="AM16" s="49" t="e">
        <f>_xlfn.XLOOKUP($E16,Tab_Def_Processes[Name(EN)],Tab_Def_Processes[Flow_ID_O_4],,0,)</f>
        <v>#N/A</v>
      </c>
      <c r="AN16" s="82"/>
      <c r="AO16" s="49" t="e">
        <f>_xlfn.XLOOKUP($E16,Tab_Def_Processes[Name(EN)],Tab_Def_Processes[Output_Flow_O_5],,0,)</f>
        <v>#N/A</v>
      </c>
      <c r="AP16" s="49" t="e">
        <f>_xlfn.XLOOKUP($E16,Tab_Def_Processes[Name(EN)],Tab_Def_Processes[Flow_ID_O_5],,0,)</f>
        <v>#N/A</v>
      </c>
      <c r="AQ16" s="82"/>
      <c r="AR16" s="49" t="e">
        <f>_xlfn.XLOOKUP($E16,Tab_Def_Processes[Name(EN)],Tab_Def_Processes[Output_Flow_O_6],,0,)</f>
        <v>#N/A</v>
      </c>
      <c r="AS16" s="49" t="e">
        <f>_xlfn.XLOOKUP($E16,Tab_Def_Processes[Name(EN)],Tab_Def_Processes[Flow_ID_O_6],,0,)</f>
        <v>#N/A</v>
      </c>
      <c r="AT16" s="82"/>
      <c r="AU16" s="80">
        <f>SUM(Tab_Process_TCs[[#This Row],[Flow_TC O_6_'[%']]],Tab_Process_TCs[[#This Row],[Flow_TC O_5_'[%']]],Tab_Process_TCs[[#This Row],[Flow_TC_O_4_'[%']]],Tab_Process_TCs[[#This Row],[Flow_TC_O_3_'[%']]],,Tab_Process_TCs[[#This Row],[Flow_TC_O_2_'[%']]],Tab_Process_TCs[[#This Row],[Flow_TC_O_1_'[%']]])</f>
        <v>0</v>
      </c>
      <c r="AV16" s="51"/>
      <c r="AW16" s="51"/>
      <c r="AX16" s="51"/>
      <c r="AY16" s="51"/>
      <c r="AZ16" s="51"/>
    </row>
    <row r="17" spans="1:52" x14ac:dyDescent="0.35">
      <c r="A17" s="97" t="b">
        <v>0</v>
      </c>
      <c r="B17" s="49">
        <f t="shared" si="0"/>
        <v>16</v>
      </c>
      <c r="C17" s="49" t="e">
        <f t="shared" si="1"/>
        <v>#N/A</v>
      </c>
      <c r="D17" s="121" t="e">
        <f>_xlfn.XLOOKUP($E17,Tab_Def_Processes[Name(EN)],Tab_Def_Processes[ID],,0,)</f>
        <v>#N/A</v>
      </c>
      <c r="E17" s="51" t="s">
        <v>231</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60" t="e">
        <f>_xlfn.XLOOKUP($E17,Tab_Def_Processes[Name(EN)],Tab_Def_Processes[Input_Flow_I_1],,0,)</f>
        <v>#N/A</v>
      </c>
      <c r="N17" s="49" t="e">
        <f>_xlfn.XLOOKUP($E17,Tab_Def_Processes[Name(EN)],Tab_Def_Processes[Flow_ID_I_1],,0,)</f>
        <v>#N/A</v>
      </c>
      <c r="O17" s="82"/>
      <c r="P17" s="77" t="e">
        <f>_xlfn.XLOOKUP($E17,Tab_Def_Processes[Name(EN)],Tab_Def_Processes[Input_Flow_I_2],,0,)</f>
        <v>#N/A</v>
      </c>
      <c r="Q17" s="49" t="e">
        <f>_xlfn.XLOOKUP($E17,Tab_Def_Processes[Name(EN)],Tab_Def_Processes[Flow_ID_I_2],,0,)</f>
        <v>#N/A</v>
      </c>
      <c r="R17" s="82"/>
      <c r="S17" s="77" t="e">
        <f>_xlfn.XLOOKUP($E17,Tab_Def_Processes[Name(EN)],Tab_Def_Processes[Input_Flow_I_3],,0,)</f>
        <v>#N/A</v>
      </c>
      <c r="T17" s="49" t="e">
        <f>_xlfn.XLOOKUP($E17,Tab_Def_Processes[Name(EN)],Tab_Def_Processes[Flow_ID_I_3],,0,)</f>
        <v>#N/A</v>
      </c>
      <c r="U17" s="82"/>
      <c r="V17" s="77" t="e">
        <f>_xlfn.XLOOKUP($E17,Tab_Def_Processes[Name(EN)],Tab_Def_Processes[Input_Flow_I_4],,0,)</f>
        <v>#N/A</v>
      </c>
      <c r="W17" s="49" t="e">
        <f>_xlfn.XLOOKUP($E17,Tab_Def_Processes[Name(EN)],Tab_Def_Processes[Flow_ID_I_4],,0,)</f>
        <v>#N/A</v>
      </c>
      <c r="X17" s="82"/>
      <c r="Y17" s="77" t="e">
        <f>_xlfn.XLOOKUP($E17,Tab_Def_Processes[Name(EN)],Tab_Def_Processes[Input_Flow_I_5],,0,)</f>
        <v>#N/A</v>
      </c>
      <c r="Z17" s="49" t="e">
        <f>_xlfn.XLOOKUP($E17,Tab_Def_Processes[Name(EN)],Tab_Def_Processes[Flow_ID_I_5],,0,)</f>
        <v>#N/A</v>
      </c>
      <c r="AA17" s="82"/>
      <c r="AB17" s="80">
        <f>Tab_Process_TCs[[#This Row],[Flow_TC_I_1_'[%']]]+Tab_Process_TCs[[#This Row],[Flow_TC_I_2_'[%']]]+Tab_Process_TCs[[#This Row],[Flow_TC_I_3_'[%']]]+Tab_Process_TCs[[#This Row],[Flow_TC_I_4_'[%']]]+Tab_Process_TCs[[#This Row],[Flow_TC_I_5_'[%']]]</f>
        <v>0</v>
      </c>
      <c r="AC17" s="49" t="e">
        <f>_xlfn.XLOOKUP($E17,Tab_Def_Processes[Name(EN)],Tab_Def_Processes[Output_Flow_O_1],,0,)</f>
        <v>#N/A</v>
      </c>
      <c r="AD17" s="49" t="e">
        <f>_xlfn.XLOOKUP($E17,Tab_Def_Processes[Name(EN)],Tab_Def_Processes[Flow_ID_O_1],,0,)</f>
        <v>#N/A</v>
      </c>
      <c r="AE17" s="82"/>
      <c r="AF17" s="49" t="e">
        <f>_xlfn.XLOOKUP($E17,Tab_Def_Processes[Name(EN)],Tab_Def_Processes[Output_Flow_O_2],,0,)</f>
        <v>#N/A</v>
      </c>
      <c r="AG17" s="49" t="e">
        <f>_xlfn.XLOOKUP($E17,Tab_Def_Processes[Name(EN)],Tab_Def_Processes[Flow_ID_O_2],,0,)</f>
        <v>#N/A</v>
      </c>
      <c r="AH17" s="82"/>
      <c r="AI17" s="49" t="e">
        <f>_xlfn.XLOOKUP($E17,Tab_Def_Processes[Name(EN)],Tab_Def_Processes[Output_Flow_O_3],,0,)</f>
        <v>#N/A</v>
      </c>
      <c r="AJ17" s="49" t="e">
        <f>_xlfn.XLOOKUP($E17,Tab_Def_Processes[Name(EN)],Tab_Def_Processes[Flow_ID_O_3],,0,)</f>
        <v>#N/A</v>
      </c>
      <c r="AK17" s="82"/>
      <c r="AL17" s="49" t="e">
        <f>_xlfn.XLOOKUP($E17,Tab_Def_Processes[Name(EN)],Tab_Def_Processes[Output_Flow_O_4],,0,)</f>
        <v>#N/A</v>
      </c>
      <c r="AM17" s="49" t="e">
        <f>_xlfn.XLOOKUP($E17,Tab_Def_Processes[Name(EN)],Tab_Def_Processes[Flow_ID_O_4],,0,)</f>
        <v>#N/A</v>
      </c>
      <c r="AN17" s="82"/>
      <c r="AO17" s="49" t="e">
        <f>_xlfn.XLOOKUP($E17,Tab_Def_Processes[Name(EN)],Tab_Def_Processes[Output_Flow_O_5],,0,)</f>
        <v>#N/A</v>
      </c>
      <c r="AP17" s="49" t="e">
        <f>_xlfn.XLOOKUP($E17,Tab_Def_Processes[Name(EN)],Tab_Def_Processes[Flow_ID_O_5],,0,)</f>
        <v>#N/A</v>
      </c>
      <c r="AQ17" s="82"/>
      <c r="AR17" s="49" t="e">
        <f>_xlfn.XLOOKUP($E17,Tab_Def_Processes[Name(EN)],Tab_Def_Processes[Output_Flow_O_6],,0,)</f>
        <v>#N/A</v>
      </c>
      <c r="AS17" s="49" t="e">
        <f>_xlfn.XLOOKUP($E17,Tab_Def_Processes[Name(EN)],Tab_Def_Processes[Flow_ID_O_6],,0,)</f>
        <v>#N/A</v>
      </c>
      <c r="AT17" s="82"/>
      <c r="AU17" s="80">
        <f>SUM(Tab_Process_TCs[[#This Row],[Flow_TC O_6_'[%']]],Tab_Process_TCs[[#This Row],[Flow_TC O_5_'[%']]],Tab_Process_TCs[[#This Row],[Flow_TC_O_4_'[%']]],Tab_Process_TCs[[#This Row],[Flow_TC_O_3_'[%']]],,Tab_Process_TCs[[#This Row],[Flow_TC_O_2_'[%']]],Tab_Process_TCs[[#This Row],[Flow_TC_O_1_'[%']]])</f>
        <v>0</v>
      </c>
      <c r="AV17" s="51"/>
      <c r="AW17" s="51"/>
      <c r="AX17" s="51"/>
      <c r="AY17" s="51"/>
      <c r="AZ17" s="51"/>
    </row>
    <row r="18" spans="1:52" x14ac:dyDescent="0.35">
      <c r="A18" s="97" t="b">
        <v>0</v>
      </c>
      <c r="B18" s="49">
        <f t="shared" si="0"/>
        <v>17</v>
      </c>
      <c r="C18" s="49" t="e">
        <f t="shared" si="1"/>
        <v>#N/A</v>
      </c>
      <c r="D18" s="121" t="e">
        <f>_xlfn.XLOOKUP($E18,Tab_Def_Processes[Name(EN)],Tab_Def_Processes[ID],,0,)</f>
        <v>#N/A</v>
      </c>
      <c r="E18" s="51" t="s">
        <v>231</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60" t="e">
        <f>_xlfn.XLOOKUP($E18,Tab_Def_Processes[Name(EN)],Tab_Def_Processes[Input_Flow_I_1],,0,)</f>
        <v>#N/A</v>
      </c>
      <c r="N18" s="49" t="e">
        <f>_xlfn.XLOOKUP($E18,Tab_Def_Processes[Name(EN)],Tab_Def_Processes[Flow_ID_I_1],,0,)</f>
        <v>#N/A</v>
      </c>
      <c r="O18" s="82"/>
      <c r="P18" s="77" t="e">
        <f>_xlfn.XLOOKUP($E18,Tab_Def_Processes[Name(EN)],Tab_Def_Processes[Input_Flow_I_2],,0,)</f>
        <v>#N/A</v>
      </c>
      <c r="Q18" s="49" t="e">
        <f>_xlfn.XLOOKUP($E18,Tab_Def_Processes[Name(EN)],Tab_Def_Processes[Flow_ID_I_2],,0,)</f>
        <v>#N/A</v>
      </c>
      <c r="R18" s="82"/>
      <c r="S18" s="77" t="e">
        <f>_xlfn.XLOOKUP($E18,Tab_Def_Processes[Name(EN)],Tab_Def_Processes[Input_Flow_I_3],,0,)</f>
        <v>#N/A</v>
      </c>
      <c r="T18" s="49" t="e">
        <f>_xlfn.XLOOKUP($E18,Tab_Def_Processes[Name(EN)],Tab_Def_Processes[Flow_ID_I_3],,0,)</f>
        <v>#N/A</v>
      </c>
      <c r="U18" s="82"/>
      <c r="V18" s="77" t="e">
        <f>_xlfn.XLOOKUP($E18,Tab_Def_Processes[Name(EN)],Tab_Def_Processes[Input_Flow_I_4],,0,)</f>
        <v>#N/A</v>
      </c>
      <c r="W18" s="49" t="e">
        <f>_xlfn.XLOOKUP($E18,Tab_Def_Processes[Name(EN)],Tab_Def_Processes[Flow_ID_I_4],,0,)</f>
        <v>#N/A</v>
      </c>
      <c r="X18" s="82"/>
      <c r="Y18" s="77" t="e">
        <f>_xlfn.XLOOKUP($E18,Tab_Def_Processes[Name(EN)],Tab_Def_Processes[Input_Flow_I_5],,0,)</f>
        <v>#N/A</v>
      </c>
      <c r="Z18" s="49" t="e">
        <f>_xlfn.XLOOKUP($E18,Tab_Def_Processes[Name(EN)],Tab_Def_Processes[Flow_ID_I_5],,0,)</f>
        <v>#N/A</v>
      </c>
      <c r="AA18" s="82"/>
      <c r="AB18" s="80">
        <f>Tab_Process_TCs[[#This Row],[Flow_TC_I_1_'[%']]]+Tab_Process_TCs[[#This Row],[Flow_TC_I_2_'[%']]]+Tab_Process_TCs[[#This Row],[Flow_TC_I_3_'[%']]]+Tab_Process_TCs[[#This Row],[Flow_TC_I_4_'[%']]]+Tab_Process_TCs[[#This Row],[Flow_TC_I_5_'[%']]]</f>
        <v>0</v>
      </c>
      <c r="AC18" s="49" t="e">
        <f>_xlfn.XLOOKUP($E18,Tab_Def_Processes[Name(EN)],Tab_Def_Processes[Output_Flow_O_1],,0,)</f>
        <v>#N/A</v>
      </c>
      <c r="AD18" s="49" t="e">
        <f>_xlfn.XLOOKUP($E18,Tab_Def_Processes[Name(EN)],Tab_Def_Processes[Flow_ID_O_1],,0,)</f>
        <v>#N/A</v>
      </c>
      <c r="AE18" s="82"/>
      <c r="AF18" s="49" t="e">
        <f>_xlfn.XLOOKUP($E18,Tab_Def_Processes[Name(EN)],Tab_Def_Processes[Output_Flow_O_2],,0,)</f>
        <v>#N/A</v>
      </c>
      <c r="AG18" s="49" t="e">
        <f>_xlfn.XLOOKUP($E18,Tab_Def_Processes[Name(EN)],Tab_Def_Processes[Flow_ID_O_2],,0,)</f>
        <v>#N/A</v>
      </c>
      <c r="AH18" s="82"/>
      <c r="AI18" s="49" t="e">
        <f>_xlfn.XLOOKUP($E18,Tab_Def_Processes[Name(EN)],Tab_Def_Processes[Output_Flow_O_3],,0,)</f>
        <v>#N/A</v>
      </c>
      <c r="AJ18" s="49" t="e">
        <f>_xlfn.XLOOKUP($E18,Tab_Def_Processes[Name(EN)],Tab_Def_Processes[Flow_ID_O_3],,0,)</f>
        <v>#N/A</v>
      </c>
      <c r="AK18" s="82"/>
      <c r="AL18" s="49" t="e">
        <f>_xlfn.XLOOKUP($E18,Tab_Def_Processes[Name(EN)],Tab_Def_Processes[Output_Flow_O_4],,0,)</f>
        <v>#N/A</v>
      </c>
      <c r="AM18" s="49" t="e">
        <f>_xlfn.XLOOKUP($E18,Tab_Def_Processes[Name(EN)],Tab_Def_Processes[Flow_ID_O_4],,0,)</f>
        <v>#N/A</v>
      </c>
      <c r="AN18" s="82"/>
      <c r="AO18" s="49" t="e">
        <f>_xlfn.XLOOKUP($E18,Tab_Def_Processes[Name(EN)],Tab_Def_Processes[Output_Flow_O_5],,0,)</f>
        <v>#N/A</v>
      </c>
      <c r="AP18" s="49" t="e">
        <f>_xlfn.XLOOKUP($E18,Tab_Def_Processes[Name(EN)],Tab_Def_Processes[Flow_ID_O_5],,0,)</f>
        <v>#N/A</v>
      </c>
      <c r="AQ18" s="82"/>
      <c r="AR18" s="49" t="e">
        <f>_xlfn.XLOOKUP($E18,Tab_Def_Processes[Name(EN)],Tab_Def_Processes[Output_Flow_O_6],,0,)</f>
        <v>#N/A</v>
      </c>
      <c r="AS18" s="49" t="e">
        <f>_xlfn.XLOOKUP($E18,Tab_Def_Processes[Name(EN)],Tab_Def_Processes[Flow_ID_O_6],,0,)</f>
        <v>#N/A</v>
      </c>
      <c r="AT18" s="82"/>
      <c r="AU18" s="80">
        <f>SUM(Tab_Process_TCs[[#This Row],[Flow_TC O_6_'[%']]],Tab_Process_TCs[[#This Row],[Flow_TC O_5_'[%']]],Tab_Process_TCs[[#This Row],[Flow_TC_O_4_'[%']]],Tab_Process_TCs[[#This Row],[Flow_TC_O_3_'[%']]],,Tab_Process_TCs[[#This Row],[Flow_TC_O_2_'[%']]],Tab_Process_TCs[[#This Row],[Flow_TC_O_1_'[%']]])</f>
        <v>0</v>
      </c>
      <c r="AV18" s="51"/>
      <c r="AW18" s="51"/>
      <c r="AX18" s="51"/>
      <c r="AY18" s="51"/>
      <c r="AZ18" s="51"/>
    </row>
    <row r="19" spans="1:52" x14ac:dyDescent="0.35">
      <c r="A19" s="97" t="b">
        <v>0</v>
      </c>
      <c r="B19" s="49">
        <f t="shared" si="0"/>
        <v>18</v>
      </c>
      <c r="C19" s="49" t="e">
        <f t="shared" si="1"/>
        <v>#N/A</v>
      </c>
      <c r="D19" s="121" t="e">
        <f>_xlfn.XLOOKUP($E19,Tab_Def_Processes[Name(EN)],Tab_Def_Processes[ID],,0,)</f>
        <v>#N/A</v>
      </c>
      <c r="E19" s="51" t="s">
        <v>231</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60" t="e">
        <f>_xlfn.XLOOKUP($E19,Tab_Def_Processes[Name(EN)],Tab_Def_Processes[Input_Flow_I_1],,0,)</f>
        <v>#N/A</v>
      </c>
      <c r="N19" s="49" t="e">
        <f>_xlfn.XLOOKUP($E19,Tab_Def_Processes[Name(EN)],Tab_Def_Processes[Flow_ID_I_1],,0,)</f>
        <v>#N/A</v>
      </c>
      <c r="O19" s="82"/>
      <c r="P19" s="77" t="e">
        <f>_xlfn.XLOOKUP($E19,Tab_Def_Processes[Name(EN)],Tab_Def_Processes[Input_Flow_I_2],,0,)</f>
        <v>#N/A</v>
      </c>
      <c r="Q19" s="49" t="e">
        <f>_xlfn.XLOOKUP($E19,Tab_Def_Processes[Name(EN)],Tab_Def_Processes[Flow_ID_I_2],,0,)</f>
        <v>#N/A</v>
      </c>
      <c r="R19" s="82"/>
      <c r="S19" s="77" t="e">
        <f>_xlfn.XLOOKUP($E19,Tab_Def_Processes[Name(EN)],Tab_Def_Processes[Input_Flow_I_3],,0,)</f>
        <v>#N/A</v>
      </c>
      <c r="T19" s="49" t="e">
        <f>_xlfn.XLOOKUP($E19,Tab_Def_Processes[Name(EN)],Tab_Def_Processes[Flow_ID_I_3],,0,)</f>
        <v>#N/A</v>
      </c>
      <c r="U19" s="82"/>
      <c r="V19" s="77" t="e">
        <f>_xlfn.XLOOKUP($E19,Tab_Def_Processes[Name(EN)],Tab_Def_Processes[Input_Flow_I_4],,0,)</f>
        <v>#N/A</v>
      </c>
      <c r="W19" s="49" t="e">
        <f>_xlfn.XLOOKUP($E19,Tab_Def_Processes[Name(EN)],Tab_Def_Processes[Flow_ID_I_4],,0,)</f>
        <v>#N/A</v>
      </c>
      <c r="X19" s="82"/>
      <c r="Y19" s="77" t="e">
        <f>_xlfn.XLOOKUP($E19,Tab_Def_Processes[Name(EN)],Tab_Def_Processes[Input_Flow_I_5],,0,)</f>
        <v>#N/A</v>
      </c>
      <c r="Z19" s="49" t="e">
        <f>_xlfn.XLOOKUP($E19,Tab_Def_Processes[Name(EN)],Tab_Def_Processes[Flow_ID_I_5],,0,)</f>
        <v>#N/A</v>
      </c>
      <c r="AA19" s="82"/>
      <c r="AB19" s="80">
        <f>Tab_Process_TCs[[#This Row],[Flow_TC_I_1_'[%']]]+Tab_Process_TCs[[#This Row],[Flow_TC_I_2_'[%']]]+Tab_Process_TCs[[#This Row],[Flow_TC_I_3_'[%']]]+Tab_Process_TCs[[#This Row],[Flow_TC_I_4_'[%']]]+Tab_Process_TCs[[#This Row],[Flow_TC_I_5_'[%']]]</f>
        <v>0</v>
      </c>
      <c r="AC19" s="49" t="e">
        <f>_xlfn.XLOOKUP($E19,Tab_Def_Processes[Name(EN)],Tab_Def_Processes[Output_Flow_O_1],,0,)</f>
        <v>#N/A</v>
      </c>
      <c r="AD19" s="49" t="e">
        <f>_xlfn.XLOOKUP($E19,Tab_Def_Processes[Name(EN)],Tab_Def_Processes[Flow_ID_O_1],,0,)</f>
        <v>#N/A</v>
      </c>
      <c r="AE19" s="82"/>
      <c r="AF19" s="49" t="e">
        <f>_xlfn.XLOOKUP($E19,Tab_Def_Processes[Name(EN)],Tab_Def_Processes[Output_Flow_O_2],,0,)</f>
        <v>#N/A</v>
      </c>
      <c r="AG19" s="49" t="e">
        <f>_xlfn.XLOOKUP($E19,Tab_Def_Processes[Name(EN)],Tab_Def_Processes[Flow_ID_O_2],,0,)</f>
        <v>#N/A</v>
      </c>
      <c r="AH19" s="82"/>
      <c r="AI19" s="49" t="e">
        <f>_xlfn.XLOOKUP($E19,Tab_Def_Processes[Name(EN)],Tab_Def_Processes[Output_Flow_O_3],,0,)</f>
        <v>#N/A</v>
      </c>
      <c r="AJ19" s="49" t="e">
        <f>_xlfn.XLOOKUP($E19,Tab_Def_Processes[Name(EN)],Tab_Def_Processes[Flow_ID_O_3],,0,)</f>
        <v>#N/A</v>
      </c>
      <c r="AK19" s="82"/>
      <c r="AL19" s="49" t="e">
        <f>_xlfn.XLOOKUP($E19,Tab_Def_Processes[Name(EN)],Tab_Def_Processes[Output_Flow_O_4],,0,)</f>
        <v>#N/A</v>
      </c>
      <c r="AM19" s="49" t="e">
        <f>_xlfn.XLOOKUP($E19,Tab_Def_Processes[Name(EN)],Tab_Def_Processes[Flow_ID_O_4],,0,)</f>
        <v>#N/A</v>
      </c>
      <c r="AN19" s="82"/>
      <c r="AO19" s="49" t="e">
        <f>_xlfn.XLOOKUP($E19,Tab_Def_Processes[Name(EN)],Tab_Def_Processes[Output_Flow_O_5],,0,)</f>
        <v>#N/A</v>
      </c>
      <c r="AP19" s="49" t="e">
        <f>_xlfn.XLOOKUP($E19,Tab_Def_Processes[Name(EN)],Tab_Def_Processes[Flow_ID_O_5],,0,)</f>
        <v>#N/A</v>
      </c>
      <c r="AQ19" s="82"/>
      <c r="AR19" s="49" t="e">
        <f>_xlfn.XLOOKUP($E19,Tab_Def_Processes[Name(EN)],Tab_Def_Processes[Output_Flow_O_6],,0,)</f>
        <v>#N/A</v>
      </c>
      <c r="AS19" s="49" t="e">
        <f>_xlfn.XLOOKUP($E19,Tab_Def_Processes[Name(EN)],Tab_Def_Processes[Flow_ID_O_6],,0,)</f>
        <v>#N/A</v>
      </c>
      <c r="AT19" s="82"/>
      <c r="AU19" s="80">
        <f>SUM(Tab_Process_TCs[[#This Row],[Flow_TC O_6_'[%']]],Tab_Process_TCs[[#This Row],[Flow_TC O_5_'[%']]],Tab_Process_TCs[[#This Row],[Flow_TC_O_4_'[%']]],Tab_Process_TCs[[#This Row],[Flow_TC_O_3_'[%']]],,Tab_Process_TCs[[#This Row],[Flow_TC_O_2_'[%']]],Tab_Process_TCs[[#This Row],[Flow_TC_O_1_'[%']]])</f>
        <v>0</v>
      </c>
      <c r="AV19" s="51"/>
      <c r="AW19" s="51"/>
      <c r="AX19" s="51"/>
      <c r="AY19" s="51"/>
      <c r="AZ19" s="51"/>
    </row>
    <row r="20" spans="1:52" x14ac:dyDescent="0.35">
      <c r="A20" s="97" t="b">
        <v>0</v>
      </c>
      <c r="B20" s="49">
        <f t="shared" si="0"/>
        <v>19</v>
      </c>
      <c r="C20" s="49" t="e">
        <f t="shared" si="1"/>
        <v>#N/A</v>
      </c>
      <c r="D20" s="121" t="e">
        <f>_xlfn.XLOOKUP($E20,Tab_Def_Processes[Name(EN)],Tab_Def_Processes[ID],,0,)</f>
        <v>#N/A</v>
      </c>
      <c r="E20" s="51" t="s">
        <v>231</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60" t="e">
        <f>_xlfn.XLOOKUP($E20,Tab_Def_Processes[Name(EN)],Tab_Def_Processes[Input_Flow_I_1],,0,)</f>
        <v>#N/A</v>
      </c>
      <c r="N20" s="49" t="e">
        <f>_xlfn.XLOOKUP($E20,Tab_Def_Processes[Name(EN)],Tab_Def_Processes[Flow_ID_I_1],,0,)</f>
        <v>#N/A</v>
      </c>
      <c r="O20" s="82"/>
      <c r="P20" s="77" t="e">
        <f>_xlfn.XLOOKUP($E20,Tab_Def_Processes[Name(EN)],Tab_Def_Processes[Input_Flow_I_2],,0,)</f>
        <v>#N/A</v>
      </c>
      <c r="Q20" s="49" t="e">
        <f>_xlfn.XLOOKUP($E20,Tab_Def_Processes[Name(EN)],Tab_Def_Processes[Flow_ID_I_2],,0,)</f>
        <v>#N/A</v>
      </c>
      <c r="R20" s="82"/>
      <c r="S20" s="77" t="e">
        <f>_xlfn.XLOOKUP($E20,Tab_Def_Processes[Name(EN)],Tab_Def_Processes[Input_Flow_I_3],,0,)</f>
        <v>#N/A</v>
      </c>
      <c r="T20" s="49" t="e">
        <f>_xlfn.XLOOKUP($E20,Tab_Def_Processes[Name(EN)],Tab_Def_Processes[Flow_ID_I_3],,0,)</f>
        <v>#N/A</v>
      </c>
      <c r="U20" s="82"/>
      <c r="V20" s="77" t="e">
        <f>_xlfn.XLOOKUP($E20,Tab_Def_Processes[Name(EN)],Tab_Def_Processes[Input_Flow_I_4],,0,)</f>
        <v>#N/A</v>
      </c>
      <c r="W20" s="49" t="e">
        <f>_xlfn.XLOOKUP($E20,Tab_Def_Processes[Name(EN)],Tab_Def_Processes[Flow_ID_I_4],,0,)</f>
        <v>#N/A</v>
      </c>
      <c r="X20" s="82"/>
      <c r="Y20" s="77" t="e">
        <f>_xlfn.XLOOKUP($E20,Tab_Def_Processes[Name(EN)],Tab_Def_Processes[Input_Flow_I_5],,0,)</f>
        <v>#N/A</v>
      </c>
      <c r="Z20" s="49" t="e">
        <f>_xlfn.XLOOKUP($E20,Tab_Def_Processes[Name(EN)],Tab_Def_Processes[Flow_ID_I_5],,0,)</f>
        <v>#N/A</v>
      </c>
      <c r="AA20" s="82"/>
      <c r="AB20" s="80">
        <f>Tab_Process_TCs[[#This Row],[Flow_TC_I_1_'[%']]]+Tab_Process_TCs[[#This Row],[Flow_TC_I_2_'[%']]]+Tab_Process_TCs[[#This Row],[Flow_TC_I_3_'[%']]]+Tab_Process_TCs[[#This Row],[Flow_TC_I_4_'[%']]]+Tab_Process_TCs[[#This Row],[Flow_TC_I_5_'[%']]]</f>
        <v>0</v>
      </c>
      <c r="AC20" s="49" t="e">
        <f>_xlfn.XLOOKUP($E20,Tab_Def_Processes[Name(EN)],Tab_Def_Processes[Output_Flow_O_1],,0,)</f>
        <v>#N/A</v>
      </c>
      <c r="AD20" s="49" t="e">
        <f>_xlfn.XLOOKUP($E20,Tab_Def_Processes[Name(EN)],Tab_Def_Processes[Flow_ID_O_1],,0,)</f>
        <v>#N/A</v>
      </c>
      <c r="AE20" s="82"/>
      <c r="AF20" s="49" t="e">
        <f>_xlfn.XLOOKUP($E20,Tab_Def_Processes[Name(EN)],Tab_Def_Processes[Output_Flow_O_2],,0,)</f>
        <v>#N/A</v>
      </c>
      <c r="AG20" s="49" t="e">
        <f>_xlfn.XLOOKUP($E20,Tab_Def_Processes[Name(EN)],Tab_Def_Processes[Flow_ID_O_2],,0,)</f>
        <v>#N/A</v>
      </c>
      <c r="AH20" s="82"/>
      <c r="AI20" s="49" t="e">
        <f>_xlfn.XLOOKUP($E20,Tab_Def_Processes[Name(EN)],Tab_Def_Processes[Output_Flow_O_3],,0,)</f>
        <v>#N/A</v>
      </c>
      <c r="AJ20" s="49" t="e">
        <f>_xlfn.XLOOKUP($E20,Tab_Def_Processes[Name(EN)],Tab_Def_Processes[Flow_ID_O_3],,0,)</f>
        <v>#N/A</v>
      </c>
      <c r="AK20" s="82"/>
      <c r="AL20" s="49" t="e">
        <f>_xlfn.XLOOKUP($E20,Tab_Def_Processes[Name(EN)],Tab_Def_Processes[Output_Flow_O_4],,0,)</f>
        <v>#N/A</v>
      </c>
      <c r="AM20" s="49" t="e">
        <f>_xlfn.XLOOKUP($E20,Tab_Def_Processes[Name(EN)],Tab_Def_Processes[Flow_ID_O_4],,0,)</f>
        <v>#N/A</v>
      </c>
      <c r="AN20" s="82"/>
      <c r="AO20" s="49" t="e">
        <f>_xlfn.XLOOKUP($E20,Tab_Def_Processes[Name(EN)],Tab_Def_Processes[Output_Flow_O_5],,0,)</f>
        <v>#N/A</v>
      </c>
      <c r="AP20" s="49" t="e">
        <f>_xlfn.XLOOKUP($E20,Tab_Def_Processes[Name(EN)],Tab_Def_Processes[Flow_ID_O_5],,0,)</f>
        <v>#N/A</v>
      </c>
      <c r="AQ20" s="82"/>
      <c r="AR20" s="49" t="e">
        <f>_xlfn.XLOOKUP($E20,Tab_Def_Processes[Name(EN)],Tab_Def_Processes[Output_Flow_O_6],,0,)</f>
        <v>#N/A</v>
      </c>
      <c r="AS20" s="49" t="e">
        <f>_xlfn.XLOOKUP($E20,Tab_Def_Processes[Name(EN)],Tab_Def_Processes[Flow_ID_O_6],,0,)</f>
        <v>#N/A</v>
      </c>
      <c r="AT20" s="82"/>
      <c r="AU20" s="80">
        <f>SUM(Tab_Process_TCs[[#This Row],[Flow_TC O_6_'[%']]],Tab_Process_TCs[[#This Row],[Flow_TC O_5_'[%']]],Tab_Process_TCs[[#This Row],[Flow_TC_O_4_'[%']]],Tab_Process_TCs[[#This Row],[Flow_TC_O_3_'[%']]],,Tab_Process_TCs[[#This Row],[Flow_TC_O_2_'[%']]],Tab_Process_TCs[[#This Row],[Flow_TC_O_1_'[%']]])</f>
        <v>0</v>
      </c>
      <c r="AV20" s="51"/>
      <c r="AW20" s="51"/>
      <c r="AX20" s="51"/>
      <c r="AY20" s="51"/>
      <c r="AZ20" s="51"/>
    </row>
    <row r="21" spans="1:52" x14ac:dyDescent="0.35">
      <c r="A21" s="97" t="b">
        <v>0</v>
      </c>
      <c r="B21" s="49">
        <f t="shared" si="0"/>
        <v>20</v>
      </c>
      <c r="C21" s="49" t="e">
        <f t="shared" si="1"/>
        <v>#N/A</v>
      </c>
      <c r="D21" s="121" t="e">
        <f>_xlfn.XLOOKUP($E21,Tab_Def_Processes[Name(EN)],Tab_Def_Processes[ID],,0,)</f>
        <v>#N/A</v>
      </c>
      <c r="E21" s="51" t="s">
        <v>231</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60" t="e">
        <f>_xlfn.XLOOKUP($E21,Tab_Def_Processes[Name(EN)],Tab_Def_Processes[Input_Flow_I_1],,0,)</f>
        <v>#N/A</v>
      </c>
      <c r="N21" s="49" t="e">
        <f>_xlfn.XLOOKUP($E21,Tab_Def_Processes[Name(EN)],Tab_Def_Processes[Flow_ID_I_1],,0,)</f>
        <v>#N/A</v>
      </c>
      <c r="O21" s="82"/>
      <c r="P21" s="77" t="e">
        <f>_xlfn.XLOOKUP($E21,Tab_Def_Processes[Name(EN)],Tab_Def_Processes[Input_Flow_I_2],,0,)</f>
        <v>#N/A</v>
      </c>
      <c r="Q21" s="49" t="e">
        <f>_xlfn.XLOOKUP($E21,Tab_Def_Processes[Name(EN)],Tab_Def_Processes[Flow_ID_I_2],,0,)</f>
        <v>#N/A</v>
      </c>
      <c r="R21" s="82"/>
      <c r="S21" s="77" t="e">
        <f>_xlfn.XLOOKUP($E21,Tab_Def_Processes[Name(EN)],Tab_Def_Processes[Input_Flow_I_3],,0,)</f>
        <v>#N/A</v>
      </c>
      <c r="T21" s="49" t="e">
        <f>_xlfn.XLOOKUP($E21,Tab_Def_Processes[Name(EN)],Tab_Def_Processes[Flow_ID_I_3],,0,)</f>
        <v>#N/A</v>
      </c>
      <c r="U21" s="82"/>
      <c r="V21" s="77" t="e">
        <f>_xlfn.XLOOKUP($E21,Tab_Def_Processes[Name(EN)],Tab_Def_Processes[Input_Flow_I_4],,0,)</f>
        <v>#N/A</v>
      </c>
      <c r="W21" s="49" t="e">
        <f>_xlfn.XLOOKUP($E21,Tab_Def_Processes[Name(EN)],Tab_Def_Processes[Flow_ID_I_4],,0,)</f>
        <v>#N/A</v>
      </c>
      <c r="X21" s="82"/>
      <c r="Y21" s="77" t="e">
        <f>_xlfn.XLOOKUP($E21,Tab_Def_Processes[Name(EN)],Tab_Def_Processes[Input_Flow_I_5],,0,)</f>
        <v>#N/A</v>
      </c>
      <c r="Z21" s="49" t="e">
        <f>_xlfn.XLOOKUP($E21,Tab_Def_Processes[Name(EN)],Tab_Def_Processes[Flow_ID_I_5],,0,)</f>
        <v>#N/A</v>
      </c>
      <c r="AA21" s="82"/>
      <c r="AB21" s="80">
        <f>Tab_Process_TCs[[#This Row],[Flow_TC_I_1_'[%']]]+Tab_Process_TCs[[#This Row],[Flow_TC_I_2_'[%']]]+Tab_Process_TCs[[#This Row],[Flow_TC_I_3_'[%']]]+Tab_Process_TCs[[#This Row],[Flow_TC_I_4_'[%']]]+Tab_Process_TCs[[#This Row],[Flow_TC_I_5_'[%']]]</f>
        <v>0</v>
      </c>
      <c r="AC21" s="49" t="e">
        <f>_xlfn.XLOOKUP($E21,Tab_Def_Processes[Name(EN)],Tab_Def_Processes[Output_Flow_O_1],,0,)</f>
        <v>#N/A</v>
      </c>
      <c r="AD21" s="49" t="e">
        <f>_xlfn.XLOOKUP($E21,Tab_Def_Processes[Name(EN)],Tab_Def_Processes[Flow_ID_O_1],,0,)</f>
        <v>#N/A</v>
      </c>
      <c r="AE21" s="82"/>
      <c r="AF21" s="49" t="e">
        <f>_xlfn.XLOOKUP($E21,Tab_Def_Processes[Name(EN)],Tab_Def_Processes[Output_Flow_O_2],,0,)</f>
        <v>#N/A</v>
      </c>
      <c r="AG21" s="49" t="e">
        <f>_xlfn.XLOOKUP($E21,Tab_Def_Processes[Name(EN)],Tab_Def_Processes[Flow_ID_O_2],,0,)</f>
        <v>#N/A</v>
      </c>
      <c r="AH21" s="82"/>
      <c r="AI21" s="49" t="e">
        <f>_xlfn.XLOOKUP($E21,Tab_Def_Processes[Name(EN)],Tab_Def_Processes[Output_Flow_O_3],,0,)</f>
        <v>#N/A</v>
      </c>
      <c r="AJ21" s="49" t="e">
        <f>_xlfn.XLOOKUP($E21,Tab_Def_Processes[Name(EN)],Tab_Def_Processes[Flow_ID_O_3],,0,)</f>
        <v>#N/A</v>
      </c>
      <c r="AK21" s="82"/>
      <c r="AL21" s="49" t="e">
        <f>_xlfn.XLOOKUP($E21,Tab_Def_Processes[Name(EN)],Tab_Def_Processes[Output_Flow_O_4],,0,)</f>
        <v>#N/A</v>
      </c>
      <c r="AM21" s="49" t="e">
        <f>_xlfn.XLOOKUP($E21,Tab_Def_Processes[Name(EN)],Tab_Def_Processes[Flow_ID_O_4],,0,)</f>
        <v>#N/A</v>
      </c>
      <c r="AN21" s="82"/>
      <c r="AO21" s="49" t="e">
        <f>_xlfn.XLOOKUP($E21,Tab_Def_Processes[Name(EN)],Tab_Def_Processes[Output_Flow_O_5],,0,)</f>
        <v>#N/A</v>
      </c>
      <c r="AP21" s="49" t="e">
        <f>_xlfn.XLOOKUP($E21,Tab_Def_Processes[Name(EN)],Tab_Def_Processes[Flow_ID_O_5],,0,)</f>
        <v>#N/A</v>
      </c>
      <c r="AQ21" s="82"/>
      <c r="AR21" s="49" t="e">
        <f>_xlfn.XLOOKUP($E21,Tab_Def_Processes[Name(EN)],Tab_Def_Processes[Output_Flow_O_6],,0,)</f>
        <v>#N/A</v>
      </c>
      <c r="AS21" s="49" t="e">
        <f>_xlfn.XLOOKUP($E21,Tab_Def_Processes[Name(EN)],Tab_Def_Processes[Flow_ID_O_6],,0,)</f>
        <v>#N/A</v>
      </c>
      <c r="AT21" s="82"/>
      <c r="AU21" s="80">
        <f>SUM(Tab_Process_TCs[[#This Row],[Flow_TC O_6_'[%']]],Tab_Process_TCs[[#This Row],[Flow_TC O_5_'[%']]],Tab_Process_TCs[[#This Row],[Flow_TC_O_4_'[%']]],Tab_Process_TCs[[#This Row],[Flow_TC_O_3_'[%']]],,Tab_Process_TCs[[#This Row],[Flow_TC_O_2_'[%']]],Tab_Process_TCs[[#This Row],[Flow_TC_O_1_'[%']]])</f>
        <v>0</v>
      </c>
      <c r="AV21" s="51"/>
      <c r="AW21" s="51"/>
      <c r="AX21" s="51"/>
      <c r="AY21" s="51"/>
      <c r="AZ21" s="51"/>
    </row>
    <row r="22" spans="1:52" x14ac:dyDescent="0.35">
      <c r="A22" s="97" t="b">
        <v>0</v>
      </c>
      <c r="B22" s="49">
        <f t="shared" si="0"/>
        <v>21</v>
      </c>
      <c r="C22" s="49" t="e">
        <f t="shared" si="1"/>
        <v>#N/A</v>
      </c>
      <c r="D22" s="121" t="e">
        <f>_xlfn.XLOOKUP($E22,Tab_Def_Processes[Name(EN)],Tab_Def_Processes[ID],,0,)</f>
        <v>#N/A</v>
      </c>
      <c r="E22" s="51" t="s">
        <v>231</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60" t="e">
        <f>_xlfn.XLOOKUP($E22,Tab_Def_Processes[Name(EN)],Tab_Def_Processes[Input_Flow_I_1],,0,)</f>
        <v>#N/A</v>
      </c>
      <c r="N22" s="49" t="e">
        <f>_xlfn.XLOOKUP($E22,Tab_Def_Processes[Name(EN)],Tab_Def_Processes[Flow_ID_I_1],,0,)</f>
        <v>#N/A</v>
      </c>
      <c r="O22" s="82"/>
      <c r="P22" s="77" t="e">
        <f>_xlfn.XLOOKUP($E22,Tab_Def_Processes[Name(EN)],Tab_Def_Processes[Input_Flow_I_2],,0,)</f>
        <v>#N/A</v>
      </c>
      <c r="Q22" s="49" t="e">
        <f>_xlfn.XLOOKUP($E22,Tab_Def_Processes[Name(EN)],Tab_Def_Processes[Flow_ID_I_2],,0,)</f>
        <v>#N/A</v>
      </c>
      <c r="R22" s="82"/>
      <c r="S22" s="77" t="e">
        <f>_xlfn.XLOOKUP($E22,Tab_Def_Processes[Name(EN)],Tab_Def_Processes[Input_Flow_I_3],,0,)</f>
        <v>#N/A</v>
      </c>
      <c r="T22" s="49" t="e">
        <f>_xlfn.XLOOKUP($E22,Tab_Def_Processes[Name(EN)],Tab_Def_Processes[Flow_ID_I_3],,0,)</f>
        <v>#N/A</v>
      </c>
      <c r="U22" s="82"/>
      <c r="V22" s="77" t="e">
        <f>_xlfn.XLOOKUP($E22,Tab_Def_Processes[Name(EN)],Tab_Def_Processes[Input_Flow_I_4],,0,)</f>
        <v>#N/A</v>
      </c>
      <c r="W22" s="49" t="e">
        <f>_xlfn.XLOOKUP($E22,Tab_Def_Processes[Name(EN)],Tab_Def_Processes[Flow_ID_I_4],,0,)</f>
        <v>#N/A</v>
      </c>
      <c r="X22" s="82"/>
      <c r="Y22" s="77" t="e">
        <f>_xlfn.XLOOKUP($E22,Tab_Def_Processes[Name(EN)],Tab_Def_Processes[Input_Flow_I_5],,0,)</f>
        <v>#N/A</v>
      </c>
      <c r="Z22" s="49" t="e">
        <f>_xlfn.XLOOKUP($E22,Tab_Def_Processes[Name(EN)],Tab_Def_Processes[Flow_ID_I_5],,0,)</f>
        <v>#N/A</v>
      </c>
      <c r="AA22" s="82"/>
      <c r="AB22" s="80">
        <f>Tab_Process_TCs[[#This Row],[Flow_TC_I_1_'[%']]]+Tab_Process_TCs[[#This Row],[Flow_TC_I_2_'[%']]]+Tab_Process_TCs[[#This Row],[Flow_TC_I_3_'[%']]]+Tab_Process_TCs[[#This Row],[Flow_TC_I_4_'[%']]]+Tab_Process_TCs[[#This Row],[Flow_TC_I_5_'[%']]]</f>
        <v>0</v>
      </c>
      <c r="AC22" s="49" t="e">
        <f>_xlfn.XLOOKUP($E22,Tab_Def_Processes[Name(EN)],Tab_Def_Processes[Output_Flow_O_1],,0,)</f>
        <v>#N/A</v>
      </c>
      <c r="AD22" s="49" t="e">
        <f>_xlfn.XLOOKUP($E22,Tab_Def_Processes[Name(EN)],Tab_Def_Processes[Flow_ID_O_1],,0,)</f>
        <v>#N/A</v>
      </c>
      <c r="AE22" s="82"/>
      <c r="AF22" s="49" t="e">
        <f>_xlfn.XLOOKUP($E22,Tab_Def_Processes[Name(EN)],Tab_Def_Processes[Output_Flow_O_2],,0,)</f>
        <v>#N/A</v>
      </c>
      <c r="AG22" s="49" t="e">
        <f>_xlfn.XLOOKUP($E22,Tab_Def_Processes[Name(EN)],Tab_Def_Processes[Flow_ID_O_2],,0,)</f>
        <v>#N/A</v>
      </c>
      <c r="AH22" s="82"/>
      <c r="AI22" s="49" t="e">
        <f>_xlfn.XLOOKUP($E22,Tab_Def_Processes[Name(EN)],Tab_Def_Processes[Output_Flow_O_3],,0,)</f>
        <v>#N/A</v>
      </c>
      <c r="AJ22" s="49" t="e">
        <f>_xlfn.XLOOKUP($E22,Tab_Def_Processes[Name(EN)],Tab_Def_Processes[Flow_ID_O_3],,0,)</f>
        <v>#N/A</v>
      </c>
      <c r="AK22" s="82"/>
      <c r="AL22" s="49" t="e">
        <f>_xlfn.XLOOKUP($E22,Tab_Def_Processes[Name(EN)],Tab_Def_Processes[Output_Flow_O_4],,0,)</f>
        <v>#N/A</v>
      </c>
      <c r="AM22" s="49" t="e">
        <f>_xlfn.XLOOKUP($E22,Tab_Def_Processes[Name(EN)],Tab_Def_Processes[Flow_ID_O_4],,0,)</f>
        <v>#N/A</v>
      </c>
      <c r="AN22" s="82"/>
      <c r="AO22" s="49" t="e">
        <f>_xlfn.XLOOKUP($E22,Tab_Def_Processes[Name(EN)],Tab_Def_Processes[Output_Flow_O_5],,0,)</f>
        <v>#N/A</v>
      </c>
      <c r="AP22" s="49" t="e">
        <f>_xlfn.XLOOKUP($E22,Tab_Def_Processes[Name(EN)],Tab_Def_Processes[Flow_ID_O_5],,0,)</f>
        <v>#N/A</v>
      </c>
      <c r="AQ22" s="82"/>
      <c r="AR22" s="49" t="e">
        <f>_xlfn.XLOOKUP($E22,Tab_Def_Processes[Name(EN)],Tab_Def_Processes[Output_Flow_O_6],,0,)</f>
        <v>#N/A</v>
      </c>
      <c r="AS22" s="49" t="e">
        <f>_xlfn.XLOOKUP($E22,Tab_Def_Processes[Name(EN)],Tab_Def_Processes[Flow_ID_O_6],,0,)</f>
        <v>#N/A</v>
      </c>
      <c r="AT22" s="82"/>
      <c r="AU22" s="80">
        <f>SUM(Tab_Process_TCs[[#This Row],[Flow_TC O_6_'[%']]],Tab_Process_TCs[[#This Row],[Flow_TC O_5_'[%']]],Tab_Process_TCs[[#This Row],[Flow_TC_O_4_'[%']]],Tab_Process_TCs[[#This Row],[Flow_TC_O_3_'[%']]],,Tab_Process_TCs[[#This Row],[Flow_TC_O_2_'[%']]],Tab_Process_TCs[[#This Row],[Flow_TC_O_1_'[%']]])</f>
        <v>0</v>
      </c>
      <c r="AV22" s="51"/>
      <c r="AW22" s="51"/>
      <c r="AX22" s="51"/>
      <c r="AY22" s="51"/>
      <c r="AZ22" s="51"/>
    </row>
    <row r="23" spans="1:52" x14ac:dyDescent="0.35">
      <c r="A23" s="97" t="b">
        <v>0</v>
      </c>
      <c r="B23" s="49">
        <f t="shared" si="0"/>
        <v>22</v>
      </c>
      <c r="C23" s="49" t="e">
        <f t="shared" si="1"/>
        <v>#N/A</v>
      </c>
      <c r="D23" s="121" t="e">
        <f>_xlfn.XLOOKUP($E23,Tab_Def_Processes[Name(EN)],Tab_Def_Processes[ID],,0,)</f>
        <v>#N/A</v>
      </c>
      <c r="E23" s="51" t="s">
        <v>231</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60" t="e">
        <f>_xlfn.XLOOKUP($E23,Tab_Def_Processes[Name(EN)],Tab_Def_Processes[Input_Flow_I_1],,0,)</f>
        <v>#N/A</v>
      </c>
      <c r="N23" s="49" t="e">
        <f>_xlfn.XLOOKUP($E23,Tab_Def_Processes[Name(EN)],Tab_Def_Processes[Flow_ID_I_1],,0,)</f>
        <v>#N/A</v>
      </c>
      <c r="O23" s="82"/>
      <c r="P23" s="77" t="e">
        <f>_xlfn.XLOOKUP($E23,Tab_Def_Processes[Name(EN)],Tab_Def_Processes[Input_Flow_I_2],,0,)</f>
        <v>#N/A</v>
      </c>
      <c r="Q23" s="49" t="e">
        <f>_xlfn.XLOOKUP($E23,Tab_Def_Processes[Name(EN)],Tab_Def_Processes[Flow_ID_I_2],,0,)</f>
        <v>#N/A</v>
      </c>
      <c r="R23" s="82"/>
      <c r="S23" s="77" t="e">
        <f>_xlfn.XLOOKUP($E23,Tab_Def_Processes[Name(EN)],Tab_Def_Processes[Input_Flow_I_3],,0,)</f>
        <v>#N/A</v>
      </c>
      <c r="T23" s="49" t="e">
        <f>_xlfn.XLOOKUP($E23,Tab_Def_Processes[Name(EN)],Tab_Def_Processes[Flow_ID_I_3],,0,)</f>
        <v>#N/A</v>
      </c>
      <c r="U23" s="82"/>
      <c r="V23" s="77" t="e">
        <f>_xlfn.XLOOKUP($E23,Tab_Def_Processes[Name(EN)],Tab_Def_Processes[Input_Flow_I_4],,0,)</f>
        <v>#N/A</v>
      </c>
      <c r="W23" s="49" t="e">
        <f>_xlfn.XLOOKUP($E23,Tab_Def_Processes[Name(EN)],Tab_Def_Processes[Flow_ID_I_4],,0,)</f>
        <v>#N/A</v>
      </c>
      <c r="X23" s="82"/>
      <c r="Y23" s="77" t="e">
        <f>_xlfn.XLOOKUP($E23,Tab_Def_Processes[Name(EN)],Tab_Def_Processes[Input_Flow_I_5],,0,)</f>
        <v>#N/A</v>
      </c>
      <c r="Z23" s="49" t="e">
        <f>_xlfn.XLOOKUP($E23,Tab_Def_Processes[Name(EN)],Tab_Def_Processes[Flow_ID_I_5],,0,)</f>
        <v>#N/A</v>
      </c>
      <c r="AA23" s="82"/>
      <c r="AB23" s="80">
        <f>Tab_Process_TCs[[#This Row],[Flow_TC_I_1_'[%']]]+Tab_Process_TCs[[#This Row],[Flow_TC_I_2_'[%']]]+Tab_Process_TCs[[#This Row],[Flow_TC_I_3_'[%']]]+Tab_Process_TCs[[#This Row],[Flow_TC_I_4_'[%']]]+Tab_Process_TCs[[#This Row],[Flow_TC_I_5_'[%']]]</f>
        <v>0</v>
      </c>
      <c r="AC23" s="49" t="e">
        <f>_xlfn.XLOOKUP($E23,Tab_Def_Processes[Name(EN)],Tab_Def_Processes[Output_Flow_O_1],,0,)</f>
        <v>#N/A</v>
      </c>
      <c r="AD23" s="49" t="e">
        <f>_xlfn.XLOOKUP($E23,Tab_Def_Processes[Name(EN)],Tab_Def_Processes[Flow_ID_O_1],,0,)</f>
        <v>#N/A</v>
      </c>
      <c r="AE23" s="82"/>
      <c r="AF23" s="49" t="e">
        <f>_xlfn.XLOOKUP($E23,Tab_Def_Processes[Name(EN)],Tab_Def_Processes[Output_Flow_O_2],,0,)</f>
        <v>#N/A</v>
      </c>
      <c r="AG23" s="49" t="e">
        <f>_xlfn.XLOOKUP($E23,Tab_Def_Processes[Name(EN)],Tab_Def_Processes[Flow_ID_O_2],,0,)</f>
        <v>#N/A</v>
      </c>
      <c r="AH23" s="82"/>
      <c r="AI23" s="49" t="e">
        <f>_xlfn.XLOOKUP($E23,Tab_Def_Processes[Name(EN)],Tab_Def_Processes[Output_Flow_O_3],,0,)</f>
        <v>#N/A</v>
      </c>
      <c r="AJ23" s="49" t="e">
        <f>_xlfn.XLOOKUP($E23,Tab_Def_Processes[Name(EN)],Tab_Def_Processes[Flow_ID_O_3],,0,)</f>
        <v>#N/A</v>
      </c>
      <c r="AK23" s="82"/>
      <c r="AL23" s="49" t="e">
        <f>_xlfn.XLOOKUP($E23,Tab_Def_Processes[Name(EN)],Tab_Def_Processes[Output_Flow_O_4],,0,)</f>
        <v>#N/A</v>
      </c>
      <c r="AM23" s="49" t="e">
        <f>_xlfn.XLOOKUP($E23,Tab_Def_Processes[Name(EN)],Tab_Def_Processes[Flow_ID_O_4],,0,)</f>
        <v>#N/A</v>
      </c>
      <c r="AN23" s="82"/>
      <c r="AO23" s="49" t="e">
        <f>_xlfn.XLOOKUP($E23,Tab_Def_Processes[Name(EN)],Tab_Def_Processes[Output_Flow_O_5],,0,)</f>
        <v>#N/A</v>
      </c>
      <c r="AP23" s="49" t="e">
        <f>_xlfn.XLOOKUP($E23,Tab_Def_Processes[Name(EN)],Tab_Def_Processes[Flow_ID_O_5],,0,)</f>
        <v>#N/A</v>
      </c>
      <c r="AQ23" s="82"/>
      <c r="AR23" s="49" t="e">
        <f>_xlfn.XLOOKUP($E23,Tab_Def_Processes[Name(EN)],Tab_Def_Processes[Output_Flow_O_6],,0,)</f>
        <v>#N/A</v>
      </c>
      <c r="AS23" s="49" t="e">
        <f>_xlfn.XLOOKUP($E23,Tab_Def_Processes[Name(EN)],Tab_Def_Processes[Flow_ID_O_6],,0,)</f>
        <v>#N/A</v>
      </c>
      <c r="AT23" s="82"/>
      <c r="AU23" s="80">
        <f>SUM(Tab_Process_TCs[[#This Row],[Flow_TC O_6_'[%']]],Tab_Process_TCs[[#This Row],[Flow_TC O_5_'[%']]],Tab_Process_TCs[[#This Row],[Flow_TC_O_4_'[%']]],Tab_Process_TCs[[#This Row],[Flow_TC_O_3_'[%']]],,Tab_Process_TCs[[#This Row],[Flow_TC_O_2_'[%']]],Tab_Process_TCs[[#This Row],[Flow_TC_O_1_'[%']]])</f>
        <v>0</v>
      </c>
      <c r="AV23" s="51"/>
      <c r="AW23" s="51"/>
      <c r="AX23" s="51"/>
      <c r="AY23" s="51"/>
      <c r="AZ23" s="51"/>
    </row>
    <row r="24" spans="1:52" x14ac:dyDescent="0.35">
      <c r="A24" s="97" t="b">
        <v>0</v>
      </c>
      <c r="B24" s="49">
        <f t="shared" si="0"/>
        <v>23</v>
      </c>
      <c r="C24" s="49" t="e">
        <f t="shared" si="1"/>
        <v>#N/A</v>
      </c>
      <c r="D24" s="121" t="e">
        <f>_xlfn.XLOOKUP($E24,Tab_Def_Processes[Name(EN)],Tab_Def_Processes[ID],,0,)</f>
        <v>#N/A</v>
      </c>
      <c r="E24" s="51" t="s">
        <v>231</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60" t="e">
        <f>_xlfn.XLOOKUP($E24,Tab_Def_Processes[Name(EN)],Tab_Def_Processes[Input_Flow_I_1],,0,)</f>
        <v>#N/A</v>
      </c>
      <c r="N24" s="49" t="e">
        <f>_xlfn.XLOOKUP($E24,Tab_Def_Processes[Name(EN)],Tab_Def_Processes[Flow_ID_I_1],,0,)</f>
        <v>#N/A</v>
      </c>
      <c r="O24" s="82"/>
      <c r="P24" s="77" t="e">
        <f>_xlfn.XLOOKUP($E24,Tab_Def_Processes[Name(EN)],Tab_Def_Processes[Input_Flow_I_2],,0,)</f>
        <v>#N/A</v>
      </c>
      <c r="Q24" s="49" t="e">
        <f>_xlfn.XLOOKUP($E24,Tab_Def_Processes[Name(EN)],Tab_Def_Processes[Flow_ID_I_2],,0,)</f>
        <v>#N/A</v>
      </c>
      <c r="R24" s="82"/>
      <c r="S24" s="77" t="e">
        <f>_xlfn.XLOOKUP($E24,Tab_Def_Processes[Name(EN)],Tab_Def_Processes[Input_Flow_I_3],,0,)</f>
        <v>#N/A</v>
      </c>
      <c r="T24" s="49" t="e">
        <f>_xlfn.XLOOKUP($E24,Tab_Def_Processes[Name(EN)],Tab_Def_Processes[Flow_ID_I_3],,0,)</f>
        <v>#N/A</v>
      </c>
      <c r="U24" s="82"/>
      <c r="V24" s="77" t="e">
        <f>_xlfn.XLOOKUP($E24,Tab_Def_Processes[Name(EN)],Tab_Def_Processes[Input_Flow_I_4],,0,)</f>
        <v>#N/A</v>
      </c>
      <c r="W24" s="49" t="e">
        <f>_xlfn.XLOOKUP($E24,Tab_Def_Processes[Name(EN)],Tab_Def_Processes[Flow_ID_I_4],,0,)</f>
        <v>#N/A</v>
      </c>
      <c r="X24" s="82"/>
      <c r="Y24" s="77" t="e">
        <f>_xlfn.XLOOKUP($E24,Tab_Def_Processes[Name(EN)],Tab_Def_Processes[Input_Flow_I_5],,0,)</f>
        <v>#N/A</v>
      </c>
      <c r="Z24" s="49" t="e">
        <f>_xlfn.XLOOKUP($E24,Tab_Def_Processes[Name(EN)],Tab_Def_Processes[Flow_ID_I_5],,0,)</f>
        <v>#N/A</v>
      </c>
      <c r="AA24" s="82"/>
      <c r="AB24" s="80">
        <f>Tab_Process_TCs[[#This Row],[Flow_TC_I_1_'[%']]]+Tab_Process_TCs[[#This Row],[Flow_TC_I_2_'[%']]]+Tab_Process_TCs[[#This Row],[Flow_TC_I_3_'[%']]]+Tab_Process_TCs[[#This Row],[Flow_TC_I_4_'[%']]]+Tab_Process_TCs[[#This Row],[Flow_TC_I_5_'[%']]]</f>
        <v>0</v>
      </c>
      <c r="AC24" s="49" t="e">
        <f>_xlfn.XLOOKUP($E24,Tab_Def_Processes[Name(EN)],Tab_Def_Processes[Output_Flow_O_1],,0,)</f>
        <v>#N/A</v>
      </c>
      <c r="AD24" s="49" t="e">
        <f>_xlfn.XLOOKUP($E24,Tab_Def_Processes[Name(EN)],Tab_Def_Processes[Flow_ID_O_1],,0,)</f>
        <v>#N/A</v>
      </c>
      <c r="AE24" s="82"/>
      <c r="AF24" s="49" t="e">
        <f>_xlfn.XLOOKUP($E24,Tab_Def_Processes[Name(EN)],Tab_Def_Processes[Output_Flow_O_2],,0,)</f>
        <v>#N/A</v>
      </c>
      <c r="AG24" s="49" t="e">
        <f>_xlfn.XLOOKUP($E24,Tab_Def_Processes[Name(EN)],Tab_Def_Processes[Flow_ID_O_2],,0,)</f>
        <v>#N/A</v>
      </c>
      <c r="AH24" s="82"/>
      <c r="AI24" s="49" t="e">
        <f>_xlfn.XLOOKUP($E24,Tab_Def_Processes[Name(EN)],Tab_Def_Processes[Output_Flow_O_3],,0,)</f>
        <v>#N/A</v>
      </c>
      <c r="AJ24" s="49" t="e">
        <f>_xlfn.XLOOKUP($E24,Tab_Def_Processes[Name(EN)],Tab_Def_Processes[Flow_ID_O_3],,0,)</f>
        <v>#N/A</v>
      </c>
      <c r="AK24" s="82"/>
      <c r="AL24" s="49" t="e">
        <f>_xlfn.XLOOKUP($E24,Tab_Def_Processes[Name(EN)],Tab_Def_Processes[Output_Flow_O_4],,0,)</f>
        <v>#N/A</v>
      </c>
      <c r="AM24" s="49" t="e">
        <f>_xlfn.XLOOKUP($E24,Tab_Def_Processes[Name(EN)],Tab_Def_Processes[Flow_ID_O_4],,0,)</f>
        <v>#N/A</v>
      </c>
      <c r="AN24" s="82"/>
      <c r="AO24" s="49" t="e">
        <f>_xlfn.XLOOKUP($E24,Tab_Def_Processes[Name(EN)],Tab_Def_Processes[Output_Flow_O_5],,0,)</f>
        <v>#N/A</v>
      </c>
      <c r="AP24" s="49" t="e">
        <f>_xlfn.XLOOKUP($E24,Tab_Def_Processes[Name(EN)],Tab_Def_Processes[Flow_ID_O_5],,0,)</f>
        <v>#N/A</v>
      </c>
      <c r="AQ24" s="82"/>
      <c r="AR24" s="49" t="e">
        <f>_xlfn.XLOOKUP($E24,Tab_Def_Processes[Name(EN)],Tab_Def_Processes[Output_Flow_O_6],,0,)</f>
        <v>#N/A</v>
      </c>
      <c r="AS24" s="49" t="e">
        <f>_xlfn.XLOOKUP($E24,Tab_Def_Processes[Name(EN)],Tab_Def_Processes[Flow_ID_O_6],,0,)</f>
        <v>#N/A</v>
      </c>
      <c r="AT24" s="82"/>
      <c r="AU24" s="80">
        <f>SUM(Tab_Process_TCs[[#This Row],[Flow_TC O_6_'[%']]],Tab_Process_TCs[[#This Row],[Flow_TC O_5_'[%']]],Tab_Process_TCs[[#This Row],[Flow_TC_O_4_'[%']]],Tab_Process_TCs[[#This Row],[Flow_TC_O_3_'[%']]],,Tab_Process_TCs[[#This Row],[Flow_TC_O_2_'[%']]],Tab_Process_TCs[[#This Row],[Flow_TC_O_1_'[%']]])</f>
        <v>0</v>
      </c>
      <c r="AV24" s="51"/>
      <c r="AW24" s="51"/>
      <c r="AX24" s="51"/>
      <c r="AY24" s="51"/>
      <c r="AZ24" s="51"/>
    </row>
    <row r="25" spans="1:52" x14ac:dyDescent="0.35">
      <c r="A25" s="97" t="b">
        <v>0</v>
      </c>
      <c r="B25" s="49">
        <f t="shared" si="0"/>
        <v>24</v>
      </c>
      <c r="C25" s="49" t="e">
        <f t="shared" si="1"/>
        <v>#N/A</v>
      </c>
      <c r="D25" s="121" t="e">
        <f>_xlfn.XLOOKUP($E25,Tab_Def_Processes[Name(EN)],Tab_Def_Processes[ID],,0,)</f>
        <v>#N/A</v>
      </c>
      <c r="E25" s="51" t="s">
        <v>231</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60" t="e">
        <f>_xlfn.XLOOKUP($E25,Tab_Def_Processes[Name(EN)],Tab_Def_Processes[Input_Flow_I_1],,0,)</f>
        <v>#N/A</v>
      </c>
      <c r="N25" s="49" t="e">
        <f>_xlfn.XLOOKUP($E25,Tab_Def_Processes[Name(EN)],Tab_Def_Processes[Flow_ID_I_1],,0,)</f>
        <v>#N/A</v>
      </c>
      <c r="O25" s="82"/>
      <c r="P25" s="77" t="e">
        <f>_xlfn.XLOOKUP($E25,Tab_Def_Processes[Name(EN)],Tab_Def_Processes[Input_Flow_I_2],,0,)</f>
        <v>#N/A</v>
      </c>
      <c r="Q25" s="49" t="e">
        <f>_xlfn.XLOOKUP($E25,Tab_Def_Processes[Name(EN)],Tab_Def_Processes[Flow_ID_I_2],,0,)</f>
        <v>#N/A</v>
      </c>
      <c r="R25" s="82"/>
      <c r="S25" s="77" t="e">
        <f>_xlfn.XLOOKUP($E25,Tab_Def_Processes[Name(EN)],Tab_Def_Processes[Input_Flow_I_3],,0,)</f>
        <v>#N/A</v>
      </c>
      <c r="T25" s="49" t="e">
        <f>_xlfn.XLOOKUP($E25,Tab_Def_Processes[Name(EN)],Tab_Def_Processes[Flow_ID_I_3],,0,)</f>
        <v>#N/A</v>
      </c>
      <c r="U25" s="82"/>
      <c r="V25" s="77" t="e">
        <f>_xlfn.XLOOKUP($E25,Tab_Def_Processes[Name(EN)],Tab_Def_Processes[Input_Flow_I_4],,0,)</f>
        <v>#N/A</v>
      </c>
      <c r="W25" s="49" t="e">
        <f>_xlfn.XLOOKUP($E25,Tab_Def_Processes[Name(EN)],Tab_Def_Processes[Flow_ID_I_4],,0,)</f>
        <v>#N/A</v>
      </c>
      <c r="X25" s="82"/>
      <c r="Y25" s="77" t="e">
        <f>_xlfn.XLOOKUP($E25,Tab_Def_Processes[Name(EN)],Tab_Def_Processes[Input_Flow_I_5],,0,)</f>
        <v>#N/A</v>
      </c>
      <c r="Z25" s="49" t="e">
        <f>_xlfn.XLOOKUP($E25,Tab_Def_Processes[Name(EN)],Tab_Def_Processes[Flow_ID_I_5],,0,)</f>
        <v>#N/A</v>
      </c>
      <c r="AA25" s="82"/>
      <c r="AB25" s="80">
        <f>Tab_Process_TCs[[#This Row],[Flow_TC_I_1_'[%']]]+Tab_Process_TCs[[#This Row],[Flow_TC_I_2_'[%']]]+Tab_Process_TCs[[#This Row],[Flow_TC_I_3_'[%']]]+Tab_Process_TCs[[#This Row],[Flow_TC_I_4_'[%']]]+Tab_Process_TCs[[#This Row],[Flow_TC_I_5_'[%']]]</f>
        <v>0</v>
      </c>
      <c r="AC25" s="49" t="e">
        <f>_xlfn.XLOOKUP($E25,Tab_Def_Processes[Name(EN)],Tab_Def_Processes[Output_Flow_O_1],,0,)</f>
        <v>#N/A</v>
      </c>
      <c r="AD25" s="49" t="e">
        <f>_xlfn.XLOOKUP($E25,Tab_Def_Processes[Name(EN)],Tab_Def_Processes[Flow_ID_O_1],,0,)</f>
        <v>#N/A</v>
      </c>
      <c r="AE25" s="82"/>
      <c r="AF25" s="49" t="e">
        <f>_xlfn.XLOOKUP($E25,Tab_Def_Processes[Name(EN)],Tab_Def_Processes[Output_Flow_O_2],,0,)</f>
        <v>#N/A</v>
      </c>
      <c r="AG25" s="49" t="e">
        <f>_xlfn.XLOOKUP($E25,Tab_Def_Processes[Name(EN)],Tab_Def_Processes[Flow_ID_O_2],,0,)</f>
        <v>#N/A</v>
      </c>
      <c r="AH25" s="82"/>
      <c r="AI25" s="49" t="e">
        <f>_xlfn.XLOOKUP($E25,Tab_Def_Processes[Name(EN)],Tab_Def_Processes[Output_Flow_O_3],,0,)</f>
        <v>#N/A</v>
      </c>
      <c r="AJ25" s="49" t="e">
        <f>_xlfn.XLOOKUP($E25,Tab_Def_Processes[Name(EN)],Tab_Def_Processes[Flow_ID_O_3],,0,)</f>
        <v>#N/A</v>
      </c>
      <c r="AK25" s="82"/>
      <c r="AL25" s="49" t="e">
        <f>_xlfn.XLOOKUP($E25,Tab_Def_Processes[Name(EN)],Tab_Def_Processes[Output_Flow_O_4],,0,)</f>
        <v>#N/A</v>
      </c>
      <c r="AM25" s="49" t="e">
        <f>_xlfn.XLOOKUP($E25,Tab_Def_Processes[Name(EN)],Tab_Def_Processes[Flow_ID_O_4],,0,)</f>
        <v>#N/A</v>
      </c>
      <c r="AN25" s="82"/>
      <c r="AO25" s="49" t="e">
        <f>_xlfn.XLOOKUP($E25,Tab_Def_Processes[Name(EN)],Tab_Def_Processes[Output_Flow_O_5],,0,)</f>
        <v>#N/A</v>
      </c>
      <c r="AP25" s="49" t="e">
        <f>_xlfn.XLOOKUP($E25,Tab_Def_Processes[Name(EN)],Tab_Def_Processes[Flow_ID_O_5],,0,)</f>
        <v>#N/A</v>
      </c>
      <c r="AQ25" s="82"/>
      <c r="AR25" s="49" t="e">
        <f>_xlfn.XLOOKUP($E25,Tab_Def_Processes[Name(EN)],Tab_Def_Processes[Output_Flow_O_6],,0,)</f>
        <v>#N/A</v>
      </c>
      <c r="AS25" s="49" t="e">
        <f>_xlfn.XLOOKUP($E25,Tab_Def_Processes[Name(EN)],Tab_Def_Processes[Flow_ID_O_6],,0,)</f>
        <v>#N/A</v>
      </c>
      <c r="AT25" s="82"/>
      <c r="AU25" s="80">
        <f>SUM(Tab_Process_TCs[[#This Row],[Flow_TC O_6_'[%']]],Tab_Process_TCs[[#This Row],[Flow_TC O_5_'[%']]],Tab_Process_TCs[[#This Row],[Flow_TC_O_4_'[%']]],Tab_Process_TCs[[#This Row],[Flow_TC_O_3_'[%']]],,Tab_Process_TCs[[#This Row],[Flow_TC_O_2_'[%']]],Tab_Process_TCs[[#This Row],[Flow_TC_O_1_'[%']]])</f>
        <v>0</v>
      </c>
      <c r="AV25" s="51"/>
      <c r="AW25" s="51"/>
      <c r="AX25" s="51"/>
      <c r="AY25" s="51"/>
      <c r="AZ25" s="51"/>
    </row>
    <row r="26" spans="1:52" x14ac:dyDescent="0.35">
      <c r="A26" s="97" t="b">
        <v>0</v>
      </c>
      <c r="B26" s="49">
        <f t="shared" si="0"/>
        <v>25</v>
      </c>
      <c r="C26" s="49" t="e">
        <f t="shared" si="1"/>
        <v>#N/A</v>
      </c>
      <c r="D26" s="121" t="e">
        <f>_xlfn.XLOOKUP($E26,Tab_Def_Processes[Name(EN)],Tab_Def_Processes[ID],,0,)</f>
        <v>#N/A</v>
      </c>
      <c r="E26" s="51" t="s">
        <v>231</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60" t="e">
        <f>_xlfn.XLOOKUP($E26,Tab_Def_Processes[Name(EN)],Tab_Def_Processes[Input_Flow_I_1],,0,)</f>
        <v>#N/A</v>
      </c>
      <c r="N26" s="49" t="e">
        <f>_xlfn.XLOOKUP($E26,Tab_Def_Processes[Name(EN)],Tab_Def_Processes[Flow_ID_I_1],,0,)</f>
        <v>#N/A</v>
      </c>
      <c r="O26" s="82"/>
      <c r="P26" s="77" t="e">
        <f>_xlfn.XLOOKUP($E26,Tab_Def_Processes[Name(EN)],Tab_Def_Processes[Input_Flow_I_2],,0,)</f>
        <v>#N/A</v>
      </c>
      <c r="Q26" s="49" t="e">
        <f>_xlfn.XLOOKUP($E26,Tab_Def_Processes[Name(EN)],Tab_Def_Processes[Flow_ID_I_2],,0,)</f>
        <v>#N/A</v>
      </c>
      <c r="R26" s="82"/>
      <c r="S26" s="77" t="e">
        <f>_xlfn.XLOOKUP($E26,Tab_Def_Processes[Name(EN)],Tab_Def_Processes[Input_Flow_I_3],,0,)</f>
        <v>#N/A</v>
      </c>
      <c r="T26" s="49" t="e">
        <f>_xlfn.XLOOKUP($E26,Tab_Def_Processes[Name(EN)],Tab_Def_Processes[Flow_ID_I_3],,0,)</f>
        <v>#N/A</v>
      </c>
      <c r="U26" s="82"/>
      <c r="V26" s="77" t="e">
        <f>_xlfn.XLOOKUP($E26,Tab_Def_Processes[Name(EN)],Tab_Def_Processes[Input_Flow_I_4],,0,)</f>
        <v>#N/A</v>
      </c>
      <c r="W26" s="49" t="e">
        <f>_xlfn.XLOOKUP($E26,Tab_Def_Processes[Name(EN)],Tab_Def_Processes[Flow_ID_I_4],,0,)</f>
        <v>#N/A</v>
      </c>
      <c r="X26" s="82"/>
      <c r="Y26" s="77" t="e">
        <f>_xlfn.XLOOKUP($E26,Tab_Def_Processes[Name(EN)],Tab_Def_Processes[Input_Flow_I_5],,0,)</f>
        <v>#N/A</v>
      </c>
      <c r="Z26" s="49" t="e">
        <f>_xlfn.XLOOKUP($E26,Tab_Def_Processes[Name(EN)],Tab_Def_Processes[Flow_ID_I_5],,0,)</f>
        <v>#N/A</v>
      </c>
      <c r="AA26" s="82"/>
      <c r="AB26" s="80">
        <f>Tab_Process_TCs[[#This Row],[Flow_TC_I_1_'[%']]]+Tab_Process_TCs[[#This Row],[Flow_TC_I_2_'[%']]]+Tab_Process_TCs[[#This Row],[Flow_TC_I_3_'[%']]]+Tab_Process_TCs[[#This Row],[Flow_TC_I_4_'[%']]]+Tab_Process_TCs[[#This Row],[Flow_TC_I_5_'[%']]]</f>
        <v>0</v>
      </c>
      <c r="AC26" s="49" t="e">
        <f>_xlfn.XLOOKUP($E26,Tab_Def_Processes[Name(EN)],Tab_Def_Processes[Output_Flow_O_1],,0,)</f>
        <v>#N/A</v>
      </c>
      <c r="AD26" s="49" t="e">
        <f>_xlfn.XLOOKUP($E26,Tab_Def_Processes[Name(EN)],Tab_Def_Processes[Flow_ID_O_1],,0,)</f>
        <v>#N/A</v>
      </c>
      <c r="AE26" s="82"/>
      <c r="AF26" s="49" t="e">
        <f>_xlfn.XLOOKUP($E26,Tab_Def_Processes[Name(EN)],Tab_Def_Processes[Output_Flow_O_2],,0,)</f>
        <v>#N/A</v>
      </c>
      <c r="AG26" s="49" t="e">
        <f>_xlfn.XLOOKUP($E26,Tab_Def_Processes[Name(EN)],Tab_Def_Processes[Flow_ID_O_2],,0,)</f>
        <v>#N/A</v>
      </c>
      <c r="AH26" s="82"/>
      <c r="AI26" s="49" t="e">
        <f>_xlfn.XLOOKUP($E26,Tab_Def_Processes[Name(EN)],Tab_Def_Processes[Output_Flow_O_3],,0,)</f>
        <v>#N/A</v>
      </c>
      <c r="AJ26" s="49" t="e">
        <f>_xlfn.XLOOKUP($E26,Tab_Def_Processes[Name(EN)],Tab_Def_Processes[Flow_ID_O_3],,0,)</f>
        <v>#N/A</v>
      </c>
      <c r="AK26" s="82"/>
      <c r="AL26" s="49" t="e">
        <f>_xlfn.XLOOKUP($E26,Tab_Def_Processes[Name(EN)],Tab_Def_Processes[Output_Flow_O_4],,0,)</f>
        <v>#N/A</v>
      </c>
      <c r="AM26" s="49" t="e">
        <f>_xlfn.XLOOKUP($E26,Tab_Def_Processes[Name(EN)],Tab_Def_Processes[Flow_ID_O_4],,0,)</f>
        <v>#N/A</v>
      </c>
      <c r="AN26" s="82"/>
      <c r="AO26" s="49" t="e">
        <f>_xlfn.XLOOKUP($E26,Tab_Def_Processes[Name(EN)],Tab_Def_Processes[Output_Flow_O_5],,0,)</f>
        <v>#N/A</v>
      </c>
      <c r="AP26" s="49" t="e">
        <f>_xlfn.XLOOKUP($E26,Tab_Def_Processes[Name(EN)],Tab_Def_Processes[Flow_ID_O_5],,0,)</f>
        <v>#N/A</v>
      </c>
      <c r="AQ26" s="82"/>
      <c r="AR26" s="49" t="e">
        <f>_xlfn.XLOOKUP($E26,Tab_Def_Processes[Name(EN)],Tab_Def_Processes[Output_Flow_O_6],,0,)</f>
        <v>#N/A</v>
      </c>
      <c r="AS26" s="49" t="e">
        <f>_xlfn.XLOOKUP($E26,Tab_Def_Processes[Name(EN)],Tab_Def_Processes[Flow_ID_O_6],,0,)</f>
        <v>#N/A</v>
      </c>
      <c r="AT26" s="82"/>
      <c r="AU26" s="80">
        <f>SUM(Tab_Process_TCs[[#This Row],[Flow_TC O_6_'[%']]],Tab_Process_TCs[[#This Row],[Flow_TC O_5_'[%']]],Tab_Process_TCs[[#This Row],[Flow_TC_O_4_'[%']]],Tab_Process_TCs[[#This Row],[Flow_TC_O_3_'[%']]],,Tab_Process_TCs[[#This Row],[Flow_TC_O_2_'[%']]],Tab_Process_TCs[[#This Row],[Flow_TC_O_1_'[%']]])</f>
        <v>0</v>
      </c>
      <c r="AV26" s="51"/>
      <c r="AW26" s="51"/>
      <c r="AX26" s="51"/>
      <c r="AY26" s="51"/>
      <c r="AZ26" s="51"/>
    </row>
    <row r="27" spans="1:52" x14ac:dyDescent="0.35">
      <c r="A27" s="97" t="b">
        <v>0</v>
      </c>
      <c r="B27" s="49">
        <f t="shared" si="0"/>
        <v>26</v>
      </c>
      <c r="C27" s="49" t="e">
        <f t="shared" si="1"/>
        <v>#N/A</v>
      </c>
      <c r="D27" s="121" t="e">
        <f>_xlfn.XLOOKUP($E27,Tab_Def_Processes[Name(EN)],Tab_Def_Processes[ID],,0,)</f>
        <v>#N/A</v>
      </c>
      <c r="E27" s="51" t="s">
        <v>231</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60" t="e">
        <f>_xlfn.XLOOKUP($E27,Tab_Def_Processes[Name(EN)],Tab_Def_Processes[Input_Flow_I_1],,0,)</f>
        <v>#N/A</v>
      </c>
      <c r="N27" s="49" t="e">
        <f>_xlfn.XLOOKUP($E27,Tab_Def_Processes[Name(EN)],Tab_Def_Processes[Flow_ID_I_1],,0,)</f>
        <v>#N/A</v>
      </c>
      <c r="O27" s="82"/>
      <c r="P27" s="77" t="e">
        <f>_xlfn.XLOOKUP($E27,Tab_Def_Processes[Name(EN)],Tab_Def_Processes[Input_Flow_I_2],,0,)</f>
        <v>#N/A</v>
      </c>
      <c r="Q27" s="49" t="e">
        <f>_xlfn.XLOOKUP($E27,Tab_Def_Processes[Name(EN)],Tab_Def_Processes[Flow_ID_I_2],,0,)</f>
        <v>#N/A</v>
      </c>
      <c r="R27" s="82"/>
      <c r="S27" s="77" t="e">
        <f>_xlfn.XLOOKUP($E27,Tab_Def_Processes[Name(EN)],Tab_Def_Processes[Input_Flow_I_3],,0,)</f>
        <v>#N/A</v>
      </c>
      <c r="T27" s="49" t="e">
        <f>_xlfn.XLOOKUP($E27,Tab_Def_Processes[Name(EN)],Tab_Def_Processes[Flow_ID_I_3],,0,)</f>
        <v>#N/A</v>
      </c>
      <c r="U27" s="82"/>
      <c r="V27" s="77" t="e">
        <f>_xlfn.XLOOKUP($E27,Tab_Def_Processes[Name(EN)],Tab_Def_Processes[Input_Flow_I_4],,0,)</f>
        <v>#N/A</v>
      </c>
      <c r="W27" s="49" t="e">
        <f>_xlfn.XLOOKUP($E27,Tab_Def_Processes[Name(EN)],Tab_Def_Processes[Flow_ID_I_4],,0,)</f>
        <v>#N/A</v>
      </c>
      <c r="X27" s="82"/>
      <c r="Y27" s="77" t="e">
        <f>_xlfn.XLOOKUP($E27,Tab_Def_Processes[Name(EN)],Tab_Def_Processes[Input_Flow_I_5],,0,)</f>
        <v>#N/A</v>
      </c>
      <c r="Z27" s="49" t="e">
        <f>_xlfn.XLOOKUP($E27,Tab_Def_Processes[Name(EN)],Tab_Def_Processes[Flow_ID_I_5],,0,)</f>
        <v>#N/A</v>
      </c>
      <c r="AA27" s="82"/>
      <c r="AB27" s="80">
        <f>Tab_Process_TCs[[#This Row],[Flow_TC_I_1_'[%']]]+Tab_Process_TCs[[#This Row],[Flow_TC_I_2_'[%']]]+Tab_Process_TCs[[#This Row],[Flow_TC_I_3_'[%']]]+Tab_Process_TCs[[#This Row],[Flow_TC_I_4_'[%']]]+Tab_Process_TCs[[#This Row],[Flow_TC_I_5_'[%']]]</f>
        <v>0</v>
      </c>
      <c r="AC27" s="49" t="e">
        <f>_xlfn.XLOOKUP($E27,Tab_Def_Processes[Name(EN)],Tab_Def_Processes[Output_Flow_O_1],,0,)</f>
        <v>#N/A</v>
      </c>
      <c r="AD27" s="49" t="e">
        <f>_xlfn.XLOOKUP($E27,Tab_Def_Processes[Name(EN)],Tab_Def_Processes[Flow_ID_O_1],,0,)</f>
        <v>#N/A</v>
      </c>
      <c r="AE27" s="82"/>
      <c r="AF27" s="49" t="e">
        <f>_xlfn.XLOOKUP($E27,Tab_Def_Processes[Name(EN)],Tab_Def_Processes[Output_Flow_O_2],,0,)</f>
        <v>#N/A</v>
      </c>
      <c r="AG27" s="49" t="e">
        <f>_xlfn.XLOOKUP($E27,Tab_Def_Processes[Name(EN)],Tab_Def_Processes[Flow_ID_O_2],,0,)</f>
        <v>#N/A</v>
      </c>
      <c r="AH27" s="82"/>
      <c r="AI27" s="49" t="e">
        <f>_xlfn.XLOOKUP($E27,Tab_Def_Processes[Name(EN)],Tab_Def_Processes[Output_Flow_O_3],,0,)</f>
        <v>#N/A</v>
      </c>
      <c r="AJ27" s="49" t="e">
        <f>_xlfn.XLOOKUP($E27,Tab_Def_Processes[Name(EN)],Tab_Def_Processes[Flow_ID_O_3],,0,)</f>
        <v>#N/A</v>
      </c>
      <c r="AK27" s="82"/>
      <c r="AL27" s="49" t="e">
        <f>_xlfn.XLOOKUP($E27,Tab_Def_Processes[Name(EN)],Tab_Def_Processes[Output_Flow_O_4],,0,)</f>
        <v>#N/A</v>
      </c>
      <c r="AM27" s="49" t="e">
        <f>_xlfn.XLOOKUP($E27,Tab_Def_Processes[Name(EN)],Tab_Def_Processes[Flow_ID_O_4],,0,)</f>
        <v>#N/A</v>
      </c>
      <c r="AN27" s="82"/>
      <c r="AO27" s="49" t="e">
        <f>_xlfn.XLOOKUP($E27,Tab_Def_Processes[Name(EN)],Tab_Def_Processes[Output_Flow_O_5],,0,)</f>
        <v>#N/A</v>
      </c>
      <c r="AP27" s="49" t="e">
        <f>_xlfn.XLOOKUP($E27,Tab_Def_Processes[Name(EN)],Tab_Def_Processes[Flow_ID_O_5],,0,)</f>
        <v>#N/A</v>
      </c>
      <c r="AQ27" s="82"/>
      <c r="AR27" s="49" t="e">
        <f>_xlfn.XLOOKUP($E27,Tab_Def_Processes[Name(EN)],Tab_Def_Processes[Output_Flow_O_6],,0,)</f>
        <v>#N/A</v>
      </c>
      <c r="AS27" s="49" t="e">
        <f>_xlfn.XLOOKUP($E27,Tab_Def_Processes[Name(EN)],Tab_Def_Processes[Flow_ID_O_6],,0,)</f>
        <v>#N/A</v>
      </c>
      <c r="AT27" s="82"/>
      <c r="AU27" s="80">
        <f>SUM(Tab_Process_TCs[[#This Row],[Flow_TC O_6_'[%']]],Tab_Process_TCs[[#This Row],[Flow_TC O_5_'[%']]],Tab_Process_TCs[[#This Row],[Flow_TC_O_4_'[%']]],Tab_Process_TCs[[#This Row],[Flow_TC_O_3_'[%']]],,Tab_Process_TCs[[#This Row],[Flow_TC_O_2_'[%']]],Tab_Process_TCs[[#This Row],[Flow_TC_O_1_'[%']]])</f>
        <v>0</v>
      </c>
      <c r="AV27" s="51"/>
      <c r="AW27" s="51"/>
      <c r="AX27" s="51"/>
      <c r="AY27" s="51"/>
      <c r="AZ27" s="51"/>
    </row>
    <row r="28" spans="1:52" x14ac:dyDescent="0.35">
      <c r="A28" s="97" t="b">
        <v>0</v>
      </c>
      <c r="B28" s="49">
        <f t="shared" si="0"/>
        <v>27</v>
      </c>
      <c r="C28" s="49" t="e">
        <f t="shared" si="1"/>
        <v>#N/A</v>
      </c>
      <c r="D28" s="121" t="e">
        <f>_xlfn.XLOOKUP($E28,Tab_Def_Processes[Name(EN)],Tab_Def_Processes[ID],,0,)</f>
        <v>#N/A</v>
      </c>
      <c r="E28" s="51" t="s">
        <v>231</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60" t="e">
        <f>_xlfn.XLOOKUP($E28,Tab_Def_Processes[Name(EN)],Tab_Def_Processes[Input_Flow_I_1],,0,)</f>
        <v>#N/A</v>
      </c>
      <c r="N28" s="49" t="e">
        <f>_xlfn.XLOOKUP($E28,Tab_Def_Processes[Name(EN)],Tab_Def_Processes[Flow_ID_I_1],,0,)</f>
        <v>#N/A</v>
      </c>
      <c r="O28" s="82"/>
      <c r="P28" s="77" t="e">
        <f>_xlfn.XLOOKUP($E28,Tab_Def_Processes[Name(EN)],Tab_Def_Processes[Input_Flow_I_2],,0,)</f>
        <v>#N/A</v>
      </c>
      <c r="Q28" s="49" t="e">
        <f>_xlfn.XLOOKUP($E28,Tab_Def_Processes[Name(EN)],Tab_Def_Processes[Flow_ID_I_2],,0,)</f>
        <v>#N/A</v>
      </c>
      <c r="R28" s="82"/>
      <c r="S28" s="77" t="e">
        <f>_xlfn.XLOOKUP($E28,Tab_Def_Processes[Name(EN)],Tab_Def_Processes[Input_Flow_I_3],,0,)</f>
        <v>#N/A</v>
      </c>
      <c r="T28" s="49" t="e">
        <f>_xlfn.XLOOKUP($E28,Tab_Def_Processes[Name(EN)],Tab_Def_Processes[Flow_ID_I_3],,0,)</f>
        <v>#N/A</v>
      </c>
      <c r="U28" s="82"/>
      <c r="V28" s="77" t="e">
        <f>_xlfn.XLOOKUP($E28,Tab_Def_Processes[Name(EN)],Tab_Def_Processes[Input_Flow_I_4],,0,)</f>
        <v>#N/A</v>
      </c>
      <c r="W28" s="49" t="e">
        <f>_xlfn.XLOOKUP($E28,Tab_Def_Processes[Name(EN)],Tab_Def_Processes[Flow_ID_I_4],,0,)</f>
        <v>#N/A</v>
      </c>
      <c r="X28" s="82"/>
      <c r="Y28" s="77" t="e">
        <f>_xlfn.XLOOKUP($E28,Tab_Def_Processes[Name(EN)],Tab_Def_Processes[Input_Flow_I_5],,0,)</f>
        <v>#N/A</v>
      </c>
      <c r="Z28" s="49" t="e">
        <f>_xlfn.XLOOKUP($E28,Tab_Def_Processes[Name(EN)],Tab_Def_Processes[Flow_ID_I_5],,0,)</f>
        <v>#N/A</v>
      </c>
      <c r="AA28" s="82"/>
      <c r="AB28" s="80">
        <f>Tab_Process_TCs[[#This Row],[Flow_TC_I_1_'[%']]]+Tab_Process_TCs[[#This Row],[Flow_TC_I_2_'[%']]]+Tab_Process_TCs[[#This Row],[Flow_TC_I_3_'[%']]]+Tab_Process_TCs[[#This Row],[Flow_TC_I_4_'[%']]]+Tab_Process_TCs[[#This Row],[Flow_TC_I_5_'[%']]]</f>
        <v>0</v>
      </c>
      <c r="AC28" s="49" t="e">
        <f>_xlfn.XLOOKUP($E28,Tab_Def_Processes[Name(EN)],Tab_Def_Processes[Output_Flow_O_1],,0,)</f>
        <v>#N/A</v>
      </c>
      <c r="AD28" s="49" t="e">
        <f>_xlfn.XLOOKUP($E28,Tab_Def_Processes[Name(EN)],Tab_Def_Processes[Flow_ID_O_1],,0,)</f>
        <v>#N/A</v>
      </c>
      <c r="AE28" s="82"/>
      <c r="AF28" s="49" t="e">
        <f>_xlfn.XLOOKUP($E28,Tab_Def_Processes[Name(EN)],Tab_Def_Processes[Output_Flow_O_2],,0,)</f>
        <v>#N/A</v>
      </c>
      <c r="AG28" s="49" t="e">
        <f>_xlfn.XLOOKUP($E28,Tab_Def_Processes[Name(EN)],Tab_Def_Processes[Flow_ID_O_2],,0,)</f>
        <v>#N/A</v>
      </c>
      <c r="AH28" s="82"/>
      <c r="AI28" s="49" t="e">
        <f>_xlfn.XLOOKUP($E28,Tab_Def_Processes[Name(EN)],Tab_Def_Processes[Output_Flow_O_3],,0,)</f>
        <v>#N/A</v>
      </c>
      <c r="AJ28" s="49" t="e">
        <f>_xlfn.XLOOKUP($E28,Tab_Def_Processes[Name(EN)],Tab_Def_Processes[Flow_ID_O_3],,0,)</f>
        <v>#N/A</v>
      </c>
      <c r="AK28" s="82"/>
      <c r="AL28" s="49" t="e">
        <f>_xlfn.XLOOKUP($E28,Tab_Def_Processes[Name(EN)],Tab_Def_Processes[Output_Flow_O_4],,0,)</f>
        <v>#N/A</v>
      </c>
      <c r="AM28" s="49" t="e">
        <f>_xlfn.XLOOKUP($E28,Tab_Def_Processes[Name(EN)],Tab_Def_Processes[Flow_ID_O_4],,0,)</f>
        <v>#N/A</v>
      </c>
      <c r="AN28" s="82"/>
      <c r="AO28" s="49" t="e">
        <f>_xlfn.XLOOKUP($E28,Tab_Def_Processes[Name(EN)],Tab_Def_Processes[Output_Flow_O_5],,0,)</f>
        <v>#N/A</v>
      </c>
      <c r="AP28" s="49" t="e">
        <f>_xlfn.XLOOKUP($E28,Tab_Def_Processes[Name(EN)],Tab_Def_Processes[Flow_ID_O_5],,0,)</f>
        <v>#N/A</v>
      </c>
      <c r="AQ28" s="82"/>
      <c r="AR28" s="49" t="e">
        <f>_xlfn.XLOOKUP($E28,Tab_Def_Processes[Name(EN)],Tab_Def_Processes[Output_Flow_O_6],,0,)</f>
        <v>#N/A</v>
      </c>
      <c r="AS28" s="49" t="e">
        <f>_xlfn.XLOOKUP($E28,Tab_Def_Processes[Name(EN)],Tab_Def_Processes[Flow_ID_O_6],,0,)</f>
        <v>#N/A</v>
      </c>
      <c r="AT28" s="82"/>
      <c r="AU28" s="80">
        <f>SUM(Tab_Process_TCs[[#This Row],[Flow_TC O_6_'[%']]],Tab_Process_TCs[[#This Row],[Flow_TC O_5_'[%']]],Tab_Process_TCs[[#This Row],[Flow_TC_O_4_'[%']]],Tab_Process_TCs[[#This Row],[Flow_TC_O_3_'[%']]],,Tab_Process_TCs[[#This Row],[Flow_TC_O_2_'[%']]],Tab_Process_TCs[[#This Row],[Flow_TC_O_1_'[%']]])</f>
        <v>0</v>
      </c>
      <c r="AV28" s="51"/>
      <c r="AW28" s="51"/>
      <c r="AX28" s="51"/>
      <c r="AY28" s="51"/>
      <c r="AZ28" s="51"/>
    </row>
    <row r="29" spans="1:52" x14ac:dyDescent="0.35">
      <c r="A29" s="97" t="b">
        <v>0</v>
      </c>
      <c r="B29" s="49">
        <f t="shared" si="0"/>
        <v>28</v>
      </c>
      <c r="C29" s="49" t="e">
        <f t="shared" si="1"/>
        <v>#N/A</v>
      </c>
      <c r="D29" s="121" t="e">
        <f>_xlfn.XLOOKUP($E29,Tab_Def_Processes[Name(EN)],Tab_Def_Processes[ID],,0,)</f>
        <v>#N/A</v>
      </c>
      <c r="E29" s="51" t="s">
        <v>231</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60" t="e">
        <f>_xlfn.XLOOKUP($E29,Tab_Def_Processes[Name(EN)],Tab_Def_Processes[Input_Flow_I_1],,0,)</f>
        <v>#N/A</v>
      </c>
      <c r="N29" s="49" t="e">
        <f>_xlfn.XLOOKUP($E29,Tab_Def_Processes[Name(EN)],Tab_Def_Processes[Flow_ID_I_1],,0,)</f>
        <v>#N/A</v>
      </c>
      <c r="O29" s="82"/>
      <c r="P29" s="77" t="e">
        <f>_xlfn.XLOOKUP($E29,Tab_Def_Processes[Name(EN)],Tab_Def_Processes[Input_Flow_I_2],,0,)</f>
        <v>#N/A</v>
      </c>
      <c r="Q29" s="49" t="e">
        <f>_xlfn.XLOOKUP($E29,Tab_Def_Processes[Name(EN)],Tab_Def_Processes[Flow_ID_I_2],,0,)</f>
        <v>#N/A</v>
      </c>
      <c r="R29" s="82"/>
      <c r="S29" s="77" t="e">
        <f>_xlfn.XLOOKUP($E29,Tab_Def_Processes[Name(EN)],Tab_Def_Processes[Input_Flow_I_3],,0,)</f>
        <v>#N/A</v>
      </c>
      <c r="T29" s="49" t="e">
        <f>_xlfn.XLOOKUP($E29,Tab_Def_Processes[Name(EN)],Tab_Def_Processes[Flow_ID_I_3],,0,)</f>
        <v>#N/A</v>
      </c>
      <c r="U29" s="82"/>
      <c r="V29" s="77" t="e">
        <f>_xlfn.XLOOKUP($E29,Tab_Def_Processes[Name(EN)],Tab_Def_Processes[Input_Flow_I_4],,0,)</f>
        <v>#N/A</v>
      </c>
      <c r="W29" s="49" t="e">
        <f>_xlfn.XLOOKUP($E29,Tab_Def_Processes[Name(EN)],Tab_Def_Processes[Flow_ID_I_4],,0,)</f>
        <v>#N/A</v>
      </c>
      <c r="X29" s="82"/>
      <c r="Y29" s="77" t="e">
        <f>_xlfn.XLOOKUP($E29,Tab_Def_Processes[Name(EN)],Tab_Def_Processes[Input_Flow_I_5],,0,)</f>
        <v>#N/A</v>
      </c>
      <c r="Z29" s="49" t="e">
        <f>_xlfn.XLOOKUP($E29,Tab_Def_Processes[Name(EN)],Tab_Def_Processes[Flow_ID_I_5],,0,)</f>
        <v>#N/A</v>
      </c>
      <c r="AA29" s="82"/>
      <c r="AB29" s="80">
        <f>Tab_Process_TCs[[#This Row],[Flow_TC_I_1_'[%']]]+Tab_Process_TCs[[#This Row],[Flow_TC_I_2_'[%']]]+Tab_Process_TCs[[#This Row],[Flow_TC_I_3_'[%']]]+Tab_Process_TCs[[#This Row],[Flow_TC_I_4_'[%']]]+Tab_Process_TCs[[#This Row],[Flow_TC_I_5_'[%']]]</f>
        <v>0</v>
      </c>
      <c r="AC29" s="49" t="e">
        <f>_xlfn.XLOOKUP($E29,Tab_Def_Processes[Name(EN)],Tab_Def_Processes[Output_Flow_O_1],,0,)</f>
        <v>#N/A</v>
      </c>
      <c r="AD29" s="49" t="e">
        <f>_xlfn.XLOOKUP($E29,Tab_Def_Processes[Name(EN)],Tab_Def_Processes[Flow_ID_O_1],,0,)</f>
        <v>#N/A</v>
      </c>
      <c r="AE29" s="82"/>
      <c r="AF29" s="49" t="e">
        <f>_xlfn.XLOOKUP($E29,Tab_Def_Processes[Name(EN)],Tab_Def_Processes[Output_Flow_O_2],,0,)</f>
        <v>#N/A</v>
      </c>
      <c r="AG29" s="49" t="e">
        <f>_xlfn.XLOOKUP($E29,Tab_Def_Processes[Name(EN)],Tab_Def_Processes[Flow_ID_O_2],,0,)</f>
        <v>#N/A</v>
      </c>
      <c r="AH29" s="82"/>
      <c r="AI29" s="49" t="e">
        <f>_xlfn.XLOOKUP($E29,Tab_Def_Processes[Name(EN)],Tab_Def_Processes[Output_Flow_O_3],,0,)</f>
        <v>#N/A</v>
      </c>
      <c r="AJ29" s="49" t="e">
        <f>_xlfn.XLOOKUP($E29,Tab_Def_Processes[Name(EN)],Tab_Def_Processes[Flow_ID_O_3],,0,)</f>
        <v>#N/A</v>
      </c>
      <c r="AK29" s="82"/>
      <c r="AL29" s="49" t="e">
        <f>_xlfn.XLOOKUP($E29,Tab_Def_Processes[Name(EN)],Tab_Def_Processes[Output_Flow_O_4],,0,)</f>
        <v>#N/A</v>
      </c>
      <c r="AM29" s="49" t="e">
        <f>_xlfn.XLOOKUP($E29,Tab_Def_Processes[Name(EN)],Tab_Def_Processes[Flow_ID_O_4],,0,)</f>
        <v>#N/A</v>
      </c>
      <c r="AN29" s="82"/>
      <c r="AO29" s="49" t="e">
        <f>_xlfn.XLOOKUP($E29,Tab_Def_Processes[Name(EN)],Tab_Def_Processes[Output_Flow_O_5],,0,)</f>
        <v>#N/A</v>
      </c>
      <c r="AP29" s="49" t="e">
        <f>_xlfn.XLOOKUP($E29,Tab_Def_Processes[Name(EN)],Tab_Def_Processes[Flow_ID_O_5],,0,)</f>
        <v>#N/A</v>
      </c>
      <c r="AQ29" s="82"/>
      <c r="AR29" s="49" t="e">
        <f>_xlfn.XLOOKUP($E29,Tab_Def_Processes[Name(EN)],Tab_Def_Processes[Output_Flow_O_6],,0,)</f>
        <v>#N/A</v>
      </c>
      <c r="AS29" s="49" t="e">
        <f>_xlfn.XLOOKUP($E29,Tab_Def_Processes[Name(EN)],Tab_Def_Processes[Flow_ID_O_6],,0,)</f>
        <v>#N/A</v>
      </c>
      <c r="AT29" s="82"/>
      <c r="AU29" s="80">
        <f>SUM(Tab_Process_TCs[[#This Row],[Flow_TC O_6_'[%']]],Tab_Process_TCs[[#This Row],[Flow_TC O_5_'[%']]],Tab_Process_TCs[[#This Row],[Flow_TC_O_4_'[%']]],Tab_Process_TCs[[#This Row],[Flow_TC_O_3_'[%']]],,Tab_Process_TCs[[#This Row],[Flow_TC_O_2_'[%']]],Tab_Process_TCs[[#This Row],[Flow_TC_O_1_'[%']]])</f>
        <v>0</v>
      </c>
      <c r="AV29" s="51"/>
      <c r="AW29" s="51"/>
      <c r="AX29" s="51"/>
      <c r="AY29" s="51"/>
      <c r="AZ29" s="51"/>
    </row>
    <row r="30" spans="1:52" x14ac:dyDescent="0.35">
      <c r="A30" s="97" t="b">
        <v>0</v>
      </c>
      <c r="B30" s="49">
        <f t="shared" si="0"/>
        <v>29</v>
      </c>
      <c r="C30" s="49" t="e">
        <f t="shared" si="1"/>
        <v>#N/A</v>
      </c>
      <c r="D30" s="121" t="e">
        <f>_xlfn.XLOOKUP($E30,Tab_Def_Processes[Name(EN)],Tab_Def_Processes[ID],,0,)</f>
        <v>#N/A</v>
      </c>
      <c r="E30" s="51" t="s">
        <v>231</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60" t="e">
        <f>_xlfn.XLOOKUP($E30,Tab_Def_Processes[Name(EN)],Tab_Def_Processes[Input_Flow_I_1],,0,)</f>
        <v>#N/A</v>
      </c>
      <c r="N30" s="49" t="e">
        <f>_xlfn.XLOOKUP($E30,Tab_Def_Processes[Name(EN)],Tab_Def_Processes[Flow_ID_I_1],,0,)</f>
        <v>#N/A</v>
      </c>
      <c r="O30" s="82"/>
      <c r="P30" s="77" t="e">
        <f>_xlfn.XLOOKUP($E30,Tab_Def_Processes[Name(EN)],Tab_Def_Processes[Input_Flow_I_2],,0,)</f>
        <v>#N/A</v>
      </c>
      <c r="Q30" s="49" t="e">
        <f>_xlfn.XLOOKUP($E30,Tab_Def_Processes[Name(EN)],Tab_Def_Processes[Flow_ID_I_2],,0,)</f>
        <v>#N/A</v>
      </c>
      <c r="R30" s="82"/>
      <c r="S30" s="77" t="e">
        <f>_xlfn.XLOOKUP($E30,Tab_Def_Processes[Name(EN)],Tab_Def_Processes[Input_Flow_I_3],,0,)</f>
        <v>#N/A</v>
      </c>
      <c r="T30" s="49" t="e">
        <f>_xlfn.XLOOKUP($E30,Tab_Def_Processes[Name(EN)],Tab_Def_Processes[Flow_ID_I_3],,0,)</f>
        <v>#N/A</v>
      </c>
      <c r="U30" s="82"/>
      <c r="V30" s="77" t="e">
        <f>_xlfn.XLOOKUP($E30,Tab_Def_Processes[Name(EN)],Tab_Def_Processes[Input_Flow_I_4],,0,)</f>
        <v>#N/A</v>
      </c>
      <c r="W30" s="49" t="e">
        <f>_xlfn.XLOOKUP($E30,Tab_Def_Processes[Name(EN)],Tab_Def_Processes[Flow_ID_I_4],,0,)</f>
        <v>#N/A</v>
      </c>
      <c r="X30" s="82"/>
      <c r="Y30" s="77" t="e">
        <f>_xlfn.XLOOKUP($E30,Tab_Def_Processes[Name(EN)],Tab_Def_Processes[Input_Flow_I_5],,0,)</f>
        <v>#N/A</v>
      </c>
      <c r="Z30" s="49" t="e">
        <f>_xlfn.XLOOKUP($E30,Tab_Def_Processes[Name(EN)],Tab_Def_Processes[Flow_ID_I_5],,0,)</f>
        <v>#N/A</v>
      </c>
      <c r="AA30" s="82"/>
      <c r="AB30" s="80">
        <f>Tab_Process_TCs[[#This Row],[Flow_TC_I_1_'[%']]]+Tab_Process_TCs[[#This Row],[Flow_TC_I_2_'[%']]]+Tab_Process_TCs[[#This Row],[Flow_TC_I_3_'[%']]]+Tab_Process_TCs[[#This Row],[Flow_TC_I_4_'[%']]]+Tab_Process_TCs[[#This Row],[Flow_TC_I_5_'[%']]]</f>
        <v>0</v>
      </c>
      <c r="AC30" s="49" t="e">
        <f>_xlfn.XLOOKUP($E30,Tab_Def_Processes[Name(EN)],Tab_Def_Processes[Output_Flow_O_1],,0,)</f>
        <v>#N/A</v>
      </c>
      <c r="AD30" s="49" t="e">
        <f>_xlfn.XLOOKUP($E30,Tab_Def_Processes[Name(EN)],Tab_Def_Processes[Flow_ID_O_1],,0,)</f>
        <v>#N/A</v>
      </c>
      <c r="AE30" s="82"/>
      <c r="AF30" s="49" t="e">
        <f>_xlfn.XLOOKUP($E30,Tab_Def_Processes[Name(EN)],Tab_Def_Processes[Output_Flow_O_2],,0,)</f>
        <v>#N/A</v>
      </c>
      <c r="AG30" s="49" t="e">
        <f>_xlfn.XLOOKUP($E30,Tab_Def_Processes[Name(EN)],Tab_Def_Processes[Flow_ID_O_2],,0,)</f>
        <v>#N/A</v>
      </c>
      <c r="AH30" s="82"/>
      <c r="AI30" s="49" t="e">
        <f>_xlfn.XLOOKUP($E30,Tab_Def_Processes[Name(EN)],Tab_Def_Processes[Output_Flow_O_3],,0,)</f>
        <v>#N/A</v>
      </c>
      <c r="AJ30" s="49" t="e">
        <f>_xlfn.XLOOKUP($E30,Tab_Def_Processes[Name(EN)],Tab_Def_Processes[Flow_ID_O_3],,0,)</f>
        <v>#N/A</v>
      </c>
      <c r="AK30" s="82"/>
      <c r="AL30" s="49" t="e">
        <f>_xlfn.XLOOKUP($E30,Tab_Def_Processes[Name(EN)],Tab_Def_Processes[Output_Flow_O_4],,0,)</f>
        <v>#N/A</v>
      </c>
      <c r="AM30" s="49" t="e">
        <f>_xlfn.XLOOKUP($E30,Tab_Def_Processes[Name(EN)],Tab_Def_Processes[Flow_ID_O_4],,0,)</f>
        <v>#N/A</v>
      </c>
      <c r="AN30" s="82"/>
      <c r="AO30" s="49" t="e">
        <f>_xlfn.XLOOKUP($E30,Tab_Def_Processes[Name(EN)],Tab_Def_Processes[Output_Flow_O_5],,0,)</f>
        <v>#N/A</v>
      </c>
      <c r="AP30" s="49" t="e">
        <f>_xlfn.XLOOKUP($E30,Tab_Def_Processes[Name(EN)],Tab_Def_Processes[Flow_ID_O_5],,0,)</f>
        <v>#N/A</v>
      </c>
      <c r="AQ30" s="82"/>
      <c r="AR30" s="49" t="e">
        <f>_xlfn.XLOOKUP($E30,Tab_Def_Processes[Name(EN)],Tab_Def_Processes[Output_Flow_O_6],,0,)</f>
        <v>#N/A</v>
      </c>
      <c r="AS30" s="49" t="e">
        <f>_xlfn.XLOOKUP($E30,Tab_Def_Processes[Name(EN)],Tab_Def_Processes[Flow_ID_O_6],,0,)</f>
        <v>#N/A</v>
      </c>
      <c r="AT30" s="82"/>
      <c r="AU30" s="80">
        <f>SUM(Tab_Process_TCs[[#This Row],[Flow_TC O_6_'[%']]],Tab_Process_TCs[[#This Row],[Flow_TC O_5_'[%']]],Tab_Process_TCs[[#This Row],[Flow_TC_O_4_'[%']]],Tab_Process_TCs[[#This Row],[Flow_TC_O_3_'[%']]],,Tab_Process_TCs[[#This Row],[Flow_TC_O_2_'[%']]],Tab_Process_TCs[[#This Row],[Flow_TC_O_1_'[%']]])</f>
        <v>0</v>
      </c>
      <c r="AV30" s="51"/>
      <c r="AW30" s="51"/>
      <c r="AX30" s="51"/>
      <c r="AY30" s="51"/>
      <c r="AZ30" s="51"/>
    </row>
    <row r="31" spans="1:52" x14ac:dyDescent="0.35">
      <c r="A31" s="97" t="b">
        <v>0</v>
      </c>
      <c r="B31" s="49">
        <f t="shared" si="0"/>
        <v>30</v>
      </c>
      <c r="C31" s="49" t="e">
        <f t="shared" si="1"/>
        <v>#N/A</v>
      </c>
      <c r="D31" s="121" t="e">
        <f>_xlfn.XLOOKUP($E31,Tab_Def_Processes[Name(EN)],Tab_Def_Processes[ID],,0,)</f>
        <v>#N/A</v>
      </c>
      <c r="E31" s="51" t="s">
        <v>231</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60" t="e">
        <f>_xlfn.XLOOKUP($E31,Tab_Def_Processes[Name(EN)],Tab_Def_Processes[Input_Flow_I_1],,0,)</f>
        <v>#N/A</v>
      </c>
      <c r="N31" s="49" t="e">
        <f>_xlfn.XLOOKUP($E31,Tab_Def_Processes[Name(EN)],Tab_Def_Processes[Flow_ID_I_1],,0,)</f>
        <v>#N/A</v>
      </c>
      <c r="O31" s="82"/>
      <c r="P31" s="77" t="e">
        <f>_xlfn.XLOOKUP($E31,Tab_Def_Processes[Name(EN)],Tab_Def_Processes[Input_Flow_I_2],,0,)</f>
        <v>#N/A</v>
      </c>
      <c r="Q31" s="49" t="e">
        <f>_xlfn.XLOOKUP($E31,Tab_Def_Processes[Name(EN)],Tab_Def_Processes[Flow_ID_I_2],,0,)</f>
        <v>#N/A</v>
      </c>
      <c r="R31" s="82"/>
      <c r="S31" s="77" t="e">
        <f>_xlfn.XLOOKUP($E31,Tab_Def_Processes[Name(EN)],Tab_Def_Processes[Input_Flow_I_3],,0,)</f>
        <v>#N/A</v>
      </c>
      <c r="T31" s="49" t="e">
        <f>_xlfn.XLOOKUP($E31,Tab_Def_Processes[Name(EN)],Tab_Def_Processes[Flow_ID_I_3],,0,)</f>
        <v>#N/A</v>
      </c>
      <c r="U31" s="82"/>
      <c r="V31" s="77" t="e">
        <f>_xlfn.XLOOKUP($E31,Tab_Def_Processes[Name(EN)],Tab_Def_Processes[Input_Flow_I_4],,0,)</f>
        <v>#N/A</v>
      </c>
      <c r="W31" s="49" t="e">
        <f>_xlfn.XLOOKUP($E31,Tab_Def_Processes[Name(EN)],Tab_Def_Processes[Flow_ID_I_4],,0,)</f>
        <v>#N/A</v>
      </c>
      <c r="X31" s="82"/>
      <c r="Y31" s="77" t="e">
        <f>_xlfn.XLOOKUP($E31,Tab_Def_Processes[Name(EN)],Tab_Def_Processes[Input_Flow_I_5],,0,)</f>
        <v>#N/A</v>
      </c>
      <c r="Z31" s="49" t="e">
        <f>_xlfn.XLOOKUP($E31,Tab_Def_Processes[Name(EN)],Tab_Def_Processes[Flow_ID_I_5],,0,)</f>
        <v>#N/A</v>
      </c>
      <c r="AA31" s="82"/>
      <c r="AB31" s="80">
        <f>Tab_Process_TCs[[#This Row],[Flow_TC_I_1_'[%']]]+Tab_Process_TCs[[#This Row],[Flow_TC_I_2_'[%']]]+Tab_Process_TCs[[#This Row],[Flow_TC_I_3_'[%']]]+Tab_Process_TCs[[#This Row],[Flow_TC_I_4_'[%']]]+Tab_Process_TCs[[#This Row],[Flow_TC_I_5_'[%']]]</f>
        <v>0</v>
      </c>
      <c r="AC31" s="49" t="e">
        <f>_xlfn.XLOOKUP($E31,Tab_Def_Processes[Name(EN)],Tab_Def_Processes[Output_Flow_O_1],,0,)</f>
        <v>#N/A</v>
      </c>
      <c r="AD31" s="49" t="e">
        <f>_xlfn.XLOOKUP($E31,Tab_Def_Processes[Name(EN)],Tab_Def_Processes[Flow_ID_O_1],,0,)</f>
        <v>#N/A</v>
      </c>
      <c r="AE31" s="82"/>
      <c r="AF31" s="49" t="e">
        <f>_xlfn.XLOOKUP($E31,Tab_Def_Processes[Name(EN)],Tab_Def_Processes[Output_Flow_O_2],,0,)</f>
        <v>#N/A</v>
      </c>
      <c r="AG31" s="49" t="e">
        <f>_xlfn.XLOOKUP($E31,Tab_Def_Processes[Name(EN)],Tab_Def_Processes[Flow_ID_O_2],,0,)</f>
        <v>#N/A</v>
      </c>
      <c r="AH31" s="82"/>
      <c r="AI31" s="49" t="e">
        <f>_xlfn.XLOOKUP($E31,Tab_Def_Processes[Name(EN)],Tab_Def_Processes[Output_Flow_O_3],,0,)</f>
        <v>#N/A</v>
      </c>
      <c r="AJ31" s="49" t="e">
        <f>_xlfn.XLOOKUP($E31,Tab_Def_Processes[Name(EN)],Tab_Def_Processes[Flow_ID_O_3],,0,)</f>
        <v>#N/A</v>
      </c>
      <c r="AK31" s="82"/>
      <c r="AL31" s="49" t="e">
        <f>_xlfn.XLOOKUP($E31,Tab_Def_Processes[Name(EN)],Tab_Def_Processes[Output_Flow_O_4],,0,)</f>
        <v>#N/A</v>
      </c>
      <c r="AM31" s="49" t="e">
        <f>_xlfn.XLOOKUP($E31,Tab_Def_Processes[Name(EN)],Tab_Def_Processes[Flow_ID_O_4],,0,)</f>
        <v>#N/A</v>
      </c>
      <c r="AN31" s="82"/>
      <c r="AO31" s="49" t="e">
        <f>_xlfn.XLOOKUP($E31,Tab_Def_Processes[Name(EN)],Tab_Def_Processes[Output_Flow_O_5],,0,)</f>
        <v>#N/A</v>
      </c>
      <c r="AP31" s="49" t="e">
        <f>_xlfn.XLOOKUP($E31,Tab_Def_Processes[Name(EN)],Tab_Def_Processes[Flow_ID_O_5],,0,)</f>
        <v>#N/A</v>
      </c>
      <c r="AQ31" s="82"/>
      <c r="AR31" s="49" t="e">
        <f>_xlfn.XLOOKUP($E31,Tab_Def_Processes[Name(EN)],Tab_Def_Processes[Output_Flow_O_6],,0,)</f>
        <v>#N/A</v>
      </c>
      <c r="AS31" s="49" t="e">
        <f>_xlfn.XLOOKUP($E31,Tab_Def_Processes[Name(EN)],Tab_Def_Processes[Flow_ID_O_6],,0,)</f>
        <v>#N/A</v>
      </c>
      <c r="AT31" s="82"/>
      <c r="AU31" s="80">
        <f>SUM(Tab_Process_TCs[[#This Row],[Flow_TC O_6_'[%']]],Tab_Process_TCs[[#This Row],[Flow_TC O_5_'[%']]],Tab_Process_TCs[[#This Row],[Flow_TC_O_4_'[%']]],Tab_Process_TCs[[#This Row],[Flow_TC_O_3_'[%']]],,Tab_Process_TCs[[#This Row],[Flow_TC_O_2_'[%']]],Tab_Process_TCs[[#This Row],[Flow_TC_O_1_'[%']]])</f>
        <v>0</v>
      </c>
      <c r="AV31" s="51"/>
      <c r="AW31" s="51"/>
      <c r="AX31" s="51"/>
      <c r="AY31" s="51"/>
      <c r="AZ31" s="51"/>
    </row>
    <row r="32" spans="1:52" x14ac:dyDescent="0.35">
      <c r="A32" s="97" t="b">
        <v>0</v>
      </c>
      <c r="B32" s="49">
        <f t="shared" si="0"/>
        <v>31</v>
      </c>
      <c r="C32" s="49" t="e">
        <f t="shared" si="1"/>
        <v>#N/A</v>
      </c>
      <c r="D32" s="121" t="e">
        <f>_xlfn.XLOOKUP($E32,Tab_Def_Processes[Name(EN)],Tab_Def_Processes[ID],,0,)</f>
        <v>#N/A</v>
      </c>
      <c r="E32" s="51" t="s">
        <v>231</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60" t="e">
        <f>_xlfn.XLOOKUP($E32,Tab_Def_Processes[Name(EN)],Tab_Def_Processes[Input_Flow_I_1],,0,)</f>
        <v>#N/A</v>
      </c>
      <c r="N32" s="49" t="e">
        <f>_xlfn.XLOOKUP($E32,Tab_Def_Processes[Name(EN)],Tab_Def_Processes[Flow_ID_I_1],,0,)</f>
        <v>#N/A</v>
      </c>
      <c r="O32" s="82"/>
      <c r="P32" s="77" t="e">
        <f>_xlfn.XLOOKUP($E32,Tab_Def_Processes[Name(EN)],Tab_Def_Processes[Input_Flow_I_2],,0,)</f>
        <v>#N/A</v>
      </c>
      <c r="Q32" s="49" t="e">
        <f>_xlfn.XLOOKUP($E32,Tab_Def_Processes[Name(EN)],Tab_Def_Processes[Flow_ID_I_2],,0,)</f>
        <v>#N/A</v>
      </c>
      <c r="R32" s="82"/>
      <c r="S32" s="77" t="e">
        <f>_xlfn.XLOOKUP($E32,Tab_Def_Processes[Name(EN)],Tab_Def_Processes[Input_Flow_I_3],,0,)</f>
        <v>#N/A</v>
      </c>
      <c r="T32" s="49" t="e">
        <f>_xlfn.XLOOKUP($E32,Tab_Def_Processes[Name(EN)],Tab_Def_Processes[Flow_ID_I_3],,0,)</f>
        <v>#N/A</v>
      </c>
      <c r="U32" s="82"/>
      <c r="V32" s="77" t="e">
        <f>_xlfn.XLOOKUP($E32,Tab_Def_Processes[Name(EN)],Tab_Def_Processes[Input_Flow_I_4],,0,)</f>
        <v>#N/A</v>
      </c>
      <c r="W32" s="49" t="e">
        <f>_xlfn.XLOOKUP($E32,Tab_Def_Processes[Name(EN)],Tab_Def_Processes[Flow_ID_I_4],,0,)</f>
        <v>#N/A</v>
      </c>
      <c r="X32" s="82"/>
      <c r="Y32" s="77" t="e">
        <f>_xlfn.XLOOKUP($E32,Tab_Def_Processes[Name(EN)],Tab_Def_Processes[Input_Flow_I_5],,0,)</f>
        <v>#N/A</v>
      </c>
      <c r="Z32" s="49" t="e">
        <f>_xlfn.XLOOKUP($E32,Tab_Def_Processes[Name(EN)],Tab_Def_Processes[Flow_ID_I_5],,0,)</f>
        <v>#N/A</v>
      </c>
      <c r="AA32" s="82"/>
      <c r="AB32" s="80">
        <f>Tab_Process_TCs[[#This Row],[Flow_TC_I_1_'[%']]]+Tab_Process_TCs[[#This Row],[Flow_TC_I_2_'[%']]]+Tab_Process_TCs[[#This Row],[Flow_TC_I_3_'[%']]]+Tab_Process_TCs[[#This Row],[Flow_TC_I_4_'[%']]]+Tab_Process_TCs[[#This Row],[Flow_TC_I_5_'[%']]]</f>
        <v>0</v>
      </c>
      <c r="AC32" s="49" t="e">
        <f>_xlfn.XLOOKUP($E32,Tab_Def_Processes[Name(EN)],Tab_Def_Processes[Output_Flow_O_1],,0,)</f>
        <v>#N/A</v>
      </c>
      <c r="AD32" s="49" t="e">
        <f>_xlfn.XLOOKUP($E32,Tab_Def_Processes[Name(EN)],Tab_Def_Processes[Flow_ID_O_1],,0,)</f>
        <v>#N/A</v>
      </c>
      <c r="AE32" s="82"/>
      <c r="AF32" s="49" t="e">
        <f>_xlfn.XLOOKUP($E32,Tab_Def_Processes[Name(EN)],Tab_Def_Processes[Output_Flow_O_2],,0,)</f>
        <v>#N/A</v>
      </c>
      <c r="AG32" s="49" t="e">
        <f>_xlfn.XLOOKUP($E32,Tab_Def_Processes[Name(EN)],Tab_Def_Processes[Flow_ID_O_2],,0,)</f>
        <v>#N/A</v>
      </c>
      <c r="AH32" s="82"/>
      <c r="AI32" s="49" t="e">
        <f>_xlfn.XLOOKUP($E32,Tab_Def_Processes[Name(EN)],Tab_Def_Processes[Output_Flow_O_3],,0,)</f>
        <v>#N/A</v>
      </c>
      <c r="AJ32" s="49" t="e">
        <f>_xlfn.XLOOKUP($E32,Tab_Def_Processes[Name(EN)],Tab_Def_Processes[Flow_ID_O_3],,0,)</f>
        <v>#N/A</v>
      </c>
      <c r="AK32" s="82"/>
      <c r="AL32" s="49" t="e">
        <f>_xlfn.XLOOKUP($E32,Tab_Def_Processes[Name(EN)],Tab_Def_Processes[Output_Flow_O_4],,0,)</f>
        <v>#N/A</v>
      </c>
      <c r="AM32" s="49" t="e">
        <f>_xlfn.XLOOKUP($E32,Tab_Def_Processes[Name(EN)],Tab_Def_Processes[Flow_ID_O_4],,0,)</f>
        <v>#N/A</v>
      </c>
      <c r="AN32" s="82"/>
      <c r="AO32" s="49" t="e">
        <f>_xlfn.XLOOKUP($E32,Tab_Def_Processes[Name(EN)],Tab_Def_Processes[Output_Flow_O_5],,0,)</f>
        <v>#N/A</v>
      </c>
      <c r="AP32" s="49" t="e">
        <f>_xlfn.XLOOKUP($E32,Tab_Def_Processes[Name(EN)],Tab_Def_Processes[Flow_ID_O_5],,0,)</f>
        <v>#N/A</v>
      </c>
      <c r="AQ32" s="82"/>
      <c r="AR32" s="49" t="e">
        <f>_xlfn.XLOOKUP($E32,Tab_Def_Processes[Name(EN)],Tab_Def_Processes[Output_Flow_O_6],,0,)</f>
        <v>#N/A</v>
      </c>
      <c r="AS32" s="49" t="e">
        <f>_xlfn.XLOOKUP($E32,Tab_Def_Processes[Name(EN)],Tab_Def_Processes[Flow_ID_O_6],,0,)</f>
        <v>#N/A</v>
      </c>
      <c r="AT32" s="82"/>
      <c r="AU32" s="80">
        <f>SUM(Tab_Process_TCs[[#This Row],[Flow_TC O_6_'[%']]],Tab_Process_TCs[[#This Row],[Flow_TC O_5_'[%']]],Tab_Process_TCs[[#This Row],[Flow_TC_O_4_'[%']]],Tab_Process_TCs[[#This Row],[Flow_TC_O_3_'[%']]],,Tab_Process_TCs[[#This Row],[Flow_TC_O_2_'[%']]],Tab_Process_TCs[[#This Row],[Flow_TC_O_1_'[%']]])</f>
        <v>0</v>
      </c>
      <c r="AV32" s="51"/>
      <c r="AW32" s="51"/>
      <c r="AX32" s="51"/>
      <c r="AY32" s="51"/>
      <c r="AZ32" s="51"/>
    </row>
    <row r="33" spans="1:52" x14ac:dyDescent="0.35">
      <c r="A33" s="97" t="b">
        <v>0</v>
      </c>
      <c r="B33" s="49">
        <f t="shared" si="0"/>
        <v>32</v>
      </c>
      <c r="C33" s="49" t="e">
        <f t="shared" si="1"/>
        <v>#N/A</v>
      </c>
      <c r="D33" s="121" t="e">
        <f>_xlfn.XLOOKUP($E33,Tab_Def_Processes[Name(EN)],Tab_Def_Processes[ID],,0,)</f>
        <v>#N/A</v>
      </c>
      <c r="E33" s="51" t="s">
        <v>231</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60" t="e">
        <f>_xlfn.XLOOKUP($E33,Tab_Def_Processes[Name(EN)],Tab_Def_Processes[Input_Flow_I_1],,0,)</f>
        <v>#N/A</v>
      </c>
      <c r="N33" s="49" t="e">
        <f>_xlfn.XLOOKUP($E33,Tab_Def_Processes[Name(EN)],Tab_Def_Processes[Flow_ID_I_1],,0,)</f>
        <v>#N/A</v>
      </c>
      <c r="O33" s="82"/>
      <c r="P33" s="77" t="e">
        <f>_xlfn.XLOOKUP($E33,Tab_Def_Processes[Name(EN)],Tab_Def_Processes[Input_Flow_I_2],,0,)</f>
        <v>#N/A</v>
      </c>
      <c r="Q33" s="49" t="e">
        <f>_xlfn.XLOOKUP($E33,Tab_Def_Processes[Name(EN)],Tab_Def_Processes[Flow_ID_I_2],,0,)</f>
        <v>#N/A</v>
      </c>
      <c r="R33" s="82"/>
      <c r="S33" s="77" t="e">
        <f>_xlfn.XLOOKUP($E33,Tab_Def_Processes[Name(EN)],Tab_Def_Processes[Input_Flow_I_3],,0,)</f>
        <v>#N/A</v>
      </c>
      <c r="T33" s="49" t="e">
        <f>_xlfn.XLOOKUP($E33,Tab_Def_Processes[Name(EN)],Tab_Def_Processes[Flow_ID_I_3],,0,)</f>
        <v>#N/A</v>
      </c>
      <c r="U33" s="82"/>
      <c r="V33" s="77" t="e">
        <f>_xlfn.XLOOKUP($E33,Tab_Def_Processes[Name(EN)],Tab_Def_Processes[Input_Flow_I_4],,0,)</f>
        <v>#N/A</v>
      </c>
      <c r="W33" s="49" t="e">
        <f>_xlfn.XLOOKUP($E33,Tab_Def_Processes[Name(EN)],Tab_Def_Processes[Flow_ID_I_4],,0,)</f>
        <v>#N/A</v>
      </c>
      <c r="X33" s="82"/>
      <c r="Y33" s="77" t="e">
        <f>_xlfn.XLOOKUP($E33,Tab_Def_Processes[Name(EN)],Tab_Def_Processes[Input_Flow_I_5],,0,)</f>
        <v>#N/A</v>
      </c>
      <c r="Z33" s="49" t="e">
        <f>_xlfn.XLOOKUP($E33,Tab_Def_Processes[Name(EN)],Tab_Def_Processes[Flow_ID_I_5],,0,)</f>
        <v>#N/A</v>
      </c>
      <c r="AA33" s="82"/>
      <c r="AB33" s="80">
        <f>Tab_Process_TCs[[#This Row],[Flow_TC_I_1_'[%']]]+Tab_Process_TCs[[#This Row],[Flow_TC_I_2_'[%']]]+Tab_Process_TCs[[#This Row],[Flow_TC_I_3_'[%']]]+Tab_Process_TCs[[#This Row],[Flow_TC_I_4_'[%']]]+Tab_Process_TCs[[#This Row],[Flow_TC_I_5_'[%']]]</f>
        <v>0</v>
      </c>
      <c r="AC33" s="49" t="e">
        <f>_xlfn.XLOOKUP($E33,Tab_Def_Processes[Name(EN)],Tab_Def_Processes[Output_Flow_O_1],,0,)</f>
        <v>#N/A</v>
      </c>
      <c r="AD33" s="49" t="e">
        <f>_xlfn.XLOOKUP($E33,Tab_Def_Processes[Name(EN)],Tab_Def_Processes[Flow_ID_O_1],,0,)</f>
        <v>#N/A</v>
      </c>
      <c r="AE33" s="82"/>
      <c r="AF33" s="49" t="e">
        <f>_xlfn.XLOOKUP($E33,Tab_Def_Processes[Name(EN)],Tab_Def_Processes[Output_Flow_O_2],,0,)</f>
        <v>#N/A</v>
      </c>
      <c r="AG33" s="49" t="e">
        <f>_xlfn.XLOOKUP($E33,Tab_Def_Processes[Name(EN)],Tab_Def_Processes[Flow_ID_O_2],,0,)</f>
        <v>#N/A</v>
      </c>
      <c r="AH33" s="82"/>
      <c r="AI33" s="49" t="e">
        <f>_xlfn.XLOOKUP($E33,Tab_Def_Processes[Name(EN)],Tab_Def_Processes[Output_Flow_O_3],,0,)</f>
        <v>#N/A</v>
      </c>
      <c r="AJ33" s="49" t="e">
        <f>_xlfn.XLOOKUP($E33,Tab_Def_Processes[Name(EN)],Tab_Def_Processes[Flow_ID_O_3],,0,)</f>
        <v>#N/A</v>
      </c>
      <c r="AK33" s="82"/>
      <c r="AL33" s="49" t="e">
        <f>_xlfn.XLOOKUP($E33,Tab_Def_Processes[Name(EN)],Tab_Def_Processes[Output_Flow_O_4],,0,)</f>
        <v>#N/A</v>
      </c>
      <c r="AM33" s="49" t="e">
        <f>_xlfn.XLOOKUP($E33,Tab_Def_Processes[Name(EN)],Tab_Def_Processes[Flow_ID_O_4],,0,)</f>
        <v>#N/A</v>
      </c>
      <c r="AN33" s="82"/>
      <c r="AO33" s="49" t="e">
        <f>_xlfn.XLOOKUP($E33,Tab_Def_Processes[Name(EN)],Tab_Def_Processes[Output_Flow_O_5],,0,)</f>
        <v>#N/A</v>
      </c>
      <c r="AP33" s="49" t="e">
        <f>_xlfn.XLOOKUP($E33,Tab_Def_Processes[Name(EN)],Tab_Def_Processes[Flow_ID_O_5],,0,)</f>
        <v>#N/A</v>
      </c>
      <c r="AQ33" s="82"/>
      <c r="AR33" s="49" t="e">
        <f>_xlfn.XLOOKUP($E33,Tab_Def_Processes[Name(EN)],Tab_Def_Processes[Output_Flow_O_6],,0,)</f>
        <v>#N/A</v>
      </c>
      <c r="AS33" s="49" t="e">
        <f>_xlfn.XLOOKUP($E33,Tab_Def_Processes[Name(EN)],Tab_Def_Processes[Flow_ID_O_6],,0,)</f>
        <v>#N/A</v>
      </c>
      <c r="AT33" s="82"/>
      <c r="AU33" s="80">
        <f>SUM(Tab_Process_TCs[[#This Row],[Flow_TC O_6_'[%']]],Tab_Process_TCs[[#This Row],[Flow_TC O_5_'[%']]],Tab_Process_TCs[[#This Row],[Flow_TC_O_4_'[%']]],Tab_Process_TCs[[#This Row],[Flow_TC_O_3_'[%']]],,Tab_Process_TCs[[#This Row],[Flow_TC_O_2_'[%']]],Tab_Process_TCs[[#This Row],[Flow_TC_O_1_'[%']]])</f>
        <v>0</v>
      </c>
      <c r="AV33" s="51"/>
      <c r="AW33" s="51"/>
      <c r="AX33" s="51"/>
      <c r="AY33" s="51"/>
      <c r="AZ33" s="51"/>
    </row>
    <row r="34" spans="1:52" x14ac:dyDescent="0.35">
      <c r="A34" s="97" t="b">
        <v>0</v>
      </c>
      <c r="B34" s="49">
        <f t="shared" ref="B34:B51" si="2">ROW()-1</f>
        <v>33</v>
      </c>
      <c r="C34" s="49" t="e">
        <f t="shared" ref="C34:C63" si="3">"TC"&amp;LEFT(B34,2)&amp;"_"&amp;LEFT(D34,3)&amp;"_"&amp;LEFT(E34,3)&amp;"_"&amp;LEFT(F34,3)&amp;"_"&amp;LEFT(G34,3)</f>
        <v>#N/A</v>
      </c>
      <c r="D34" s="121" t="e">
        <f>_xlfn.XLOOKUP($E34,Tab_Def_Processes[Name(EN)],Tab_Def_Processes[ID],,0,)</f>
        <v>#N/A</v>
      </c>
      <c r="E34" s="51" t="s">
        <v>231</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60" t="e">
        <f>_xlfn.XLOOKUP($E34,Tab_Def_Processes[Name(EN)],Tab_Def_Processes[Input_Flow_I_1],,0,)</f>
        <v>#N/A</v>
      </c>
      <c r="N34" s="49" t="e">
        <f>_xlfn.XLOOKUP($E34,Tab_Def_Processes[Name(EN)],Tab_Def_Processes[Flow_ID_I_1],,0,)</f>
        <v>#N/A</v>
      </c>
      <c r="O34" s="82"/>
      <c r="P34" s="77" t="e">
        <f>_xlfn.XLOOKUP($E34,Tab_Def_Processes[Name(EN)],Tab_Def_Processes[Input_Flow_I_2],,0,)</f>
        <v>#N/A</v>
      </c>
      <c r="Q34" s="49" t="e">
        <f>_xlfn.XLOOKUP($E34,Tab_Def_Processes[Name(EN)],Tab_Def_Processes[Flow_ID_I_2],,0,)</f>
        <v>#N/A</v>
      </c>
      <c r="R34" s="82"/>
      <c r="S34" s="77" t="e">
        <f>_xlfn.XLOOKUP($E34,Tab_Def_Processes[Name(EN)],Tab_Def_Processes[Input_Flow_I_3],,0,)</f>
        <v>#N/A</v>
      </c>
      <c r="T34" s="49" t="e">
        <f>_xlfn.XLOOKUP($E34,Tab_Def_Processes[Name(EN)],Tab_Def_Processes[Flow_ID_I_3],,0,)</f>
        <v>#N/A</v>
      </c>
      <c r="U34" s="82"/>
      <c r="V34" s="77" t="e">
        <f>_xlfn.XLOOKUP($E34,Tab_Def_Processes[Name(EN)],Tab_Def_Processes[Input_Flow_I_4],,0,)</f>
        <v>#N/A</v>
      </c>
      <c r="W34" s="49" t="e">
        <f>_xlfn.XLOOKUP($E34,Tab_Def_Processes[Name(EN)],Tab_Def_Processes[Flow_ID_I_4],,0,)</f>
        <v>#N/A</v>
      </c>
      <c r="X34" s="82"/>
      <c r="Y34" s="77" t="e">
        <f>_xlfn.XLOOKUP($E34,Tab_Def_Processes[Name(EN)],Tab_Def_Processes[Input_Flow_I_5],,0,)</f>
        <v>#N/A</v>
      </c>
      <c r="Z34" s="49" t="e">
        <f>_xlfn.XLOOKUP($E34,Tab_Def_Processes[Name(EN)],Tab_Def_Processes[Flow_ID_I_5],,0,)</f>
        <v>#N/A</v>
      </c>
      <c r="AA34" s="82"/>
      <c r="AB34" s="80">
        <f>Tab_Process_TCs[[#This Row],[Flow_TC_I_1_'[%']]]+Tab_Process_TCs[[#This Row],[Flow_TC_I_2_'[%']]]+Tab_Process_TCs[[#This Row],[Flow_TC_I_3_'[%']]]+Tab_Process_TCs[[#This Row],[Flow_TC_I_4_'[%']]]+Tab_Process_TCs[[#This Row],[Flow_TC_I_5_'[%']]]</f>
        <v>0</v>
      </c>
      <c r="AC34" s="49" t="e">
        <f>_xlfn.XLOOKUP($E34,Tab_Def_Processes[Name(EN)],Tab_Def_Processes[Output_Flow_O_1],,0,)</f>
        <v>#N/A</v>
      </c>
      <c r="AD34" s="49" t="e">
        <f>_xlfn.XLOOKUP($E34,Tab_Def_Processes[Name(EN)],Tab_Def_Processes[Flow_ID_O_1],,0,)</f>
        <v>#N/A</v>
      </c>
      <c r="AE34" s="82"/>
      <c r="AF34" s="49" t="e">
        <f>_xlfn.XLOOKUP($E34,Tab_Def_Processes[Name(EN)],Tab_Def_Processes[Output_Flow_O_2],,0,)</f>
        <v>#N/A</v>
      </c>
      <c r="AG34" s="49" t="e">
        <f>_xlfn.XLOOKUP($E34,Tab_Def_Processes[Name(EN)],Tab_Def_Processes[Flow_ID_O_2],,0,)</f>
        <v>#N/A</v>
      </c>
      <c r="AH34" s="82"/>
      <c r="AI34" s="49" t="e">
        <f>_xlfn.XLOOKUP($E34,Tab_Def_Processes[Name(EN)],Tab_Def_Processes[Output_Flow_O_3],,0,)</f>
        <v>#N/A</v>
      </c>
      <c r="AJ34" s="49" t="e">
        <f>_xlfn.XLOOKUP($E34,Tab_Def_Processes[Name(EN)],Tab_Def_Processes[Flow_ID_O_3],,0,)</f>
        <v>#N/A</v>
      </c>
      <c r="AK34" s="82"/>
      <c r="AL34" s="49" t="e">
        <f>_xlfn.XLOOKUP($E34,Tab_Def_Processes[Name(EN)],Tab_Def_Processes[Output_Flow_O_4],,0,)</f>
        <v>#N/A</v>
      </c>
      <c r="AM34" s="49" t="e">
        <f>_xlfn.XLOOKUP($E34,Tab_Def_Processes[Name(EN)],Tab_Def_Processes[Flow_ID_O_4],,0,)</f>
        <v>#N/A</v>
      </c>
      <c r="AN34" s="82"/>
      <c r="AO34" s="49" t="e">
        <f>_xlfn.XLOOKUP($E34,Tab_Def_Processes[Name(EN)],Tab_Def_Processes[Output_Flow_O_5],,0,)</f>
        <v>#N/A</v>
      </c>
      <c r="AP34" s="49" t="e">
        <f>_xlfn.XLOOKUP($E34,Tab_Def_Processes[Name(EN)],Tab_Def_Processes[Flow_ID_O_5],,0,)</f>
        <v>#N/A</v>
      </c>
      <c r="AQ34" s="82"/>
      <c r="AR34" s="49" t="e">
        <f>_xlfn.XLOOKUP($E34,Tab_Def_Processes[Name(EN)],Tab_Def_Processes[Output_Flow_O_6],,0,)</f>
        <v>#N/A</v>
      </c>
      <c r="AS34" s="49" t="e">
        <f>_xlfn.XLOOKUP($E34,Tab_Def_Processes[Name(EN)],Tab_Def_Processes[Flow_ID_O_6],,0,)</f>
        <v>#N/A</v>
      </c>
      <c r="AT34" s="82"/>
      <c r="AU34" s="80">
        <f>SUM(Tab_Process_TCs[[#This Row],[Flow_TC O_6_'[%']]],Tab_Process_TCs[[#This Row],[Flow_TC O_5_'[%']]],Tab_Process_TCs[[#This Row],[Flow_TC_O_4_'[%']]],Tab_Process_TCs[[#This Row],[Flow_TC_O_3_'[%']]],,Tab_Process_TCs[[#This Row],[Flow_TC_O_2_'[%']]],Tab_Process_TCs[[#This Row],[Flow_TC_O_1_'[%']]])</f>
        <v>0</v>
      </c>
      <c r="AV34" s="51"/>
      <c r="AW34" s="51"/>
      <c r="AX34" s="51"/>
      <c r="AY34" s="51"/>
      <c r="AZ34" s="51"/>
    </row>
    <row r="35" spans="1:52" x14ac:dyDescent="0.35">
      <c r="A35" s="97" t="b">
        <v>0</v>
      </c>
      <c r="B35" s="49">
        <f t="shared" si="2"/>
        <v>34</v>
      </c>
      <c r="C35" s="49" t="e">
        <f t="shared" si="3"/>
        <v>#N/A</v>
      </c>
      <c r="D35" s="121" t="e">
        <f>_xlfn.XLOOKUP($E35,Tab_Def_Processes[Name(EN)],Tab_Def_Processes[ID],,0,)</f>
        <v>#N/A</v>
      </c>
      <c r="E35" s="51" t="s">
        <v>231</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60" t="e">
        <f>_xlfn.XLOOKUP($E35,Tab_Def_Processes[Name(EN)],Tab_Def_Processes[Input_Flow_I_1],,0,)</f>
        <v>#N/A</v>
      </c>
      <c r="N35" s="49" t="e">
        <f>_xlfn.XLOOKUP($E35,Tab_Def_Processes[Name(EN)],Tab_Def_Processes[Flow_ID_I_1],,0,)</f>
        <v>#N/A</v>
      </c>
      <c r="O35" s="82"/>
      <c r="P35" s="77" t="e">
        <f>_xlfn.XLOOKUP($E35,Tab_Def_Processes[Name(EN)],Tab_Def_Processes[Input_Flow_I_2],,0,)</f>
        <v>#N/A</v>
      </c>
      <c r="Q35" s="49" t="e">
        <f>_xlfn.XLOOKUP($E35,Tab_Def_Processes[Name(EN)],Tab_Def_Processes[Flow_ID_I_2],,0,)</f>
        <v>#N/A</v>
      </c>
      <c r="R35" s="82"/>
      <c r="S35" s="77" t="e">
        <f>_xlfn.XLOOKUP($E35,Tab_Def_Processes[Name(EN)],Tab_Def_Processes[Input_Flow_I_3],,0,)</f>
        <v>#N/A</v>
      </c>
      <c r="T35" s="49" t="e">
        <f>_xlfn.XLOOKUP($E35,Tab_Def_Processes[Name(EN)],Tab_Def_Processes[Flow_ID_I_3],,0,)</f>
        <v>#N/A</v>
      </c>
      <c r="U35" s="82"/>
      <c r="V35" s="77" t="e">
        <f>_xlfn.XLOOKUP($E35,Tab_Def_Processes[Name(EN)],Tab_Def_Processes[Input_Flow_I_4],,0,)</f>
        <v>#N/A</v>
      </c>
      <c r="W35" s="49" t="e">
        <f>_xlfn.XLOOKUP($E35,Tab_Def_Processes[Name(EN)],Tab_Def_Processes[Flow_ID_I_4],,0,)</f>
        <v>#N/A</v>
      </c>
      <c r="X35" s="82"/>
      <c r="Y35" s="77" t="e">
        <f>_xlfn.XLOOKUP($E35,Tab_Def_Processes[Name(EN)],Tab_Def_Processes[Input_Flow_I_5],,0,)</f>
        <v>#N/A</v>
      </c>
      <c r="Z35" s="49" t="e">
        <f>_xlfn.XLOOKUP($E35,Tab_Def_Processes[Name(EN)],Tab_Def_Processes[Flow_ID_I_5],,0,)</f>
        <v>#N/A</v>
      </c>
      <c r="AA35" s="82"/>
      <c r="AB35" s="80">
        <f>Tab_Process_TCs[[#This Row],[Flow_TC_I_1_'[%']]]+Tab_Process_TCs[[#This Row],[Flow_TC_I_2_'[%']]]+Tab_Process_TCs[[#This Row],[Flow_TC_I_3_'[%']]]+Tab_Process_TCs[[#This Row],[Flow_TC_I_4_'[%']]]+Tab_Process_TCs[[#This Row],[Flow_TC_I_5_'[%']]]</f>
        <v>0</v>
      </c>
      <c r="AC35" s="49" t="e">
        <f>_xlfn.XLOOKUP($E35,Tab_Def_Processes[Name(EN)],Tab_Def_Processes[Output_Flow_O_1],,0,)</f>
        <v>#N/A</v>
      </c>
      <c r="AD35" s="49" t="e">
        <f>_xlfn.XLOOKUP($E35,Tab_Def_Processes[Name(EN)],Tab_Def_Processes[Flow_ID_O_1],,0,)</f>
        <v>#N/A</v>
      </c>
      <c r="AE35" s="82"/>
      <c r="AF35" s="49" t="e">
        <f>_xlfn.XLOOKUP($E35,Tab_Def_Processes[Name(EN)],Tab_Def_Processes[Output_Flow_O_2],,0,)</f>
        <v>#N/A</v>
      </c>
      <c r="AG35" s="49" t="e">
        <f>_xlfn.XLOOKUP($E35,Tab_Def_Processes[Name(EN)],Tab_Def_Processes[Flow_ID_O_2],,0,)</f>
        <v>#N/A</v>
      </c>
      <c r="AH35" s="82"/>
      <c r="AI35" s="49" t="e">
        <f>_xlfn.XLOOKUP($E35,Tab_Def_Processes[Name(EN)],Tab_Def_Processes[Output_Flow_O_3],,0,)</f>
        <v>#N/A</v>
      </c>
      <c r="AJ35" s="49" t="e">
        <f>_xlfn.XLOOKUP($E35,Tab_Def_Processes[Name(EN)],Tab_Def_Processes[Flow_ID_O_3],,0,)</f>
        <v>#N/A</v>
      </c>
      <c r="AK35" s="82"/>
      <c r="AL35" s="49" t="e">
        <f>_xlfn.XLOOKUP($E35,Tab_Def_Processes[Name(EN)],Tab_Def_Processes[Output_Flow_O_4],,0,)</f>
        <v>#N/A</v>
      </c>
      <c r="AM35" s="49" t="e">
        <f>_xlfn.XLOOKUP($E35,Tab_Def_Processes[Name(EN)],Tab_Def_Processes[Flow_ID_O_4],,0,)</f>
        <v>#N/A</v>
      </c>
      <c r="AN35" s="82"/>
      <c r="AO35" s="49" t="e">
        <f>_xlfn.XLOOKUP($E35,Tab_Def_Processes[Name(EN)],Tab_Def_Processes[Output_Flow_O_5],,0,)</f>
        <v>#N/A</v>
      </c>
      <c r="AP35" s="49" t="e">
        <f>_xlfn.XLOOKUP($E35,Tab_Def_Processes[Name(EN)],Tab_Def_Processes[Flow_ID_O_5],,0,)</f>
        <v>#N/A</v>
      </c>
      <c r="AQ35" s="82"/>
      <c r="AR35" s="49" t="e">
        <f>_xlfn.XLOOKUP($E35,Tab_Def_Processes[Name(EN)],Tab_Def_Processes[Output_Flow_O_6],,0,)</f>
        <v>#N/A</v>
      </c>
      <c r="AS35" s="49" t="e">
        <f>_xlfn.XLOOKUP($E35,Tab_Def_Processes[Name(EN)],Tab_Def_Processes[Flow_ID_O_6],,0,)</f>
        <v>#N/A</v>
      </c>
      <c r="AT35" s="82"/>
      <c r="AU35" s="80">
        <f>SUM(Tab_Process_TCs[[#This Row],[Flow_TC O_6_'[%']]],Tab_Process_TCs[[#This Row],[Flow_TC O_5_'[%']]],Tab_Process_TCs[[#This Row],[Flow_TC_O_4_'[%']]],Tab_Process_TCs[[#This Row],[Flow_TC_O_3_'[%']]],,Tab_Process_TCs[[#This Row],[Flow_TC_O_2_'[%']]],Tab_Process_TCs[[#This Row],[Flow_TC_O_1_'[%']]])</f>
        <v>0</v>
      </c>
      <c r="AV35" s="51"/>
      <c r="AW35" s="51"/>
      <c r="AX35" s="51"/>
      <c r="AY35" s="51"/>
      <c r="AZ35" s="51"/>
    </row>
    <row r="36" spans="1:52" x14ac:dyDescent="0.35">
      <c r="A36" s="97" t="b">
        <v>0</v>
      </c>
      <c r="B36" s="49">
        <f t="shared" si="2"/>
        <v>35</v>
      </c>
      <c r="C36" s="49" t="e">
        <f t="shared" si="3"/>
        <v>#N/A</v>
      </c>
      <c r="D36" s="121" t="e">
        <f>_xlfn.XLOOKUP($E36,Tab_Def_Processes[Name(EN)],Tab_Def_Processes[ID],,0,)</f>
        <v>#N/A</v>
      </c>
      <c r="E36" s="51" t="s">
        <v>231</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60" t="e">
        <f>_xlfn.XLOOKUP($E36,Tab_Def_Processes[Name(EN)],Tab_Def_Processes[Input_Flow_I_1],,0,)</f>
        <v>#N/A</v>
      </c>
      <c r="N36" s="49" t="e">
        <f>_xlfn.XLOOKUP($E36,Tab_Def_Processes[Name(EN)],Tab_Def_Processes[Flow_ID_I_1],,0,)</f>
        <v>#N/A</v>
      </c>
      <c r="O36" s="82"/>
      <c r="P36" s="77" t="e">
        <f>_xlfn.XLOOKUP($E36,Tab_Def_Processes[Name(EN)],Tab_Def_Processes[Input_Flow_I_2],,0,)</f>
        <v>#N/A</v>
      </c>
      <c r="Q36" s="49" t="e">
        <f>_xlfn.XLOOKUP($E36,Tab_Def_Processes[Name(EN)],Tab_Def_Processes[Flow_ID_I_2],,0,)</f>
        <v>#N/A</v>
      </c>
      <c r="R36" s="82"/>
      <c r="S36" s="77" t="e">
        <f>_xlfn.XLOOKUP($E36,Tab_Def_Processes[Name(EN)],Tab_Def_Processes[Input_Flow_I_3],,0,)</f>
        <v>#N/A</v>
      </c>
      <c r="T36" s="49" t="e">
        <f>_xlfn.XLOOKUP($E36,Tab_Def_Processes[Name(EN)],Tab_Def_Processes[Flow_ID_I_3],,0,)</f>
        <v>#N/A</v>
      </c>
      <c r="U36" s="82"/>
      <c r="V36" s="77" t="e">
        <f>_xlfn.XLOOKUP($E36,Tab_Def_Processes[Name(EN)],Tab_Def_Processes[Input_Flow_I_4],,0,)</f>
        <v>#N/A</v>
      </c>
      <c r="W36" s="49" t="e">
        <f>_xlfn.XLOOKUP($E36,Tab_Def_Processes[Name(EN)],Tab_Def_Processes[Flow_ID_I_4],,0,)</f>
        <v>#N/A</v>
      </c>
      <c r="X36" s="82"/>
      <c r="Y36" s="77" t="e">
        <f>_xlfn.XLOOKUP($E36,Tab_Def_Processes[Name(EN)],Tab_Def_Processes[Input_Flow_I_5],,0,)</f>
        <v>#N/A</v>
      </c>
      <c r="Z36" s="49" t="e">
        <f>_xlfn.XLOOKUP($E36,Tab_Def_Processes[Name(EN)],Tab_Def_Processes[Flow_ID_I_5],,0,)</f>
        <v>#N/A</v>
      </c>
      <c r="AA36" s="82"/>
      <c r="AB36" s="80">
        <f>Tab_Process_TCs[[#This Row],[Flow_TC_I_1_'[%']]]+Tab_Process_TCs[[#This Row],[Flow_TC_I_2_'[%']]]+Tab_Process_TCs[[#This Row],[Flow_TC_I_3_'[%']]]+Tab_Process_TCs[[#This Row],[Flow_TC_I_4_'[%']]]+Tab_Process_TCs[[#This Row],[Flow_TC_I_5_'[%']]]</f>
        <v>0</v>
      </c>
      <c r="AC36" s="49" t="e">
        <f>_xlfn.XLOOKUP($E36,Tab_Def_Processes[Name(EN)],Tab_Def_Processes[Output_Flow_O_1],,0,)</f>
        <v>#N/A</v>
      </c>
      <c r="AD36" s="49" t="e">
        <f>_xlfn.XLOOKUP($E36,Tab_Def_Processes[Name(EN)],Tab_Def_Processes[Flow_ID_O_1],,0,)</f>
        <v>#N/A</v>
      </c>
      <c r="AE36" s="82"/>
      <c r="AF36" s="49" t="e">
        <f>_xlfn.XLOOKUP($E36,Tab_Def_Processes[Name(EN)],Tab_Def_Processes[Output_Flow_O_2],,0,)</f>
        <v>#N/A</v>
      </c>
      <c r="AG36" s="49" t="e">
        <f>_xlfn.XLOOKUP($E36,Tab_Def_Processes[Name(EN)],Tab_Def_Processes[Flow_ID_O_2],,0,)</f>
        <v>#N/A</v>
      </c>
      <c r="AH36" s="82"/>
      <c r="AI36" s="49" t="e">
        <f>_xlfn.XLOOKUP($E36,Tab_Def_Processes[Name(EN)],Tab_Def_Processes[Output_Flow_O_3],,0,)</f>
        <v>#N/A</v>
      </c>
      <c r="AJ36" s="49" t="e">
        <f>_xlfn.XLOOKUP($E36,Tab_Def_Processes[Name(EN)],Tab_Def_Processes[Flow_ID_O_3],,0,)</f>
        <v>#N/A</v>
      </c>
      <c r="AK36" s="82"/>
      <c r="AL36" s="49" t="e">
        <f>_xlfn.XLOOKUP($E36,Tab_Def_Processes[Name(EN)],Tab_Def_Processes[Output_Flow_O_4],,0,)</f>
        <v>#N/A</v>
      </c>
      <c r="AM36" s="49" t="e">
        <f>_xlfn.XLOOKUP($E36,Tab_Def_Processes[Name(EN)],Tab_Def_Processes[Flow_ID_O_4],,0,)</f>
        <v>#N/A</v>
      </c>
      <c r="AN36" s="82"/>
      <c r="AO36" s="49" t="e">
        <f>_xlfn.XLOOKUP($E36,Tab_Def_Processes[Name(EN)],Tab_Def_Processes[Output_Flow_O_5],,0,)</f>
        <v>#N/A</v>
      </c>
      <c r="AP36" s="49" t="e">
        <f>_xlfn.XLOOKUP($E36,Tab_Def_Processes[Name(EN)],Tab_Def_Processes[Flow_ID_O_5],,0,)</f>
        <v>#N/A</v>
      </c>
      <c r="AQ36" s="82"/>
      <c r="AR36" s="49" t="e">
        <f>_xlfn.XLOOKUP($E36,Tab_Def_Processes[Name(EN)],Tab_Def_Processes[Output_Flow_O_6],,0,)</f>
        <v>#N/A</v>
      </c>
      <c r="AS36" s="49" t="e">
        <f>_xlfn.XLOOKUP($E36,Tab_Def_Processes[Name(EN)],Tab_Def_Processes[Flow_ID_O_6],,0,)</f>
        <v>#N/A</v>
      </c>
      <c r="AT36" s="82"/>
      <c r="AU36" s="80">
        <f>SUM(Tab_Process_TCs[[#This Row],[Flow_TC O_6_'[%']]],Tab_Process_TCs[[#This Row],[Flow_TC O_5_'[%']]],Tab_Process_TCs[[#This Row],[Flow_TC_O_4_'[%']]],Tab_Process_TCs[[#This Row],[Flow_TC_O_3_'[%']]],,Tab_Process_TCs[[#This Row],[Flow_TC_O_2_'[%']]],Tab_Process_TCs[[#This Row],[Flow_TC_O_1_'[%']]])</f>
        <v>0</v>
      </c>
      <c r="AV36" s="51"/>
      <c r="AW36" s="51"/>
      <c r="AX36" s="51"/>
      <c r="AY36" s="51"/>
      <c r="AZ36" s="51"/>
    </row>
    <row r="37" spans="1:52" x14ac:dyDescent="0.35">
      <c r="A37" s="97" t="b">
        <v>0</v>
      </c>
      <c r="B37" s="49">
        <f t="shared" si="2"/>
        <v>36</v>
      </c>
      <c r="C37" s="49" t="e">
        <f t="shared" si="3"/>
        <v>#N/A</v>
      </c>
      <c r="D37" s="121" t="e">
        <f>_xlfn.XLOOKUP($E37,Tab_Def_Processes[Name(EN)],Tab_Def_Processes[ID],,0,)</f>
        <v>#N/A</v>
      </c>
      <c r="E37" s="51" t="s">
        <v>231</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60" t="e">
        <f>_xlfn.XLOOKUP($E37,Tab_Def_Processes[Name(EN)],Tab_Def_Processes[Input_Flow_I_1],,0,)</f>
        <v>#N/A</v>
      </c>
      <c r="N37" s="49" t="e">
        <f>_xlfn.XLOOKUP($E37,Tab_Def_Processes[Name(EN)],Tab_Def_Processes[Flow_ID_I_1],,0,)</f>
        <v>#N/A</v>
      </c>
      <c r="O37" s="82"/>
      <c r="P37" s="77" t="e">
        <f>_xlfn.XLOOKUP($E37,Tab_Def_Processes[Name(EN)],Tab_Def_Processes[Input_Flow_I_2],,0,)</f>
        <v>#N/A</v>
      </c>
      <c r="Q37" s="49" t="e">
        <f>_xlfn.XLOOKUP($E37,Tab_Def_Processes[Name(EN)],Tab_Def_Processes[Flow_ID_I_2],,0,)</f>
        <v>#N/A</v>
      </c>
      <c r="R37" s="82"/>
      <c r="S37" s="77" t="e">
        <f>_xlfn.XLOOKUP($E37,Tab_Def_Processes[Name(EN)],Tab_Def_Processes[Input_Flow_I_3],,0,)</f>
        <v>#N/A</v>
      </c>
      <c r="T37" s="49" t="e">
        <f>_xlfn.XLOOKUP($E37,Tab_Def_Processes[Name(EN)],Tab_Def_Processes[Flow_ID_I_3],,0,)</f>
        <v>#N/A</v>
      </c>
      <c r="U37" s="82"/>
      <c r="V37" s="77" t="e">
        <f>_xlfn.XLOOKUP($E37,Tab_Def_Processes[Name(EN)],Tab_Def_Processes[Input_Flow_I_4],,0,)</f>
        <v>#N/A</v>
      </c>
      <c r="W37" s="49" t="e">
        <f>_xlfn.XLOOKUP($E37,Tab_Def_Processes[Name(EN)],Tab_Def_Processes[Flow_ID_I_4],,0,)</f>
        <v>#N/A</v>
      </c>
      <c r="X37" s="82"/>
      <c r="Y37" s="77" t="e">
        <f>_xlfn.XLOOKUP($E37,Tab_Def_Processes[Name(EN)],Tab_Def_Processes[Input_Flow_I_5],,0,)</f>
        <v>#N/A</v>
      </c>
      <c r="Z37" s="49" t="e">
        <f>_xlfn.XLOOKUP($E37,Tab_Def_Processes[Name(EN)],Tab_Def_Processes[Flow_ID_I_5],,0,)</f>
        <v>#N/A</v>
      </c>
      <c r="AA37" s="82"/>
      <c r="AB37" s="80">
        <f>Tab_Process_TCs[[#This Row],[Flow_TC_I_1_'[%']]]+Tab_Process_TCs[[#This Row],[Flow_TC_I_2_'[%']]]+Tab_Process_TCs[[#This Row],[Flow_TC_I_3_'[%']]]+Tab_Process_TCs[[#This Row],[Flow_TC_I_4_'[%']]]+Tab_Process_TCs[[#This Row],[Flow_TC_I_5_'[%']]]</f>
        <v>0</v>
      </c>
      <c r="AC37" s="49" t="e">
        <f>_xlfn.XLOOKUP($E37,Tab_Def_Processes[Name(EN)],Tab_Def_Processes[Output_Flow_O_1],,0,)</f>
        <v>#N/A</v>
      </c>
      <c r="AD37" s="49" t="e">
        <f>_xlfn.XLOOKUP($E37,Tab_Def_Processes[Name(EN)],Tab_Def_Processes[Flow_ID_O_1],,0,)</f>
        <v>#N/A</v>
      </c>
      <c r="AE37" s="82"/>
      <c r="AF37" s="49" t="e">
        <f>_xlfn.XLOOKUP($E37,Tab_Def_Processes[Name(EN)],Tab_Def_Processes[Output_Flow_O_2],,0,)</f>
        <v>#N/A</v>
      </c>
      <c r="AG37" s="49" t="e">
        <f>_xlfn.XLOOKUP($E37,Tab_Def_Processes[Name(EN)],Tab_Def_Processes[Flow_ID_O_2],,0,)</f>
        <v>#N/A</v>
      </c>
      <c r="AH37" s="82"/>
      <c r="AI37" s="49" t="e">
        <f>_xlfn.XLOOKUP($E37,Tab_Def_Processes[Name(EN)],Tab_Def_Processes[Output_Flow_O_3],,0,)</f>
        <v>#N/A</v>
      </c>
      <c r="AJ37" s="49" t="e">
        <f>_xlfn.XLOOKUP($E37,Tab_Def_Processes[Name(EN)],Tab_Def_Processes[Flow_ID_O_3],,0,)</f>
        <v>#N/A</v>
      </c>
      <c r="AK37" s="82"/>
      <c r="AL37" s="49" t="e">
        <f>_xlfn.XLOOKUP($E37,Tab_Def_Processes[Name(EN)],Tab_Def_Processes[Output_Flow_O_4],,0,)</f>
        <v>#N/A</v>
      </c>
      <c r="AM37" s="49" t="e">
        <f>_xlfn.XLOOKUP($E37,Tab_Def_Processes[Name(EN)],Tab_Def_Processes[Flow_ID_O_4],,0,)</f>
        <v>#N/A</v>
      </c>
      <c r="AN37" s="82"/>
      <c r="AO37" s="49" t="e">
        <f>_xlfn.XLOOKUP($E37,Tab_Def_Processes[Name(EN)],Tab_Def_Processes[Output_Flow_O_5],,0,)</f>
        <v>#N/A</v>
      </c>
      <c r="AP37" s="49" t="e">
        <f>_xlfn.XLOOKUP($E37,Tab_Def_Processes[Name(EN)],Tab_Def_Processes[Flow_ID_O_5],,0,)</f>
        <v>#N/A</v>
      </c>
      <c r="AQ37" s="82"/>
      <c r="AR37" s="49" t="e">
        <f>_xlfn.XLOOKUP($E37,Tab_Def_Processes[Name(EN)],Tab_Def_Processes[Output_Flow_O_6],,0,)</f>
        <v>#N/A</v>
      </c>
      <c r="AS37" s="49" t="e">
        <f>_xlfn.XLOOKUP($E37,Tab_Def_Processes[Name(EN)],Tab_Def_Processes[Flow_ID_O_6],,0,)</f>
        <v>#N/A</v>
      </c>
      <c r="AT37" s="82"/>
      <c r="AU37" s="80">
        <f>SUM(Tab_Process_TCs[[#This Row],[Flow_TC O_6_'[%']]],Tab_Process_TCs[[#This Row],[Flow_TC O_5_'[%']]],Tab_Process_TCs[[#This Row],[Flow_TC_O_4_'[%']]],Tab_Process_TCs[[#This Row],[Flow_TC_O_3_'[%']]],,Tab_Process_TCs[[#This Row],[Flow_TC_O_2_'[%']]],Tab_Process_TCs[[#This Row],[Flow_TC_O_1_'[%']]])</f>
        <v>0</v>
      </c>
      <c r="AV37" s="51"/>
      <c r="AW37" s="51"/>
      <c r="AX37" s="51"/>
      <c r="AY37" s="51"/>
      <c r="AZ37" s="51"/>
    </row>
    <row r="38" spans="1:52" x14ac:dyDescent="0.35">
      <c r="A38" s="97" t="b">
        <v>0</v>
      </c>
      <c r="B38" s="49">
        <f t="shared" si="2"/>
        <v>37</v>
      </c>
      <c r="C38" s="49" t="e">
        <f t="shared" si="3"/>
        <v>#N/A</v>
      </c>
      <c r="D38" s="121" t="e">
        <f>_xlfn.XLOOKUP($E38,Tab_Def_Processes[Name(EN)],Tab_Def_Processes[ID],,0,)</f>
        <v>#N/A</v>
      </c>
      <c r="E38" s="51" t="s">
        <v>231</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60" t="e">
        <f>_xlfn.XLOOKUP($E38,Tab_Def_Processes[Name(EN)],Tab_Def_Processes[Input_Flow_I_1],,0,)</f>
        <v>#N/A</v>
      </c>
      <c r="N38" s="49" t="e">
        <f>_xlfn.XLOOKUP($E38,Tab_Def_Processes[Name(EN)],Tab_Def_Processes[Flow_ID_I_1],,0,)</f>
        <v>#N/A</v>
      </c>
      <c r="O38" s="82"/>
      <c r="P38" s="77" t="e">
        <f>_xlfn.XLOOKUP($E38,Tab_Def_Processes[Name(EN)],Tab_Def_Processes[Input_Flow_I_2],,0,)</f>
        <v>#N/A</v>
      </c>
      <c r="Q38" s="49" t="e">
        <f>_xlfn.XLOOKUP($E38,Tab_Def_Processes[Name(EN)],Tab_Def_Processes[Flow_ID_I_2],,0,)</f>
        <v>#N/A</v>
      </c>
      <c r="R38" s="82"/>
      <c r="S38" s="77" t="e">
        <f>_xlfn.XLOOKUP($E38,Tab_Def_Processes[Name(EN)],Tab_Def_Processes[Input_Flow_I_3],,0,)</f>
        <v>#N/A</v>
      </c>
      <c r="T38" s="49" t="e">
        <f>_xlfn.XLOOKUP($E38,Tab_Def_Processes[Name(EN)],Tab_Def_Processes[Flow_ID_I_3],,0,)</f>
        <v>#N/A</v>
      </c>
      <c r="U38" s="82"/>
      <c r="V38" s="77" t="e">
        <f>_xlfn.XLOOKUP($E38,Tab_Def_Processes[Name(EN)],Tab_Def_Processes[Input_Flow_I_4],,0,)</f>
        <v>#N/A</v>
      </c>
      <c r="W38" s="49" t="e">
        <f>_xlfn.XLOOKUP($E38,Tab_Def_Processes[Name(EN)],Tab_Def_Processes[Flow_ID_I_4],,0,)</f>
        <v>#N/A</v>
      </c>
      <c r="X38" s="82"/>
      <c r="Y38" s="77" t="e">
        <f>_xlfn.XLOOKUP($E38,Tab_Def_Processes[Name(EN)],Tab_Def_Processes[Input_Flow_I_5],,0,)</f>
        <v>#N/A</v>
      </c>
      <c r="Z38" s="49" t="e">
        <f>_xlfn.XLOOKUP($E38,Tab_Def_Processes[Name(EN)],Tab_Def_Processes[Flow_ID_I_5],,0,)</f>
        <v>#N/A</v>
      </c>
      <c r="AA38" s="82"/>
      <c r="AB38" s="80">
        <f>Tab_Process_TCs[[#This Row],[Flow_TC_I_1_'[%']]]+Tab_Process_TCs[[#This Row],[Flow_TC_I_2_'[%']]]+Tab_Process_TCs[[#This Row],[Flow_TC_I_3_'[%']]]+Tab_Process_TCs[[#This Row],[Flow_TC_I_4_'[%']]]+Tab_Process_TCs[[#This Row],[Flow_TC_I_5_'[%']]]</f>
        <v>0</v>
      </c>
      <c r="AC38" s="49" t="e">
        <f>_xlfn.XLOOKUP($E38,Tab_Def_Processes[Name(EN)],Tab_Def_Processes[Output_Flow_O_1],,0,)</f>
        <v>#N/A</v>
      </c>
      <c r="AD38" s="49" t="e">
        <f>_xlfn.XLOOKUP($E38,Tab_Def_Processes[Name(EN)],Tab_Def_Processes[Flow_ID_O_1],,0,)</f>
        <v>#N/A</v>
      </c>
      <c r="AE38" s="82"/>
      <c r="AF38" s="49" t="e">
        <f>_xlfn.XLOOKUP($E38,Tab_Def_Processes[Name(EN)],Tab_Def_Processes[Output_Flow_O_2],,0,)</f>
        <v>#N/A</v>
      </c>
      <c r="AG38" s="49" t="e">
        <f>_xlfn.XLOOKUP($E38,Tab_Def_Processes[Name(EN)],Tab_Def_Processes[Flow_ID_O_2],,0,)</f>
        <v>#N/A</v>
      </c>
      <c r="AH38" s="82"/>
      <c r="AI38" s="49" t="e">
        <f>_xlfn.XLOOKUP($E38,Tab_Def_Processes[Name(EN)],Tab_Def_Processes[Output_Flow_O_3],,0,)</f>
        <v>#N/A</v>
      </c>
      <c r="AJ38" s="49" t="e">
        <f>_xlfn.XLOOKUP($E38,Tab_Def_Processes[Name(EN)],Tab_Def_Processes[Flow_ID_O_3],,0,)</f>
        <v>#N/A</v>
      </c>
      <c r="AK38" s="82"/>
      <c r="AL38" s="49" t="e">
        <f>_xlfn.XLOOKUP($E38,Tab_Def_Processes[Name(EN)],Tab_Def_Processes[Output_Flow_O_4],,0,)</f>
        <v>#N/A</v>
      </c>
      <c r="AM38" s="49" t="e">
        <f>_xlfn.XLOOKUP($E38,Tab_Def_Processes[Name(EN)],Tab_Def_Processes[Flow_ID_O_4],,0,)</f>
        <v>#N/A</v>
      </c>
      <c r="AN38" s="82"/>
      <c r="AO38" s="49" t="e">
        <f>_xlfn.XLOOKUP($E38,Tab_Def_Processes[Name(EN)],Tab_Def_Processes[Output_Flow_O_5],,0,)</f>
        <v>#N/A</v>
      </c>
      <c r="AP38" s="49" t="e">
        <f>_xlfn.XLOOKUP($E38,Tab_Def_Processes[Name(EN)],Tab_Def_Processes[Flow_ID_O_5],,0,)</f>
        <v>#N/A</v>
      </c>
      <c r="AQ38" s="82"/>
      <c r="AR38" s="49" t="e">
        <f>_xlfn.XLOOKUP($E38,Tab_Def_Processes[Name(EN)],Tab_Def_Processes[Output_Flow_O_6],,0,)</f>
        <v>#N/A</v>
      </c>
      <c r="AS38" s="49" t="e">
        <f>_xlfn.XLOOKUP($E38,Tab_Def_Processes[Name(EN)],Tab_Def_Processes[Flow_ID_O_6],,0,)</f>
        <v>#N/A</v>
      </c>
      <c r="AT38" s="82"/>
      <c r="AU38" s="80">
        <f>SUM(Tab_Process_TCs[[#This Row],[Flow_TC O_6_'[%']]],Tab_Process_TCs[[#This Row],[Flow_TC O_5_'[%']]],Tab_Process_TCs[[#This Row],[Flow_TC_O_4_'[%']]],Tab_Process_TCs[[#This Row],[Flow_TC_O_3_'[%']]],,Tab_Process_TCs[[#This Row],[Flow_TC_O_2_'[%']]],Tab_Process_TCs[[#This Row],[Flow_TC_O_1_'[%']]])</f>
        <v>0</v>
      </c>
      <c r="AV38" s="51"/>
      <c r="AW38" s="51"/>
      <c r="AX38" s="51"/>
      <c r="AY38" s="51"/>
      <c r="AZ38" s="51"/>
    </row>
    <row r="39" spans="1:52" x14ac:dyDescent="0.35">
      <c r="A39" s="97" t="b">
        <v>0</v>
      </c>
      <c r="B39" s="49">
        <f t="shared" si="2"/>
        <v>38</v>
      </c>
      <c r="C39" s="49" t="e">
        <f t="shared" si="3"/>
        <v>#N/A</v>
      </c>
      <c r="D39" s="121" t="e">
        <f>_xlfn.XLOOKUP($E39,Tab_Def_Processes[Name(EN)],Tab_Def_Processes[ID],,0,)</f>
        <v>#N/A</v>
      </c>
      <c r="E39" s="51" t="s">
        <v>231</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60" t="e">
        <f>_xlfn.XLOOKUP($E39,Tab_Def_Processes[Name(EN)],Tab_Def_Processes[Input_Flow_I_1],,0,)</f>
        <v>#N/A</v>
      </c>
      <c r="N39" s="49" t="e">
        <f>_xlfn.XLOOKUP($E39,Tab_Def_Processes[Name(EN)],Tab_Def_Processes[Flow_ID_I_1],,0,)</f>
        <v>#N/A</v>
      </c>
      <c r="O39" s="82"/>
      <c r="P39" s="77" t="e">
        <f>_xlfn.XLOOKUP($E39,Tab_Def_Processes[Name(EN)],Tab_Def_Processes[Input_Flow_I_2],,0,)</f>
        <v>#N/A</v>
      </c>
      <c r="Q39" s="49" t="e">
        <f>_xlfn.XLOOKUP($E39,Tab_Def_Processes[Name(EN)],Tab_Def_Processes[Flow_ID_I_2],,0,)</f>
        <v>#N/A</v>
      </c>
      <c r="R39" s="82"/>
      <c r="S39" s="77" t="e">
        <f>_xlfn.XLOOKUP($E39,Tab_Def_Processes[Name(EN)],Tab_Def_Processes[Input_Flow_I_3],,0,)</f>
        <v>#N/A</v>
      </c>
      <c r="T39" s="49" t="e">
        <f>_xlfn.XLOOKUP($E39,Tab_Def_Processes[Name(EN)],Tab_Def_Processes[Flow_ID_I_3],,0,)</f>
        <v>#N/A</v>
      </c>
      <c r="U39" s="82"/>
      <c r="V39" s="77" t="e">
        <f>_xlfn.XLOOKUP($E39,Tab_Def_Processes[Name(EN)],Tab_Def_Processes[Input_Flow_I_4],,0,)</f>
        <v>#N/A</v>
      </c>
      <c r="W39" s="49" t="e">
        <f>_xlfn.XLOOKUP($E39,Tab_Def_Processes[Name(EN)],Tab_Def_Processes[Flow_ID_I_4],,0,)</f>
        <v>#N/A</v>
      </c>
      <c r="X39" s="82"/>
      <c r="Y39" s="77" t="e">
        <f>_xlfn.XLOOKUP($E39,Tab_Def_Processes[Name(EN)],Tab_Def_Processes[Input_Flow_I_5],,0,)</f>
        <v>#N/A</v>
      </c>
      <c r="Z39" s="49" t="e">
        <f>_xlfn.XLOOKUP($E39,Tab_Def_Processes[Name(EN)],Tab_Def_Processes[Flow_ID_I_5],,0,)</f>
        <v>#N/A</v>
      </c>
      <c r="AA39" s="82"/>
      <c r="AB39" s="80">
        <f>Tab_Process_TCs[[#This Row],[Flow_TC_I_1_'[%']]]+Tab_Process_TCs[[#This Row],[Flow_TC_I_2_'[%']]]+Tab_Process_TCs[[#This Row],[Flow_TC_I_3_'[%']]]+Tab_Process_TCs[[#This Row],[Flow_TC_I_4_'[%']]]+Tab_Process_TCs[[#This Row],[Flow_TC_I_5_'[%']]]</f>
        <v>0</v>
      </c>
      <c r="AC39" s="49" t="e">
        <f>_xlfn.XLOOKUP($E39,Tab_Def_Processes[Name(EN)],Tab_Def_Processes[Output_Flow_O_1],,0,)</f>
        <v>#N/A</v>
      </c>
      <c r="AD39" s="49" t="e">
        <f>_xlfn.XLOOKUP($E39,Tab_Def_Processes[Name(EN)],Tab_Def_Processes[Flow_ID_O_1],,0,)</f>
        <v>#N/A</v>
      </c>
      <c r="AE39" s="82"/>
      <c r="AF39" s="49" t="e">
        <f>_xlfn.XLOOKUP($E39,Tab_Def_Processes[Name(EN)],Tab_Def_Processes[Output_Flow_O_2],,0,)</f>
        <v>#N/A</v>
      </c>
      <c r="AG39" s="49" t="e">
        <f>_xlfn.XLOOKUP($E39,Tab_Def_Processes[Name(EN)],Tab_Def_Processes[Flow_ID_O_2],,0,)</f>
        <v>#N/A</v>
      </c>
      <c r="AH39" s="82"/>
      <c r="AI39" s="49" t="e">
        <f>_xlfn.XLOOKUP($E39,Tab_Def_Processes[Name(EN)],Tab_Def_Processes[Output_Flow_O_3],,0,)</f>
        <v>#N/A</v>
      </c>
      <c r="AJ39" s="49" t="e">
        <f>_xlfn.XLOOKUP($E39,Tab_Def_Processes[Name(EN)],Tab_Def_Processes[Flow_ID_O_3],,0,)</f>
        <v>#N/A</v>
      </c>
      <c r="AK39" s="82"/>
      <c r="AL39" s="49" t="e">
        <f>_xlfn.XLOOKUP($E39,Tab_Def_Processes[Name(EN)],Tab_Def_Processes[Output_Flow_O_4],,0,)</f>
        <v>#N/A</v>
      </c>
      <c r="AM39" s="49" t="e">
        <f>_xlfn.XLOOKUP($E39,Tab_Def_Processes[Name(EN)],Tab_Def_Processes[Flow_ID_O_4],,0,)</f>
        <v>#N/A</v>
      </c>
      <c r="AN39" s="82"/>
      <c r="AO39" s="49" t="e">
        <f>_xlfn.XLOOKUP($E39,Tab_Def_Processes[Name(EN)],Tab_Def_Processes[Output_Flow_O_5],,0,)</f>
        <v>#N/A</v>
      </c>
      <c r="AP39" s="49" t="e">
        <f>_xlfn.XLOOKUP($E39,Tab_Def_Processes[Name(EN)],Tab_Def_Processes[Flow_ID_O_5],,0,)</f>
        <v>#N/A</v>
      </c>
      <c r="AQ39" s="82"/>
      <c r="AR39" s="49" t="e">
        <f>_xlfn.XLOOKUP($E39,Tab_Def_Processes[Name(EN)],Tab_Def_Processes[Output_Flow_O_6],,0,)</f>
        <v>#N/A</v>
      </c>
      <c r="AS39" s="49" t="e">
        <f>_xlfn.XLOOKUP($E39,Tab_Def_Processes[Name(EN)],Tab_Def_Processes[Flow_ID_O_6],,0,)</f>
        <v>#N/A</v>
      </c>
      <c r="AT39" s="82"/>
      <c r="AU39" s="80">
        <f>SUM(Tab_Process_TCs[[#This Row],[Flow_TC O_6_'[%']]],Tab_Process_TCs[[#This Row],[Flow_TC O_5_'[%']]],Tab_Process_TCs[[#This Row],[Flow_TC_O_4_'[%']]],Tab_Process_TCs[[#This Row],[Flow_TC_O_3_'[%']]],,Tab_Process_TCs[[#This Row],[Flow_TC_O_2_'[%']]],Tab_Process_TCs[[#This Row],[Flow_TC_O_1_'[%']]])</f>
        <v>0</v>
      </c>
      <c r="AV39" s="51"/>
      <c r="AW39" s="51"/>
      <c r="AX39" s="51"/>
      <c r="AY39" s="51"/>
      <c r="AZ39" s="51"/>
    </row>
    <row r="40" spans="1:52" x14ac:dyDescent="0.35">
      <c r="A40" s="97" t="b">
        <v>0</v>
      </c>
      <c r="B40" s="49">
        <f t="shared" si="2"/>
        <v>39</v>
      </c>
      <c r="C40" s="49" t="e">
        <f t="shared" si="3"/>
        <v>#N/A</v>
      </c>
      <c r="D40" s="121" t="e">
        <f>_xlfn.XLOOKUP($E40,Tab_Def_Processes[Name(EN)],Tab_Def_Processes[ID],,0,)</f>
        <v>#N/A</v>
      </c>
      <c r="E40" s="51" t="s">
        <v>231</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60" t="e">
        <f>_xlfn.XLOOKUP($E40,Tab_Def_Processes[Name(EN)],Tab_Def_Processes[Input_Flow_I_1],,0,)</f>
        <v>#N/A</v>
      </c>
      <c r="N40" s="49" t="e">
        <f>_xlfn.XLOOKUP($E40,Tab_Def_Processes[Name(EN)],Tab_Def_Processes[Flow_ID_I_1],,0,)</f>
        <v>#N/A</v>
      </c>
      <c r="O40" s="82"/>
      <c r="P40" s="77" t="e">
        <f>_xlfn.XLOOKUP($E40,Tab_Def_Processes[Name(EN)],Tab_Def_Processes[Input_Flow_I_2],,0,)</f>
        <v>#N/A</v>
      </c>
      <c r="Q40" s="49" t="e">
        <f>_xlfn.XLOOKUP($E40,Tab_Def_Processes[Name(EN)],Tab_Def_Processes[Flow_ID_I_2],,0,)</f>
        <v>#N/A</v>
      </c>
      <c r="R40" s="82"/>
      <c r="S40" s="77" t="e">
        <f>_xlfn.XLOOKUP($E40,Tab_Def_Processes[Name(EN)],Tab_Def_Processes[Input_Flow_I_3],,0,)</f>
        <v>#N/A</v>
      </c>
      <c r="T40" s="49" t="e">
        <f>_xlfn.XLOOKUP($E40,Tab_Def_Processes[Name(EN)],Tab_Def_Processes[Flow_ID_I_3],,0,)</f>
        <v>#N/A</v>
      </c>
      <c r="U40" s="82"/>
      <c r="V40" s="77" t="e">
        <f>_xlfn.XLOOKUP($E40,Tab_Def_Processes[Name(EN)],Tab_Def_Processes[Input_Flow_I_4],,0,)</f>
        <v>#N/A</v>
      </c>
      <c r="W40" s="49" t="e">
        <f>_xlfn.XLOOKUP($E40,Tab_Def_Processes[Name(EN)],Tab_Def_Processes[Flow_ID_I_4],,0,)</f>
        <v>#N/A</v>
      </c>
      <c r="X40" s="82"/>
      <c r="Y40" s="77" t="e">
        <f>_xlfn.XLOOKUP($E40,Tab_Def_Processes[Name(EN)],Tab_Def_Processes[Input_Flow_I_5],,0,)</f>
        <v>#N/A</v>
      </c>
      <c r="Z40" s="49" t="e">
        <f>_xlfn.XLOOKUP($E40,Tab_Def_Processes[Name(EN)],Tab_Def_Processes[Flow_ID_I_5],,0,)</f>
        <v>#N/A</v>
      </c>
      <c r="AA40" s="82"/>
      <c r="AB40" s="80">
        <f>Tab_Process_TCs[[#This Row],[Flow_TC_I_1_'[%']]]+Tab_Process_TCs[[#This Row],[Flow_TC_I_2_'[%']]]+Tab_Process_TCs[[#This Row],[Flow_TC_I_3_'[%']]]+Tab_Process_TCs[[#This Row],[Flow_TC_I_4_'[%']]]+Tab_Process_TCs[[#This Row],[Flow_TC_I_5_'[%']]]</f>
        <v>0</v>
      </c>
      <c r="AC40" s="49" t="e">
        <f>_xlfn.XLOOKUP($E40,Tab_Def_Processes[Name(EN)],Tab_Def_Processes[Output_Flow_O_1],,0,)</f>
        <v>#N/A</v>
      </c>
      <c r="AD40" s="49" t="e">
        <f>_xlfn.XLOOKUP($E40,Tab_Def_Processes[Name(EN)],Tab_Def_Processes[Flow_ID_O_1],,0,)</f>
        <v>#N/A</v>
      </c>
      <c r="AE40" s="82"/>
      <c r="AF40" s="49" t="e">
        <f>_xlfn.XLOOKUP($E40,Tab_Def_Processes[Name(EN)],Tab_Def_Processes[Output_Flow_O_2],,0,)</f>
        <v>#N/A</v>
      </c>
      <c r="AG40" s="49" t="e">
        <f>_xlfn.XLOOKUP($E40,Tab_Def_Processes[Name(EN)],Tab_Def_Processes[Flow_ID_O_2],,0,)</f>
        <v>#N/A</v>
      </c>
      <c r="AH40" s="82"/>
      <c r="AI40" s="49" t="e">
        <f>_xlfn.XLOOKUP($E40,Tab_Def_Processes[Name(EN)],Tab_Def_Processes[Output_Flow_O_3],,0,)</f>
        <v>#N/A</v>
      </c>
      <c r="AJ40" s="49" t="e">
        <f>_xlfn.XLOOKUP($E40,Tab_Def_Processes[Name(EN)],Tab_Def_Processes[Flow_ID_O_3],,0,)</f>
        <v>#N/A</v>
      </c>
      <c r="AK40" s="82"/>
      <c r="AL40" s="49" t="e">
        <f>_xlfn.XLOOKUP($E40,Tab_Def_Processes[Name(EN)],Tab_Def_Processes[Output_Flow_O_4],,0,)</f>
        <v>#N/A</v>
      </c>
      <c r="AM40" s="49" t="e">
        <f>_xlfn.XLOOKUP($E40,Tab_Def_Processes[Name(EN)],Tab_Def_Processes[Flow_ID_O_4],,0,)</f>
        <v>#N/A</v>
      </c>
      <c r="AN40" s="82"/>
      <c r="AO40" s="49" t="e">
        <f>_xlfn.XLOOKUP($E40,Tab_Def_Processes[Name(EN)],Tab_Def_Processes[Output_Flow_O_5],,0,)</f>
        <v>#N/A</v>
      </c>
      <c r="AP40" s="49" t="e">
        <f>_xlfn.XLOOKUP($E40,Tab_Def_Processes[Name(EN)],Tab_Def_Processes[Flow_ID_O_5],,0,)</f>
        <v>#N/A</v>
      </c>
      <c r="AQ40" s="82"/>
      <c r="AR40" s="49" t="e">
        <f>_xlfn.XLOOKUP($E40,Tab_Def_Processes[Name(EN)],Tab_Def_Processes[Output_Flow_O_6],,0,)</f>
        <v>#N/A</v>
      </c>
      <c r="AS40" s="49" t="e">
        <f>_xlfn.XLOOKUP($E40,Tab_Def_Processes[Name(EN)],Tab_Def_Processes[Flow_ID_O_6],,0,)</f>
        <v>#N/A</v>
      </c>
      <c r="AT40" s="82"/>
      <c r="AU40" s="80">
        <f>SUM(Tab_Process_TCs[[#This Row],[Flow_TC O_6_'[%']]],Tab_Process_TCs[[#This Row],[Flow_TC O_5_'[%']]],Tab_Process_TCs[[#This Row],[Flow_TC_O_4_'[%']]],Tab_Process_TCs[[#This Row],[Flow_TC_O_3_'[%']]],,Tab_Process_TCs[[#This Row],[Flow_TC_O_2_'[%']]],Tab_Process_TCs[[#This Row],[Flow_TC_O_1_'[%']]])</f>
        <v>0</v>
      </c>
      <c r="AV40" s="51"/>
      <c r="AW40" s="51"/>
      <c r="AX40" s="51"/>
      <c r="AY40" s="51"/>
      <c r="AZ40" s="51"/>
    </row>
    <row r="41" spans="1:52" x14ac:dyDescent="0.35">
      <c r="A41" s="97" t="b">
        <v>0</v>
      </c>
      <c r="B41" s="49">
        <f t="shared" si="2"/>
        <v>40</v>
      </c>
      <c r="C41" s="49" t="e">
        <f t="shared" si="3"/>
        <v>#N/A</v>
      </c>
      <c r="D41" s="121" t="e">
        <f>_xlfn.XLOOKUP($E41,Tab_Def_Processes[Name(EN)],Tab_Def_Processes[ID],,0,)</f>
        <v>#N/A</v>
      </c>
      <c r="E41" s="51" t="s">
        <v>231</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60" t="e">
        <f>_xlfn.XLOOKUP($E41,Tab_Def_Processes[Name(EN)],Tab_Def_Processes[Input_Flow_I_1],,0,)</f>
        <v>#N/A</v>
      </c>
      <c r="N41" s="49" t="e">
        <f>_xlfn.XLOOKUP($E41,Tab_Def_Processes[Name(EN)],Tab_Def_Processes[Flow_ID_I_1],,0,)</f>
        <v>#N/A</v>
      </c>
      <c r="O41" s="82"/>
      <c r="P41" s="77" t="e">
        <f>_xlfn.XLOOKUP($E41,Tab_Def_Processes[Name(EN)],Tab_Def_Processes[Input_Flow_I_2],,0,)</f>
        <v>#N/A</v>
      </c>
      <c r="Q41" s="49" t="e">
        <f>_xlfn.XLOOKUP($E41,Tab_Def_Processes[Name(EN)],Tab_Def_Processes[Flow_ID_I_2],,0,)</f>
        <v>#N/A</v>
      </c>
      <c r="R41" s="82"/>
      <c r="S41" s="77" t="e">
        <f>_xlfn.XLOOKUP($E41,Tab_Def_Processes[Name(EN)],Tab_Def_Processes[Input_Flow_I_3],,0,)</f>
        <v>#N/A</v>
      </c>
      <c r="T41" s="49" t="e">
        <f>_xlfn.XLOOKUP($E41,Tab_Def_Processes[Name(EN)],Tab_Def_Processes[Flow_ID_I_3],,0,)</f>
        <v>#N/A</v>
      </c>
      <c r="U41" s="82"/>
      <c r="V41" s="77" t="e">
        <f>_xlfn.XLOOKUP($E41,Tab_Def_Processes[Name(EN)],Tab_Def_Processes[Input_Flow_I_4],,0,)</f>
        <v>#N/A</v>
      </c>
      <c r="W41" s="49" t="e">
        <f>_xlfn.XLOOKUP($E41,Tab_Def_Processes[Name(EN)],Tab_Def_Processes[Flow_ID_I_4],,0,)</f>
        <v>#N/A</v>
      </c>
      <c r="X41" s="82"/>
      <c r="Y41" s="77" t="e">
        <f>_xlfn.XLOOKUP($E41,Tab_Def_Processes[Name(EN)],Tab_Def_Processes[Input_Flow_I_5],,0,)</f>
        <v>#N/A</v>
      </c>
      <c r="Z41" s="49" t="e">
        <f>_xlfn.XLOOKUP($E41,Tab_Def_Processes[Name(EN)],Tab_Def_Processes[Flow_ID_I_5],,0,)</f>
        <v>#N/A</v>
      </c>
      <c r="AA41" s="82"/>
      <c r="AB41" s="80">
        <f>Tab_Process_TCs[[#This Row],[Flow_TC_I_1_'[%']]]+Tab_Process_TCs[[#This Row],[Flow_TC_I_2_'[%']]]+Tab_Process_TCs[[#This Row],[Flow_TC_I_3_'[%']]]+Tab_Process_TCs[[#This Row],[Flow_TC_I_4_'[%']]]+Tab_Process_TCs[[#This Row],[Flow_TC_I_5_'[%']]]</f>
        <v>0</v>
      </c>
      <c r="AC41" s="49" t="e">
        <f>_xlfn.XLOOKUP($E41,Tab_Def_Processes[Name(EN)],Tab_Def_Processes[Output_Flow_O_1],,0,)</f>
        <v>#N/A</v>
      </c>
      <c r="AD41" s="49" t="e">
        <f>_xlfn.XLOOKUP($E41,Tab_Def_Processes[Name(EN)],Tab_Def_Processes[Flow_ID_O_1],,0,)</f>
        <v>#N/A</v>
      </c>
      <c r="AE41" s="82"/>
      <c r="AF41" s="49" t="e">
        <f>_xlfn.XLOOKUP($E41,Tab_Def_Processes[Name(EN)],Tab_Def_Processes[Output_Flow_O_2],,0,)</f>
        <v>#N/A</v>
      </c>
      <c r="AG41" s="49" t="e">
        <f>_xlfn.XLOOKUP($E41,Tab_Def_Processes[Name(EN)],Tab_Def_Processes[Flow_ID_O_2],,0,)</f>
        <v>#N/A</v>
      </c>
      <c r="AH41" s="82"/>
      <c r="AI41" s="49" t="e">
        <f>_xlfn.XLOOKUP($E41,Tab_Def_Processes[Name(EN)],Tab_Def_Processes[Output_Flow_O_3],,0,)</f>
        <v>#N/A</v>
      </c>
      <c r="AJ41" s="49" t="e">
        <f>_xlfn.XLOOKUP($E41,Tab_Def_Processes[Name(EN)],Tab_Def_Processes[Flow_ID_O_3],,0,)</f>
        <v>#N/A</v>
      </c>
      <c r="AK41" s="82"/>
      <c r="AL41" s="49" t="e">
        <f>_xlfn.XLOOKUP($E41,Tab_Def_Processes[Name(EN)],Tab_Def_Processes[Output_Flow_O_4],,0,)</f>
        <v>#N/A</v>
      </c>
      <c r="AM41" s="49" t="e">
        <f>_xlfn.XLOOKUP($E41,Tab_Def_Processes[Name(EN)],Tab_Def_Processes[Flow_ID_O_4],,0,)</f>
        <v>#N/A</v>
      </c>
      <c r="AN41" s="82"/>
      <c r="AO41" s="49" t="e">
        <f>_xlfn.XLOOKUP($E41,Tab_Def_Processes[Name(EN)],Tab_Def_Processes[Output_Flow_O_5],,0,)</f>
        <v>#N/A</v>
      </c>
      <c r="AP41" s="49" t="e">
        <f>_xlfn.XLOOKUP($E41,Tab_Def_Processes[Name(EN)],Tab_Def_Processes[Flow_ID_O_5],,0,)</f>
        <v>#N/A</v>
      </c>
      <c r="AQ41" s="82"/>
      <c r="AR41" s="49" t="e">
        <f>_xlfn.XLOOKUP($E41,Tab_Def_Processes[Name(EN)],Tab_Def_Processes[Output_Flow_O_6],,0,)</f>
        <v>#N/A</v>
      </c>
      <c r="AS41" s="49" t="e">
        <f>_xlfn.XLOOKUP($E41,Tab_Def_Processes[Name(EN)],Tab_Def_Processes[Flow_ID_O_6],,0,)</f>
        <v>#N/A</v>
      </c>
      <c r="AT41" s="82"/>
      <c r="AU41" s="80">
        <f>SUM(Tab_Process_TCs[[#This Row],[Flow_TC O_6_'[%']]],Tab_Process_TCs[[#This Row],[Flow_TC O_5_'[%']]],Tab_Process_TCs[[#This Row],[Flow_TC_O_4_'[%']]],Tab_Process_TCs[[#This Row],[Flow_TC_O_3_'[%']]],,Tab_Process_TCs[[#This Row],[Flow_TC_O_2_'[%']]],Tab_Process_TCs[[#This Row],[Flow_TC_O_1_'[%']]])</f>
        <v>0</v>
      </c>
      <c r="AV41" s="51"/>
      <c r="AW41" s="51"/>
      <c r="AX41" s="51"/>
      <c r="AY41" s="51"/>
      <c r="AZ41" s="51"/>
    </row>
    <row r="42" spans="1:52" x14ac:dyDescent="0.35">
      <c r="A42" s="97" t="b">
        <v>0</v>
      </c>
      <c r="B42" s="49">
        <f t="shared" si="2"/>
        <v>41</v>
      </c>
      <c r="C42" s="49" t="e">
        <f t="shared" si="3"/>
        <v>#N/A</v>
      </c>
      <c r="D42" s="121" t="e">
        <f>_xlfn.XLOOKUP($E42,Tab_Def_Processes[Name(EN)],Tab_Def_Processes[ID],,0,)</f>
        <v>#N/A</v>
      </c>
      <c r="E42" s="51" t="s">
        <v>231</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60" t="e">
        <f>_xlfn.XLOOKUP($E42,Tab_Def_Processes[Name(EN)],Tab_Def_Processes[Input_Flow_I_1],,0,)</f>
        <v>#N/A</v>
      </c>
      <c r="N42" s="49" t="e">
        <f>_xlfn.XLOOKUP($E42,Tab_Def_Processes[Name(EN)],Tab_Def_Processes[Flow_ID_I_1],,0,)</f>
        <v>#N/A</v>
      </c>
      <c r="O42" s="82"/>
      <c r="P42" s="77" t="e">
        <f>_xlfn.XLOOKUP($E42,Tab_Def_Processes[Name(EN)],Tab_Def_Processes[Input_Flow_I_2],,0,)</f>
        <v>#N/A</v>
      </c>
      <c r="Q42" s="49" t="e">
        <f>_xlfn.XLOOKUP($E42,Tab_Def_Processes[Name(EN)],Tab_Def_Processes[Flow_ID_I_2],,0,)</f>
        <v>#N/A</v>
      </c>
      <c r="R42" s="82"/>
      <c r="S42" s="77" t="e">
        <f>_xlfn.XLOOKUP($E42,Tab_Def_Processes[Name(EN)],Tab_Def_Processes[Input_Flow_I_3],,0,)</f>
        <v>#N/A</v>
      </c>
      <c r="T42" s="49" t="e">
        <f>_xlfn.XLOOKUP($E42,Tab_Def_Processes[Name(EN)],Tab_Def_Processes[Flow_ID_I_3],,0,)</f>
        <v>#N/A</v>
      </c>
      <c r="U42" s="82"/>
      <c r="V42" s="77" t="e">
        <f>_xlfn.XLOOKUP($E42,Tab_Def_Processes[Name(EN)],Tab_Def_Processes[Input_Flow_I_4],,0,)</f>
        <v>#N/A</v>
      </c>
      <c r="W42" s="49" t="e">
        <f>_xlfn.XLOOKUP($E42,Tab_Def_Processes[Name(EN)],Tab_Def_Processes[Flow_ID_I_4],,0,)</f>
        <v>#N/A</v>
      </c>
      <c r="X42" s="82"/>
      <c r="Y42" s="77" t="e">
        <f>_xlfn.XLOOKUP($E42,Tab_Def_Processes[Name(EN)],Tab_Def_Processes[Input_Flow_I_5],,0,)</f>
        <v>#N/A</v>
      </c>
      <c r="Z42" s="49" t="e">
        <f>_xlfn.XLOOKUP($E42,Tab_Def_Processes[Name(EN)],Tab_Def_Processes[Flow_ID_I_5],,0,)</f>
        <v>#N/A</v>
      </c>
      <c r="AA42" s="82"/>
      <c r="AB42" s="80">
        <f>Tab_Process_TCs[[#This Row],[Flow_TC_I_1_'[%']]]+Tab_Process_TCs[[#This Row],[Flow_TC_I_2_'[%']]]+Tab_Process_TCs[[#This Row],[Flow_TC_I_3_'[%']]]+Tab_Process_TCs[[#This Row],[Flow_TC_I_4_'[%']]]+Tab_Process_TCs[[#This Row],[Flow_TC_I_5_'[%']]]</f>
        <v>0</v>
      </c>
      <c r="AC42" s="49" t="e">
        <f>_xlfn.XLOOKUP($E42,Tab_Def_Processes[Name(EN)],Tab_Def_Processes[Output_Flow_O_1],,0,)</f>
        <v>#N/A</v>
      </c>
      <c r="AD42" s="49" t="e">
        <f>_xlfn.XLOOKUP($E42,Tab_Def_Processes[Name(EN)],Tab_Def_Processes[Flow_ID_O_1],,0,)</f>
        <v>#N/A</v>
      </c>
      <c r="AE42" s="82"/>
      <c r="AF42" s="49" t="e">
        <f>_xlfn.XLOOKUP($E42,Tab_Def_Processes[Name(EN)],Tab_Def_Processes[Output_Flow_O_2],,0,)</f>
        <v>#N/A</v>
      </c>
      <c r="AG42" s="49" t="e">
        <f>_xlfn.XLOOKUP($E42,Tab_Def_Processes[Name(EN)],Tab_Def_Processes[Flow_ID_O_2],,0,)</f>
        <v>#N/A</v>
      </c>
      <c r="AH42" s="82"/>
      <c r="AI42" s="49" t="e">
        <f>_xlfn.XLOOKUP($E42,Tab_Def_Processes[Name(EN)],Tab_Def_Processes[Output_Flow_O_3],,0,)</f>
        <v>#N/A</v>
      </c>
      <c r="AJ42" s="49" t="e">
        <f>_xlfn.XLOOKUP($E42,Tab_Def_Processes[Name(EN)],Tab_Def_Processes[Flow_ID_O_3],,0,)</f>
        <v>#N/A</v>
      </c>
      <c r="AK42" s="82"/>
      <c r="AL42" s="49" t="e">
        <f>_xlfn.XLOOKUP($E42,Tab_Def_Processes[Name(EN)],Tab_Def_Processes[Output_Flow_O_4],,0,)</f>
        <v>#N/A</v>
      </c>
      <c r="AM42" s="49" t="e">
        <f>_xlfn.XLOOKUP($E42,Tab_Def_Processes[Name(EN)],Tab_Def_Processes[Flow_ID_O_4],,0,)</f>
        <v>#N/A</v>
      </c>
      <c r="AN42" s="82"/>
      <c r="AO42" s="49" t="e">
        <f>_xlfn.XLOOKUP($E42,Tab_Def_Processes[Name(EN)],Tab_Def_Processes[Output_Flow_O_5],,0,)</f>
        <v>#N/A</v>
      </c>
      <c r="AP42" s="49" t="e">
        <f>_xlfn.XLOOKUP($E42,Tab_Def_Processes[Name(EN)],Tab_Def_Processes[Flow_ID_O_5],,0,)</f>
        <v>#N/A</v>
      </c>
      <c r="AQ42" s="82"/>
      <c r="AR42" s="49" t="e">
        <f>_xlfn.XLOOKUP($E42,Tab_Def_Processes[Name(EN)],Tab_Def_Processes[Output_Flow_O_6],,0,)</f>
        <v>#N/A</v>
      </c>
      <c r="AS42" s="49" t="e">
        <f>_xlfn.XLOOKUP($E42,Tab_Def_Processes[Name(EN)],Tab_Def_Processes[Flow_ID_O_6],,0,)</f>
        <v>#N/A</v>
      </c>
      <c r="AT42" s="82"/>
      <c r="AU42" s="80">
        <f>SUM(Tab_Process_TCs[[#This Row],[Flow_TC O_6_'[%']]],Tab_Process_TCs[[#This Row],[Flow_TC O_5_'[%']]],Tab_Process_TCs[[#This Row],[Flow_TC_O_4_'[%']]],Tab_Process_TCs[[#This Row],[Flow_TC_O_3_'[%']]],,Tab_Process_TCs[[#This Row],[Flow_TC_O_2_'[%']]],Tab_Process_TCs[[#This Row],[Flow_TC_O_1_'[%']]])</f>
        <v>0</v>
      </c>
      <c r="AV42" s="51"/>
      <c r="AW42" s="51"/>
      <c r="AX42" s="51"/>
      <c r="AY42" s="51"/>
      <c r="AZ42" s="51"/>
    </row>
    <row r="43" spans="1:52" x14ac:dyDescent="0.35">
      <c r="A43" s="97" t="b">
        <v>0</v>
      </c>
      <c r="B43" s="49">
        <f t="shared" si="2"/>
        <v>42</v>
      </c>
      <c r="C43" s="49" t="e">
        <f t="shared" si="3"/>
        <v>#N/A</v>
      </c>
      <c r="D43" s="121" t="e">
        <f>_xlfn.XLOOKUP($E43,Tab_Def_Processes[Name(EN)],Tab_Def_Processes[ID],,0,)</f>
        <v>#N/A</v>
      </c>
      <c r="E43" s="51" t="s">
        <v>231</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60" t="e">
        <f>_xlfn.XLOOKUP($E43,Tab_Def_Processes[Name(EN)],Tab_Def_Processes[Input_Flow_I_1],,0,)</f>
        <v>#N/A</v>
      </c>
      <c r="N43" s="49" t="e">
        <f>_xlfn.XLOOKUP($E43,Tab_Def_Processes[Name(EN)],Tab_Def_Processes[Flow_ID_I_1],,0,)</f>
        <v>#N/A</v>
      </c>
      <c r="O43" s="82"/>
      <c r="P43" s="77" t="e">
        <f>_xlfn.XLOOKUP($E43,Tab_Def_Processes[Name(EN)],Tab_Def_Processes[Input_Flow_I_2],,0,)</f>
        <v>#N/A</v>
      </c>
      <c r="Q43" s="49" t="e">
        <f>_xlfn.XLOOKUP($E43,Tab_Def_Processes[Name(EN)],Tab_Def_Processes[Flow_ID_I_2],,0,)</f>
        <v>#N/A</v>
      </c>
      <c r="R43" s="82"/>
      <c r="S43" s="77" t="e">
        <f>_xlfn.XLOOKUP($E43,Tab_Def_Processes[Name(EN)],Tab_Def_Processes[Input_Flow_I_3],,0,)</f>
        <v>#N/A</v>
      </c>
      <c r="T43" s="49" t="e">
        <f>_xlfn.XLOOKUP($E43,Tab_Def_Processes[Name(EN)],Tab_Def_Processes[Flow_ID_I_3],,0,)</f>
        <v>#N/A</v>
      </c>
      <c r="U43" s="82"/>
      <c r="V43" s="77" t="e">
        <f>_xlfn.XLOOKUP($E43,Tab_Def_Processes[Name(EN)],Tab_Def_Processes[Input_Flow_I_4],,0,)</f>
        <v>#N/A</v>
      </c>
      <c r="W43" s="49" t="e">
        <f>_xlfn.XLOOKUP($E43,Tab_Def_Processes[Name(EN)],Tab_Def_Processes[Flow_ID_I_4],,0,)</f>
        <v>#N/A</v>
      </c>
      <c r="X43" s="82"/>
      <c r="Y43" s="77" t="e">
        <f>_xlfn.XLOOKUP($E43,Tab_Def_Processes[Name(EN)],Tab_Def_Processes[Input_Flow_I_5],,0,)</f>
        <v>#N/A</v>
      </c>
      <c r="Z43" s="49" t="e">
        <f>_xlfn.XLOOKUP($E43,Tab_Def_Processes[Name(EN)],Tab_Def_Processes[Flow_ID_I_5],,0,)</f>
        <v>#N/A</v>
      </c>
      <c r="AA43" s="82"/>
      <c r="AB43" s="80">
        <f>Tab_Process_TCs[[#This Row],[Flow_TC_I_1_'[%']]]+Tab_Process_TCs[[#This Row],[Flow_TC_I_2_'[%']]]+Tab_Process_TCs[[#This Row],[Flow_TC_I_3_'[%']]]+Tab_Process_TCs[[#This Row],[Flow_TC_I_4_'[%']]]+Tab_Process_TCs[[#This Row],[Flow_TC_I_5_'[%']]]</f>
        <v>0</v>
      </c>
      <c r="AC43" s="49" t="e">
        <f>_xlfn.XLOOKUP($E43,Tab_Def_Processes[Name(EN)],Tab_Def_Processes[Output_Flow_O_1],,0,)</f>
        <v>#N/A</v>
      </c>
      <c r="AD43" s="49" t="e">
        <f>_xlfn.XLOOKUP($E43,Tab_Def_Processes[Name(EN)],Tab_Def_Processes[Flow_ID_O_1],,0,)</f>
        <v>#N/A</v>
      </c>
      <c r="AE43" s="82"/>
      <c r="AF43" s="49" t="e">
        <f>_xlfn.XLOOKUP($E43,Tab_Def_Processes[Name(EN)],Tab_Def_Processes[Output_Flow_O_2],,0,)</f>
        <v>#N/A</v>
      </c>
      <c r="AG43" s="49" t="e">
        <f>_xlfn.XLOOKUP($E43,Tab_Def_Processes[Name(EN)],Tab_Def_Processes[Flow_ID_O_2],,0,)</f>
        <v>#N/A</v>
      </c>
      <c r="AH43" s="82"/>
      <c r="AI43" s="49" t="e">
        <f>_xlfn.XLOOKUP($E43,Tab_Def_Processes[Name(EN)],Tab_Def_Processes[Output_Flow_O_3],,0,)</f>
        <v>#N/A</v>
      </c>
      <c r="AJ43" s="49" t="e">
        <f>_xlfn.XLOOKUP($E43,Tab_Def_Processes[Name(EN)],Tab_Def_Processes[Flow_ID_O_3],,0,)</f>
        <v>#N/A</v>
      </c>
      <c r="AK43" s="82"/>
      <c r="AL43" s="49" t="e">
        <f>_xlfn.XLOOKUP($E43,Tab_Def_Processes[Name(EN)],Tab_Def_Processes[Output_Flow_O_4],,0,)</f>
        <v>#N/A</v>
      </c>
      <c r="AM43" s="49" t="e">
        <f>_xlfn.XLOOKUP($E43,Tab_Def_Processes[Name(EN)],Tab_Def_Processes[Flow_ID_O_4],,0,)</f>
        <v>#N/A</v>
      </c>
      <c r="AN43" s="82"/>
      <c r="AO43" s="49" t="e">
        <f>_xlfn.XLOOKUP($E43,Tab_Def_Processes[Name(EN)],Tab_Def_Processes[Output_Flow_O_5],,0,)</f>
        <v>#N/A</v>
      </c>
      <c r="AP43" s="49" t="e">
        <f>_xlfn.XLOOKUP($E43,Tab_Def_Processes[Name(EN)],Tab_Def_Processes[Flow_ID_O_5],,0,)</f>
        <v>#N/A</v>
      </c>
      <c r="AQ43" s="82"/>
      <c r="AR43" s="49" t="e">
        <f>_xlfn.XLOOKUP($E43,Tab_Def_Processes[Name(EN)],Tab_Def_Processes[Output_Flow_O_6],,0,)</f>
        <v>#N/A</v>
      </c>
      <c r="AS43" s="49" t="e">
        <f>_xlfn.XLOOKUP($E43,Tab_Def_Processes[Name(EN)],Tab_Def_Processes[Flow_ID_O_6],,0,)</f>
        <v>#N/A</v>
      </c>
      <c r="AT43" s="82"/>
      <c r="AU43" s="80">
        <f>SUM(Tab_Process_TCs[[#This Row],[Flow_TC O_6_'[%']]],Tab_Process_TCs[[#This Row],[Flow_TC O_5_'[%']]],Tab_Process_TCs[[#This Row],[Flow_TC_O_4_'[%']]],Tab_Process_TCs[[#This Row],[Flow_TC_O_3_'[%']]],,Tab_Process_TCs[[#This Row],[Flow_TC_O_2_'[%']]],Tab_Process_TCs[[#This Row],[Flow_TC_O_1_'[%']]])</f>
        <v>0</v>
      </c>
      <c r="AV43" s="51"/>
      <c r="AW43" s="51"/>
      <c r="AX43" s="51"/>
      <c r="AY43" s="51"/>
      <c r="AZ43" s="51"/>
    </row>
    <row r="44" spans="1:52" x14ac:dyDescent="0.35">
      <c r="A44" s="97" t="b">
        <v>0</v>
      </c>
      <c r="B44" s="49">
        <f t="shared" si="2"/>
        <v>43</v>
      </c>
      <c r="C44" s="49" t="e">
        <f t="shared" si="3"/>
        <v>#N/A</v>
      </c>
      <c r="D44" s="121" t="e">
        <f>_xlfn.XLOOKUP($E44,Tab_Def_Processes[Name(EN)],Tab_Def_Processes[ID],,0,)</f>
        <v>#N/A</v>
      </c>
      <c r="E44" s="51" t="s">
        <v>231</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60" t="e">
        <f>_xlfn.XLOOKUP($E44,Tab_Def_Processes[Name(EN)],Tab_Def_Processes[Input_Flow_I_1],,0,)</f>
        <v>#N/A</v>
      </c>
      <c r="N44" s="49" t="e">
        <f>_xlfn.XLOOKUP($E44,Tab_Def_Processes[Name(EN)],Tab_Def_Processes[Flow_ID_I_1],,0,)</f>
        <v>#N/A</v>
      </c>
      <c r="O44" s="82"/>
      <c r="P44" s="77" t="e">
        <f>_xlfn.XLOOKUP($E44,Tab_Def_Processes[Name(EN)],Tab_Def_Processes[Input_Flow_I_2],,0,)</f>
        <v>#N/A</v>
      </c>
      <c r="Q44" s="49" t="e">
        <f>_xlfn.XLOOKUP($E44,Tab_Def_Processes[Name(EN)],Tab_Def_Processes[Flow_ID_I_2],,0,)</f>
        <v>#N/A</v>
      </c>
      <c r="R44" s="82"/>
      <c r="S44" s="77" t="e">
        <f>_xlfn.XLOOKUP($E44,Tab_Def_Processes[Name(EN)],Tab_Def_Processes[Input_Flow_I_3],,0,)</f>
        <v>#N/A</v>
      </c>
      <c r="T44" s="49" t="e">
        <f>_xlfn.XLOOKUP($E44,Tab_Def_Processes[Name(EN)],Tab_Def_Processes[Flow_ID_I_3],,0,)</f>
        <v>#N/A</v>
      </c>
      <c r="U44" s="82"/>
      <c r="V44" s="77" t="e">
        <f>_xlfn.XLOOKUP($E44,Tab_Def_Processes[Name(EN)],Tab_Def_Processes[Input_Flow_I_4],,0,)</f>
        <v>#N/A</v>
      </c>
      <c r="W44" s="49" t="e">
        <f>_xlfn.XLOOKUP($E44,Tab_Def_Processes[Name(EN)],Tab_Def_Processes[Flow_ID_I_4],,0,)</f>
        <v>#N/A</v>
      </c>
      <c r="X44" s="82"/>
      <c r="Y44" s="77" t="e">
        <f>_xlfn.XLOOKUP($E44,Tab_Def_Processes[Name(EN)],Tab_Def_Processes[Input_Flow_I_5],,0,)</f>
        <v>#N/A</v>
      </c>
      <c r="Z44" s="49" t="e">
        <f>_xlfn.XLOOKUP($E44,Tab_Def_Processes[Name(EN)],Tab_Def_Processes[Flow_ID_I_5],,0,)</f>
        <v>#N/A</v>
      </c>
      <c r="AA44" s="82"/>
      <c r="AB44" s="80">
        <f>Tab_Process_TCs[[#This Row],[Flow_TC_I_1_'[%']]]+Tab_Process_TCs[[#This Row],[Flow_TC_I_2_'[%']]]+Tab_Process_TCs[[#This Row],[Flow_TC_I_3_'[%']]]+Tab_Process_TCs[[#This Row],[Flow_TC_I_4_'[%']]]+Tab_Process_TCs[[#This Row],[Flow_TC_I_5_'[%']]]</f>
        <v>0</v>
      </c>
      <c r="AC44" s="49" t="e">
        <f>_xlfn.XLOOKUP($E44,Tab_Def_Processes[Name(EN)],Tab_Def_Processes[Output_Flow_O_1],,0,)</f>
        <v>#N/A</v>
      </c>
      <c r="AD44" s="49" t="e">
        <f>_xlfn.XLOOKUP($E44,Tab_Def_Processes[Name(EN)],Tab_Def_Processes[Flow_ID_O_1],,0,)</f>
        <v>#N/A</v>
      </c>
      <c r="AE44" s="82"/>
      <c r="AF44" s="49" t="e">
        <f>_xlfn.XLOOKUP($E44,Tab_Def_Processes[Name(EN)],Tab_Def_Processes[Output_Flow_O_2],,0,)</f>
        <v>#N/A</v>
      </c>
      <c r="AG44" s="49" t="e">
        <f>_xlfn.XLOOKUP($E44,Tab_Def_Processes[Name(EN)],Tab_Def_Processes[Flow_ID_O_2],,0,)</f>
        <v>#N/A</v>
      </c>
      <c r="AH44" s="82"/>
      <c r="AI44" s="49" t="e">
        <f>_xlfn.XLOOKUP($E44,Tab_Def_Processes[Name(EN)],Tab_Def_Processes[Output_Flow_O_3],,0,)</f>
        <v>#N/A</v>
      </c>
      <c r="AJ44" s="49" t="e">
        <f>_xlfn.XLOOKUP($E44,Tab_Def_Processes[Name(EN)],Tab_Def_Processes[Flow_ID_O_3],,0,)</f>
        <v>#N/A</v>
      </c>
      <c r="AK44" s="82"/>
      <c r="AL44" s="49" t="e">
        <f>_xlfn.XLOOKUP($E44,Tab_Def_Processes[Name(EN)],Tab_Def_Processes[Output_Flow_O_4],,0,)</f>
        <v>#N/A</v>
      </c>
      <c r="AM44" s="49" t="e">
        <f>_xlfn.XLOOKUP($E44,Tab_Def_Processes[Name(EN)],Tab_Def_Processes[Flow_ID_O_4],,0,)</f>
        <v>#N/A</v>
      </c>
      <c r="AN44" s="82"/>
      <c r="AO44" s="49" t="e">
        <f>_xlfn.XLOOKUP($E44,Tab_Def_Processes[Name(EN)],Tab_Def_Processes[Output_Flow_O_5],,0,)</f>
        <v>#N/A</v>
      </c>
      <c r="AP44" s="49" t="e">
        <f>_xlfn.XLOOKUP($E44,Tab_Def_Processes[Name(EN)],Tab_Def_Processes[Flow_ID_O_5],,0,)</f>
        <v>#N/A</v>
      </c>
      <c r="AQ44" s="82"/>
      <c r="AR44" s="49" t="e">
        <f>_xlfn.XLOOKUP($E44,Tab_Def_Processes[Name(EN)],Tab_Def_Processes[Output_Flow_O_6],,0,)</f>
        <v>#N/A</v>
      </c>
      <c r="AS44" s="49" t="e">
        <f>_xlfn.XLOOKUP($E44,Tab_Def_Processes[Name(EN)],Tab_Def_Processes[Flow_ID_O_6],,0,)</f>
        <v>#N/A</v>
      </c>
      <c r="AT44" s="82"/>
      <c r="AU44" s="80">
        <f>SUM(Tab_Process_TCs[[#This Row],[Flow_TC O_6_'[%']]],Tab_Process_TCs[[#This Row],[Flow_TC O_5_'[%']]],Tab_Process_TCs[[#This Row],[Flow_TC_O_4_'[%']]],Tab_Process_TCs[[#This Row],[Flow_TC_O_3_'[%']]],,Tab_Process_TCs[[#This Row],[Flow_TC_O_2_'[%']]],Tab_Process_TCs[[#This Row],[Flow_TC_O_1_'[%']]])</f>
        <v>0</v>
      </c>
      <c r="AV44" s="51"/>
      <c r="AW44" s="51"/>
      <c r="AX44" s="51"/>
      <c r="AY44" s="51"/>
      <c r="AZ44" s="51"/>
    </row>
    <row r="45" spans="1:52" x14ac:dyDescent="0.35">
      <c r="A45" s="97" t="b">
        <v>0</v>
      </c>
      <c r="B45" s="49">
        <f t="shared" si="2"/>
        <v>44</v>
      </c>
      <c r="C45" s="49" t="e">
        <f t="shared" si="3"/>
        <v>#N/A</v>
      </c>
      <c r="D45" s="121" t="e">
        <f>_xlfn.XLOOKUP($E45,Tab_Def_Processes[Name(EN)],Tab_Def_Processes[ID],,0,)</f>
        <v>#N/A</v>
      </c>
      <c r="E45" s="51" t="s">
        <v>231</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60" t="e">
        <f>_xlfn.XLOOKUP($E45,Tab_Def_Processes[Name(EN)],Tab_Def_Processes[Input_Flow_I_1],,0,)</f>
        <v>#N/A</v>
      </c>
      <c r="N45" s="49" t="e">
        <f>_xlfn.XLOOKUP($E45,Tab_Def_Processes[Name(EN)],Tab_Def_Processes[Flow_ID_I_1],,0,)</f>
        <v>#N/A</v>
      </c>
      <c r="O45" s="82"/>
      <c r="P45" s="77" t="e">
        <f>_xlfn.XLOOKUP($E45,Tab_Def_Processes[Name(EN)],Tab_Def_Processes[Input_Flow_I_2],,0,)</f>
        <v>#N/A</v>
      </c>
      <c r="Q45" s="49" t="e">
        <f>_xlfn.XLOOKUP($E45,Tab_Def_Processes[Name(EN)],Tab_Def_Processes[Flow_ID_I_2],,0,)</f>
        <v>#N/A</v>
      </c>
      <c r="R45" s="82"/>
      <c r="S45" s="77" t="e">
        <f>_xlfn.XLOOKUP($E45,Tab_Def_Processes[Name(EN)],Tab_Def_Processes[Input_Flow_I_3],,0,)</f>
        <v>#N/A</v>
      </c>
      <c r="T45" s="49" t="e">
        <f>_xlfn.XLOOKUP($E45,Tab_Def_Processes[Name(EN)],Tab_Def_Processes[Flow_ID_I_3],,0,)</f>
        <v>#N/A</v>
      </c>
      <c r="U45" s="82"/>
      <c r="V45" s="77" t="e">
        <f>_xlfn.XLOOKUP($E45,Tab_Def_Processes[Name(EN)],Tab_Def_Processes[Input_Flow_I_4],,0,)</f>
        <v>#N/A</v>
      </c>
      <c r="W45" s="49" t="e">
        <f>_xlfn.XLOOKUP($E45,Tab_Def_Processes[Name(EN)],Tab_Def_Processes[Flow_ID_I_4],,0,)</f>
        <v>#N/A</v>
      </c>
      <c r="X45" s="82"/>
      <c r="Y45" s="77" t="e">
        <f>_xlfn.XLOOKUP($E45,Tab_Def_Processes[Name(EN)],Tab_Def_Processes[Input_Flow_I_5],,0,)</f>
        <v>#N/A</v>
      </c>
      <c r="Z45" s="49" t="e">
        <f>_xlfn.XLOOKUP($E45,Tab_Def_Processes[Name(EN)],Tab_Def_Processes[Flow_ID_I_5],,0,)</f>
        <v>#N/A</v>
      </c>
      <c r="AA45" s="82"/>
      <c r="AB45" s="80">
        <f>Tab_Process_TCs[[#This Row],[Flow_TC_I_1_'[%']]]+Tab_Process_TCs[[#This Row],[Flow_TC_I_2_'[%']]]+Tab_Process_TCs[[#This Row],[Flow_TC_I_3_'[%']]]+Tab_Process_TCs[[#This Row],[Flow_TC_I_4_'[%']]]+Tab_Process_TCs[[#This Row],[Flow_TC_I_5_'[%']]]</f>
        <v>0</v>
      </c>
      <c r="AC45" s="49" t="e">
        <f>_xlfn.XLOOKUP($E45,Tab_Def_Processes[Name(EN)],Tab_Def_Processes[Output_Flow_O_1],,0,)</f>
        <v>#N/A</v>
      </c>
      <c r="AD45" s="49" t="e">
        <f>_xlfn.XLOOKUP($E45,Tab_Def_Processes[Name(EN)],Tab_Def_Processes[Flow_ID_O_1],,0,)</f>
        <v>#N/A</v>
      </c>
      <c r="AE45" s="82"/>
      <c r="AF45" s="49" t="e">
        <f>_xlfn.XLOOKUP($E45,Tab_Def_Processes[Name(EN)],Tab_Def_Processes[Output_Flow_O_2],,0,)</f>
        <v>#N/A</v>
      </c>
      <c r="AG45" s="49" t="e">
        <f>_xlfn.XLOOKUP($E45,Tab_Def_Processes[Name(EN)],Tab_Def_Processes[Flow_ID_O_2],,0,)</f>
        <v>#N/A</v>
      </c>
      <c r="AH45" s="82"/>
      <c r="AI45" s="49" t="e">
        <f>_xlfn.XLOOKUP($E45,Tab_Def_Processes[Name(EN)],Tab_Def_Processes[Output_Flow_O_3],,0,)</f>
        <v>#N/A</v>
      </c>
      <c r="AJ45" s="49" t="e">
        <f>_xlfn.XLOOKUP($E45,Tab_Def_Processes[Name(EN)],Tab_Def_Processes[Flow_ID_O_3],,0,)</f>
        <v>#N/A</v>
      </c>
      <c r="AK45" s="82"/>
      <c r="AL45" s="49" t="e">
        <f>_xlfn.XLOOKUP($E45,Tab_Def_Processes[Name(EN)],Tab_Def_Processes[Output_Flow_O_4],,0,)</f>
        <v>#N/A</v>
      </c>
      <c r="AM45" s="49" t="e">
        <f>_xlfn.XLOOKUP($E45,Tab_Def_Processes[Name(EN)],Tab_Def_Processes[Flow_ID_O_4],,0,)</f>
        <v>#N/A</v>
      </c>
      <c r="AN45" s="82"/>
      <c r="AO45" s="49" t="e">
        <f>_xlfn.XLOOKUP($E45,Tab_Def_Processes[Name(EN)],Tab_Def_Processes[Output_Flow_O_5],,0,)</f>
        <v>#N/A</v>
      </c>
      <c r="AP45" s="49" t="e">
        <f>_xlfn.XLOOKUP($E45,Tab_Def_Processes[Name(EN)],Tab_Def_Processes[Flow_ID_O_5],,0,)</f>
        <v>#N/A</v>
      </c>
      <c r="AQ45" s="82"/>
      <c r="AR45" s="49" t="e">
        <f>_xlfn.XLOOKUP($E45,Tab_Def_Processes[Name(EN)],Tab_Def_Processes[Output_Flow_O_6],,0,)</f>
        <v>#N/A</v>
      </c>
      <c r="AS45" s="49" t="e">
        <f>_xlfn.XLOOKUP($E45,Tab_Def_Processes[Name(EN)],Tab_Def_Processes[Flow_ID_O_6],,0,)</f>
        <v>#N/A</v>
      </c>
      <c r="AT45" s="82"/>
      <c r="AU45" s="80">
        <f>SUM(Tab_Process_TCs[[#This Row],[Flow_TC O_6_'[%']]],Tab_Process_TCs[[#This Row],[Flow_TC O_5_'[%']]],Tab_Process_TCs[[#This Row],[Flow_TC_O_4_'[%']]],Tab_Process_TCs[[#This Row],[Flow_TC_O_3_'[%']]],,Tab_Process_TCs[[#This Row],[Flow_TC_O_2_'[%']]],Tab_Process_TCs[[#This Row],[Flow_TC_O_1_'[%']]])</f>
        <v>0</v>
      </c>
      <c r="AV45" s="51"/>
      <c r="AW45" s="51"/>
      <c r="AX45" s="51"/>
      <c r="AY45" s="51"/>
      <c r="AZ45" s="51"/>
    </row>
    <row r="46" spans="1:52" x14ac:dyDescent="0.35">
      <c r="A46" s="97" t="b">
        <v>0</v>
      </c>
      <c r="B46" s="49">
        <f t="shared" si="2"/>
        <v>45</v>
      </c>
      <c r="C46" s="49" t="e">
        <f t="shared" si="3"/>
        <v>#N/A</v>
      </c>
      <c r="D46" s="121" t="e">
        <f>_xlfn.XLOOKUP($E46,Tab_Def_Processes[Name(EN)],Tab_Def_Processes[ID],,0,)</f>
        <v>#N/A</v>
      </c>
      <c r="E46" s="51" t="s">
        <v>231</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60" t="e">
        <f>_xlfn.XLOOKUP($E46,Tab_Def_Processes[Name(EN)],Tab_Def_Processes[Input_Flow_I_1],,0,)</f>
        <v>#N/A</v>
      </c>
      <c r="N46" s="49" t="e">
        <f>_xlfn.XLOOKUP($E46,Tab_Def_Processes[Name(EN)],Tab_Def_Processes[Flow_ID_I_1],,0,)</f>
        <v>#N/A</v>
      </c>
      <c r="O46" s="82"/>
      <c r="P46" s="77" t="e">
        <f>_xlfn.XLOOKUP($E46,Tab_Def_Processes[Name(EN)],Tab_Def_Processes[Input_Flow_I_2],,0,)</f>
        <v>#N/A</v>
      </c>
      <c r="Q46" s="49" t="e">
        <f>_xlfn.XLOOKUP($E46,Tab_Def_Processes[Name(EN)],Tab_Def_Processes[Flow_ID_I_2],,0,)</f>
        <v>#N/A</v>
      </c>
      <c r="R46" s="82"/>
      <c r="S46" s="77" t="e">
        <f>_xlfn.XLOOKUP($E46,Tab_Def_Processes[Name(EN)],Tab_Def_Processes[Input_Flow_I_3],,0,)</f>
        <v>#N/A</v>
      </c>
      <c r="T46" s="49" t="e">
        <f>_xlfn.XLOOKUP($E46,Tab_Def_Processes[Name(EN)],Tab_Def_Processes[Flow_ID_I_3],,0,)</f>
        <v>#N/A</v>
      </c>
      <c r="U46" s="82"/>
      <c r="V46" s="77" t="e">
        <f>_xlfn.XLOOKUP($E46,Tab_Def_Processes[Name(EN)],Tab_Def_Processes[Input_Flow_I_4],,0,)</f>
        <v>#N/A</v>
      </c>
      <c r="W46" s="49" t="e">
        <f>_xlfn.XLOOKUP($E46,Tab_Def_Processes[Name(EN)],Tab_Def_Processes[Flow_ID_I_4],,0,)</f>
        <v>#N/A</v>
      </c>
      <c r="X46" s="82"/>
      <c r="Y46" s="77" t="e">
        <f>_xlfn.XLOOKUP($E46,Tab_Def_Processes[Name(EN)],Tab_Def_Processes[Input_Flow_I_5],,0,)</f>
        <v>#N/A</v>
      </c>
      <c r="Z46" s="49" t="e">
        <f>_xlfn.XLOOKUP($E46,Tab_Def_Processes[Name(EN)],Tab_Def_Processes[Flow_ID_I_5],,0,)</f>
        <v>#N/A</v>
      </c>
      <c r="AA46" s="82"/>
      <c r="AB46" s="80">
        <f>Tab_Process_TCs[[#This Row],[Flow_TC_I_1_'[%']]]+Tab_Process_TCs[[#This Row],[Flow_TC_I_2_'[%']]]+Tab_Process_TCs[[#This Row],[Flow_TC_I_3_'[%']]]+Tab_Process_TCs[[#This Row],[Flow_TC_I_4_'[%']]]+Tab_Process_TCs[[#This Row],[Flow_TC_I_5_'[%']]]</f>
        <v>0</v>
      </c>
      <c r="AC46" s="49" t="e">
        <f>_xlfn.XLOOKUP($E46,Tab_Def_Processes[Name(EN)],Tab_Def_Processes[Output_Flow_O_1],,0,)</f>
        <v>#N/A</v>
      </c>
      <c r="AD46" s="49" t="e">
        <f>_xlfn.XLOOKUP($E46,Tab_Def_Processes[Name(EN)],Tab_Def_Processes[Flow_ID_O_1],,0,)</f>
        <v>#N/A</v>
      </c>
      <c r="AE46" s="82"/>
      <c r="AF46" s="49" t="e">
        <f>_xlfn.XLOOKUP($E46,Tab_Def_Processes[Name(EN)],Tab_Def_Processes[Output_Flow_O_2],,0,)</f>
        <v>#N/A</v>
      </c>
      <c r="AG46" s="49" t="e">
        <f>_xlfn.XLOOKUP($E46,Tab_Def_Processes[Name(EN)],Tab_Def_Processes[Flow_ID_O_2],,0,)</f>
        <v>#N/A</v>
      </c>
      <c r="AH46" s="82"/>
      <c r="AI46" s="49" t="e">
        <f>_xlfn.XLOOKUP($E46,Tab_Def_Processes[Name(EN)],Tab_Def_Processes[Output_Flow_O_3],,0,)</f>
        <v>#N/A</v>
      </c>
      <c r="AJ46" s="49" t="e">
        <f>_xlfn.XLOOKUP($E46,Tab_Def_Processes[Name(EN)],Tab_Def_Processes[Flow_ID_O_3],,0,)</f>
        <v>#N/A</v>
      </c>
      <c r="AK46" s="82"/>
      <c r="AL46" s="49" t="e">
        <f>_xlfn.XLOOKUP($E46,Tab_Def_Processes[Name(EN)],Tab_Def_Processes[Output_Flow_O_4],,0,)</f>
        <v>#N/A</v>
      </c>
      <c r="AM46" s="49" t="e">
        <f>_xlfn.XLOOKUP($E46,Tab_Def_Processes[Name(EN)],Tab_Def_Processes[Flow_ID_O_4],,0,)</f>
        <v>#N/A</v>
      </c>
      <c r="AN46" s="82"/>
      <c r="AO46" s="49" t="e">
        <f>_xlfn.XLOOKUP($E46,Tab_Def_Processes[Name(EN)],Tab_Def_Processes[Output_Flow_O_5],,0,)</f>
        <v>#N/A</v>
      </c>
      <c r="AP46" s="49" t="e">
        <f>_xlfn.XLOOKUP($E46,Tab_Def_Processes[Name(EN)],Tab_Def_Processes[Flow_ID_O_5],,0,)</f>
        <v>#N/A</v>
      </c>
      <c r="AQ46" s="82"/>
      <c r="AR46" s="49" t="e">
        <f>_xlfn.XLOOKUP($E46,Tab_Def_Processes[Name(EN)],Tab_Def_Processes[Output_Flow_O_6],,0,)</f>
        <v>#N/A</v>
      </c>
      <c r="AS46" s="49" t="e">
        <f>_xlfn.XLOOKUP($E46,Tab_Def_Processes[Name(EN)],Tab_Def_Processes[Flow_ID_O_6],,0,)</f>
        <v>#N/A</v>
      </c>
      <c r="AT46" s="82"/>
      <c r="AU46" s="80">
        <f>SUM(Tab_Process_TCs[[#This Row],[Flow_TC O_6_'[%']]],Tab_Process_TCs[[#This Row],[Flow_TC O_5_'[%']]],Tab_Process_TCs[[#This Row],[Flow_TC_O_4_'[%']]],Tab_Process_TCs[[#This Row],[Flow_TC_O_3_'[%']]],,Tab_Process_TCs[[#This Row],[Flow_TC_O_2_'[%']]],Tab_Process_TCs[[#This Row],[Flow_TC_O_1_'[%']]])</f>
        <v>0</v>
      </c>
      <c r="AV46" s="51"/>
      <c r="AW46" s="51"/>
      <c r="AX46" s="51"/>
      <c r="AY46" s="51"/>
      <c r="AZ46" s="51"/>
    </row>
    <row r="47" spans="1:52" x14ac:dyDescent="0.35">
      <c r="A47" s="97" t="b">
        <v>0</v>
      </c>
      <c r="B47" s="49">
        <f t="shared" si="2"/>
        <v>46</v>
      </c>
      <c r="C47" s="49" t="e">
        <f t="shared" si="3"/>
        <v>#N/A</v>
      </c>
      <c r="D47" s="121" t="e">
        <f>_xlfn.XLOOKUP($E47,Tab_Def_Processes[Name(EN)],Tab_Def_Processes[ID],,0,)</f>
        <v>#N/A</v>
      </c>
      <c r="E47" s="51" t="s">
        <v>231</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60" t="e">
        <f>_xlfn.XLOOKUP($E47,Tab_Def_Processes[Name(EN)],Tab_Def_Processes[Input_Flow_I_1],,0,)</f>
        <v>#N/A</v>
      </c>
      <c r="N47" s="49" t="e">
        <f>_xlfn.XLOOKUP($E47,Tab_Def_Processes[Name(EN)],Tab_Def_Processes[Flow_ID_I_1],,0,)</f>
        <v>#N/A</v>
      </c>
      <c r="O47" s="82"/>
      <c r="P47" s="77" t="e">
        <f>_xlfn.XLOOKUP($E47,Tab_Def_Processes[Name(EN)],Tab_Def_Processes[Input_Flow_I_2],,0,)</f>
        <v>#N/A</v>
      </c>
      <c r="Q47" s="49" t="e">
        <f>_xlfn.XLOOKUP($E47,Tab_Def_Processes[Name(EN)],Tab_Def_Processes[Flow_ID_I_2],,0,)</f>
        <v>#N/A</v>
      </c>
      <c r="R47" s="82"/>
      <c r="S47" s="77" t="e">
        <f>_xlfn.XLOOKUP($E47,Tab_Def_Processes[Name(EN)],Tab_Def_Processes[Input_Flow_I_3],,0,)</f>
        <v>#N/A</v>
      </c>
      <c r="T47" s="49" t="e">
        <f>_xlfn.XLOOKUP($E47,Tab_Def_Processes[Name(EN)],Tab_Def_Processes[Flow_ID_I_3],,0,)</f>
        <v>#N/A</v>
      </c>
      <c r="U47" s="82"/>
      <c r="V47" s="77" t="e">
        <f>_xlfn.XLOOKUP($E47,Tab_Def_Processes[Name(EN)],Tab_Def_Processes[Input_Flow_I_4],,0,)</f>
        <v>#N/A</v>
      </c>
      <c r="W47" s="49" t="e">
        <f>_xlfn.XLOOKUP($E47,Tab_Def_Processes[Name(EN)],Tab_Def_Processes[Flow_ID_I_4],,0,)</f>
        <v>#N/A</v>
      </c>
      <c r="X47" s="82"/>
      <c r="Y47" s="77" t="e">
        <f>_xlfn.XLOOKUP($E47,Tab_Def_Processes[Name(EN)],Tab_Def_Processes[Input_Flow_I_5],,0,)</f>
        <v>#N/A</v>
      </c>
      <c r="Z47" s="49" t="e">
        <f>_xlfn.XLOOKUP($E47,Tab_Def_Processes[Name(EN)],Tab_Def_Processes[Flow_ID_I_5],,0,)</f>
        <v>#N/A</v>
      </c>
      <c r="AA47" s="82"/>
      <c r="AB47" s="80">
        <f>Tab_Process_TCs[[#This Row],[Flow_TC_I_1_'[%']]]+Tab_Process_TCs[[#This Row],[Flow_TC_I_2_'[%']]]+Tab_Process_TCs[[#This Row],[Flow_TC_I_3_'[%']]]+Tab_Process_TCs[[#This Row],[Flow_TC_I_4_'[%']]]+Tab_Process_TCs[[#This Row],[Flow_TC_I_5_'[%']]]</f>
        <v>0</v>
      </c>
      <c r="AC47" s="49" t="e">
        <f>_xlfn.XLOOKUP($E47,Tab_Def_Processes[Name(EN)],Tab_Def_Processes[Output_Flow_O_1],,0,)</f>
        <v>#N/A</v>
      </c>
      <c r="AD47" s="49" t="e">
        <f>_xlfn.XLOOKUP($E47,Tab_Def_Processes[Name(EN)],Tab_Def_Processes[Flow_ID_O_1],,0,)</f>
        <v>#N/A</v>
      </c>
      <c r="AE47" s="82"/>
      <c r="AF47" s="49" t="e">
        <f>_xlfn.XLOOKUP($E47,Tab_Def_Processes[Name(EN)],Tab_Def_Processes[Output_Flow_O_2],,0,)</f>
        <v>#N/A</v>
      </c>
      <c r="AG47" s="49" t="e">
        <f>_xlfn.XLOOKUP($E47,Tab_Def_Processes[Name(EN)],Tab_Def_Processes[Flow_ID_O_2],,0,)</f>
        <v>#N/A</v>
      </c>
      <c r="AH47" s="82"/>
      <c r="AI47" s="49" t="e">
        <f>_xlfn.XLOOKUP($E47,Tab_Def_Processes[Name(EN)],Tab_Def_Processes[Output_Flow_O_3],,0,)</f>
        <v>#N/A</v>
      </c>
      <c r="AJ47" s="49" t="e">
        <f>_xlfn.XLOOKUP($E47,Tab_Def_Processes[Name(EN)],Tab_Def_Processes[Flow_ID_O_3],,0,)</f>
        <v>#N/A</v>
      </c>
      <c r="AK47" s="82"/>
      <c r="AL47" s="49" t="e">
        <f>_xlfn.XLOOKUP($E47,Tab_Def_Processes[Name(EN)],Tab_Def_Processes[Output_Flow_O_4],,0,)</f>
        <v>#N/A</v>
      </c>
      <c r="AM47" s="49" t="e">
        <f>_xlfn.XLOOKUP($E47,Tab_Def_Processes[Name(EN)],Tab_Def_Processes[Flow_ID_O_4],,0,)</f>
        <v>#N/A</v>
      </c>
      <c r="AN47" s="82"/>
      <c r="AO47" s="49" t="e">
        <f>_xlfn.XLOOKUP($E47,Tab_Def_Processes[Name(EN)],Tab_Def_Processes[Output_Flow_O_5],,0,)</f>
        <v>#N/A</v>
      </c>
      <c r="AP47" s="49" t="e">
        <f>_xlfn.XLOOKUP($E47,Tab_Def_Processes[Name(EN)],Tab_Def_Processes[Flow_ID_O_5],,0,)</f>
        <v>#N/A</v>
      </c>
      <c r="AQ47" s="82"/>
      <c r="AR47" s="49" t="e">
        <f>_xlfn.XLOOKUP($E47,Tab_Def_Processes[Name(EN)],Tab_Def_Processes[Output_Flow_O_6],,0,)</f>
        <v>#N/A</v>
      </c>
      <c r="AS47" s="49" t="e">
        <f>_xlfn.XLOOKUP($E47,Tab_Def_Processes[Name(EN)],Tab_Def_Processes[Flow_ID_O_6],,0,)</f>
        <v>#N/A</v>
      </c>
      <c r="AT47" s="82"/>
      <c r="AU47" s="80">
        <f>SUM(Tab_Process_TCs[[#This Row],[Flow_TC O_6_'[%']]],Tab_Process_TCs[[#This Row],[Flow_TC O_5_'[%']]],Tab_Process_TCs[[#This Row],[Flow_TC_O_4_'[%']]],Tab_Process_TCs[[#This Row],[Flow_TC_O_3_'[%']]],,Tab_Process_TCs[[#This Row],[Flow_TC_O_2_'[%']]],Tab_Process_TCs[[#This Row],[Flow_TC_O_1_'[%']]])</f>
        <v>0</v>
      </c>
      <c r="AV47" s="51"/>
      <c r="AW47" s="51"/>
      <c r="AX47" s="51"/>
      <c r="AY47" s="51"/>
      <c r="AZ47" s="51"/>
    </row>
    <row r="48" spans="1:52" x14ac:dyDescent="0.35">
      <c r="A48" s="97" t="b">
        <v>0</v>
      </c>
      <c r="B48" s="49">
        <f t="shared" si="2"/>
        <v>47</v>
      </c>
      <c r="C48" s="49" t="e">
        <f t="shared" si="3"/>
        <v>#N/A</v>
      </c>
      <c r="D48" s="121" t="e">
        <f>_xlfn.XLOOKUP($E48,Tab_Def_Processes[Name(EN)],Tab_Def_Processes[ID],,0,)</f>
        <v>#N/A</v>
      </c>
      <c r="E48" s="51" t="s">
        <v>231</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60" t="e">
        <f>_xlfn.XLOOKUP($E48,Tab_Def_Processes[Name(EN)],Tab_Def_Processes[Input_Flow_I_1],,0,)</f>
        <v>#N/A</v>
      </c>
      <c r="N48" s="49" t="e">
        <f>_xlfn.XLOOKUP($E48,Tab_Def_Processes[Name(EN)],Tab_Def_Processes[Flow_ID_I_1],,0,)</f>
        <v>#N/A</v>
      </c>
      <c r="O48" s="82"/>
      <c r="P48" s="77" t="e">
        <f>_xlfn.XLOOKUP($E48,Tab_Def_Processes[Name(EN)],Tab_Def_Processes[Input_Flow_I_2],,0,)</f>
        <v>#N/A</v>
      </c>
      <c r="Q48" s="49" t="e">
        <f>_xlfn.XLOOKUP($E48,Tab_Def_Processes[Name(EN)],Tab_Def_Processes[Flow_ID_I_2],,0,)</f>
        <v>#N/A</v>
      </c>
      <c r="R48" s="82"/>
      <c r="S48" s="77" t="e">
        <f>_xlfn.XLOOKUP($E48,Tab_Def_Processes[Name(EN)],Tab_Def_Processes[Input_Flow_I_3],,0,)</f>
        <v>#N/A</v>
      </c>
      <c r="T48" s="49" t="e">
        <f>_xlfn.XLOOKUP($E48,Tab_Def_Processes[Name(EN)],Tab_Def_Processes[Flow_ID_I_3],,0,)</f>
        <v>#N/A</v>
      </c>
      <c r="U48" s="82"/>
      <c r="V48" s="77" t="e">
        <f>_xlfn.XLOOKUP($E48,Tab_Def_Processes[Name(EN)],Tab_Def_Processes[Input_Flow_I_4],,0,)</f>
        <v>#N/A</v>
      </c>
      <c r="W48" s="49" t="e">
        <f>_xlfn.XLOOKUP($E48,Tab_Def_Processes[Name(EN)],Tab_Def_Processes[Flow_ID_I_4],,0,)</f>
        <v>#N/A</v>
      </c>
      <c r="X48" s="82"/>
      <c r="Y48" s="77" t="e">
        <f>_xlfn.XLOOKUP($E48,Tab_Def_Processes[Name(EN)],Tab_Def_Processes[Input_Flow_I_5],,0,)</f>
        <v>#N/A</v>
      </c>
      <c r="Z48" s="49" t="e">
        <f>_xlfn.XLOOKUP($E48,Tab_Def_Processes[Name(EN)],Tab_Def_Processes[Flow_ID_I_5],,0,)</f>
        <v>#N/A</v>
      </c>
      <c r="AA48" s="82"/>
      <c r="AB48" s="80">
        <f>Tab_Process_TCs[[#This Row],[Flow_TC_I_1_'[%']]]+Tab_Process_TCs[[#This Row],[Flow_TC_I_2_'[%']]]+Tab_Process_TCs[[#This Row],[Flow_TC_I_3_'[%']]]+Tab_Process_TCs[[#This Row],[Flow_TC_I_4_'[%']]]+Tab_Process_TCs[[#This Row],[Flow_TC_I_5_'[%']]]</f>
        <v>0</v>
      </c>
      <c r="AC48" s="49" t="e">
        <f>_xlfn.XLOOKUP($E48,Tab_Def_Processes[Name(EN)],Tab_Def_Processes[Output_Flow_O_1],,0,)</f>
        <v>#N/A</v>
      </c>
      <c r="AD48" s="49" t="e">
        <f>_xlfn.XLOOKUP($E48,Tab_Def_Processes[Name(EN)],Tab_Def_Processes[Flow_ID_O_1],,0,)</f>
        <v>#N/A</v>
      </c>
      <c r="AE48" s="82"/>
      <c r="AF48" s="49" t="e">
        <f>_xlfn.XLOOKUP($E48,Tab_Def_Processes[Name(EN)],Tab_Def_Processes[Output_Flow_O_2],,0,)</f>
        <v>#N/A</v>
      </c>
      <c r="AG48" s="49" t="e">
        <f>_xlfn.XLOOKUP($E48,Tab_Def_Processes[Name(EN)],Tab_Def_Processes[Flow_ID_O_2],,0,)</f>
        <v>#N/A</v>
      </c>
      <c r="AH48" s="82"/>
      <c r="AI48" s="49" t="e">
        <f>_xlfn.XLOOKUP($E48,Tab_Def_Processes[Name(EN)],Tab_Def_Processes[Output_Flow_O_3],,0,)</f>
        <v>#N/A</v>
      </c>
      <c r="AJ48" s="49" t="e">
        <f>_xlfn.XLOOKUP($E48,Tab_Def_Processes[Name(EN)],Tab_Def_Processes[Flow_ID_O_3],,0,)</f>
        <v>#N/A</v>
      </c>
      <c r="AK48" s="82"/>
      <c r="AL48" s="49" t="e">
        <f>_xlfn.XLOOKUP($E48,Tab_Def_Processes[Name(EN)],Tab_Def_Processes[Output_Flow_O_4],,0,)</f>
        <v>#N/A</v>
      </c>
      <c r="AM48" s="49" t="e">
        <f>_xlfn.XLOOKUP($E48,Tab_Def_Processes[Name(EN)],Tab_Def_Processes[Flow_ID_O_4],,0,)</f>
        <v>#N/A</v>
      </c>
      <c r="AN48" s="82"/>
      <c r="AO48" s="49" t="e">
        <f>_xlfn.XLOOKUP($E48,Tab_Def_Processes[Name(EN)],Tab_Def_Processes[Output_Flow_O_5],,0,)</f>
        <v>#N/A</v>
      </c>
      <c r="AP48" s="49" t="e">
        <f>_xlfn.XLOOKUP($E48,Tab_Def_Processes[Name(EN)],Tab_Def_Processes[Flow_ID_O_5],,0,)</f>
        <v>#N/A</v>
      </c>
      <c r="AQ48" s="82"/>
      <c r="AR48" s="49" t="e">
        <f>_xlfn.XLOOKUP($E48,Tab_Def_Processes[Name(EN)],Tab_Def_Processes[Output_Flow_O_6],,0,)</f>
        <v>#N/A</v>
      </c>
      <c r="AS48" s="49" t="e">
        <f>_xlfn.XLOOKUP($E48,Tab_Def_Processes[Name(EN)],Tab_Def_Processes[Flow_ID_O_6],,0,)</f>
        <v>#N/A</v>
      </c>
      <c r="AT48" s="82"/>
      <c r="AU48" s="80">
        <f>SUM(Tab_Process_TCs[[#This Row],[Flow_TC O_6_'[%']]],Tab_Process_TCs[[#This Row],[Flow_TC O_5_'[%']]],Tab_Process_TCs[[#This Row],[Flow_TC_O_4_'[%']]],Tab_Process_TCs[[#This Row],[Flow_TC_O_3_'[%']]],,Tab_Process_TCs[[#This Row],[Flow_TC_O_2_'[%']]],Tab_Process_TCs[[#This Row],[Flow_TC_O_1_'[%']]])</f>
        <v>0</v>
      </c>
      <c r="AV48" s="51"/>
      <c r="AW48" s="51"/>
      <c r="AX48" s="51"/>
      <c r="AY48" s="51"/>
      <c r="AZ48" s="51"/>
    </row>
    <row r="49" spans="1:52" x14ac:dyDescent="0.35">
      <c r="A49" s="97" t="b">
        <v>0</v>
      </c>
      <c r="B49" s="49">
        <f t="shared" si="2"/>
        <v>48</v>
      </c>
      <c r="C49" s="49" t="e">
        <f t="shared" si="3"/>
        <v>#N/A</v>
      </c>
      <c r="D49" s="121" t="e">
        <f>_xlfn.XLOOKUP($E49,Tab_Def_Processes[Name(EN)],Tab_Def_Processes[ID],,0,)</f>
        <v>#N/A</v>
      </c>
      <c r="E49" s="51" t="s">
        <v>231</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60" t="e">
        <f>_xlfn.XLOOKUP($E49,Tab_Def_Processes[Name(EN)],Tab_Def_Processes[Input_Flow_I_1],,0,)</f>
        <v>#N/A</v>
      </c>
      <c r="N49" s="49" t="e">
        <f>_xlfn.XLOOKUP($E49,Tab_Def_Processes[Name(EN)],Tab_Def_Processes[Flow_ID_I_1],,0,)</f>
        <v>#N/A</v>
      </c>
      <c r="O49" s="82"/>
      <c r="P49" s="77" t="e">
        <f>_xlfn.XLOOKUP($E49,Tab_Def_Processes[Name(EN)],Tab_Def_Processes[Input_Flow_I_2],,0,)</f>
        <v>#N/A</v>
      </c>
      <c r="Q49" s="49" t="e">
        <f>_xlfn.XLOOKUP($E49,Tab_Def_Processes[Name(EN)],Tab_Def_Processes[Flow_ID_I_2],,0,)</f>
        <v>#N/A</v>
      </c>
      <c r="R49" s="82"/>
      <c r="S49" s="77" t="e">
        <f>_xlfn.XLOOKUP($E49,Tab_Def_Processes[Name(EN)],Tab_Def_Processes[Input_Flow_I_3],,0,)</f>
        <v>#N/A</v>
      </c>
      <c r="T49" s="49" t="e">
        <f>_xlfn.XLOOKUP($E49,Tab_Def_Processes[Name(EN)],Tab_Def_Processes[Flow_ID_I_3],,0,)</f>
        <v>#N/A</v>
      </c>
      <c r="U49" s="82"/>
      <c r="V49" s="77" t="e">
        <f>_xlfn.XLOOKUP($E49,Tab_Def_Processes[Name(EN)],Tab_Def_Processes[Input_Flow_I_4],,0,)</f>
        <v>#N/A</v>
      </c>
      <c r="W49" s="49" t="e">
        <f>_xlfn.XLOOKUP($E49,Tab_Def_Processes[Name(EN)],Tab_Def_Processes[Flow_ID_I_4],,0,)</f>
        <v>#N/A</v>
      </c>
      <c r="X49" s="82"/>
      <c r="Y49" s="77" t="e">
        <f>_xlfn.XLOOKUP($E49,Tab_Def_Processes[Name(EN)],Tab_Def_Processes[Input_Flow_I_5],,0,)</f>
        <v>#N/A</v>
      </c>
      <c r="Z49" s="49" t="e">
        <f>_xlfn.XLOOKUP($E49,Tab_Def_Processes[Name(EN)],Tab_Def_Processes[Flow_ID_I_5],,0,)</f>
        <v>#N/A</v>
      </c>
      <c r="AA49" s="82"/>
      <c r="AB49" s="80">
        <f>Tab_Process_TCs[[#This Row],[Flow_TC_I_1_'[%']]]+Tab_Process_TCs[[#This Row],[Flow_TC_I_2_'[%']]]+Tab_Process_TCs[[#This Row],[Flow_TC_I_3_'[%']]]+Tab_Process_TCs[[#This Row],[Flow_TC_I_4_'[%']]]+Tab_Process_TCs[[#This Row],[Flow_TC_I_5_'[%']]]</f>
        <v>0</v>
      </c>
      <c r="AC49" s="49" t="e">
        <f>_xlfn.XLOOKUP($E49,Tab_Def_Processes[Name(EN)],Tab_Def_Processes[Output_Flow_O_1],,0,)</f>
        <v>#N/A</v>
      </c>
      <c r="AD49" s="49" t="e">
        <f>_xlfn.XLOOKUP($E49,Tab_Def_Processes[Name(EN)],Tab_Def_Processes[Flow_ID_O_1],,0,)</f>
        <v>#N/A</v>
      </c>
      <c r="AE49" s="82"/>
      <c r="AF49" s="49" t="e">
        <f>_xlfn.XLOOKUP($E49,Tab_Def_Processes[Name(EN)],Tab_Def_Processes[Output_Flow_O_2],,0,)</f>
        <v>#N/A</v>
      </c>
      <c r="AG49" s="49" t="e">
        <f>_xlfn.XLOOKUP($E49,Tab_Def_Processes[Name(EN)],Tab_Def_Processes[Flow_ID_O_2],,0,)</f>
        <v>#N/A</v>
      </c>
      <c r="AH49" s="82"/>
      <c r="AI49" s="49" t="e">
        <f>_xlfn.XLOOKUP($E49,Tab_Def_Processes[Name(EN)],Tab_Def_Processes[Output_Flow_O_3],,0,)</f>
        <v>#N/A</v>
      </c>
      <c r="AJ49" s="49" t="e">
        <f>_xlfn.XLOOKUP($E49,Tab_Def_Processes[Name(EN)],Tab_Def_Processes[Flow_ID_O_3],,0,)</f>
        <v>#N/A</v>
      </c>
      <c r="AK49" s="82"/>
      <c r="AL49" s="49" t="e">
        <f>_xlfn.XLOOKUP($E49,Tab_Def_Processes[Name(EN)],Tab_Def_Processes[Output_Flow_O_4],,0,)</f>
        <v>#N/A</v>
      </c>
      <c r="AM49" s="49" t="e">
        <f>_xlfn.XLOOKUP($E49,Tab_Def_Processes[Name(EN)],Tab_Def_Processes[Flow_ID_O_4],,0,)</f>
        <v>#N/A</v>
      </c>
      <c r="AN49" s="82"/>
      <c r="AO49" s="49" t="e">
        <f>_xlfn.XLOOKUP($E49,Tab_Def_Processes[Name(EN)],Tab_Def_Processes[Output_Flow_O_5],,0,)</f>
        <v>#N/A</v>
      </c>
      <c r="AP49" s="49" t="e">
        <f>_xlfn.XLOOKUP($E49,Tab_Def_Processes[Name(EN)],Tab_Def_Processes[Flow_ID_O_5],,0,)</f>
        <v>#N/A</v>
      </c>
      <c r="AQ49" s="82"/>
      <c r="AR49" s="49" t="e">
        <f>_xlfn.XLOOKUP($E49,Tab_Def_Processes[Name(EN)],Tab_Def_Processes[Output_Flow_O_6],,0,)</f>
        <v>#N/A</v>
      </c>
      <c r="AS49" s="49" t="e">
        <f>_xlfn.XLOOKUP($E49,Tab_Def_Processes[Name(EN)],Tab_Def_Processes[Flow_ID_O_6],,0,)</f>
        <v>#N/A</v>
      </c>
      <c r="AT49" s="82"/>
      <c r="AU49" s="80">
        <f>SUM(Tab_Process_TCs[[#This Row],[Flow_TC O_6_'[%']]],Tab_Process_TCs[[#This Row],[Flow_TC O_5_'[%']]],Tab_Process_TCs[[#This Row],[Flow_TC_O_4_'[%']]],Tab_Process_TCs[[#This Row],[Flow_TC_O_3_'[%']]],,Tab_Process_TCs[[#This Row],[Flow_TC_O_2_'[%']]],Tab_Process_TCs[[#This Row],[Flow_TC_O_1_'[%']]])</f>
        <v>0</v>
      </c>
      <c r="AV49" s="51"/>
      <c r="AW49" s="51"/>
      <c r="AX49" s="51"/>
      <c r="AY49" s="51"/>
      <c r="AZ49" s="51"/>
    </row>
    <row r="50" spans="1:52" x14ac:dyDescent="0.35">
      <c r="A50" s="97" t="b">
        <v>0</v>
      </c>
      <c r="B50" s="49">
        <f t="shared" si="2"/>
        <v>49</v>
      </c>
      <c r="C50" s="49" t="e">
        <f t="shared" si="3"/>
        <v>#N/A</v>
      </c>
      <c r="D50" s="121" t="e">
        <f>_xlfn.XLOOKUP($E50,Tab_Def_Processes[Name(EN)],Tab_Def_Processes[ID],,0,)</f>
        <v>#N/A</v>
      </c>
      <c r="E50" s="51" t="s">
        <v>231</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60" t="e">
        <f>_xlfn.XLOOKUP($E50,Tab_Def_Processes[Name(EN)],Tab_Def_Processes[Input_Flow_I_1],,0,)</f>
        <v>#N/A</v>
      </c>
      <c r="N50" s="49" t="e">
        <f>_xlfn.XLOOKUP($E50,Tab_Def_Processes[Name(EN)],Tab_Def_Processes[Flow_ID_I_1],,0,)</f>
        <v>#N/A</v>
      </c>
      <c r="O50" s="82"/>
      <c r="P50" s="77" t="e">
        <f>_xlfn.XLOOKUP($E50,Tab_Def_Processes[Name(EN)],Tab_Def_Processes[Input_Flow_I_2],,0,)</f>
        <v>#N/A</v>
      </c>
      <c r="Q50" s="49" t="e">
        <f>_xlfn.XLOOKUP($E50,Tab_Def_Processes[Name(EN)],Tab_Def_Processes[Flow_ID_I_2],,0,)</f>
        <v>#N/A</v>
      </c>
      <c r="R50" s="82"/>
      <c r="S50" s="77" t="e">
        <f>_xlfn.XLOOKUP($E50,Tab_Def_Processes[Name(EN)],Tab_Def_Processes[Input_Flow_I_3],,0,)</f>
        <v>#N/A</v>
      </c>
      <c r="T50" s="49" t="e">
        <f>_xlfn.XLOOKUP($E50,Tab_Def_Processes[Name(EN)],Tab_Def_Processes[Flow_ID_I_3],,0,)</f>
        <v>#N/A</v>
      </c>
      <c r="U50" s="82"/>
      <c r="V50" s="77" t="e">
        <f>_xlfn.XLOOKUP($E50,Tab_Def_Processes[Name(EN)],Tab_Def_Processes[Input_Flow_I_4],,0,)</f>
        <v>#N/A</v>
      </c>
      <c r="W50" s="49" t="e">
        <f>_xlfn.XLOOKUP($E50,Tab_Def_Processes[Name(EN)],Tab_Def_Processes[Flow_ID_I_4],,0,)</f>
        <v>#N/A</v>
      </c>
      <c r="X50" s="82"/>
      <c r="Y50" s="77" t="e">
        <f>_xlfn.XLOOKUP($E50,Tab_Def_Processes[Name(EN)],Tab_Def_Processes[Input_Flow_I_5],,0,)</f>
        <v>#N/A</v>
      </c>
      <c r="Z50" s="49" t="e">
        <f>_xlfn.XLOOKUP($E50,Tab_Def_Processes[Name(EN)],Tab_Def_Processes[Flow_ID_I_5],,0,)</f>
        <v>#N/A</v>
      </c>
      <c r="AA50" s="82"/>
      <c r="AB50" s="80">
        <f>Tab_Process_TCs[[#This Row],[Flow_TC_I_1_'[%']]]+Tab_Process_TCs[[#This Row],[Flow_TC_I_2_'[%']]]+Tab_Process_TCs[[#This Row],[Flow_TC_I_3_'[%']]]+Tab_Process_TCs[[#This Row],[Flow_TC_I_4_'[%']]]+Tab_Process_TCs[[#This Row],[Flow_TC_I_5_'[%']]]</f>
        <v>0</v>
      </c>
      <c r="AC50" s="49" t="e">
        <f>_xlfn.XLOOKUP($E50,Tab_Def_Processes[Name(EN)],Tab_Def_Processes[Output_Flow_O_1],,0,)</f>
        <v>#N/A</v>
      </c>
      <c r="AD50" s="49" t="e">
        <f>_xlfn.XLOOKUP($E50,Tab_Def_Processes[Name(EN)],Tab_Def_Processes[Flow_ID_O_1],,0,)</f>
        <v>#N/A</v>
      </c>
      <c r="AE50" s="82"/>
      <c r="AF50" s="49" t="e">
        <f>_xlfn.XLOOKUP($E50,Tab_Def_Processes[Name(EN)],Tab_Def_Processes[Output_Flow_O_2],,0,)</f>
        <v>#N/A</v>
      </c>
      <c r="AG50" s="49" t="e">
        <f>_xlfn.XLOOKUP($E50,Tab_Def_Processes[Name(EN)],Tab_Def_Processes[Flow_ID_O_2],,0,)</f>
        <v>#N/A</v>
      </c>
      <c r="AH50" s="82"/>
      <c r="AI50" s="49" t="e">
        <f>_xlfn.XLOOKUP($E50,Tab_Def_Processes[Name(EN)],Tab_Def_Processes[Output_Flow_O_3],,0,)</f>
        <v>#N/A</v>
      </c>
      <c r="AJ50" s="49" t="e">
        <f>_xlfn.XLOOKUP($E50,Tab_Def_Processes[Name(EN)],Tab_Def_Processes[Flow_ID_O_3],,0,)</f>
        <v>#N/A</v>
      </c>
      <c r="AK50" s="82"/>
      <c r="AL50" s="49" t="e">
        <f>_xlfn.XLOOKUP($E50,Tab_Def_Processes[Name(EN)],Tab_Def_Processes[Output_Flow_O_4],,0,)</f>
        <v>#N/A</v>
      </c>
      <c r="AM50" s="49" t="e">
        <f>_xlfn.XLOOKUP($E50,Tab_Def_Processes[Name(EN)],Tab_Def_Processes[Flow_ID_O_4],,0,)</f>
        <v>#N/A</v>
      </c>
      <c r="AN50" s="82"/>
      <c r="AO50" s="49" t="e">
        <f>_xlfn.XLOOKUP($E50,Tab_Def_Processes[Name(EN)],Tab_Def_Processes[Output_Flow_O_5],,0,)</f>
        <v>#N/A</v>
      </c>
      <c r="AP50" s="49" t="e">
        <f>_xlfn.XLOOKUP($E50,Tab_Def_Processes[Name(EN)],Tab_Def_Processes[Flow_ID_O_5],,0,)</f>
        <v>#N/A</v>
      </c>
      <c r="AQ50" s="82"/>
      <c r="AR50" s="49" t="e">
        <f>_xlfn.XLOOKUP($E50,Tab_Def_Processes[Name(EN)],Tab_Def_Processes[Output_Flow_O_6],,0,)</f>
        <v>#N/A</v>
      </c>
      <c r="AS50" s="49" t="e">
        <f>_xlfn.XLOOKUP($E50,Tab_Def_Processes[Name(EN)],Tab_Def_Processes[Flow_ID_O_6],,0,)</f>
        <v>#N/A</v>
      </c>
      <c r="AT50" s="82"/>
      <c r="AU50" s="80">
        <f>SUM(Tab_Process_TCs[[#This Row],[Flow_TC O_6_'[%']]],Tab_Process_TCs[[#This Row],[Flow_TC O_5_'[%']]],Tab_Process_TCs[[#This Row],[Flow_TC_O_4_'[%']]],Tab_Process_TCs[[#This Row],[Flow_TC_O_3_'[%']]],,Tab_Process_TCs[[#This Row],[Flow_TC_O_2_'[%']]],Tab_Process_TCs[[#This Row],[Flow_TC_O_1_'[%']]])</f>
        <v>0</v>
      </c>
      <c r="AV50" s="51"/>
      <c r="AW50" s="51"/>
      <c r="AX50" s="51"/>
      <c r="AY50" s="51"/>
      <c r="AZ50" s="51"/>
    </row>
    <row r="51" spans="1:52" ht="15" thickBot="1" x14ac:dyDescent="0.4">
      <c r="A51" s="97" t="b">
        <v>0</v>
      </c>
      <c r="B51" s="49">
        <f t="shared" si="2"/>
        <v>50</v>
      </c>
      <c r="C51" s="49" t="e">
        <f t="shared" si="3"/>
        <v>#N/A</v>
      </c>
      <c r="D51" s="121" t="e">
        <f>_xlfn.XLOOKUP($E51,Tab_Def_Processes[Name(EN)],Tab_Def_Processes[ID],,0,)</f>
        <v>#N/A</v>
      </c>
      <c r="E51" s="51" t="s">
        <v>231</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62" t="e">
        <f>_xlfn.XLOOKUP($E51,Tab_Def_Processes[Name(EN)],Tab_Def_Processes[Input_Flow_I_1],,0,)</f>
        <v>#N/A</v>
      </c>
      <c r="N51" s="63" t="e">
        <f>_xlfn.XLOOKUP($E51,Tab_Def_Processes[Name(EN)],Tab_Def_Processes[Flow_ID_I_1],,0,)</f>
        <v>#N/A</v>
      </c>
      <c r="O51" s="82"/>
      <c r="P51" s="78" t="e">
        <f>_xlfn.XLOOKUP($E51,Tab_Def_Processes[Name(EN)],Tab_Def_Processes[Input_Flow_I_2],,0,)</f>
        <v>#N/A</v>
      </c>
      <c r="Q51" s="63" t="e">
        <f>_xlfn.XLOOKUP($E51,Tab_Def_Processes[Name(EN)],Tab_Def_Processes[Flow_ID_I_2],,0,)</f>
        <v>#N/A</v>
      </c>
      <c r="R51" s="82"/>
      <c r="S51" s="78" t="e">
        <f>_xlfn.XLOOKUP($E51,Tab_Def_Processes[Name(EN)],Tab_Def_Processes[Input_Flow_I_3],,0,)</f>
        <v>#N/A</v>
      </c>
      <c r="T51" s="63" t="e">
        <f>_xlfn.XLOOKUP($E51,Tab_Def_Processes[Name(EN)],Tab_Def_Processes[Flow_ID_I_3],,0,)</f>
        <v>#N/A</v>
      </c>
      <c r="U51" s="82"/>
      <c r="V51" s="78" t="e">
        <f>_xlfn.XLOOKUP($E51,Tab_Def_Processes[Name(EN)],Tab_Def_Processes[Input_Flow_I_4],,0,)</f>
        <v>#N/A</v>
      </c>
      <c r="W51" s="63" t="e">
        <f>_xlfn.XLOOKUP($E51,Tab_Def_Processes[Name(EN)],Tab_Def_Processes[Flow_ID_I_4],,0,)</f>
        <v>#N/A</v>
      </c>
      <c r="X51" s="82"/>
      <c r="Y51" s="78" t="e">
        <f>_xlfn.XLOOKUP($E51,Tab_Def_Processes[Name(EN)],Tab_Def_Processes[Input_Flow_I_5],,0,)</f>
        <v>#N/A</v>
      </c>
      <c r="Z51" s="63" t="e">
        <f>_xlfn.XLOOKUP($E51,Tab_Def_Processes[Name(EN)],Tab_Def_Processes[Flow_ID_I_5],,0,)</f>
        <v>#N/A</v>
      </c>
      <c r="AA51" s="82"/>
      <c r="AB51" s="81">
        <f>Tab_Process_TCs[[#This Row],[Flow_TC_I_1_'[%']]]+Tab_Process_TCs[[#This Row],[Flow_TC_I_2_'[%']]]+Tab_Process_TCs[[#This Row],[Flow_TC_I_3_'[%']]]+Tab_Process_TCs[[#This Row],[Flow_TC_I_4_'[%']]]+Tab_Process_TCs[[#This Row],[Flow_TC_I_5_'[%']]]</f>
        <v>0</v>
      </c>
      <c r="AC51" s="63" t="e">
        <f>_xlfn.XLOOKUP($E51,Tab_Def_Processes[Name(EN)],Tab_Def_Processes[Output_Flow_O_1],,0,)</f>
        <v>#N/A</v>
      </c>
      <c r="AD51" s="63" t="e">
        <f>_xlfn.XLOOKUP($E51,Tab_Def_Processes[Name(EN)],Tab_Def_Processes[Flow_ID_O_1],,0,)</f>
        <v>#N/A</v>
      </c>
      <c r="AE51" s="82"/>
      <c r="AF51" s="63" t="e">
        <f>_xlfn.XLOOKUP($E51,Tab_Def_Processes[Name(EN)],Tab_Def_Processes[Output_Flow_O_2],,0,)</f>
        <v>#N/A</v>
      </c>
      <c r="AG51" s="63" t="e">
        <f>_xlfn.XLOOKUP($E51,Tab_Def_Processes[Name(EN)],Tab_Def_Processes[Flow_ID_O_2],,0,)</f>
        <v>#N/A</v>
      </c>
      <c r="AH51" s="82"/>
      <c r="AI51" s="63" t="e">
        <f>_xlfn.XLOOKUP($E51,Tab_Def_Processes[Name(EN)],Tab_Def_Processes[Output_Flow_O_3],,0,)</f>
        <v>#N/A</v>
      </c>
      <c r="AJ51" s="63" t="e">
        <f>_xlfn.XLOOKUP($E51,Tab_Def_Processes[Name(EN)],Tab_Def_Processes[Flow_ID_O_3],,0,)</f>
        <v>#N/A</v>
      </c>
      <c r="AK51" s="82"/>
      <c r="AL51" s="63" t="e">
        <f>_xlfn.XLOOKUP($E51,Tab_Def_Processes[Name(EN)],Tab_Def_Processes[Output_Flow_O_4],,0,)</f>
        <v>#N/A</v>
      </c>
      <c r="AM51" s="63" t="e">
        <f>_xlfn.XLOOKUP($E51,Tab_Def_Processes[Name(EN)],Tab_Def_Processes[Flow_ID_O_4],,0,)</f>
        <v>#N/A</v>
      </c>
      <c r="AN51" s="82"/>
      <c r="AO51" s="63" t="e">
        <f>_xlfn.XLOOKUP($E51,Tab_Def_Processes[Name(EN)],Tab_Def_Processes[Output_Flow_O_5],,0,)</f>
        <v>#N/A</v>
      </c>
      <c r="AP51" s="63" t="e">
        <f>_xlfn.XLOOKUP($E51,Tab_Def_Processes[Name(EN)],Tab_Def_Processes[Flow_ID_O_5],,0,)</f>
        <v>#N/A</v>
      </c>
      <c r="AQ51" s="82"/>
      <c r="AR51" s="63" t="e">
        <f>_xlfn.XLOOKUP($E51,Tab_Def_Processes[Name(EN)],Tab_Def_Processes[Output_Flow_O_6],,0,)</f>
        <v>#N/A</v>
      </c>
      <c r="AS51" s="63" t="e">
        <f>_xlfn.XLOOKUP($E51,Tab_Def_Processes[Name(EN)],Tab_Def_Processes[Flow_ID_O_6],,0,)</f>
        <v>#N/A</v>
      </c>
      <c r="AT51" s="82"/>
      <c r="AU51" s="81">
        <f>SUM(Tab_Process_TCs[[#This Row],[Flow_TC O_6_'[%']]],Tab_Process_TCs[[#This Row],[Flow_TC O_5_'[%']]],Tab_Process_TCs[[#This Row],[Flow_TC_O_4_'[%']]],Tab_Process_TCs[[#This Row],[Flow_TC_O_3_'[%']]],,Tab_Process_TCs[[#This Row],[Flow_TC_O_2_'[%']]],Tab_Process_TCs[[#This Row],[Flow_TC_O_1_'[%']]])</f>
        <v>0</v>
      </c>
      <c r="AV51" s="51"/>
      <c r="AW51" s="51"/>
      <c r="AX51" s="51"/>
      <c r="AY51" s="51"/>
      <c r="AZ51" s="51"/>
    </row>
    <row r="52" spans="1:52" x14ac:dyDescent="0.35">
      <c r="A52" s="97" t="b">
        <v>0</v>
      </c>
      <c r="B52" s="49">
        <f t="shared" ref="B52:B63" si="4">ROW()-1</f>
        <v>51</v>
      </c>
      <c r="C52" s="49" t="str">
        <f t="shared" si="3"/>
        <v>TC51_21___0</v>
      </c>
      <c r="D52" s="121" t="str">
        <f>_xlfn.XLOOKUP($E52,Tab_Def_Processes[Name(EN)],Tab_Def_Processes[ID],,0,)</f>
        <v>21</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60" t="str">
        <f>_xlfn.XLOOKUP($E52,Tab_Def_Processes[Name(EN)],Tab_Def_Processes[Input_Flow_I_1],,0,)</f>
        <v>N.A.</v>
      </c>
      <c r="N52" s="49" t="e">
        <f>_xlfn.XLOOKUP($E52,Tab_Def_Processes[Name(EN)],Tab_Def_Processes[Flow_ID_I_1],,0,)</f>
        <v>#N/A</v>
      </c>
      <c r="O52" s="84"/>
      <c r="P52" s="77" t="str">
        <f>_xlfn.XLOOKUP($E52,Tab_Def_Processes[Name(EN)],Tab_Def_Processes[Input_Flow_I_2],,0,)</f>
        <v>N.A.</v>
      </c>
      <c r="Q52" s="49" t="e">
        <f>_xlfn.XLOOKUP($E52,Tab_Def_Processes[Name(EN)],Tab_Def_Processes[Flow_ID_I_2],,0,)</f>
        <v>#N/A</v>
      </c>
      <c r="R52" s="84"/>
      <c r="S52" s="77" t="str">
        <f>_xlfn.XLOOKUP($E52,Tab_Def_Processes[Name(EN)],Tab_Def_Processes[Input_Flow_I_3],,0,)</f>
        <v>N.A.</v>
      </c>
      <c r="T52" s="49" t="e">
        <f>_xlfn.XLOOKUP($E52,Tab_Def_Processes[Name(EN)],Tab_Def_Processes[Flow_ID_I_3],,0,)</f>
        <v>#N/A</v>
      </c>
      <c r="U52" s="84"/>
      <c r="V52" s="77" t="str">
        <f>_xlfn.XLOOKUP($E52,Tab_Def_Processes[Name(EN)],Tab_Def_Processes[Input_Flow_I_4],,0,)</f>
        <v>N.A.</v>
      </c>
      <c r="W52" s="49" t="e">
        <f>_xlfn.XLOOKUP($E52,Tab_Def_Processes[Name(EN)],Tab_Def_Processes[Flow_ID_I_4],,0,)</f>
        <v>#N/A</v>
      </c>
      <c r="X52" s="84"/>
      <c r="Y52" s="77" t="str">
        <f>_xlfn.XLOOKUP($E52,Tab_Def_Processes[Name(EN)],Tab_Def_Processes[Input_Flow_I_5],,0,)</f>
        <v>N.A.</v>
      </c>
      <c r="Z52" s="49" t="e">
        <f>_xlfn.XLOOKUP($E52,Tab_Def_Processes[Name(EN)],Tab_Def_Processes[Flow_ID_I_5],,0,)</f>
        <v>#N/A</v>
      </c>
      <c r="AA52" s="84"/>
      <c r="AB52" s="98">
        <f>Tab_Process_TCs[[#This Row],[Flow_TC_I_1_'[%']]]+Tab_Process_TCs[[#This Row],[Flow_TC_I_2_'[%']]]+Tab_Process_TCs[[#This Row],[Flow_TC_I_3_'[%']]]+Tab_Process_TCs[[#This Row],[Flow_TC_I_4_'[%']]]+Tab_Process_TCs[[#This Row],[Flow_TC_I_5_'[%']]]</f>
        <v>0</v>
      </c>
      <c r="AC52" s="49" t="str">
        <f>_xlfn.XLOOKUP($E52,Tab_Def_Processes[Name(EN)],Tab_Def_Processes[Output_Flow_O_1],,0,)</f>
        <v>N.A.</v>
      </c>
      <c r="AD52" s="49" t="e">
        <f>_xlfn.XLOOKUP($E52,Tab_Def_Processes[Name(EN)],Tab_Def_Processes[Flow_ID_O_1],,0,)</f>
        <v>#N/A</v>
      </c>
      <c r="AE52" s="84"/>
      <c r="AF52" s="49" t="str">
        <f>_xlfn.XLOOKUP($E52,Tab_Def_Processes[Name(EN)],Tab_Def_Processes[Output_Flow_O_2],,0,)</f>
        <v>N.A.</v>
      </c>
      <c r="AG52" s="49" t="e">
        <f>_xlfn.XLOOKUP($E52,Tab_Def_Processes[Name(EN)],Tab_Def_Processes[Flow_ID_O_2],,0,)</f>
        <v>#N/A</v>
      </c>
      <c r="AH52" s="84"/>
      <c r="AI52" s="49" t="str">
        <f>_xlfn.XLOOKUP($E52,Tab_Def_Processes[Name(EN)],Tab_Def_Processes[Output_Flow_O_3],,0,)</f>
        <v>N.A.</v>
      </c>
      <c r="AJ52" s="49" t="e">
        <f>_xlfn.XLOOKUP($E52,Tab_Def_Processes[Name(EN)],Tab_Def_Processes[Flow_ID_O_3],,0,)</f>
        <v>#N/A</v>
      </c>
      <c r="AK52" s="84"/>
      <c r="AL52" s="49" t="str">
        <f>_xlfn.XLOOKUP($E52,Tab_Def_Processes[Name(EN)],Tab_Def_Processes[Output_Flow_O_4],,0,)</f>
        <v>N.A.</v>
      </c>
      <c r="AM52" s="49" t="e">
        <f>_xlfn.XLOOKUP($E52,Tab_Def_Processes[Name(EN)],Tab_Def_Processes[Flow_ID_O_4],,0,)</f>
        <v>#N/A</v>
      </c>
      <c r="AN52" s="84"/>
      <c r="AO52" s="49" t="str">
        <f>_xlfn.XLOOKUP($E52,Tab_Def_Processes[Name(EN)],Tab_Def_Processes[Output_Flow_O_5],,0,)</f>
        <v>N.A.</v>
      </c>
      <c r="AP52" s="49" t="e">
        <f>_xlfn.XLOOKUP($E52,Tab_Def_Processes[Name(EN)],Tab_Def_Processes[Flow_ID_O_5],,0,)</f>
        <v>#N/A</v>
      </c>
      <c r="AQ52" s="84"/>
      <c r="AR52" s="49" t="str">
        <f>_xlfn.XLOOKUP($E52,Tab_Def_Processes[Name(EN)],Tab_Def_Processes[Output_Flow_O_6],,0,)</f>
        <v>N.A.</v>
      </c>
      <c r="AS52" s="49" t="e">
        <f>_xlfn.XLOOKUP($E52,Tab_Def_Processes[Name(EN)],Tab_Def_Processes[Flow_ID_O_6],,0,)</f>
        <v>#N/A</v>
      </c>
      <c r="AT52" s="84"/>
      <c r="AU52" s="85">
        <f>SUM(Tab_Process_TCs[[#This Row],[Flow_TC O_6_'[%']]],Tab_Process_TCs[[#This Row],[Flow_TC O_5_'[%']]],Tab_Process_TCs[[#This Row],[Flow_TC_O_4_'[%']]],Tab_Process_TCs[[#This Row],[Flow_TC_O_3_'[%']]],,Tab_Process_TCs[[#This Row],[Flow_TC_O_2_'[%']]],Tab_Process_TCs[[#This Row],[Flow_TC_O_1_'[%']]])</f>
        <v>0</v>
      </c>
      <c r="AV52" s="51"/>
      <c r="AW52" s="51"/>
      <c r="AX52" s="51"/>
      <c r="AY52" s="51"/>
      <c r="AZ52" s="51"/>
    </row>
    <row r="53" spans="1:52" x14ac:dyDescent="0.35">
      <c r="A53" s="97" t="b">
        <v>0</v>
      </c>
      <c r="B53" s="49">
        <f t="shared" si="4"/>
        <v>52</v>
      </c>
      <c r="C53" s="49" t="str">
        <f t="shared" si="3"/>
        <v>TC52_21___0</v>
      </c>
      <c r="D53" s="121" t="str">
        <f>_xlfn.XLOOKUP($E53,Tab_Def_Processes[Name(EN)],Tab_Def_Processes[ID],,0,)</f>
        <v>21</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60" t="str">
        <f>_xlfn.XLOOKUP($E53,Tab_Def_Processes[Name(EN)],Tab_Def_Processes[Input_Flow_I_1],,0,)</f>
        <v>N.A.</v>
      </c>
      <c r="N53" s="49" t="e">
        <f>_xlfn.XLOOKUP($E53,Tab_Def_Processes[Name(EN)],Tab_Def_Processes[Flow_ID_I_1],,0,)</f>
        <v>#N/A</v>
      </c>
      <c r="O53" s="84"/>
      <c r="P53" s="77" t="str">
        <f>_xlfn.XLOOKUP($E53,Tab_Def_Processes[Name(EN)],Tab_Def_Processes[Input_Flow_I_2],,0,)</f>
        <v>N.A.</v>
      </c>
      <c r="Q53" s="49" t="e">
        <f>_xlfn.XLOOKUP($E53,Tab_Def_Processes[Name(EN)],Tab_Def_Processes[Flow_ID_I_2],,0,)</f>
        <v>#N/A</v>
      </c>
      <c r="R53" s="84"/>
      <c r="S53" s="77" t="str">
        <f>_xlfn.XLOOKUP($E53,Tab_Def_Processes[Name(EN)],Tab_Def_Processes[Input_Flow_I_3],,0,)</f>
        <v>N.A.</v>
      </c>
      <c r="T53" s="49" t="e">
        <f>_xlfn.XLOOKUP($E53,Tab_Def_Processes[Name(EN)],Tab_Def_Processes[Flow_ID_I_3],,0,)</f>
        <v>#N/A</v>
      </c>
      <c r="U53" s="84"/>
      <c r="V53" s="77" t="str">
        <f>_xlfn.XLOOKUP($E53,Tab_Def_Processes[Name(EN)],Tab_Def_Processes[Input_Flow_I_4],,0,)</f>
        <v>N.A.</v>
      </c>
      <c r="W53" s="49" t="e">
        <f>_xlfn.XLOOKUP($E53,Tab_Def_Processes[Name(EN)],Tab_Def_Processes[Flow_ID_I_4],,0,)</f>
        <v>#N/A</v>
      </c>
      <c r="X53" s="84"/>
      <c r="Y53" s="77" t="str">
        <f>_xlfn.XLOOKUP($E53,Tab_Def_Processes[Name(EN)],Tab_Def_Processes[Input_Flow_I_5],,0,)</f>
        <v>N.A.</v>
      </c>
      <c r="Z53" s="49" t="e">
        <f>_xlfn.XLOOKUP($E53,Tab_Def_Processes[Name(EN)],Tab_Def_Processes[Flow_ID_I_5],,0,)</f>
        <v>#N/A</v>
      </c>
      <c r="AA53" s="84"/>
      <c r="AB53" s="98">
        <f>Tab_Process_TCs[[#This Row],[Flow_TC_I_1_'[%']]]+Tab_Process_TCs[[#This Row],[Flow_TC_I_2_'[%']]]+Tab_Process_TCs[[#This Row],[Flow_TC_I_3_'[%']]]+Tab_Process_TCs[[#This Row],[Flow_TC_I_4_'[%']]]+Tab_Process_TCs[[#This Row],[Flow_TC_I_5_'[%']]]</f>
        <v>0</v>
      </c>
      <c r="AC53" s="49" t="str">
        <f>_xlfn.XLOOKUP($E53,Tab_Def_Processes[Name(EN)],Tab_Def_Processes[Output_Flow_O_1],,0,)</f>
        <v>N.A.</v>
      </c>
      <c r="AD53" s="49" t="e">
        <f>_xlfn.XLOOKUP($E53,Tab_Def_Processes[Name(EN)],Tab_Def_Processes[Flow_ID_O_1],,0,)</f>
        <v>#N/A</v>
      </c>
      <c r="AE53" s="84"/>
      <c r="AF53" s="49" t="str">
        <f>_xlfn.XLOOKUP($E53,Tab_Def_Processes[Name(EN)],Tab_Def_Processes[Output_Flow_O_2],,0,)</f>
        <v>N.A.</v>
      </c>
      <c r="AG53" s="49" t="e">
        <f>_xlfn.XLOOKUP($E53,Tab_Def_Processes[Name(EN)],Tab_Def_Processes[Flow_ID_O_2],,0,)</f>
        <v>#N/A</v>
      </c>
      <c r="AH53" s="84"/>
      <c r="AI53" s="49" t="str">
        <f>_xlfn.XLOOKUP($E53,Tab_Def_Processes[Name(EN)],Tab_Def_Processes[Output_Flow_O_3],,0,)</f>
        <v>N.A.</v>
      </c>
      <c r="AJ53" s="49" t="e">
        <f>_xlfn.XLOOKUP($E53,Tab_Def_Processes[Name(EN)],Tab_Def_Processes[Flow_ID_O_3],,0,)</f>
        <v>#N/A</v>
      </c>
      <c r="AK53" s="84"/>
      <c r="AL53" s="49" t="str">
        <f>_xlfn.XLOOKUP($E53,Tab_Def_Processes[Name(EN)],Tab_Def_Processes[Output_Flow_O_4],,0,)</f>
        <v>N.A.</v>
      </c>
      <c r="AM53" s="49" t="e">
        <f>_xlfn.XLOOKUP($E53,Tab_Def_Processes[Name(EN)],Tab_Def_Processes[Flow_ID_O_4],,0,)</f>
        <v>#N/A</v>
      </c>
      <c r="AN53" s="84"/>
      <c r="AO53" s="49" t="str">
        <f>_xlfn.XLOOKUP($E53,Tab_Def_Processes[Name(EN)],Tab_Def_Processes[Output_Flow_O_5],,0,)</f>
        <v>N.A.</v>
      </c>
      <c r="AP53" s="49" t="e">
        <f>_xlfn.XLOOKUP($E53,Tab_Def_Processes[Name(EN)],Tab_Def_Processes[Flow_ID_O_5],,0,)</f>
        <v>#N/A</v>
      </c>
      <c r="AQ53" s="84"/>
      <c r="AR53" s="49" t="str">
        <f>_xlfn.XLOOKUP($E53,Tab_Def_Processes[Name(EN)],Tab_Def_Processes[Output_Flow_O_6],,0,)</f>
        <v>N.A.</v>
      </c>
      <c r="AS53" s="49" t="e">
        <f>_xlfn.XLOOKUP($E53,Tab_Def_Processes[Name(EN)],Tab_Def_Processes[Flow_ID_O_6],,0,)</f>
        <v>#N/A</v>
      </c>
      <c r="AT53" s="84"/>
      <c r="AU53" s="85">
        <f>SUM(Tab_Process_TCs[[#This Row],[Flow_TC O_6_'[%']]],Tab_Process_TCs[[#This Row],[Flow_TC O_5_'[%']]],Tab_Process_TCs[[#This Row],[Flow_TC_O_4_'[%']]],Tab_Process_TCs[[#This Row],[Flow_TC_O_3_'[%']]],,Tab_Process_TCs[[#This Row],[Flow_TC_O_2_'[%']]],Tab_Process_TCs[[#This Row],[Flow_TC_O_1_'[%']]])</f>
        <v>0</v>
      </c>
      <c r="AV53" s="51"/>
      <c r="AW53" s="51"/>
      <c r="AX53" s="51"/>
      <c r="AY53" s="51"/>
      <c r="AZ53" s="51"/>
    </row>
    <row r="54" spans="1:52" x14ac:dyDescent="0.35">
      <c r="A54" s="97" t="b">
        <v>0</v>
      </c>
      <c r="B54" s="49">
        <f t="shared" si="4"/>
        <v>53</v>
      </c>
      <c r="C54" s="49" t="str">
        <f t="shared" si="3"/>
        <v>TC53_21___0</v>
      </c>
      <c r="D54" s="121" t="str">
        <f>_xlfn.XLOOKUP($E54,Tab_Def_Processes[Name(EN)],Tab_Def_Processes[ID],,0,)</f>
        <v>21</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60" t="str">
        <f>_xlfn.XLOOKUP($E54,Tab_Def_Processes[Name(EN)],Tab_Def_Processes[Input_Flow_I_1],,0,)</f>
        <v>N.A.</v>
      </c>
      <c r="N54" s="49" t="e">
        <f>_xlfn.XLOOKUP($E54,Tab_Def_Processes[Name(EN)],Tab_Def_Processes[Flow_ID_I_1],,0,)</f>
        <v>#N/A</v>
      </c>
      <c r="O54" s="84"/>
      <c r="P54" s="77" t="str">
        <f>_xlfn.XLOOKUP($E54,Tab_Def_Processes[Name(EN)],Tab_Def_Processes[Input_Flow_I_2],,0,)</f>
        <v>N.A.</v>
      </c>
      <c r="Q54" s="49" t="e">
        <f>_xlfn.XLOOKUP($E54,Tab_Def_Processes[Name(EN)],Tab_Def_Processes[Flow_ID_I_2],,0,)</f>
        <v>#N/A</v>
      </c>
      <c r="R54" s="84"/>
      <c r="S54" s="77" t="str">
        <f>_xlfn.XLOOKUP($E54,Tab_Def_Processes[Name(EN)],Tab_Def_Processes[Input_Flow_I_3],,0,)</f>
        <v>N.A.</v>
      </c>
      <c r="T54" s="49" t="e">
        <f>_xlfn.XLOOKUP($E54,Tab_Def_Processes[Name(EN)],Tab_Def_Processes[Flow_ID_I_3],,0,)</f>
        <v>#N/A</v>
      </c>
      <c r="U54" s="84"/>
      <c r="V54" s="77" t="str">
        <f>_xlfn.XLOOKUP($E54,Tab_Def_Processes[Name(EN)],Tab_Def_Processes[Input_Flow_I_4],,0,)</f>
        <v>N.A.</v>
      </c>
      <c r="W54" s="49" t="e">
        <f>_xlfn.XLOOKUP($E54,Tab_Def_Processes[Name(EN)],Tab_Def_Processes[Flow_ID_I_4],,0,)</f>
        <v>#N/A</v>
      </c>
      <c r="X54" s="84"/>
      <c r="Y54" s="77" t="str">
        <f>_xlfn.XLOOKUP($E54,Tab_Def_Processes[Name(EN)],Tab_Def_Processes[Input_Flow_I_5],,0,)</f>
        <v>N.A.</v>
      </c>
      <c r="Z54" s="49" t="e">
        <f>_xlfn.XLOOKUP($E54,Tab_Def_Processes[Name(EN)],Tab_Def_Processes[Flow_ID_I_5],,0,)</f>
        <v>#N/A</v>
      </c>
      <c r="AA54" s="84"/>
      <c r="AB54" s="98">
        <f>Tab_Process_TCs[[#This Row],[Flow_TC_I_1_'[%']]]+Tab_Process_TCs[[#This Row],[Flow_TC_I_2_'[%']]]+Tab_Process_TCs[[#This Row],[Flow_TC_I_3_'[%']]]+Tab_Process_TCs[[#This Row],[Flow_TC_I_4_'[%']]]+Tab_Process_TCs[[#This Row],[Flow_TC_I_5_'[%']]]</f>
        <v>0</v>
      </c>
      <c r="AC54" s="49" t="str">
        <f>_xlfn.XLOOKUP($E54,Tab_Def_Processes[Name(EN)],Tab_Def_Processes[Output_Flow_O_1],,0,)</f>
        <v>N.A.</v>
      </c>
      <c r="AD54" s="49" t="e">
        <f>_xlfn.XLOOKUP($E54,Tab_Def_Processes[Name(EN)],Tab_Def_Processes[Flow_ID_O_1],,0,)</f>
        <v>#N/A</v>
      </c>
      <c r="AE54" s="84"/>
      <c r="AF54" s="49" t="str">
        <f>_xlfn.XLOOKUP($E54,Tab_Def_Processes[Name(EN)],Tab_Def_Processes[Output_Flow_O_2],,0,)</f>
        <v>N.A.</v>
      </c>
      <c r="AG54" s="49" t="e">
        <f>_xlfn.XLOOKUP($E54,Tab_Def_Processes[Name(EN)],Tab_Def_Processes[Flow_ID_O_2],,0,)</f>
        <v>#N/A</v>
      </c>
      <c r="AH54" s="84"/>
      <c r="AI54" s="49" t="str">
        <f>_xlfn.XLOOKUP($E54,Tab_Def_Processes[Name(EN)],Tab_Def_Processes[Output_Flow_O_3],,0,)</f>
        <v>N.A.</v>
      </c>
      <c r="AJ54" s="49" t="e">
        <f>_xlfn.XLOOKUP($E54,Tab_Def_Processes[Name(EN)],Tab_Def_Processes[Flow_ID_O_3],,0,)</f>
        <v>#N/A</v>
      </c>
      <c r="AK54" s="84"/>
      <c r="AL54" s="49" t="str">
        <f>_xlfn.XLOOKUP($E54,Tab_Def_Processes[Name(EN)],Tab_Def_Processes[Output_Flow_O_4],,0,)</f>
        <v>N.A.</v>
      </c>
      <c r="AM54" s="49" t="e">
        <f>_xlfn.XLOOKUP($E54,Tab_Def_Processes[Name(EN)],Tab_Def_Processes[Flow_ID_O_4],,0,)</f>
        <v>#N/A</v>
      </c>
      <c r="AN54" s="84"/>
      <c r="AO54" s="49" t="str">
        <f>_xlfn.XLOOKUP($E54,Tab_Def_Processes[Name(EN)],Tab_Def_Processes[Output_Flow_O_5],,0,)</f>
        <v>N.A.</v>
      </c>
      <c r="AP54" s="49" t="e">
        <f>_xlfn.XLOOKUP($E54,Tab_Def_Processes[Name(EN)],Tab_Def_Processes[Flow_ID_O_5],,0,)</f>
        <v>#N/A</v>
      </c>
      <c r="AQ54" s="84"/>
      <c r="AR54" s="49" t="str">
        <f>_xlfn.XLOOKUP($E54,Tab_Def_Processes[Name(EN)],Tab_Def_Processes[Output_Flow_O_6],,0,)</f>
        <v>N.A.</v>
      </c>
      <c r="AS54" s="49" t="e">
        <f>_xlfn.XLOOKUP($E54,Tab_Def_Processes[Name(EN)],Tab_Def_Processes[Flow_ID_O_6],,0,)</f>
        <v>#N/A</v>
      </c>
      <c r="AT54" s="84"/>
      <c r="AU54" s="85">
        <f>SUM(Tab_Process_TCs[[#This Row],[Flow_TC O_6_'[%']]],Tab_Process_TCs[[#This Row],[Flow_TC O_5_'[%']]],Tab_Process_TCs[[#This Row],[Flow_TC_O_4_'[%']]],Tab_Process_TCs[[#This Row],[Flow_TC_O_3_'[%']]],,Tab_Process_TCs[[#This Row],[Flow_TC_O_2_'[%']]],Tab_Process_TCs[[#This Row],[Flow_TC_O_1_'[%']]])</f>
        <v>0</v>
      </c>
      <c r="AV54" s="51"/>
      <c r="AW54" s="51"/>
      <c r="AX54" s="51"/>
      <c r="AY54" s="51"/>
      <c r="AZ54" s="51"/>
    </row>
    <row r="55" spans="1:52" x14ac:dyDescent="0.35">
      <c r="A55" s="97" t="b">
        <v>0</v>
      </c>
      <c r="B55" s="49">
        <f t="shared" si="4"/>
        <v>54</v>
      </c>
      <c r="C55" s="49" t="str">
        <f t="shared" si="3"/>
        <v>TC54_21___0</v>
      </c>
      <c r="D55" s="121" t="str">
        <f>_xlfn.XLOOKUP($E55,Tab_Def_Processes[Name(EN)],Tab_Def_Processes[ID],,0,)</f>
        <v>21</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60" t="str">
        <f>_xlfn.XLOOKUP($E55,Tab_Def_Processes[Name(EN)],Tab_Def_Processes[Input_Flow_I_1],,0,)</f>
        <v>N.A.</v>
      </c>
      <c r="N55" s="49" t="e">
        <f>_xlfn.XLOOKUP($E55,Tab_Def_Processes[Name(EN)],Tab_Def_Processes[Flow_ID_I_1],,0,)</f>
        <v>#N/A</v>
      </c>
      <c r="O55" s="84"/>
      <c r="P55" s="77" t="str">
        <f>_xlfn.XLOOKUP($E55,Tab_Def_Processes[Name(EN)],Tab_Def_Processes[Input_Flow_I_2],,0,)</f>
        <v>N.A.</v>
      </c>
      <c r="Q55" s="49" t="e">
        <f>_xlfn.XLOOKUP($E55,Tab_Def_Processes[Name(EN)],Tab_Def_Processes[Flow_ID_I_2],,0,)</f>
        <v>#N/A</v>
      </c>
      <c r="R55" s="84"/>
      <c r="S55" s="77" t="str">
        <f>_xlfn.XLOOKUP($E55,Tab_Def_Processes[Name(EN)],Tab_Def_Processes[Input_Flow_I_3],,0,)</f>
        <v>N.A.</v>
      </c>
      <c r="T55" s="49" t="e">
        <f>_xlfn.XLOOKUP($E55,Tab_Def_Processes[Name(EN)],Tab_Def_Processes[Flow_ID_I_3],,0,)</f>
        <v>#N/A</v>
      </c>
      <c r="U55" s="84"/>
      <c r="V55" s="77" t="str">
        <f>_xlfn.XLOOKUP($E55,Tab_Def_Processes[Name(EN)],Tab_Def_Processes[Input_Flow_I_4],,0,)</f>
        <v>N.A.</v>
      </c>
      <c r="W55" s="49" t="e">
        <f>_xlfn.XLOOKUP($E55,Tab_Def_Processes[Name(EN)],Tab_Def_Processes[Flow_ID_I_4],,0,)</f>
        <v>#N/A</v>
      </c>
      <c r="X55" s="84"/>
      <c r="Y55" s="77" t="str">
        <f>_xlfn.XLOOKUP($E55,Tab_Def_Processes[Name(EN)],Tab_Def_Processes[Input_Flow_I_5],,0,)</f>
        <v>N.A.</v>
      </c>
      <c r="Z55" s="49" t="e">
        <f>_xlfn.XLOOKUP($E55,Tab_Def_Processes[Name(EN)],Tab_Def_Processes[Flow_ID_I_5],,0,)</f>
        <v>#N/A</v>
      </c>
      <c r="AA55" s="84"/>
      <c r="AB55" s="98">
        <f>Tab_Process_TCs[[#This Row],[Flow_TC_I_1_'[%']]]+Tab_Process_TCs[[#This Row],[Flow_TC_I_2_'[%']]]+Tab_Process_TCs[[#This Row],[Flow_TC_I_3_'[%']]]+Tab_Process_TCs[[#This Row],[Flow_TC_I_4_'[%']]]+Tab_Process_TCs[[#This Row],[Flow_TC_I_5_'[%']]]</f>
        <v>0</v>
      </c>
      <c r="AC55" s="49" t="str">
        <f>_xlfn.XLOOKUP($E55,Tab_Def_Processes[Name(EN)],Tab_Def_Processes[Output_Flow_O_1],,0,)</f>
        <v>N.A.</v>
      </c>
      <c r="AD55" s="49" t="e">
        <f>_xlfn.XLOOKUP($E55,Tab_Def_Processes[Name(EN)],Tab_Def_Processes[Flow_ID_O_1],,0,)</f>
        <v>#N/A</v>
      </c>
      <c r="AE55" s="84"/>
      <c r="AF55" s="49" t="str">
        <f>_xlfn.XLOOKUP($E55,Tab_Def_Processes[Name(EN)],Tab_Def_Processes[Output_Flow_O_2],,0,)</f>
        <v>N.A.</v>
      </c>
      <c r="AG55" s="49" t="e">
        <f>_xlfn.XLOOKUP($E55,Tab_Def_Processes[Name(EN)],Tab_Def_Processes[Flow_ID_O_2],,0,)</f>
        <v>#N/A</v>
      </c>
      <c r="AH55" s="84"/>
      <c r="AI55" s="49" t="str">
        <f>_xlfn.XLOOKUP($E55,Tab_Def_Processes[Name(EN)],Tab_Def_Processes[Output_Flow_O_3],,0,)</f>
        <v>N.A.</v>
      </c>
      <c r="AJ55" s="49" t="e">
        <f>_xlfn.XLOOKUP($E55,Tab_Def_Processes[Name(EN)],Tab_Def_Processes[Flow_ID_O_3],,0,)</f>
        <v>#N/A</v>
      </c>
      <c r="AK55" s="84"/>
      <c r="AL55" s="49" t="str">
        <f>_xlfn.XLOOKUP($E55,Tab_Def_Processes[Name(EN)],Tab_Def_Processes[Output_Flow_O_4],,0,)</f>
        <v>N.A.</v>
      </c>
      <c r="AM55" s="49" t="e">
        <f>_xlfn.XLOOKUP($E55,Tab_Def_Processes[Name(EN)],Tab_Def_Processes[Flow_ID_O_4],,0,)</f>
        <v>#N/A</v>
      </c>
      <c r="AN55" s="84"/>
      <c r="AO55" s="49" t="str">
        <f>_xlfn.XLOOKUP($E55,Tab_Def_Processes[Name(EN)],Tab_Def_Processes[Output_Flow_O_5],,0,)</f>
        <v>N.A.</v>
      </c>
      <c r="AP55" s="49" t="e">
        <f>_xlfn.XLOOKUP($E55,Tab_Def_Processes[Name(EN)],Tab_Def_Processes[Flow_ID_O_5],,0,)</f>
        <v>#N/A</v>
      </c>
      <c r="AQ55" s="84"/>
      <c r="AR55" s="49" t="str">
        <f>_xlfn.XLOOKUP($E55,Tab_Def_Processes[Name(EN)],Tab_Def_Processes[Output_Flow_O_6],,0,)</f>
        <v>N.A.</v>
      </c>
      <c r="AS55" s="49" t="e">
        <f>_xlfn.XLOOKUP($E55,Tab_Def_Processes[Name(EN)],Tab_Def_Processes[Flow_ID_O_6],,0,)</f>
        <v>#N/A</v>
      </c>
      <c r="AT55" s="84"/>
      <c r="AU55" s="85">
        <f>SUM(Tab_Process_TCs[[#This Row],[Flow_TC O_6_'[%']]],Tab_Process_TCs[[#This Row],[Flow_TC O_5_'[%']]],Tab_Process_TCs[[#This Row],[Flow_TC_O_4_'[%']]],Tab_Process_TCs[[#This Row],[Flow_TC_O_3_'[%']]],,Tab_Process_TCs[[#This Row],[Flow_TC_O_2_'[%']]],Tab_Process_TCs[[#This Row],[Flow_TC_O_1_'[%']]])</f>
        <v>0</v>
      </c>
      <c r="AV55" s="51"/>
      <c r="AW55" s="51"/>
      <c r="AX55" s="51"/>
      <c r="AY55" s="51"/>
      <c r="AZ55" s="51"/>
    </row>
    <row r="56" spans="1:52" x14ac:dyDescent="0.35">
      <c r="A56" s="97" t="b">
        <v>0</v>
      </c>
      <c r="B56" s="49">
        <f t="shared" si="4"/>
        <v>55</v>
      </c>
      <c r="C56" s="49" t="str">
        <f t="shared" si="3"/>
        <v>TC55_21___0</v>
      </c>
      <c r="D56" s="121" t="str">
        <f>_xlfn.XLOOKUP($E56,Tab_Def_Processes[Name(EN)],Tab_Def_Processes[ID],,0,)</f>
        <v>21</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60" t="str">
        <f>_xlfn.XLOOKUP($E56,Tab_Def_Processes[Name(EN)],Tab_Def_Processes[Input_Flow_I_1],,0,)</f>
        <v>N.A.</v>
      </c>
      <c r="N56" s="49" t="e">
        <f>_xlfn.XLOOKUP($E56,Tab_Def_Processes[Name(EN)],Tab_Def_Processes[Flow_ID_I_1],,0,)</f>
        <v>#N/A</v>
      </c>
      <c r="O56" s="84"/>
      <c r="P56" s="77" t="str">
        <f>_xlfn.XLOOKUP($E56,Tab_Def_Processes[Name(EN)],Tab_Def_Processes[Input_Flow_I_2],,0,)</f>
        <v>N.A.</v>
      </c>
      <c r="Q56" s="49" t="e">
        <f>_xlfn.XLOOKUP($E56,Tab_Def_Processes[Name(EN)],Tab_Def_Processes[Flow_ID_I_2],,0,)</f>
        <v>#N/A</v>
      </c>
      <c r="R56" s="84"/>
      <c r="S56" s="77" t="str">
        <f>_xlfn.XLOOKUP($E56,Tab_Def_Processes[Name(EN)],Tab_Def_Processes[Input_Flow_I_3],,0,)</f>
        <v>N.A.</v>
      </c>
      <c r="T56" s="49" t="e">
        <f>_xlfn.XLOOKUP($E56,Tab_Def_Processes[Name(EN)],Tab_Def_Processes[Flow_ID_I_3],,0,)</f>
        <v>#N/A</v>
      </c>
      <c r="U56" s="84"/>
      <c r="V56" s="77" t="str">
        <f>_xlfn.XLOOKUP($E56,Tab_Def_Processes[Name(EN)],Tab_Def_Processes[Input_Flow_I_4],,0,)</f>
        <v>N.A.</v>
      </c>
      <c r="W56" s="49" t="e">
        <f>_xlfn.XLOOKUP($E56,Tab_Def_Processes[Name(EN)],Tab_Def_Processes[Flow_ID_I_4],,0,)</f>
        <v>#N/A</v>
      </c>
      <c r="X56" s="84"/>
      <c r="Y56" s="77" t="str">
        <f>_xlfn.XLOOKUP($E56,Tab_Def_Processes[Name(EN)],Tab_Def_Processes[Input_Flow_I_5],,0,)</f>
        <v>N.A.</v>
      </c>
      <c r="Z56" s="49" t="e">
        <f>_xlfn.XLOOKUP($E56,Tab_Def_Processes[Name(EN)],Tab_Def_Processes[Flow_ID_I_5],,0,)</f>
        <v>#N/A</v>
      </c>
      <c r="AA56" s="84"/>
      <c r="AB56" s="98">
        <f>Tab_Process_TCs[[#This Row],[Flow_TC_I_1_'[%']]]+Tab_Process_TCs[[#This Row],[Flow_TC_I_2_'[%']]]+Tab_Process_TCs[[#This Row],[Flow_TC_I_3_'[%']]]+Tab_Process_TCs[[#This Row],[Flow_TC_I_4_'[%']]]+Tab_Process_TCs[[#This Row],[Flow_TC_I_5_'[%']]]</f>
        <v>0</v>
      </c>
      <c r="AC56" s="49" t="str">
        <f>_xlfn.XLOOKUP($E56,Tab_Def_Processes[Name(EN)],Tab_Def_Processes[Output_Flow_O_1],,0,)</f>
        <v>N.A.</v>
      </c>
      <c r="AD56" s="49" t="e">
        <f>_xlfn.XLOOKUP($E56,Tab_Def_Processes[Name(EN)],Tab_Def_Processes[Flow_ID_O_1],,0,)</f>
        <v>#N/A</v>
      </c>
      <c r="AE56" s="84"/>
      <c r="AF56" s="49" t="str">
        <f>_xlfn.XLOOKUP($E56,Tab_Def_Processes[Name(EN)],Tab_Def_Processes[Output_Flow_O_2],,0,)</f>
        <v>N.A.</v>
      </c>
      <c r="AG56" s="49" t="e">
        <f>_xlfn.XLOOKUP($E56,Tab_Def_Processes[Name(EN)],Tab_Def_Processes[Flow_ID_O_2],,0,)</f>
        <v>#N/A</v>
      </c>
      <c r="AH56" s="84"/>
      <c r="AI56" s="49" t="str">
        <f>_xlfn.XLOOKUP($E56,Tab_Def_Processes[Name(EN)],Tab_Def_Processes[Output_Flow_O_3],,0,)</f>
        <v>N.A.</v>
      </c>
      <c r="AJ56" s="49" t="e">
        <f>_xlfn.XLOOKUP($E56,Tab_Def_Processes[Name(EN)],Tab_Def_Processes[Flow_ID_O_3],,0,)</f>
        <v>#N/A</v>
      </c>
      <c r="AK56" s="84"/>
      <c r="AL56" s="49" t="str">
        <f>_xlfn.XLOOKUP($E56,Tab_Def_Processes[Name(EN)],Tab_Def_Processes[Output_Flow_O_4],,0,)</f>
        <v>N.A.</v>
      </c>
      <c r="AM56" s="49" t="e">
        <f>_xlfn.XLOOKUP($E56,Tab_Def_Processes[Name(EN)],Tab_Def_Processes[Flow_ID_O_4],,0,)</f>
        <v>#N/A</v>
      </c>
      <c r="AN56" s="84"/>
      <c r="AO56" s="49" t="str">
        <f>_xlfn.XLOOKUP($E56,Tab_Def_Processes[Name(EN)],Tab_Def_Processes[Output_Flow_O_5],,0,)</f>
        <v>N.A.</v>
      </c>
      <c r="AP56" s="49" t="e">
        <f>_xlfn.XLOOKUP($E56,Tab_Def_Processes[Name(EN)],Tab_Def_Processes[Flow_ID_O_5],,0,)</f>
        <v>#N/A</v>
      </c>
      <c r="AQ56" s="84"/>
      <c r="AR56" s="49" t="str">
        <f>_xlfn.XLOOKUP($E56,Tab_Def_Processes[Name(EN)],Tab_Def_Processes[Output_Flow_O_6],,0,)</f>
        <v>N.A.</v>
      </c>
      <c r="AS56" s="49" t="e">
        <f>_xlfn.XLOOKUP($E56,Tab_Def_Processes[Name(EN)],Tab_Def_Processes[Flow_ID_O_6],,0,)</f>
        <v>#N/A</v>
      </c>
      <c r="AT56" s="84"/>
      <c r="AU56" s="85">
        <f>SUM(Tab_Process_TCs[[#This Row],[Flow_TC O_6_'[%']]],Tab_Process_TCs[[#This Row],[Flow_TC O_5_'[%']]],Tab_Process_TCs[[#This Row],[Flow_TC_O_4_'[%']]],Tab_Process_TCs[[#This Row],[Flow_TC_O_3_'[%']]],,Tab_Process_TCs[[#This Row],[Flow_TC_O_2_'[%']]],Tab_Process_TCs[[#This Row],[Flow_TC_O_1_'[%']]])</f>
        <v>0</v>
      </c>
      <c r="AV56" s="51"/>
      <c r="AW56" s="51"/>
      <c r="AX56" s="51"/>
      <c r="AY56" s="51"/>
      <c r="AZ56" s="51"/>
    </row>
    <row r="57" spans="1:52" x14ac:dyDescent="0.35">
      <c r="A57" s="97" t="b">
        <v>0</v>
      </c>
      <c r="B57" s="49">
        <f t="shared" si="4"/>
        <v>56</v>
      </c>
      <c r="C57" s="49" t="str">
        <f t="shared" si="3"/>
        <v>TC56_21___0</v>
      </c>
      <c r="D57" s="121" t="str">
        <f>_xlfn.XLOOKUP($E57,Tab_Def_Processes[Name(EN)],Tab_Def_Processes[ID],,0,)</f>
        <v>21</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60" t="str">
        <f>_xlfn.XLOOKUP($E57,Tab_Def_Processes[Name(EN)],Tab_Def_Processes[Input_Flow_I_1],,0,)</f>
        <v>N.A.</v>
      </c>
      <c r="N57" s="49" t="e">
        <f>_xlfn.XLOOKUP($E57,Tab_Def_Processes[Name(EN)],Tab_Def_Processes[Flow_ID_I_1],,0,)</f>
        <v>#N/A</v>
      </c>
      <c r="O57" s="84"/>
      <c r="P57" s="77" t="str">
        <f>_xlfn.XLOOKUP($E57,Tab_Def_Processes[Name(EN)],Tab_Def_Processes[Input_Flow_I_2],,0,)</f>
        <v>N.A.</v>
      </c>
      <c r="Q57" s="49" t="e">
        <f>_xlfn.XLOOKUP($E57,Tab_Def_Processes[Name(EN)],Tab_Def_Processes[Flow_ID_I_2],,0,)</f>
        <v>#N/A</v>
      </c>
      <c r="R57" s="84"/>
      <c r="S57" s="77" t="str">
        <f>_xlfn.XLOOKUP($E57,Tab_Def_Processes[Name(EN)],Tab_Def_Processes[Input_Flow_I_3],,0,)</f>
        <v>N.A.</v>
      </c>
      <c r="T57" s="49" t="e">
        <f>_xlfn.XLOOKUP($E57,Tab_Def_Processes[Name(EN)],Tab_Def_Processes[Flow_ID_I_3],,0,)</f>
        <v>#N/A</v>
      </c>
      <c r="U57" s="84"/>
      <c r="V57" s="77" t="str">
        <f>_xlfn.XLOOKUP($E57,Tab_Def_Processes[Name(EN)],Tab_Def_Processes[Input_Flow_I_4],,0,)</f>
        <v>N.A.</v>
      </c>
      <c r="W57" s="49" t="e">
        <f>_xlfn.XLOOKUP($E57,Tab_Def_Processes[Name(EN)],Tab_Def_Processes[Flow_ID_I_4],,0,)</f>
        <v>#N/A</v>
      </c>
      <c r="X57" s="84"/>
      <c r="Y57" s="77" t="str">
        <f>_xlfn.XLOOKUP($E57,Tab_Def_Processes[Name(EN)],Tab_Def_Processes[Input_Flow_I_5],,0,)</f>
        <v>N.A.</v>
      </c>
      <c r="Z57" s="49" t="e">
        <f>_xlfn.XLOOKUP($E57,Tab_Def_Processes[Name(EN)],Tab_Def_Processes[Flow_ID_I_5],,0,)</f>
        <v>#N/A</v>
      </c>
      <c r="AA57" s="84"/>
      <c r="AB57" s="98">
        <f>Tab_Process_TCs[[#This Row],[Flow_TC_I_1_'[%']]]+Tab_Process_TCs[[#This Row],[Flow_TC_I_2_'[%']]]+Tab_Process_TCs[[#This Row],[Flow_TC_I_3_'[%']]]+Tab_Process_TCs[[#This Row],[Flow_TC_I_4_'[%']]]+Tab_Process_TCs[[#This Row],[Flow_TC_I_5_'[%']]]</f>
        <v>0</v>
      </c>
      <c r="AC57" s="49" t="str">
        <f>_xlfn.XLOOKUP($E57,Tab_Def_Processes[Name(EN)],Tab_Def_Processes[Output_Flow_O_1],,0,)</f>
        <v>N.A.</v>
      </c>
      <c r="AD57" s="49" t="e">
        <f>_xlfn.XLOOKUP($E57,Tab_Def_Processes[Name(EN)],Tab_Def_Processes[Flow_ID_O_1],,0,)</f>
        <v>#N/A</v>
      </c>
      <c r="AE57" s="84"/>
      <c r="AF57" s="49" t="str">
        <f>_xlfn.XLOOKUP($E57,Tab_Def_Processes[Name(EN)],Tab_Def_Processes[Output_Flow_O_2],,0,)</f>
        <v>N.A.</v>
      </c>
      <c r="AG57" s="49" t="e">
        <f>_xlfn.XLOOKUP($E57,Tab_Def_Processes[Name(EN)],Tab_Def_Processes[Flow_ID_O_2],,0,)</f>
        <v>#N/A</v>
      </c>
      <c r="AH57" s="84"/>
      <c r="AI57" s="49" t="str">
        <f>_xlfn.XLOOKUP($E57,Tab_Def_Processes[Name(EN)],Tab_Def_Processes[Output_Flow_O_3],,0,)</f>
        <v>N.A.</v>
      </c>
      <c r="AJ57" s="49" t="e">
        <f>_xlfn.XLOOKUP($E57,Tab_Def_Processes[Name(EN)],Tab_Def_Processes[Flow_ID_O_3],,0,)</f>
        <v>#N/A</v>
      </c>
      <c r="AK57" s="84"/>
      <c r="AL57" s="49" t="str">
        <f>_xlfn.XLOOKUP($E57,Tab_Def_Processes[Name(EN)],Tab_Def_Processes[Output_Flow_O_4],,0,)</f>
        <v>N.A.</v>
      </c>
      <c r="AM57" s="49" t="e">
        <f>_xlfn.XLOOKUP($E57,Tab_Def_Processes[Name(EN)],Tab_Def_Processes[Flow_ID_O_4],,0,)</f>
        <v>#N/A</v>
      </c>
      <c r="AN57" s="84"/>
      <c r="AO57" s="49" t="str">
        <f>_xlfn.XLOOKUP($E57,Tab_Def_Processes[Name(EN)],Tab_Def_Processes[Output_Flow_O_5],,0,)</f>
        <v>N.A.</v>
      </c>
      <c r="AP57" s="49" t="e">
        <f>_xlfn.XLOOKUP($E57,Tab_Def_Processes[Name(EN)],Tab_Def_Processes[Flow_ID_O_5],,0,)</f>
        <v>#N/A</v>
      </c>
      <c r="AQ57" s="84"/>
      <c r="AR57" s="49" t="str">
        <f>_xlfn.XLOOKUP($E57,Tab_Def_Processes[Name(EN)],Tab_Def_Processes[Output_Flow_O_6],,0,)</f>
        <v>N.A.</v>
      </c>
      <c r="AS57" s="49" t="e">
        <f>_xlfn.XLOOKUP($E57,Tab_Def_Processes[Name(EN)],Tab_Def_Processes[Flow_ID_O_6],,0,)</f>
        <v>#N/A</v>
      </c>
      <c r="AT57" s="84"/>
      <c r="AU57" s="85">
        <f>SUM(Tab_Process_TCs[[#This Row],[Flow_TC O_6_'[%']]],Tab_Process_TCs[[#This Row],[Flow_TC O_5_'[%']]],Tab_Process_TCs[[#This Row],[Flow_TC_O_4_'[%']]],Tab_Process_TCs[[#This Row],[Flow_TC_O_3_'[%']]],,Tab_Process_TCs[[#This Row],[Flow_TC_O_2_'[%']]],Tab_Process_TCs[[#This Row],[Flow_TC_O_1_'[%']]])</f>
        <v>0</v>
      </c>
      <c r="AV57" s="51"/>
      <c r="AW57" s="51"/>
      <c r="AX57" s="51"/>
      <c r="AY57" s="51"/>
      <c r="AZ57" s="51"/>
    </row>
    <row r="58" spans="1:52" x14ac:dyDescent="0.35">
      <c r="A58" s="97" t="b">
        <v>0</v>
      </c>
      <c r="B58" s="49">
        <f t="shared" si="4"/>
        <v>57</v>
      </c>
      <c r="C58" s="49" t="str">
        <f t="shared" si="3"/>
        <v>TC57_21___0</v>
      </c>
      <c r="D58" s="121" t="str">
        <f>_xlfn.XLOOKUP($E58,Tab_Def_Processes[Name(EN)],Tab_Def_Processes[ID],,0,)</f>
        <v>21</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60" t="str">
        <f>_xlfn.XLOOKUP($E58,Tab_Def_Processes[Name(EN)],Tab_Def_Processes[Input_Flow_I_1],,0,)</f>
        <v>N.A.</v>
      </c>
      <c r="N58" s="49" t="e">
        <f>_xlfn.XLOOKUP($E58,Tab_Def_Processes[Name(EN)],Tab_Def_Processes[Flow_ID_I_1],,0,)</f>
        <v>#N/A</v>
      </c>
      <c r="O58" s="84"/>
      <c r="P58" s="77" t="str">
        <f>_xlfn.XLOOKUP($E58,Tab_Def_Processes[Name(EN)],Tab_Def_Processes[Input_Flow_I_2],,0,)</f>
        <v>N.A.</v>
      </c>
      <c r="Q58" s="49" t="e">
        <f>_xlfn.XLOOKUP($E58,Tab_Def_Processes[Name(EN)],Tab_Def_Processes[Flow_ID_I_2],,0,)</f>
        <v>#N/A</v>
      </c>
      <c r="R58" s="84"/>
      <c r="S58" s="77" t="str">
        <f>_xlfn.XLOOKUP($E58,Tab_Def_Processes[Name(EN)],Tab_Def_Processes[Input_Flow_I_3],,0,)</f>
        <v>N.A.</v>
      </c>
      <c r="T58" s="49" t="e">
        <f>_xlfn.XLOOKUP($E58,Tab_Def_Processes[Name(EN)],Tab_Def_Processes[Flow_ID_I_3],,0,)</f>
        <v>#N/A</v>
      </c>
      <c r="U58" s="84"/>
      <c r="V58" s="77" t="str">
        <f>_xlfn.XLOOKUP($E58,Tab_Def_Processes[Name(EN)],Tab_Def_Processes[Input_Flow_I_4],,0,)</f>
        <v>N.A.</v>
      </c>
      <c r="W58" s="49" t="e">
        <f>_xlfn.XLOOKUP($E58,Tab_Def_Processes[Name(EN)],Tab_Def_Processes[Flow_ID_I_4],,0,)</f>
        <v>#N/A</v>
      </c>
      <c r="X58" s="84"/>
      <c r="Y58" s="77" t="str">
        <f>_xlfn.XLOOKUP($E58,Tab_Def_Processes[Name(EN)],Tab_Def_Processes[Input_Flow_I_5],,0,)</f>
        <v>N.A.</v>
      </c>
      <c r="Z58" s="49" t="e">
        <f>_xlfn.XLOOKUP($E58,Tab_Def_Processes[Name(EN)],Tab_Def_Processes[Flow_ID_I_5],,0,)</f>
        <v>#N/A</v>
      </c>
      <c r="AA58" s="84"/>
      <c r="AB58" s="98">
        <f>Tab_Process_TCs[[#This Row],[Flow_TC_I_1_'[%']]]+Tab_Process_TCs[[#This Row],[Flow_TC_I_2_'[%']]]+Tab_Process_TCs[[#This Row],[Flow_TC_I_3_'[%']]]+Tab_Process_TCs[[#This Row],[Flow_TC_I_4_'[%']]]+Tab_Process_TCs[[#This Row],[Flow_TC_I_5_'[%']]]</f>
        <v>0</v>
      </c>
      <c r="AC58" s="49" t="str">
        <f>_xlfn.XLOOKUP($E58,Tab_Def_Processes[Name(EN)],Tab_Def_Processes[Output_Flow_O_1],,0,)</f>
        <v>N.A.</v>
      </c>
      <c r="AD58" s="49" t="e">
        <f>_xlfn.XLOOKUP($E58,Tab_Def_Processes[Name(EN)],Tab_Def_Processes[Flow_ID_O_1],,0,)</f>
        <v>#N/A</v>
      </c>
      <c r="AE58" s="84"/>
      <c r="AF58" s="49" t="str">
        <f>_xlfn.XLOOKUP($E58,Tab_Def_Processes[Name(EN)],Tab_Def_Processes[Output_Flow_O_2],,0,)</f>
        <v>N.A.</v>
      </c>
      <c r="AG58" s="49" t="e">
        <f>_xlfn.XLOOKUP($E58,Tab_Def_Processes[Name(EN)],Tab_Def_Processes[Flow_ID_O_2],,0,)</f>
        <v>#N/A</v>
      </c>
      <c r="AH58" s="84"/>
      <c r="AI58" s="49" t="str">
        <f>_xlfn.XLOOKUP($E58,Tab_Def_Processes[Name(EN)],Tab_Def_Processes[Output_Flow_O_3],,0,)</f>
        <v>N.A.</v>
      </c>
      <c r="AJ58" s="49" t="e">
        <f>_xlfn.XLOOKUP($E58,Tab_Def_Processes[Name(EN)],Tab_Def_Processes[Flow_ID_O_3],,0,)</f>
        <v>#N/A</v>
      </c>
      <c r="AK58" s="84"/>
      <c r="AL58" s="49" t="str">
        <f>_xlfn.XLOOKUP($E58,Tab_Def_Processes[Name(EN)],Tab_Def_Processes[Output_Flow_O_4],,0,)</f>
        <v>N.A.</v>
      </c>
      <c r="AM58" s="49" t="e">
        <f>_xlfn.XLOOKUP($E58,Tab_Def_Processes[Name(EN)],Tab_Def_Processes[Flow_ID_O_4],,0,)</f>
        <v>#N/A</v>
      </c>
      <c r="AN58" s="84"/>
      <c r="AO58" s="49" t="str">
        <f>_xlfn.XLOOKUP($E58,Tab_Def_Processes[Name(EN)],Tab_Def_Processes[Output_Flow_O_5],,0,)</f>
        <v>N.A.</v>
      </c>
      <c r="AP58" s="49" t="e">
        <f>_xlfn.XLOOKUP($E58,Tab_Def_Processes[Name(EN)],Tab_Def_Processes[Flow_ID_O_5],,0,)</f>
        <v>#N/A</v>
      </c>
      <c r="AQ58" s="84"/>
      <c r="AR58" s="49" t="str">
        <f>_xlfn.XLOOKUP($E58,Tab_Def_Processes[Name(EN)],Tab_Def_Processes[Output_Flow_O_6],,0,)</f>
        <v>N.A.</v>
      </c>
      <c r="AS58" s="49" t="e">
        <f>_xlfn.XLOOKUP($E58,Tab_Def_Processes[Name(EN)],Tab_Def_Processes[Flow_ID_O_6],,0,)</f>
        <v>#N/A</v>
      </c>
      <c r="AT58" s="84"/>
      <c r="AU58" s="85">
        <f>SUM(Tab_Process_TCs[[#This Row],[Flow_TC O_6_'[%']]],Tab_Process_TCs[[#This Row],[Flow_TC O_5_'[%']]],Tab_Process_TCs[[#This Row],[Flow_TC_O_4_'[%']]],Tab_Process_TCs[[#This Row],[Flow_TC_O_3_'[%']]],,Tab_Process_TCs[[#This Row],[Flow_TC_O_2_'[%']]],Tab_Process_TCs[[#This Row],[Flow_TC_O_1_'[%']]])</f>
        <v>0</v>
      </c>
      <c r="AV58" s="51"/>
      <c r="AW58" s="51"/>
      <c r="AX58" s="51"/>
      <c r="AY58" s="51"/>
      <c r="AZ58" s="51"/>
    </row>
    <row r="59" spans="1:52" x14ac:dyDescent="0.35">
      <c r="A59" s="97" t="b">
        <v>0</v>
      </c>
      <c r="B59" s="49">
        <f t="shared" si="4"/>
        <v>58</v>
      </c>
      <c r="C59" s="49" t="str">
        <f t="shared" si="3"/>
        <v>TC58_21___0</v>
      </c>
      <c r="D59" s="121" t="str">
        <f>_xlfn.XLOOKUP($E59,Tab_Def_Processes[Name(EN)],Tab_Def_Processes[ID],,0,)</f>
        <v>21</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60" t="str">
        <f>_xlfn.XLOOKUP($E59,Tab_Def_Processes[Name(EN)],Tab_Def_Processes[Input_Flow_I_1],,0,)</f>
        <v>N.A.</v>
      </c>
      <c r="N59" s="49" t="e">
        <f>_xlfn.XLOOKUP($E59,Tab_Def_Processes[Name(EN)],Tab_Def_Processes[Flow_ID_I_1],,0,)</f>
        <v>#N/A</v>
      </c>
      <c r="O59" s="84"/>
      <c r="P59" s="77" t="str">
        <f>_xlfn.XLOOKUP($E59,Tab_Def_Processes[Name(EN)],Tab_Def_Processes[Input_Flow_I_2],,0,)</f>
        <v>N.A.</v>
      </c>
      <c r="Q59" s="49" t="e">
        <f>_xlfn.XLOOKUP($E59,Tab_Def_Processes[Name(EN)],Tab_Def_Processes[Flow_ID_I_2],,0,)</f>
        <v>#N/A</v>
      </c>
      <c r="R59" s="84"/>
      <c r="S59" s="77" t="str">
        <f>_xlfn.XLOOKUP($E59,Tab_Def_Processes[Name(EN)],Tab_Def_Processes[Input_Flow_I_3],,0,)</f>
        <v>N.A.</v>
      </c>
      <c r="T59" s="49" t="e">
        <f>_xlfn.XLOOKUP($E59,Tab_Def_Processes[Name(EN)],Tab_Def_Processes[Flow_ID_I_3],,0,)</f>
        <v>#N/A</v>
      </c>
      <c r="U59" s="84"/>
      <c r="V59" s="77" t="str">
        <f>_xlfn.XLOOKUP($E59,Tab_Def_Processes[Name(EN)],Tab_Def_Processes[Input_Flow_I_4],,0,)</f>
        <v>N.A.</v>
      </c>
      <c r="W59" s="49" t="e">
        <f>_xlfn.XLOOKUP($E59,Tab_Def_Processes[Name(EN)],Tab_Def_Processes[Flow_ID_I_4],,0,)</f>
        <v>#N/A</v>
      </c>
      <c r="X59" s="84"/>
      <c r="Y59" s="77" t="str">
        <f>_xlfn.XLOOKUP($E59,Tab_Def_Processes[Name(EN)],Tab_Def_Processes[Input_Flow_I_5],,0,)</f>
        <v>N.A.</v>
      </c>
      <c r="Z59" s="49" t="e">
        <f>_xlfn.XLOOKUP($E59,Tab_Def_Processes[Name(EN)],Tab_Def_Processes[Flow_ID_I_5],,0,)</f>
        <v>#N/A</v>
      </c>
      <c r="AA59" s="84"/>
      <c r="AB59" s="98">
        <f>Tab_Process_TCs[[#This Row],[Flow_TC_I_1_'[%']]]+Tab_Process_TCs[[#This Row],[Flow_TC_I_2_'[%']]]+Tab_Process_TCs[[#This Row],[Flow_TC_I_3_'[%']]]+Tab_Process_TCs[[#This Row],[Flow_TC_I_4_'[%']]]+Tab_Process_TCs[[#This Row],[Flow_TC_I_5_'[%']]]</f>
        <v>0</v>
      </c>
      <c r="AC59" s="49" t="str">
        <f>_xlfn.XLOOKUP($E59,Tab_Def_Processes[Name(EN)],Tab_Def_Processes[Output_Flow_O_1],,0,)</f>
        <v>N.A.</v>
      </c>
      <c r="AD59" s="49" t="e">
        <f>_xlfn.XLOOKUP($E59,Tab_Def_Processes[Name(EN)],Tab_Def_Processes[Flow_ID_O_1],,0,)</f>
        <v>#N/A</v>
      </c>
      <c r="AE59" s="84"/>
      <c r="AF59" s="49" t="str">
        <f>_xlfn.XLOOKUP($E59,Tab_Def_Processes[Name(EN)],Tab_Def_Processes[Output_Flow_O_2],,0,)</f>
        <v>N.A.</v>
      </c>
      <c r="AG59" s="49" t="e">
        <f>_xlfn.XLOOKUP($E59,Tab_Def_Processes[Name(EN)],Tab_Def_Processes[Flow_ID_O_2],,0,)</f>
        <v>#N/A</v>
      </c>
      <c r="AH59" s="84"/>
      <c r="AI59" s="49" t="str">
        <f>_xlfn.XLOOKUP($E59,Tab_Def_Processes[Name(EN)],Tab_Def_Processes[Output_Flow_O_3],,0,)</f>
        <v>N.A.</v>
      </c>
      <c r="AJ59" s="49" t="e">
        <f>_xlfn.XLOOKUP($E59,Tab_Def_Processes[Name(EN)],Tab_Def_Processes[Flow_ID_O_3],,0,)</f>
        <v>#N/A</v>
      </c>
      <c r="AK59" s="84"/>
      <c r="AL59" s="49" t="str">
        <f>_xlfn.XLOOKUP($E59,Tab_Def_Processes[Name(EN)],Tab_Def_Processes[Output_Flow_O_4],,0,)</f>
        <v>N.A.</v>
      </c>
      <c r="AM59" s="49" t="e">
        <f>_xlfn.XLOOKUP($E59,Tab_Def_Processes[Name(EN)],Tab_Def_Processes[Flow_ID_O_4],,0,)</f>
        <v>#N/A</v>
      </c>
      <c r="AN59" s="84"/>
      <c r="AO59" s="49" t="str">
        <f>_xlfn.XLOOKUP($E59,Tab_Def_Processes[Name(EN)],Tab_Def_Processes[Output_Flow_O_5],,0,)</f>
        <v>N.A.</v>
      </c>
      <c r="AP59" s="49" t="e">
        <f>_xlfn.XLOOKUP($E59,Tab_Def_Processes[Name(EN)],Tab_Def_Processes[Flow_ID_O_5],,0,)</f>
        <v>#N/A</v>
      </c>
      <c r="AQ59" s="84"/>
      <c r="AR59" s="49" t="str">
        <f>_xlfn.XLOOKUP($E59,Tab_Def_Processes[Name(EN)],Tab_Def_Processes[Output_Flow_O_6],,0,)</f>
        <v>N.A.</v>
      </c>
      <c r="AS59" s="49" t="e">
        <f>_xlfn.XLOOKUP($E59,Tab_Def_Processes[Name(EN)],Tab_Def_Processes[Flow_ID_O_6],,0,)</f>
        <v>#N/A</v>
      </c>
      <c r="AT59" s="84"/>
      <c r="AU59" s="85">
        <f>SUM(Tab_Process_TCs[[#This Row],[Flow_TC O_6_'[%']]],Tab_Process_TCs[[#This Row],[Flow_TC O_5_'[%']]],Tab_Process_TCs[[#This Row],[Flow_TC_O_4_'[%']]],Tab_Process_TCs[[#This Row],[Flow_TC_O_3_'[%']]],,Tab_Process_TCs[[#This Row],[Flow_TC_O_2_'[%']]],Tab_Process_TCs[[#This Row],[Flow_TC_O_1_'[%']]])</f>
        <v>0</v>
      </c>
      <c r="AV59" s="51"/>
      <c r="AW59" s="51"/>
      <c r="AX59" s="51"/>
      <c r="AY59" s="51"/>
      <c r="AZ59" s="51"/>
    </row>
    <row r="60" spans="1:52" x14ac:dyDescent="0.35">
      <c r="A60" s="97" t="b">
        <v>0</v>
      </c>
      <c r="B60" s="49">
        <f t="shared" si="4"/>
        <v>59</v>
      </c>
      <c r="C60" s="49" t="str">
        <f t="shared" si="3"/>
        <v>TC59_21___0</v>
      </c>
      <c r="D60" s="121" t="str">
        <f>_xlfn.XLOOKUP($E60,Tab_Def_Processes[Name(EN)],Tab_Def_Processes[ID],,0,)</f>
        <v>21</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60" t="str">
        <f>_xlfn.XLOOKUP($E60,Tab_Def_Processes[Name(EN)],Tab_Def_Processes[Input_Flow_I_1],,0,)</f>
        <v>N.A.</v>
      </c>
      <c r="N60" s="49" t="e">
        <f>_xlfn.XLOOKUP($E60,Tab_Def_Processes[Name(EN)],Tab_Def_Processes[Flow_ID_I_1],,0,)</f>
        <v>#N/A</v>
      </c>
      <c r="O60" s="84"/>
      <c r="P60" s="77" t="str">
        <f>_xlfn.XLOOKUP($E60,Tab_Def_Processes[Name(EN)],Tab_Def_Processes[Input_Flow_I_2],,0,)</f>
        <v>N.A.</v>
      </c>
      <c r="Q60" s="49" t="e">
        <f>_xlfn.XLOOKUP($E60,Tab_Def_Processes[Name(EN)],Tab_Def_Processes[Flow_ID_I_2],,0,)</f>
        <v>#N/A</v>
      </c>
      <c r="R60" s="84"/>
      <c r="S60" s="77" t="str">
        <f>_xlfn.XLOOKUP($E60,Tab_Def_Processes[Name(EN)],Tab_Def_Processes[Input_Flow_I_3],,0,)</f>
        <v>N.A.</v>
      </c>
      <c r="T60" s="49" t="e">
        <f>_xlfn.XLOOKUP($E60,Tab_Def_Processes[Name(EN)],Tab_Def_Processes[Flow_ID_I_3],,0,)</f>
        <v>#N/A</v>
      </c>
      <c r="U60" s="84"/>
      <c r="V60" s="77" t="str">
        <f>_xlfn.XLOOKUP($E60,Tab_Def_Processes[Name(EN)],Tab_Def_Processes[Input_Flow_I_4],,0,)</f>
        <v>N.A.</v>
      </c>
      <c r="W60" s="49" t="e">
        <f>_xlfn.XLOOKUP($E60,Tab_Def_Processes[Name(EN)],Tab_Def_Processes[Flow_ID_I_4],,0,)</f>
        <v>#N/A</v>
      </c>
      <c r="X60" s="84"/>
      <c r="Y60" s="77" t="str">
        <f>_xlfn.XLOOKUP($E60,Tab_Def_Processes[Name(EN)],Tab_Def_Processes[Input_Flow_I_5],,0,)</f>
        <v>N.A.</v>
      </c>
      <c r="Z60" s="49" t="e">
        <f>_xlfn.XLOOKUP($E60,Tab_Def_Processes[Name(EN)],Tab_Def_Processes[Flow_ID_I_5],,0,)</f>
        <v>#N/A</v>
      </c>
      <c r="AA60" s="84"/>
      <c r="AB60" s="98">
        <f>Tab_Process_TCs[[#This Row],[Flow_TC_I_1_'[%']]]+Tab_Process_TCs[[#This Row],[Flow_TC_I_2_'[%']]]+Tab_Process_TCs[[#This Row],[Flow_TC_I_3_'[%']]]+Tab_Process_TCs[[#This Row],[Flow_TC_I_4_'[%']]]+Tab_Process_TCs[[#This Row],[Flow_TC_I_5_'[%']]]</f>
        <v>0</v>
      </c>
      <c r="AC60" s="49" t="str">
        <f>_xlfn.XLOOKUP($E60,Tab_Def_Processes[Name(EN)],Tab_Def_Processes[Output_Flow_O_1],,0,)</f>
        <v>N.A.</v>
      </c>
      <c r="AD60" s="49" t="e">
        <f>_xlfn.XLOOKUP($E60,Tab_Def_Processes[Name(EN)],Tab_Def_Processes[Flow_ID_O_1],,0,)</f>
        <v>#N/A</v>
      </c>
      <c r="AE60" s="84"/>
      <c r="AF60" s="49" t="str">
        <f>_xlfn.XLOOKUP($E60,Tab_Def_Processes[Name(EN)],Tab_Def_Processes[Output_Flow_O_2],,0,)</f>
        <v>N.A.</v>
      </c>
      <c r="AG60" s="49" t="e">
        <f>_xlfn.XLOOKUP($E60,Tab_Def_Processes[Name(EN)],Tab_Def_Processes[Flow_ID_O_2],,0,)</f>
        <v>#N/A</v>
      </c>
      <c r="AH60" s="84"/>
      <c r="AI60" s="49" t="str">
        <f>_xlfn.XLOOKUP($E60,Tab_Def_Processes[Name(EN)],Tab_Def_Processes[Output_Flow_O_3],,0,)</f>
        <v>N.A.</v>
      </c>
      <c r="AJ60" s="49" t="e">
        <f>_xlfn.XLOOKUP($E60,Tab_Def_Processes[Name(EN)],Tab_Def_Processes[Flow_ID_O_3],,0,)</f>
        <v>#N/A</v>
      </c>
      <c r="AK60" s="84"/>
      <c r="AL60" s="49" t="str">
        <f>_xlfn.XLOOKUP($E60,Tab_Def_Processes[Name(EN)],Tab_Def_Processes[Output_Flow_O_4],,0,)</f>
        <v>N.A.</v>
      </c>
      <c r="AM60" s="49" t="e">
        <f>_xlfn.XLOOKUP($E60,Tab_Def_Processes[Name(EN)],Tab_Def_Processes[Flow_ID_O_4],,0,)</f>
        <v>#N/A</v>
      </c>
      <c r="AN60" s="84"/>
      <c r="AO60" s="49" t="str">
        <f>_xlfn.XLOOKUP($E60,Tab_Def_Processes[Name(EN)],Tab_Def_Processes[Output_Flow_O_5],,0,)</f>
        <v>N.A.</v>
      </c>
      <c r="AP60" s="49" t="e">
        <f>_xlfn.XLOOKUP($E60,Tab_Def_Processes[Name(EN)],Tab_Def_Processes[Flow_ID_O_5],,0,)</f>
        <v>#N/A</v>
      </c>
      <c r="AQ60" s="84"/>
      <c r="AR60" s="49" t="str">
        <f>_xlfn.XLOOKUP($E60,Tab_Def_Processes[Name(EN)],Tab_Def_Processes[Output_Flow_O_6],,0,)</f>
        <v>N.A.</v>
      </c>
      <c r="AS60" s="49" t="e">
        <f>_xlfn.XLOOKUP($E60,Tab_Def_Processes[Name(EN)],Tab_Def_Processes[Flow_ID_O_6],,0,)</f>
        <v>#N/A</v>
      </c>
      <c r="AT60" s="84"/>
      <c r="AU60" s="85">
        <f>SUM(Tab_Process_TCs[[#This Row],[Flow_TC O_6_'[%']]],Tab_Process_TCs[[#This Row],[Flow_TC O_5_'[%']]],Tab_Process_TCs[[#This Row],[Flow_TC_O_4_'[%']]],Tab_Process_TCs[[#This Row],[Flow_TC_O_3_'[%']]],,Tab_Process_TCs[[#This Row],[Flow_TC_O_2_'[%']]],Tab_Process_TCs[[#This Row],[Flow_TC_O_1_'[%']]])</f>
        <v>0</v>
      </c>
      <c r="AV60" s="51"/>
      <c r="AW60" s="51"/>
      <c r="AX60" s="51"/>
      <c r="AY60" s="51"/>
      <c r="AZ60" s="51"/>
    </row>
    <row r="61" spans="1:52" x14ac:dyDescent="0.35">
      <c r="A61" s="97" t="b">
        <v>0</v>
      </c>
      <c r="B61" s="49">
        <f t="shared" si="4"/>
        <v>60</v>
      </c>
      <c r="C61" s="49" t="str">
        <f t="shared" si="3"/>
        <v>TC60_21___0</v>
      </c>
      <c r="D61" s="121" t="str">
        <f>_xlfn.XLOOKUP($E61,Tab_Def_Processes[Name(EN)],Tab_Def_Processes[ID],,0,)</f>
        <v>21</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60" t="str">
        <f>_xlfn.XLOOKUP($E61,Tab_Def_Processes[Name(EN)],Tab_Def_Processes[Input_Flow_I_1],,0,)</f>
        <v>N.A.</v>
      </c>
      <c r="N61" s="49" t="e">
        <f>_xlfn.XLOOKUP($E61,Tab_Def_Processes[Name(EN)],Tab_Def_Processes[Flow_ID_I_1],,0,)</f>
        <v>#N/A</v>
      </c>
      <c r="O61" s="84"/>
      <c r="P61" s="77" t="str">
        <f>_xlfn.XLOOKUP($E61,Tab_Def_Processes[Name(EN)],Tab_Def_Processes[Input_Flow_I_2],,0,)</f>
        <v>N.A.</v>
      </c>
      <c r="Q61" s="49" t="e">
        <f>_xlfn.XLOOKUP($E61,Tab_Def_Processes[Name(EN)],Tab_Def_Processes[Flow_ID_I_2],,0,)</f>
        <v>#N/A</v>
      </c>
      <c r="R61" s="84"/>
      <c r="S61" s="77" t="str">
        <f>_xlfn.XLOOKUP($E61,Tab_Def_Processes[Name(EN)],Tab_Def_Processes[Input_Flow_I_3],,0,)</f>
        <v>N.A.</v>
      </c>
      <c r="T61" s="49" t="e">
        <f>_xlfn.XLOOKUP($E61,Tab_Def_Processes[Name(EN)],Tab_Def_Processes[Flow_ID_I_3],,0,)</f>
        <v>#N/A</v>
      </c>
      <c r="U61" s="84"/>
      <c r="V61" s="77" t="str">
        <f>_xlfn.XLOOKUP($E61,Tab_Def_Processes[Name(EN)],Tab_Def_Processes[Input_Flow_I_4],,0,)</f>
        <v>N.A.</v>
      </c>
      <c r="W61" s="49" t="e">
        <f>_xlfn.XLOOKUP($E61,Tab_Def_Processes[Name(EN)],Tab_Def_Processes[Flow_ID_I_4],,0,)</f>
        <v>#N/A</v>
      </c>
      <c r="X61" s="84"/>
      <c r="Y61" s="77" t="str">
        <f>_xlfn.XLOOKUP($E61,Tab_Def_Processes[Name(EN)],Tab_Def_Processes[Input_Flow_I_5],,0,)</f>
        <v>N.A.</v>
      </c>
      <c r="Z61" s="49" t="e">
        <f>_xlfn.XLOOKUP($E61,Tab_Def_Processes[Name(EN)],Tab_Def_Processes[Flow_ID_I_5],,0,)</f>
        <v>#N/A</v>
      </c>
      <c r="AA61" s="84"/>
      <c r="AB61" s="98">
        <f>Tab_Process_TCs[[#This Row],[Flow_TC_I_1_'[%']]]+Tab_Process_TCs[[#This Row],[Flow_TC_I_2_'[%']]]+Tab_Process_TCs[[#This Row],[Flow_TC_I_3_'[%']]]+Tab_Process_TCs[[#This Row],[Flow_TC_I_4_'[%']]]+Tab_Process_TCs[[#This Row],[Flow_TC_I_5_'[%']]]</f>
        <v>0</v>
      </c>
      <c r="AC61" s="49" t="str">
        <f>_xlfn.XLOOKUP($E61,Tab_Def_Processes[Name(EN)],Tab_Def_Processes[Output_Flow_O_1],,0,)</f>
        <v>N.A.</v>
      </c>
      <c r="AD61" s="49" t="e">
        <f>_xlfn.XLOOKUP($E61,Tab_Def_Processes[Name(EN)],Tab_Def_Processes[Flow_ID_O_1],,0,)</f>
        <v>#N/A</v>
      </c>
      <c r="AE61" s="84"/>
      <c r="AF61" s="49" t="str">
        <f>_xlfn.XLOOKUP($E61,Tab_Def_Processes[Name(EN)],Tab_Def_Processes[Output_Flow_O_2],,0,)</f>
        <v>N.A.</v>
      </c>
      <c r="AG61" s="49" t="e">
        <f>_xlfn.XLOOKUP($E61,Tab_Def_Processes[Name(EN)],Tab_Def_Processes[Flow_ID_O_2],,0,)</f>
        <v>#N/A</v>
      </c>
      <c r="AH61" s="84"/>
      <c r="AI61" s="49" t="str">
        <f>_xlfn.XLOOKUP($E61,Tab_Def_Processes[Name(EN)],Tab_Def_Processes[Output_Flow_O_3],,0,)</f>
        <v>N.A.</v>
      </c>
      <c r="AJ61" s="49" t="e">
        <f>_xlfn.XLOOKUP($E61,Tab_Def_Processes[Name(EN)],Tab_Def_Processes[Flow_ID_O_3],,0,)</f>
        <v>#N/A</v>
      </c>
      <c r="AK61" s="84"/>
      <c r="AL61" s="49" t="str">
        <f>_xlfn.XLOOKUP($E61,Tab_Def_Processes[Name(EN)],Tab_Def_Processes[Output_Flow_O_4],,0,)</f>
        <v>N.A.</v>
      </c>
      <c r="AM61" s="49" t="e">
        <f>_xlfn.XLOOKUP($E61,Tab_Def_Processes[Name(EN)],Tab_Def_Processes[Flow_ID_O_4],,0,)</f>
        <v>#N/A</v>
      </c>
      <c r="AN61" s="84"/>
      <c r="AO61" s="49" t="str">
        <f>_xlfn.XLOOKUP($E61,Tab_Def_Processes[Name(EN)],Tab_Def_Processes[Output_Flow_O_5],,0,)</f>
        <v>N.A.</v>
      </c>
      <c r="AP61" s="49" t="e">
        <f>_xlfn.XLOOKUP($E61,Tab_Def_Processes[Name(EN)],Tab_Def_Processes[Flow_ID_O_5],,0,)</f>
        <v>#N/A</v>
      </c>
      <c r="AQ61" s="84"/>
      <c r="AR61" s="49" t="str">
        <f>_xlfn.XLOOKUP($E61,Tab_Def_Processes[Name(EN)],Tab_Def_Processes[Output_Flow_O_6],,0,)</f>
        <v>N.A.</v>
      </c>
      <c r="AS61" s="49" t="e">
        <f>_xlfn.XLOOKUP($E61,Tab_Def_Processes[Name(EN)],Tab_Def_Processes[Flow_ID_O_6],,0,)</f>
        <v>#N/A</v>
      </c>
      <c r="AT61" s="84"/>
      <c r="AU61" s="85">
        <f>SUM(Tab_Process_TCs[[#This Row],[Flow_TC O_6_'[%']]],Tab_Process_TCs[[#This Row],[Flow_TC O_5_'[%']]],Tab_Process_TCs[[#This Row],[Flow_TC_O_4_'[%']]],Tab_Process_TCs[[#This Row],[Flow_TC_O_3_'[%']]],,Tab_Process_TCs[[#This Row],[Flow_TC_O_2_'[%']]],Tab_Process_TCs[[#This Row],[Flow_TC_O_1_'[%']]])</f>
        <v>0</v>
      </c>
      <c r="AV61" s="51"/>
      <c r="AW61" s="51"/>
      <c r="AX61" s="51"/>
      <c r="AY61" s="51"/>
      <c r="AZ61" s="51"/>
    </row>
    <row r="62" spans="1:52" x14ac:dyDescent="0.35">
      <c r="A62" s="97" t="b">
        <v>0</v>
      </c>
      <c r="B62" s="49">
        <f t="shared" si="4"/>
        <v>61</v>
      </c>
      <c r="C62" s="49" t="str">
        <f t="shared" si="3"/>
        <v>TC61_21___0</v>
      </c>
      <c r="D62" s="121" t="str">
        <f>_xlfn.XLOOKUP($E62,Tab_Def_Processes[Name(EN)],Tab_Def_Processes[ID],,0,)</f>
        <v>21</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60" t="str">
        <f>_xlfn.XLOOKUP($E62,Tab_Def_Processes[Name(EN)],Tab_Def_Processes[Input_Flow_I_1],,0,)</f>
        <v>N.A.</v>
      </c>
      <c r="N62" s="49" t="e">
        <f>_xlfn.XLOOKUP($E62,Tab_Def_Processes[Name(EN)],Tab_Def_Processes[Flow_ID_I_1],,0,)</f>
        <v>#N/A</v>
      </c>
      <c r="O62" s="84"/>
      <c r="P62" s="77" t="str">
        <f>_xlfn.XLOOKUP($E62,Tab_Def_Processes[Name(EN)],Tab_Def_Processes[Input_Flow_I_2],,0,)</f>
        <v>N.A.</v>
      </c>
      <c r="Q62" s="49" t="e">
        <f>_xlfn.XLOOKUP($E62,Tab_Def_Processes[Name(EN)],Tab_Def_Processes[Flow_ID_I_2],,0,)</f>
        <v>#N/A</v>
      </c>
      <c r="R62" s="84"/>
      <c r="S62" s="77" t="str">
        <f>_xlfn.XLOOKUP($E62,Tab_Def_Processes[Name(EN)],Tab_Def_Processes[Input_Flow_I_3],,0,)</f>
        <v>N.A.</v>
      </c>
      <c r="T62" s="49" t="e">
        <f>_xlfn.XLOOKUP($E62,Tab_Def_Processes[Name(EN)],Tab_Def_Processes[Flow_ID_I_3],,0,)</f>
        <v>#N/A</v>
      </c>
      <c r="U62" s="84"/>
      <c r="V62" s="77" t="str">
        <f>_xlfn.XLOOKUP($E62,Tab_Def_Processes[Name(EN)],Tab_Def_Processes[Input_Flow_I_4],,0,)</f>
        <v>N.A.</v>
      </c>
      <c r="W62" s="49" t="e">
        <f>_xlfn.XLOOKUP($E62,Tab_Def_Processes[Name(EN)],Tab_Def_Processes[Flow_ID_I_4],,0,)</f>
        <v>#N/A</v>
      </c>
      <c r="X62" s="84"/>
      <c r="Y62" s="77" t="str">
        <f>_xlfn.XLOOKUP($E62,Tab_Def_Processes[Name(EN)],Tab_Def_Processes[Input_Flow_I_5],,0,)</f>
        <v>N.A.</v>
      </c>
      <c r="Z62" s="49" t="e">
        <f>_xlfn.XLOOKUP($E62,Tab_Def_Processes[Name(EN)],Tab_Def_Processes[Flow_ID_I_5],,0,)</f>
        <v>#N/A</v>
      </c>
      <c r="AA62" s="84"/>
      <c r="AB62" s="98">
        <f>Tab_Process_TCs[[#This Row],[Flow_TC_I_1_'[%']]]+Tab_Process_TCs[[#This Row],[Flow_TC_I_2_'[%']]]+Tab_Process_TCs[[#This Row],[Flow_TC_I_3_'[%']]]+Tab_Process_TCs[[#This Row],[Flow_TC_I_4_'[%']]]+Tab_Process_TCs[[#This Row],[Flow_TC_I_5_'[%']]]</f>
        <v>0</v>
      </c>
      <c r="AC62" s="49" t="str">
        <f>_xlfn.XLOOKUP($E62,Tab_Def_Processes[Name(EN)],Tab_Def_Processes[Output_Flow_O_1],,0,)</f>
        <v>N.A.</v>
      </c>
      <c r="AD62" s="49" t="e">
        <f>_xlfn.XLOOKUP($E62,Tab_Def_Processes[Name(EN)],Tab_Def_Processes[Flow_ID_O_1],,0,)</f>
        <v>#N/A</v>
      </c>
      <c r="AE62" s="84"/>
      <c r="AF62" s="49" t="str">
        <f>_xlfn.XLOOKUP($E62,Tab_Def_Processes[Name(EN)],Tab_Def_Processes[Output_Flow_O_2],,0,)</f>
        <v>N.A.</v>
      </c>
      <c r="AG62" s="49" t="e">
        <f>_xlfn.XLOOKUP($E62,Tab_Def_Processes[Name(EN)],Tab_Def_Processes[Flow_ID_O_2],,0,)</f>
        <v>#N/A</v>
      </c>
      <c r="AH62" s="84"/>
      <c r="AI62" s="49" t="str">
        <f>_xlfn.XLOOKUP($E62,Tab_Def_Processes[Name(EN)],Tab_Def_Processes[Output_Flow_O_3],,0,)</f>
        <v>N.A.</v>
      </c>
      <c r="AJ62" s="49" t="e">
        <f>_xlfn.XLOOKUP($E62,Tab_Def_Processes[Name(EN)],Tab_Def_Processes[Flow_ID_O_3],,0,)</f>
        <v>#N/A</v>
      </c>
      <c r="AK62" s="84"/>
      <c r="AL62" s="49" t="str">
        <f>_xlfn.XLOOKUP($E62,Tab_Def_Processes[Name(EN)],Tab_Def_Processes[Output_Flow_O_4],,0,)</f>
        <v>N.A.</v>
      </c>
      <c r="AM62" s="49" t="e">
        <f>_xlfn.XLOOKUP($E62,Tab_Def_Processes[Name(EN)],Tab_Def_Processes[Flow_ID_O_4],,0,)</f>
        <v>#N/A</v>
      </c>
      <c r="AN62" s="84"/>
      <c r="AO62" s="49" t="str">
        <f>_xlfn.XLOOKUP($E62,Tab_Def_Processes[Name(EN)],Tab_Def_Processes[Output_Flow_O_5],,0,)</f>
        <v>N.A.</v>
      </c>
      <c r="AP62" s="49" t="e">
        <f>_xlfn.XLOOKUP($E62,Tab_Def_Processes[Name(EN)],Tab_Def_Processes[Flow_ID_O_5],,0,)</f>
        <v>#N/A</v>
      </c>
      <c r="AQ62" s="84"/>
      <c r="AR62" s="49" t="str">
        <f>_xlfn.XLOOKUP($E62,Tab_Def_Processes[Name(EN)],Tab_Def_Processes[Output_Flow_O_6],,0,)</f>
        <v>N.A.</v>
      </c>
      <c r="AS62" s="49" t="e">
        <f>_xlfn.XLOOKUP($E62,Tab_Def_Processes[Name(EN)],Tab_Def_Processes[Flow_ID_O_6],,0,)</f>
        <v>#N/A</v>
      </c>
      <c r="AT62" s="84"/>
      <c r="AU62" s="85">
        <f>SUM(Tab_Process_TCs[[#This Row],[Flow_TC O_6_'[%']]],Tab_Process_TCs[[#This Row],[Flow_TC O_5_'[%']]],Tab_Process_TCs[[#This Row],[Flow_TC_O_4_'[%']]],Tab_Process_TCs[[#This Row],[Flow_TC_O_3_'[%']]],,Tab_Process_TCs[[#This Row],[Flow_TC_O_2_'[%']]],Tab_Process_TCs[[#This Row],[Flow_TC_O_1_'[%']]])</f>
        <v>0</v>
      </c>
      <c r="AV62" s="51"/>
      <c r="AW62" s="51"/>
      <c r="AX62" s="51"/>
      <c r="AY62" s="51"/>
      <c r="AZ62" s="51"/>
    </row>
    <row r="63" spans="1:52" x14ac:dyDescent="0.35">
      <c r="A63" s="97" t="b">
        <v>0</v>
      </c>
      <c r="B63" s="49">
        <f t="shared" si="4"/>
        <v>62</v>
      </c>
      <c r="C63" s="49" t="str">
        <f t="shared" si="3"/>
        <v>TC62_21___0</v>
      </c>
      <c r="D63" s="121" t="str">
        <f>_xlfn.XLOOKUP($E63,Tab_Def_Processes[Name(EN)],Tab_Def_Processes[ID],,0,)</f>
        <v>21</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60" t="str">
        <f>_xlfn.XLOOKUP($E63,Tab_Def_Processes[Name(EN)],Tab_Def_Processes[Input_Flow_I_1],,0,)</f>
        <v>N.A.</v>
      </c>
      <c r="N63" s="49" t="e">
        <f>_xlfn.XLOOKUP($E63,Tab_Def_Processes[Name(EN)],Tab_Def_Processes[Flow_ID_I_1],,0,)</f>
        <v>#N/A</v>
      </c>
      <c r="O63" s="84"/>
      <c r="P63" s="77" t="str">
        <f>_xlfn.XLOOKUP($E63,Tab_Def_Processes[Name(EN)],Tab_Def_Processes[Input_Flow_I_2],,0,)</f>
        <v>N.A.</v>
      </c>
      <c r="Q63" s="49" t="e">
        <f>_xlfn.XLOOKUP($E63,Tab_Def_Processes[Name(EN)],Tab_Def_Processes[Flow_ID_I_2],,0,)</f>
        <v>#N/A</v>
      </c>
      <c r="R63" s="84"/>
      <c r="S63" s="77" t="str">
        <f>_xlfn.XLOOKUP($E63,Tab_Def_Processes[Name(EN)],Tab_Def_Processes[Input_Flow_I_3],,0,)</f>
        <v>N.A.</v>
      </c>
      <c r="T63" s="49" t="e">
        <f>_xlfn.XLOOKUP($E63,Tab_Def_Processes[Name(EN)],Tab_Def_Processes[Flow_ID_I_3],,0,)</f>
        <v>#N/A</v>
      </c>
      <c r="U63" s="84"/>
      <c r="V63" s="77" t="str">
        <f>_xlfn.XLOOKUP($E63,Tab_Def_Processes[Name(EN)],Tab_Def_Processes[Input_Flow_I_4],,0,)</f>
        <v>N.A.</v>
      </c>
      <c r="W63" s="49" t="e">
        <f>_xlfn.XLOOKUP($E63,Tab_Def_Processes[Name(EN)],Tab_Def_Processes[Flow_ID_I_4],,0,)</f>
        <v>#N/A</v>
      </c>
      <c r="X63" s="84"/>
      <c r="Y63" s="77" t="str">
        <f>_xlfn.XLOOKUP($E63,Tab_Def_Processes[Name(EN)],Tab_Def_Processes[Input_Flow_I_5],,0,)</f>
        <v>N.A.</v>
      </c>
      <c r="Z63" s="49" t="e">
        <f>_xlfn.XLOOKUP($E63,Tab_Def_Processes[Name(EN)],Tab_Def_Processes[Flow_ID_I_5],,0,)</f>
        <v>#N/A</v>
      </c>
      <c r="AA63" s="84"/>
      <c r="AB63" s="98">
        <f>Tab_Process_TCs[[#This Row],[Flow_TC_I_1_'[%']]]+Tab_Process_TCs[[#This Row],[Flow_TC_I_2_'[%']]]+Tab_Process_TCs[[#This Row],[Flow_TC_I_3_'[%']]]+Tab_Process_TCs[[#This Row],[Flow_TC_I_4_'[%']]]+Tab_Process_TCs[[#This Row],[Flow_TC_I_5_'[%']]]</f>
        <v>0</v>
      </c>
      <c r="AC63" s="49" t="str">
        <f>_xlfn.XLOOKUP($E63,Tab_Def_Processes[Name(EN)],Tab_Def_Processes[Output_Flow_O_1],,0,)</f>
        <v>N.A.</v>
      </c>
      <c r="AD63" s="49" t="e">
        <f>_xlfn.XLOOKUP($E63,Tab_Def_Processes[Name(EN)],Tab_Def_Processes[Flow_ID_O_1],,0,)</f>
        <v>#N/A</v>
      </c>
      <c r="AE63" s="84"/>
      <c r="AF63" s="49" t="str">
        <f>_xlfn.XLOOKUP($E63,Tab_Def_Processes[Name(EN)],Tab_Def_Processes[Output_Flow_O_2],,0,)</f>
        <v>N.A.</v>
      </c>
      <c r="AG63" s="49" t="e">
        <f>_xlfn.XLOOKUP($E63,Tab_Def_Processes[Name(EN)],Tab_Def_Processes[Flow_ID_O_2],,0,)</f>
        <v>#N/A</v>
      </c>
      <c r="AH63" s="84"/>
      <c r="AI63" s="49" t="str">
        <f>_xlfn.XLOOKUP($E63,Tab_Def_Processes[Name(EN)],Tab_Def_Processes[Output_Flow_O_3],,0,)</f>
        <v>N.A.</v>
      </c>
      <c r="AJ63" s="49" t="e">
        <f>_xlfn.XLOOKUP($E63,Tab_Def_Processes[Name(EN)],Tab_Def_Processes[Flow_ID_O_3],,0,)</f>
        <v>#N/A</v>
      </c>
      <c r="AK63" s="84"/>
      <c r="AL63" s="49" t="str">
        <f>_xlfn.XLOOKUP($E63,Tab_Def_Processes[Name(EN)],Tab_Def_Processes[Output_Flow_O_4],,0,)</f>
        <v>N.A.</v>
      </c>
      <c r="AM63" s="49" t="e">
        <f>_xlfn.XLOOKUP($E63,Tab_Def_Processes[Name(EN)],Tab_Def_Processes[Flow_ID_O_4],,0,)</f>
        <v>#N/A</v>
      </c>
      <c r="AN63" s="84"/>
      <c r="AO63" s="49" t="str">
        <f>_xlfn.XLOOKUP($E63,Tab_Def_Processes[Name(EN)],Tab_Def_Processes[Output_Flow_O_5],,0,)</f>
        <v>N.A.</v>
      </c>
      <c r="AP63" s="49" t="e">
        <f>_xlfn.XLOOKUP($E63,Tab_Def_Processes[Name(EN)],Tab_Def_Processes[Flow_ID_O_5],,0,)</f>
        <v>#N/A</v>
      </c>
      <c r="AQ63" s="84"/>
      <c r="AR63" s="49" t="str">
        <f>_xlfn.XLOOKUP($E63,Tab_Def_Processes[Name(EN)],Tab_Def_Processes[Output_Flow_O_6],,0,)</f>
        <v>N.A.</v>
      </c>
      <c r="AS63" s="49" t="e">
        <f>_xlfn.XLOOKUP($E63,Tab_Def_Processes[Name(EN)],Tab_Def_Processes[Flow_ID_O_6],,0,)</f>
        <v>#N/A</v>
      </c>
      <c r="AT63" s="84"/>
      <c r="AU63" s="85">
        <f>SUM(Tab_Process_TCs[[#This Row],[Flow_TC O_6_'[%']]],Tab_Process_TCs[[#This Row],[Flow_TC O_5_'[%']]],Tab_Process_TCs[[#This Row],[Flow_TC_O_4_'[%']]],Tab_Process_TCs[[#This Row],[Flow_TC_O_3_'[%']]],,Tab_Process_TCs[[#This Row],[Flow_TC_O_2_'[%']]],Tab_Process_TCs[[#This Row],[Flow_TC_O_1_'[%']]])</f>
        <v>0</v>
      </c>
      <c r="AV63" s="51"/>
      <c r="AW63" s="51"/>
      <c r="AX63" s="51"/>
      <c r="AY63" s="51"/>
      <c r="A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BG4</xm:sqref>
        </x14:dataValidation>
        <x14:dataValidation type="list" allowBlank="1" showInputMessage="1" showErrorMessage="1" xr:uid="{6D660546-B6E2-4E7D-B18F-B330E78B22EC}">
          <x14:formula1>
            <xm:f>'2_1_Definition_Processes'!$D$2:$D$58</xm:f>
          </x14:formula1>
          <xm:sqref>E2:F63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tabColor theme="9" tint="0.79998168889431442"/>
  </sheetPr>
  <dimension ref="A1:X63"/>
  <sheetViews>
    <sheetView zoomScale="115" zoomScaleNormal="115" workbookViewId="0">
      <selection activeCell="J15" sqref="J15"/>
    </sheetView>
  </sheetViews>
  <sheetFormatPr defaultColWidth="10.81640625" defaultRowHeight="14.5" x14ac:dyDescent="0.35"/>
  <cols>
    <col min="2" max="2" width="23.7265625" customWidth="1"/>
    <col min="3" max="3" width="20.453125" customWidth="1"/>
    <col min="4" max="4" width="20.7265625" customWidth="1"/>
    <col min="5" max="6" width="14.7265625" customWidth="1"/>
    <col min="7" max="7" width="32.54296875" customWidth="1"/>
    <col min="8" max="9" width="15.54296875" customWidth="1"/>
    <col min="10" max="10" width="21.453125" customWidth="1"/>
    <col min="11" max="11" width="15.54296875" customWidth="1"/>
    <col min="13" max="13" width="25.81640625" customWidth="1"/>
    <col min="14" max="14" width="22.7265625" customWidth="1"/>
    <col min="17" max="17" width="21.26953125" customWidth="1"/>
    <col min="18" max="18" width="20" customWidth="1"/>
    <col min="19" max="19" width="32.81640625" customWidth="1"/>
    <col min="23" max="23" width="17.7265625" customWidth="1"/>
  </cols>
  <sheetData>
    <row r="1" spans="1:24" x14ac:dyDescent="0.35">
      <c r="A1" s="68" t="s">
        <v>317</v>
      </c>
      <c r="B1" s="9" t="s">
        <v>225</v>
      </c>
      <c r="C1" t="s">
        <v>318</v>
      </c>
      <c r="D1" s="67" t="s">
        <v>290</v>
      </c>
      <c r="E1" s="67" t="s">
        <v>320</v>
      </c>
      <c r="F1" t="s">
        <v>234</v>
      </c>
      <c r="G1" t="s">
        <v>291</v>
      </c>
      <c r="H1" t="s">
        <v>292</v>
      </c>
      <c r="I1" s="48" t="s">
        <v>18</v>
      </c>
      <c r="J1" s="25" t="s">
        <v>325</v>
      </c>
      <c r="K1" s="26" t="s">
        <v>293</v>
      </c>
      <c r="L1" s="32" t="s">
        <v>324</v>
      </c>
      <c r="M1" s="68" t="s">
        <v>6</v>
      </c>
      <c r="N1" s="68" t="s">
        <v>322</v>
      </c>
      <c r="O1" s="68" t="s">
        <v>233</v>
      </c>
      <c r="P1" s="68" t="s">
        <v>7</v>
      </c>
      <c r="Q1" s="68" t="s">
        <v>82</v>
      </c>
      <c r="R1" s="68" t="s">
        <v>73</v>
      </c>
      <c r="S1" s="68" t="s">
        <v>138</v>
      </c>
      <c r="T1" s="68" t="s">
        <v>139</v>
      </c>
      <c r="U1" s="68" t="s">
        <v>140</v>
      </c>
      <c r="V1" s="68" t="s">
        <v>9</v>
      </c>
      <c r="W1" s="68" t="s">
        <v>8</v>
      </c>
      <c r="X1" s="68" t="s">
        <v>10</v>
      </c>
    </row>
    <row r="2" spans="1:24" x14ac:dyDescent="0.35">
      <c r="A2" s="97" t="b">
        <v>1</v>
      </c>
      <c r="B2" s="49">
        <f t="shared" ref="B2:B33" si="0">ROW()-1</f>
        <v>1</v>
      </c>
      <c r="C2" s="49" t="str">
        <f t="shared" ref="C2:C33" si="1">LEFT(B2,2)&amp;"_"&amp;LEFT(M2,4)&amp;"_"&amp;LEFT(D2,12)</f>
        <v>1__03_MBC_BB</v>
      </c>
      <c r="D2" s="49" t="str">
        <f>_xlfn.XLOOKUP($E2,Tab_Def_Processes[Name(EN)],Tab_Def_Processes[Process_ID],,0,)</f>
        <v>03_MBC_BB</v>
      </c>
      <c r="E2" s="51" t="s">
        <v>440</v>
      </c>
      <c r="F2" s="49" t="str">
        <f>_xlfn.XLOOKUP(E2,Tab_Def_Processes[Name(EN)],Tab_Def_Processes[Region],,0,)</f>
        <v>BB</v>
      </c>
      <c r="G2" s="49" t="str">
        <f>_xlfn.XLOOKUP(E2,Tab_Def_Processes[Name(EN)],Tab_Def_Processes[Carbon_Stock],,0,)</f>
        <v>Anthroposphere</v>
      </c>
      <c r="H2" s="49" t="str">
        <f>_xlfn.XLOOKUP(E2,Tab_Def_Processes[Name(EN)],Tab_Def_Processes[Life_Phase],,0,)</f>
        <v>Use (Re-use)</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Yes</v>
      </c>
      <c r="M2" s="51"/>
      <c r="N2" s="51"/>
      <c r="O2" s="51"/>
      <c r="P2" s="51"/>
      <c r="Q2" s="51"/>
      <c r="R2" s="51"/>
      <c r="S2" s="51"/>
      <c r="T2" s="51"/>
      <c r="U2" s="51"/>
      <c r="V2" s="51"/>
      <c r="W2" s="51"/>
      <c r="X2" s="51"/>
    </row>
    <row r="3" spans="1:24" x14ac:dyDescent="0.35">
      <c r="A3" s="97" t="b">
        <v>0</v>
      </c>
      <c r="B3" s="49">
        <f t="shared" si="0"/>
        <v>2</v>
      </c>
      <c r="C3" s="49" t="e">
        <f t="shared" si="1"/>
        <v>#N/A</v>
      </c>
      <c r="D3" s="49" t="e">
        <f>_xlfn.XLOOKUP($E3,Tab_Def_Processes[Name(EN)],Tab_Def_Processes[Process_ID],,0,)</f>
        <v>#N/A</v>
      </c>
      <c r="E3" s="51" t="s">
        <v>231</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35">
      <c r="A4" s="97" t="b">
        <v>0</v>
      </c>
      <c r="B4" s="49">
        <f t="shared" si="0"/>
        <v>3</v>
      </c>
      <c r="C4" s="49" t="e">
        <f t="shared" si="1"/>
        <v>#N/A</v>
      </c>
      <c r="D4" s="49" t="e">
        <f>_xlfn.XLOOKUP($E4,Tab_Def_Processes[Name(EN)],Tab_Def_Processes[Process_ID],,0,)</f>
        <v>#N/A</v>
      </c>
      <c r="E4" s="51" t="s">
        <v>231</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35">
      <c r="A5" s="97" t="b">
        <v>0</v>
      </c>
      <c r="B5" s="49">
        <f t="shared" si="0"/>
        <v>4</v>
      </c>
      <c r="C5" s="49" t="e">
        <f t="shared" si="1"/>
        <v>#N/A</v>
      </c>
      <c r="D5" s="49" t="e">
        <f>_xlfn.XLOOKUP($E5,Tab_Def_Processes[Name(EN)],Tab_Def_Processes[Process_ID],,0,)</f>
        <v>#N/A</v>
      </c>
      <c r="E5" s="51" t="s">
        <v>231</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9"/>
      <c r="P5" s="51"/>
      <c r="Q5" s="51"/>
      <c r="R5" s="51"/>
      <c r="S5" s="51"/>
      <c r="T5" s="51"/>
      <c r="U5" s="51"/>
      <c r="V5" s="51"/>
      <c r="W5" s="51"/>
      <c r="X5" s="51"/>
    </row>
    <row r="6" spans="1:24" x14ac:dyDescent="0.35">
      <c r="A6" s="97" t="b">
        <v>0</v>
      </c>
      <c r="B6" s="49">
        <f t="shared" si="0"/>
        <v>5</v>
      </c>
      <c r="C6" s="49" t="e">
        <f t="shared" si="1"/>
        <v>#N/A</v>
      </c>
      <c r="D6" s="49" t="e">
        <f>_xlfn.XLOOKUP($E6,Tab_Def_Processes[Name(EN)],Tab_Def_Processes[Process_ID],,0,)</f>
        <v>#N/A</v>
      </c>
      <c r="E6" s="51" t="s">
        <v>231</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35">
      <c r="A7" s="97" t="b">
        <v>0</v>
      </c>
      <c r="B7" s="49">
        <f t="shared" si="0"/>
        <v>6</v>
      </c>
      <c r="C7" s="49" t="e">
        <f t="shared" si="1"/>
        <v>#N/A</v>
      </c>
      <c r="D7" s="49" t="e">
        <f>_xlfn.XLOOKUP($E7,Tab_Def_Processes[Name(EN)],Tab_Def_Processes[Process_ID],,0,)</f>
        <v>#N/A</v>
      </c>
      <c r="E7" s="51" t="s">
        <v>231</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35">
      <c r="A8" s="97" t="b">
        <v>0</v>
      </c>
      <c r="B8" s="49">
        <f t="shared" si="0"/>
        <v>7</v>
      </c>
      <c r="C8" s="49" t="e">
        <f t="shared" si="1"/>
        <v>#N/A</v>
      </c>
      <c r="D8" s="49" t="e">
        <f>_xlfn.XLOOKUP($E8,Tab_Def_Processes[Name(EN)],Tab_Def_Processes[Process_ID],,0,)</f>
        <v>#N/A</v>
      </c>
      <c r="E8" s="51" t="s">
        <v>231</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35">
      <c r="A9" s="97" t="b">
        <v>0</v>
      </c>
      <c r="B9" s="49">
        <f t="shared" si="0"/>
        <v>8</v>
      </c>
      <c r="C9" s="49" t="e">
        <f t="shared" si="1"/>
        <v>#N/A</v>
      </c>
      <c r="D9" s="49" t="e">
        <f>_xlfn.XLOOKUP($E9,Tab_Def_Processes[Name(EN)],Tab_Def_Processes[Process_ID],,0,)</f>
        <v>#N/A</v>
      </c>
      <c r="E9" s="51" t="s">
        <v>231</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35">
      <c r="A10" s="97" t="b">
        <v>0</v>
      </c>
      <c r="B10" s="49">
        <f t="shared" si="0"/>
        <v>9</v>
      </c>
      <c r="C10" s="49" t="e">
        <f t="shared" si="1"/>
        <v>#N/A</v>
      </c>
      <c r="D10" s="49" t="e">
        <f>_xlfn.XLOOKUP($E10,Tab_Def_Processes[Name(EN)],Tab_Def_Processes[Process_ID],,0,)</f>
        <v>#N/A</v>
      </c>
      <c r="E10" s="51" t="s">
        <v>231</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35">
      <c r="A11" s="97" t="b">
        <v>0</v>
      </c>
      <c r="B11" s="49">
        <f t="shared" si="0"/>
        <v>10</v>
      </c>
      <c r="C11" s="49" t="e">
        <f t="shared" si="1"/>
        <v>#N/A</v>
      </c>
      <c r="D11" s="49" t="e">
        <f>_xlfn.XLOOKUP($E11,Tab_Def_Processes[Name(EN)],Tab_Def_Processes[Process_ID],,0,)</f>
        <v>#N/A</v>
      </c>
      <c r="E11" s="51" t="s">
        <v>231</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35">
      <c r="A12" s="97" t="b">
        <v>0</v>
      </c>
      <c r="B12" s="49">
        <f t="shared" si="0"/>
        <v>11</v>
      </c>
      <c r="C12" s="49" t="e">
        <f t="shared" si="1"/>
        <v>#N/A</v>
      </c>
      <c r="D12" s="49" t="e">
        <f>_xlfn.XLOOKUP($E12,Tab_Def_Processes[Name(EN)],Tab_Def_Processes[Process_ID],,0,)</f>
        <v>#N/A</v>
      </c>
      <c r="E12" s="51" t="s">
        <v>231</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35">
      <c r="A13" s="97" t="b">
        <v>0</v>
      </c>
      <c r="B13" s="49">
        <f t="shared" si="0"/>
        <v>12</v>
      </c>
      <c r="C13" s="49" t="e">
        <f t="shared" si="1"/>
        <v>#N/A</v>
      </c>
      <c r="D13" s="49" t="e">
        <f>_xlfn.XLOOKUP($E13,Tab_Def_Processes[Name(EN)],Tab_Def_Processes[Process_ID],,0,)</f>
        <v>#N/A</v>
      </c>
      <c r="E13" s="51" t="s">
        <v>231</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35">
      <c r="A14" s="97" t="b">
        <v>0</v>
      </c>
      <c r="B14" s="49">
        <f t="shared" si="0"/>
        <v>13</v>
      </c>
      <c r="C14" s="49" t="e">
        <f t="shared" si="1"/>
        <v>#N/A</v>
      </c>
      <c r="D14" s="49" t="e">
        <f>_xlfn.XLOOKUP($E14,Tab_Def_Processes[Name(EN)],Tab_Def_Processes[Process_ID],,0,)</f>
        <v>#N/A</v>
      </c>
      <c r="E14" s="51" t="s">
        <v>231</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35">
      <c r="A15" s="97" t="b">
        <v>0</v>
      </c>
      <c r="B15" s="49">
        <f t="shared" si="0"/>
        <v>14</v>
      </c>
      <c r="C15" s="49" t="e">
        <f t="shared" si="1"/>
        <v>#N/A</v>
      </c>
      <c r="D15" s="49" t="e">
        <f>_xlfn.XLOOKUP($E15,Tab_Def_Processes[Name(EN)],Tab_Def_Processes[Process_ID],,0,)</f>
        <v>#N/A</v>
      </c>
      <c r="E15" s="51" t="s">
        <v>231</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35">
      <c r="A16" s="97" t="b">
        <v>0</v>
      </c>
      <c r="B16" s="49">
        <f t="shared" si="0"/>
        <v>15</v>
      </c>
      <c r="C16" s="49" t="e">
        <f t="shared" si="1"/>
        <v>#N/A</v>
      </c>
      <c r="D16" s="49" t="e">
        <f>_xlfn.XLOOKUP($E16,Tab_Def_Processes[Name(EN)],Tab_Def_Processes[Process_ID],,0,)</f>
        <v>#N/A</v>
      </c>
      <c r="E16" s="51" t="s">
        <v>231</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35">
      <c r="A17" s="97" t="b">
        <v>0</v>
      </c>
      <c r="B17" s="49">
        <f t="shared" si="0"/>
        <v>16</v>
      </c>
      <c r="C17" s="49" t="e">
        <f t="shared" si="1"/>
        <v>#N/A</v>
      </c>
      <c r="D17" s="49" t="e">
        <f>_xlfn.XLOOKUP($E17,Tab_Def_Processes[Name(EN)],Tab_Def_Processes[Process_ID],,0,)</f>
        <v>#N/A</v>
      </c>
      <c r="E17" s="51" t="s">
        <v>231</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35">
      <c r="A18" s="97" t="b">
        <v>0</v>
      </c>
      <c r="B18" s="49">
        <f t="shared" si="0"/>
        <v>17</v>
      </c>
      <c r="C18" s="49" t="e">
        <f t="shared" si="1"/>
        <v>#N/A</v>
      </c>
      <c r="D18" s="49" t="e">
        <f>_xlfn.XLOOKUP($E18,Tab_Def_Processes[Name(EN)],Tab_Def_Processes[Process_ID],,0,)</f>
        <v>#N/A</v>
      </c>
      <c r="E18" s="51" t="s">
        <v>231</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35">
      <c r="A19" s="97" t="b">
        <v>0</v>
      </c>
      <c r="B19" s="49">
        <f t="shared" si="0"/>
        <v>18</v>
      </c>
      <c r="C19" s="49" t="e">
        <f t="shared" si="1"/>
        <v>#N/A</v>
      </c>
      <c r="D19" s="49" t="e">
        <f>_xlfn.XLOOKUP($E19,Tab_Def_Processes[Name(EN)],Tab_Def_Processes[Process_ID],,0,)</f>
        <v>#N/A</v>
      </c>
      <c r="E19" s="51" t="s">
        <v>231</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35">
      <c r="A20" s="97" t="b">
        <v>0</v>
      </c>
      <c r="B20" s="49">
        <f t="shared" si="0"/>
        <v>19</v>
      </c>
      <c r="C20" s="49" t="e">
        <f t="shared" si="1"/>
        <v>#N/A</v>
      </c>
      <c r="D20" s="49" t="e">
        <f>_xlfn.XLOOKUP($E20,Tab_Def_Processes[Name(EN)],Tab_Def_Processes[Process_ID],,0,)</f>
        <v>#N/A</v>
      </c>
      <c r="E20" s="51" t="s">
        <v>231</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35">
      <c r="A21" s="97" t="b">
        <v>0</v>
      </c>
      <c r="B21" s="49">
        <f t="shared" si="0"/>
        <v>20</v>
      </c>
      <c r="C21" s="49" t="e">
        <f t="shared" si="1"/>
        <v>#N/A</v>
      </c>
      <c r="D21" s="49" t="e">
        <f>_xlfn.XLOOKUP($E21,Tab_Def_Processes[Name(EN)],Tab_Def_Processes[Process_ID],,0,)</f>
        <v>#N/A</v>
      </c>
      <c r="E21" s="51" t="s">
        <v>231</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35">
      <c r="A22" s="97" t="b">
        <v>0</v>
      </c>
      <c r="B22" s="49">
        <f t="shared" si="0"/>
        <v>21</v>
      </c>
      <c r="C22" s="49" t="e">
        <f t="shared" si="1"/>
        <v>#N/A</v>
      </c>
      <c r="D22" s="49" t="e">
        <f>_xlfn.XLOOKUP($E22,Tab_Def_Processes[Name(EN)],Tab_Def_Processes[Process_ID],,0,)</f>
        <v>#N/A</v>
      </c>
      <c r="E22" s="51" t="s">
        <v>231</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35">
      <c r="A23" s="97" t="b">
        <v>0</v>
      </c>
      <c r="B23" s="49">
        <f t="shared" si="0"/>
        <v>22</v>
      </c>
      <c r="C23" s="49" t="e">
        <f t="shared" si="1"/>
        <v>#N/A</v>
      </c>
      <c r="D23" s="49" t="e">
        <f>_xlfn.XLOOKUP($E23,Tab_Def_Processes[Name(EN)],Tab_Def_Processes[Process_ID],,0,)</f>
        <v>#N/A</v>
      </c>
      <c r="E23" s="51" t="s">
        <v>231</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35">
      <c r="A24" s="97" t="b">
        <v>0</v>
      </c>
      <c r="B24" s="49">
        <f t="shared" si="0"/>
        <v>23</v>
      </c>
      <c r="C24" s="49" t="e">
        <f t="shared" si="1"/>
        <v>#N/A</v>
      </c>
      <c r="D24" s="49" t="e">
        <f>_xlfn.XLOOKUP($E24,Tab_Def_Processes[Name(EN)],Tab_Def_Processes[Process_ID],,0,)</f>
        <v>#N/A</v>
      </c>
      <c r="E24" s="51" t="s">
        <v>231</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35">
      <c r="A25" s="97" t="b">
        <v>0</v>
      </c>
      <c r="B25" s="49">
        <f t="shared" si="0"/>
        <v>24</v>
      </c>
      <c r="C25" s="49" t="e">
        <f t="shared" si="1"/>
        <v>#N/A</v>
      </c>
      <c r="D25" s="49" t="e">
        <f>_xlfn.XLOOKUP($E25,Tab_Def_Processes[Name(EN)],Tab_Def_Processes[Process_ID],,0,)</f>
        <v>#N/A</v>
      </c>
      <c r="E25" s="51" t="s">
        <v>231</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35">
      <c r="A26" s="97" t="b">
        <v>0</v>
      </c>
      <c r="B26" s="49">
        <f t="shared" si="0"/>
        <v>25</v>
      </c>
      <c r="C26" s="49" t="e">
        <f t="shared" si="1"/>
        <v>#N/A</v>
      </c>
      <c r="D26" s="49" t="e">
        <f>_xlfn.XLOOKUP($E26,Tab_Def_Processes[Name(EN)],Tab_Def_Processes[Process_ID],,0,)</f>
        <v>#N/A</v>
      </c>
      <c r="E26" s="51" t="s">
        <v>231</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35">
      <c r="A27" s="97" t="b">
        <v>0</v>
      </c>
      <c r="B27" s="49">
        <f t="shared" si="0"/>
        <v>26</v>
      </c>
      <c r="C27" s="49" t="e">
        <f t="shared" si="1"/>
        <v>#N/A</v>
      </c>
      <c r="D27" s="49" t="e">
        <f>_xlfn.XLOOKUP($E27,Tab_Def_Processes[Name(EN)],Tab_Def_Processes[Process_ID],,0,)</f>
        <v>#N/A</v>
      </c>
      <c r="E27" s="51" t="s">
        <v>231</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35">
      <c r="A28" s="97" t="b">
        <v>0</v>
      </c>
      <c r="B28" s="49">
        <f t="shared" si="0"/>
        <v>27</v>
      </c>
      <c r="C28" s="49" t="e">
        <f t="shared" si="1"/>
        <v>#N/A</v>
      </c>
      <c r="D28" s="49" t="e">
        <f>_xlfn.XLOOKUP($E28,Tab_Def_Processes[Name(EN)],Tab_Def_Processes[Process_ID],,0,)</f>
        <v>#N/A</v>
      </c>
      <c r="E28" s="51" t="s">
        <v>231</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35">
      <c r="A29" s="97" t="b">
        <v>0</v>
      </c>
      <c r="B29" s="49">
        <f t="shared" si="0"/>
        <v>28</v>
      </c>
      <c r="C29" s="49" t="e">
        <f t="shared" si="1"/>
        <v>#N/A</v>
      </c>
      <c r="D29" s="49" t="e">
        <f>_xlfn.XLOOKUP($E29,Tab_Def_Processes[Name(EN)],Tab_Def_Processes[Process_ID],,0,)</f>
        <v>#N/A</v>
      </c>
      <c r="E29" s="51" t="s">
        <v>231</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35">
      <c r="A30" s="97" t="b">
        <v>0</v>
      </c>
      <c r="B30" s="49">
        <f t="shared" si="0"/>
        <v>29</v>
      </c>
      <c r="C30" s="49" t="e">
        <f t="shared" si="1"/>
        <v>#N/A</v>
      </c>
      <c r="D30" s="49" t="e">
        <f>_xlfn.XLOOKUP($E30,Tab_Def_Processes[Name(EN)],Tab_Def_Processes[Process_ID],,0,)</f>
        <v>#N/A</v>
      </c>
      <c r="E30" s="51" t="s">
        <v>231</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35">
      <c r="A31" s="97" t="b">
        <v>0</v>
      </c>
      <c r="B31" s="49">
        <f t="shared" si="0"/>
        <v>30</v>
      </c>
      <c r="C31" s="49" t="e">
        <f t="shared" si="1"/>
        <v>#N/A</v>
      </c>
      <c r="D31" s="49" t="e">
        <f>_xlfn.XLOOKUP($E31,Tab_Def_Processes[Name(EN)],Tab_Def_Processes[Process_ID],,0,)</f>
        <v>#N/A</v>
      </c>
      <c r="E31" s="51" t="s">
        <v>231</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35">
      <c r="A32" s="97" t="b">
        <v>0</v>
      </c>
      <c r="B32" s="49">
        <f t="shared" si="0"/>
        <v>31</v>
      </c>
      <c r="C32" s="49" t="e">
        <f t="shared" si="1"/>
        <v>#N/A</v>
      </c>
      <c r="D32" s="49" t="e">
        <f>_xlfn.XLOOKUP($E32,Tab_Def_Processes[Name(EN)],Tab_Def_Processes[Process_ID],,0,)</f>
        <v>#N/A</v>
      </c>
      <c r="E32" s="51" t="s">
        <v>231</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35">
      <c r="A33" s="97" t="b">
        <v>0</v>
      </c>
      <c r="B33" s="49">
        <f t="shared" si="0"/>
        <v>32</v>
      </c>
      <c r="C33" s="49" t="e">
        <f t="shared" si="1"/>
        <v>#N/A</v>
      </c>
      <c r="D33" s="49" t="e">
        <f>_xlfn.XLOOKUP($E33,Tab_Def_Processes[Name(EN)],Tab_Def_Processes[Process_ID],,0,)</f>
        <v>#N/A</v>
      </c>
      <c r="E33" s="51" t="s">
        <v>231</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35">
      <c r="A34" s="97" t="b">
        <v>0</v>
      </c>
      <c r="B34" s="49">
        <f t="shared" ref="B34:B51" si="2">ROW()-1</f>
        <v>33</v>
      </c>
      <c r="C34" s="49" t="e">
        <f t="shared" ref="C34:C63" si="3">LEFT(B34,2)&amp;"_"&amp;LEFT(M34,4)&amp;"_"&amp;LEFT(D34,12)</f>
        <v>#N/A</v>
      </c>
      <c r="D34" s="49" t="e">
        <f>_xlfn.XLOOKUP($E34,Tab_Def_Processes[Name(EN)],Tab_Def_Processes[Process_ID],,0,)</f>
        <v>#N/A</v>
      </c>
      <c r="E34" s="51" t="s">
        <v>231</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35">
      <c r="A35" s="97" t="b">
        <v>0</v>
      </c>
      <c r="B35" s="49">
        <f t="shared" si="2"/>
        <v>34</v>
      </c>
      <c r="C35" s="49" t="e">
        <f t="shared" si="3"/>
        <v>#N/A</v>
      </c>
      <c r="D35" s="49" t="e">
        <f>_xlfn.XLOOKUP($E35,Tab_Def_Processes[Name(EN)],Tab_Def_Processes[Process_ID],,0,)</f>
        <v>#N/A</v>
      </c>
      <c r="E35" s="51" t="s">
        <v>231</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35">
      <c r="A36" s="97" t="b">
        <v>0</v>
      </c>
      <c r="B36" s="49">
        <f t="shared" si="2"/>
        <v>35</v>
      </c>
      <c r="C36" s="49" t="e">
        <f t="shared" si="3"/>
        <v>#N/A</v>
      </c>
      <c r="D36" s="49" t="e">
        <f>_xlfn.XLOOKUP($E36,Tab_Def_Processes[Name(EN)],Tab_Def_Processes[Process_ID],,0,)</f>
        <v>#N/A</v>
      </c>
      <c r="E36" s="51" t="s">
        <v>231</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35">
      <c r="A37" s="97" t="b">
        <v>0</v>
      </c>
      <c r="B37" s="49">
        <f t="shared" si="2"/>
        <v>36</v>
      </c>
      <c r="C37" s="49" t="e">
        <f t="shared" si="3"/>
        <v>#N/A</v>
      </c>
      <c r="D37" s="49" t="e">
        <f>_xlfn.XLOOKUP($E37,Tab_Def_Processes[Name(EN)],Tab_Def_Processes[Process_ID],,0,)</f>
        <v>#N/A</v>
      </c>
      <c r="E37" s="51" t="s">
        <v>231</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35">
      <c r="A38" s="97" t="b">
        <v>0</v>
      </c>
      <c r="B38" s="49">
        <f t="shared" si="2"/>
        <v>37</v>
      </c>
      <c r="C38" s="49" t="e">
        <f t="shared" si="3"/>
        <v>#N/A</v>
      </c>
      <c r="D38" s="49" t="e">
        <f>_xlfn.XLOOKUP($E38,Tab_Def_Processes[Name(EN)],Tab_Def_Processes[Process_ID],,0,)</f>
        <v>#N/A</v>
      </c>
      <c r="E38" s="51" t="s">
        <v>231</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35">
      <c r="A39" s="97" t="b">
        <v>0</v>
      </c>
      <c r="B39" s="49">
        <f t="shared" si="2"/>
        <v>38</v>
      </c>
      <c r="C39" s="49" t="e">
        <f t="shared" si="3"/>
        <v>#N/A</v>
      </c>
      <c r="D39" s="49" t="e">
        <f>_xlfn.XLOOKUP($E39,Tab_Def_Processes[Name(EN)],Tab_Def_Processes[Process_ID],,0,)</f>
        <v>#N/A</v>
      </c>
      <c r="E39" s="51" t="s">
        <v>231</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35">
      <c r="A40" s="97" t="b">
        <v>0</v>
      </c>
      <c r="B40" s="49">
        <f t="shared" si="2"/>
        <v>39</v>
      </c>
      <c r="C40" s="49" t="e">
        <f t="shared" si="3"/>
        <v>#N/A</v>
      </c>
      <c r="D40" s="49" t="e">
        <f>_xlfn.XLOOKUP($E40,Tab_Def_Processes[Name(EN)],Tab_Def_Processes[Process_ID],,0,)</f>
        <v>#N/A</v>
      </c>
      <c r="E40" s="51" t="s">
        <v>231</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35">
      <c r="A41" s="97" t="b">
        <v>0</v>
      </c>
      <c r="B41" s="49">
        <f t="shared" si="2"/>
        <v>40</v>
      </c>
      <c r="C41" s="49" t="e">
        <f t="shared" si="3"/>
        <v>#N/A</v>
      </c>
      <c r="D41" s="49" t="e">
        <f>_xlfn.XLOOKUP($E41,Tab_Def_Processes[Name(EN)],Tab_Def_Processes[Process_ID],,0,)</f>
        <v>#N/A</v>
      </c>
      <c r="E41" s="51" t="s">
        <v>231</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35">
      <c r="A42" s="97" t="b">
        <v>0</v>
      </c>
      <c r="B42" s="49">
        <f t="shared" si="2"/>
        <v>41</v>
      </c>
      <c r="C42" s="49" t="e">
        <f t="shared" si="3"/>
        <v>#N/A</v>
      </c>
      <c r="D42" s="49" t="e">
        <f>_xlfn.XLOOKUP($E42,Tab_Def_Processes[Name(EN)],Tab_Def_Processes[Process_ID],,0,)</f>
        <v>#N/A</v>
      </c>
      <c r="E42" s="51" t="s">
        <v>231</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35">
      <c r="A43" s="97" t="b">
        <v>0</v>
      </c>
      <c r="B43" s="49">
        <f t="shared" si="2"/>
        <v>42</v>
      </c>
      <c r="C43" s="49" t="e">
        <f t="shared" si="3"/>
        <v>#N/A</v>
      </c>
      <c r="D43" s="49" t="e">
        <f>_xlfn.XLOOKUP($E43,Tab_Def_Processes[Name(EN)],Tab_Def_Processes[Process_ID],,0,)</f>
        <v>#N/A</v>
      </c>
      <c r="E43" s="51" t="s">
        <v>231</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35">
      <c r="A44" s="97" t="b">
        <v>0</v>
      </c>
      <c r="B44" s="49">
        <f t="shared" si="2"/>
        <v>43</v>
      </c>
      <c r="C44" s="49" t="e">
        <f t="shared" si="3"/>
        <v>#N/A</v>
      </c>
      <c r="D44" s="49" t="e">
        <f>_xlfn.XLOOKUP($E44,Tab_Def_Processes[Name(EN)],Tab_Def_Processes[Process_ID],,0,)</f>
        <v>#N/A</v>
      </c>
      <c r="E44" s="51" t="s">
        <v>231</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35">
      <c r="A45" s="97" t="b">
        <v>0</v>
      </c>
      <c r="B45" s="49">
        <f t="shared" si="2"/>
        <v>44</v>
      </c>
      <c r="C45" s="49" t="e">
        <f t="shared" si="3"/>
        <v>#N/A</v>
      </c>
      <c r="D45" s="49" t="e">
        <f>_xlfn.XLOOKUP($E45,Tab_Def_Processes[Name(EN)],Tab_Def_Processes[Process_ID],,0,)</f>
        <v>#N/A</v>
      </c>
      <c r="E45" s="51" t="s">
        <v>231</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35">
      <c r="A46" s="97" t="b">
        <v>0</v>
      </c>
      <c r="B46" s="49">
        <f t="shared" si="2"/>
        <v>45</v>
      </c>
      <c r="C46" s="49" t="e">
        <f t="shared" si="3"/>
        <v>#N/A</v>
      </c>
      <c r="D46" s="49" t="e">
        <f>_xlfn.XLOOKUP($E46,Tab_Def_Processes[Name(EN)],Tab_Def_Processes[Process_ID],,0,)</f>
        <v>#N/A</v>
      </c>
      <c r="E46" s="51" t="s">
        <v>231</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35">
      <c r="A47" s="97" t="b">
        <v>0</v>
      </c>
      <c r="B47" s="49">
        <f t="shared" si="2"/>
        <v>46</v>
      </c>
      <c r="C47" s="49" t="e">
        <f t="shared" si="3"/>
        <v>#N/A</v>
      </c>
      <c r="D47" s="49" t="e">
        <f>_xlfn.XLOOKUP($E47,Tab_Def_Processes[Name(EN)],Tab_Def_Processes[Process_ID],,0,)</f>
        <v>#N/A</v>
      </c>
      <c r="E47" s="51" t="s">
        <v>231</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35">
      <c r="A48" s="97" t="b">
        <v>0</v>
      </c>
      <c r="B48" s="49">
        <f t="shared" si="2"/>
        <v>47</v>
      </c>
      <c r="C48" s="49" t="e">
        <f t="shared" si="3"/>
        <v>#N/A</v>
      </c>
      <c r="D48" s="49" t="e">
        <f>_xlfn.XLOOKUP($E48,Tab_Def_Processes[Name(EN)],Tab_Def_Processes[Process_ID],,0,)</f>
        <v>#N/A</v>
      </c>
      <c r="E48" s="51" t="s">
        <v>231</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35">
      <c r="A49" s="97" t="b">
        <v>0</v>
      </c>
      <c r="B49" s="49">
        <f t="shared" si="2"/>
        <v>48</v>
      </c>
      <c r="C49" s="49" t="e">
        <f t="shared" si="3"/>
        <v>#N/A</v>
      </c>
      <c r="D49" s="49" t="e">
        <f>_xlfn.XLOOKUP($E49,Tab_Def_Processes[Name(EN)],Tab_Def_Processes[Process_ID],,0,)</f>
        <v>#N/A</v>
      </c>
      <c r="E49" s="51" t="s">
        <v>231</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35">
      <c r="A50" s="97" t="b">
        <v>0</v>
      </c>
      <c r="B50" s="49">
        <f t="shared" si="2"/>
        <v>49</v>
      </c>
      <c r="C50" s="49" t="e">
        <f t="shared" si="3"/>
        <v>#N/A</v>
      </c>
      <c r="D50" s="49" t="e">
        <f>_xlfn.XLOOKUP($E50,Tab_Def_Processes[Name(EN)],Tab_Def_Processes[Process_ID],,0,)</f>
        <v>#N/A</v>
      </c>
      <c r="E50" s="51" t="s">
        <v>231</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35">
      <c r="A51" s="97" t="b">
        <v>0</v>
      </c>
      <c r="B51" s="49">
        <f t="shared" si="2"/>
        <v>50</v>
      </c>
      <c r="C51" s="49" t="e">
        <f t="shared" si="3"/>
        <v>#N/A</v>
      </c>
      <c r="D51" s="49" t="e">
        <f>_xlfn.XLOOKUP($E51,Tab_Def_Processes[Name(EN)],Tab_Def_Processes[Process_ID],,0,)</f>
        <v>#N/A</v>
      </c>
      <c r="E51" s="51" t="s">
        <v>231</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35">
      <c r="A52" s="97" t="b">
        <v>0</v>
      </c>
      <c r="B52" s="49">
        <f t="shared" ref="B52:B63" si="4">ROW()-1</f>
        <v>51</v>
      </c>
      <c r="C52" s="49" t="str">
        <f t="shared" si="3"/>
        <v>51__21__</v>
      </c>
      <c r="D52" s="49" t="str">
        <f>_xlfn.XLOOKUP($E52,Tab_Def_Processes[Name(EN)],Tab_Def_Processes[Process_ID],,0,)</f>
        <v>21__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35">
      <c r="A53" s="97" t="b">
        <v>0</v>
      </c>
      <c r="B53" s="49">
        <f t="shared" si="4"/>
        <v>52</v>
      </c>
      <c r="C53" s="49" t="str">
        <f t="shared" si="3"/>
        <v>52__21__</v>
      </c>
      <c r="D53" s="49" t="str">
        <f>_xlfn.XLOOKUP($E53,Tab_Def_Processes[Name(EN)],Tab_Def_Processes[Process_ID],,0,)</f>
        <v>21__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35">
      <c r="A54" s="97" t="b">
        <v>0</v>
      </c>
      <c r="B54" s="49">
        <f t="shared" si="4"/>
        <v>53</v>
      </c>
      <c r="C54" s="49" t="str">
        <f t="shared" si="3"/>
        <v>53__21__</v>
      </c>
      <c r="D54" s="49" t="str">
        <f>_xlfn.XLOOKUP($E54,Tab_Def_Processes[Name(EN)],Tab_Def_Processes[Process_ID],,0,)</f>
        <v>21__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35">
      <c r="A55" s="97" t="b">
        <v>0</v>
      </c>
      <c r="B55" s="49">
        <f t="shared" si="4"/>
        <v>54</v>
      </c>
      <c r="C55" s="49" t="str">
        <f t="shared" si="3"/>
        <v>54__21__</v>
      </c>
      <c r="D55" s="49" t="str">
        <f>_xlfn.XLOOKUP($E55,Tab_Def_Processes[Name(EN)],Tab_Def_Processes[Process_ID],,0,)</f>
        <v>21__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35">
      <c r="A56" s="97" t="b">
        <v>0</v>
      </c>
      <c r="B56" s="49">
        <f t="shared" si="4"/>
        <v>55</v>
      </c>
      <c r="C56" s="49" t="str">
        <f t="shared" si="3"/>
        <v>55__21__</v>
      </c>
      <c r="D56" s="49" t="str">
        <f>_xlfn.XLOOKUP($E56,Tab_Def_Processes[Name(EN)],Tab_Def_Processes[Process_ID],,0,)</f>
        <v>21__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35">
      <c r="A57" s="97" t="b">
        <v>0</v>
      </c>
      <c r="B57" s="49">
        <f t="shared" si="4"/>
        <v>56</v>
      </c>
      <c r="C57" s="49" t="str">
        <f t="shared" si="3"/>
        <v>56__21__</v>
      </c>
      <c r="D57" s="49" t="str">
        <f>_xlfn.XLOOKUP($E57,Tab_Def_Processes[Name(EN)],Tab_Def_Processes[Process_ID],,0,)</f>
        <v>21__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35">
      <c r="A58" s="97" t="b">
        <v>0</v>
      </c>
      <c r="B58" s="49">
        <f t="shared" si="4"/>
        <v>57</v>
      </c>
      <c r="C58" s="49" t="str">
        <f t="shared" si="3"/>
        <v>57__21__</v>
      </c>
      <c r="D58" s="49" t="str">
        <f>_xlfn.XLOOKUP($E58,Tab_Def_Processes[Name(EN)],Tab_Def_Processes[Process_ID],,0,)</f>
        <v>21__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35">
      <c r="A59" s="97" t="b">
        <v>0</v>
      </c>
      <c r="B59" s="49">
        <f t="shared" si="4"/>
        <v>58</v>
      </c>
      <c r="C59" s="49" t="str">
        <f t="shared" si="3"/>
        <v>58__21__</v>
      </c>
      <c r="D59" s="49" t="str">
        <f>_xlfn.XLOOKUP($E59,Tab_Def_Processes[Name(EN)],Tab_Def_Processes[Process_ID],,0,)</f>
        <v>21__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35">
      <c r="A60" s="97" t="b">
        <v>0</v>
      </c>
      <c r="B60" s="49">
        <f t="shared" si="4"/>
        <v>59</v>
      </c>
      <c r="C60" s="49" t="str">
        <f t="shared" si="3"/>
        <v>59__21__</v>
      </c>
      <c r="D60" s="49" t="str">
        <f>_xlfn.XLOOKUP($E60,Tab_Def_Processes[Name(EN)],Tab_Def_Processes[Process_ID],,0,)</f>
        <v>21__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35">
      <c r="A61" s="97" t="b">
        <v>0</v>
      </c>
      <c r="B61" s="49">
        <f t="shared" si="4"/>
        <v>60</v>
      </c>
      <c r="C61" s="49" t="str">
        <f t="shared" si="3"/>
        <v>60__21__</v>
      </c>
      <c r="D61" s="49" t="str">
        <f>_xlfn.XLOOKUP($E61,Tab_Def_Processes[Name(EN)],Tab_Def_Processes[Process_ID],,0,)</f>
        <v>21__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35">
      <c r="A62" s="97" t="b">
        <v>0</v>
      </c>
      <c r="B62" s="49">
        <f t="shared" si="4"/>
        <v>61</v>
      </c>
      <c r="C62" s="49" t="str">
        <f t="shared" si="3"/>
        <v>61__21__</v>
      </c>
      <c r="D62" s="49" t="str">
        <f>_xlfn.XLOOKUP($E62,Tab_Def_Processes[Name(EN)],Tab_Def_Processes[Process_ID],,0,)</f>
        <v>21__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35">
      <c r="A63" s="97" t="b">
        <v>0</v>
      </c>
      <c r="B63" s="49">
        <f t="shared" si="4"/>
        <v>62</v>
      </c>
      <c r="C63" s="49" t="str">
        <f t="shared" si="3"/>
        <v>62__21__</v>
      </c>
      <c r="D63" s="49" t="str">
        <f>_xlfn.XLOOKUP($E63,Tab_Def_Processes[Name(EN)],Tab_Def_Processes[Process_ID],,0,)</f>
        <v>21__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tabColor theme="4" tint="0.79998168889431442"/>
  </sheetPr>
  <dimension ref="A1"/>
  <sheetViews>
    <sheetView workbookViewId="0">
      <selection activeCell="F55" sqref="F55"/>
    </sheetView>
  </sheetViews>
  <sheetFormatPr defaultColWidth="10.81640625" defaultRowHeight="14.5" x14ac:dyDescent="0.35"/>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tabColor theme="4" tint="0.79998168889431442"/>
  </sheetPr>
  <dimension ref="B3:H55"/>
  <sheetViews>
    <sheetView topLeftCell="A24" zoomScale="205" zoomScaleNormal="205" workbookViewId="0">
      <selection activeCell="F44" sqref="F44"/>
    </sheetView>
  </sheetViews>
  <sheetFormatPr defaultColWidth="10.81640625" defaultRowHeight="14.5" x14ac:dyDescent="0.35"/>
  <cols>
    <col min="2" max="2" width="28.54296875" customWidth="1"/>
    <col min="3" max="3" width="25" customWidth="1"/>
    <col min="4" max="4" width="13" customWidth="1"/>
    <col min="6" max="6" width="31.453125" customWidth="1"/>
  </cols>
  <sheetData>
    <row r="3" spans="2:8" ht="15" thickBot="1" x14ac:dyDescent="0.4"/>
    <row r="4" spans="2:8" x14ac:dyDescent="0.35">
      <c r="B4" s="12" t="s">
        <v>256</v>
      </c>
      <c r="C4" s="13"/>
      <c r="D4" s="14" t="s">
        <v>255</v>
      </c>
      <c r="F4" s="12" t="s">
        <v>260</v>
      </c>
      <c r="G4" s="14" t="s">
        <v>255</v>
      </c>
    </row>
    <row r="5" spans="2:8" x14ac:dyDescent="0.35">
      <c r="B5" s="15" t="s">
        <v>239</v>
      </c>
      <c r="C5" t="s">
        <v>238</v>
      </c>
      <c r="D5" s="16" t="s">
        <v>240</v>
      </c>
      <c r="F5" t="s">
        <v>6</v>
      </c>
      <c r="G5" t="s">
        <v>259</v>
      </c>
      <c r="H5" t="s">
        <v>223</v>
      </c>
    </row>
    <row r="6" spans="2:8" x14ac:dyDescent="0.35">
      <c r="B6" s="15" t="s">
        <v>236</v>
      </c>
      <c r="C6" t="str">
        <f>_xlfn.TRANSLATE(B6,"DE","EN")</f>
        <v>Paper/ cardboard</v>
      </c>
      <c r="D6" s="85">
        <v>0.09</v>
      </c>
      <c r="F6">
        <v>2022</v>
      </c>
      <c r="G6" s="84">
        <v>0.04</v>
      </c>
    </row>
    <row r="7" spans="2:8" x14ac:dyDescent="0.35">
      <c r="B7" s="15" t="s">
        <v>237</v>
      </c>
      <c r="C7" t="str">
        <f t="shared" ref="C7:C18" si="0">_xlfn.TRANSLATE(B7,"DE","EN")</f>
        <v>Glass</v>
      </c>
      <c r="D7" s="85">
        <v>0.06</v>
      </c>
      <c r="F7">
        <v>2021</v>
      </c>
      <c r="G7" s="84">
        <v>0.04</v>
      </c>
    </row>
    <row r="8" spans="2:8" x14ac:dyDescent="0.35">
      <c r="B8" s="15" t="s">
        <v>241</v>
      </c>
      <c r="C8" t="str">
        <f t="shared" si="0"/>
        <v>Synthetics</v>
      </c>
      <c r="D8" s="85">
        <v>7.0000000000000007E-2</v>
      </c>
      <c r="F8">
        <v>2020</v>
      </c>
      <c r="G8" s="84">
        <v>0.04</v>
      </c>
    </row>
    <row r="9" spans="2:8" x14ac:dyDescent="0.35">
      <c r="B9" s="15" t="s">
        <v>242</v>
      </c>
      <c r="C9" t="str">
        <f t="shared" si="0"/>
        <v>Metals</v>
      </c>
      <c r="D9" s="85">
        <v>0.02</v>
      </c>
      <c r="F9">
        <v>2019</v>
      </c>
      <c r="G9" s="84">
        <v>0.04</v>
      </c>
    </row>
    <row r="10" spans="2:8" x14ac:dyDescent="0.35">
      <c r="B10" s="15" t="s">
        <v>243</v>
      </c>
      <c r="C10" t="str">
        <f t="shared" si="0"/>
        <v>Native Organic</v>
      </c>
      <c r="D10" s="85">
        <v>0.38</v>
      </c>
      <c r="F10">
        <v>2018</v>
      </c>
      <c r="G10" s="84">
        <v>0.04</v>
      </c>
    </row>
    <row r="11" spans="2:8" x14ac:dyDescent="0.35">
      <c r="B11" s="15" t="s">
        <v>244</v>
      </c>
      <c r="C11" t="str">
        <f t="shared" si="0"/>
        <v>Other organics</v>
      </c>
      <c r="D11" s="85">
        <v>0.1</v>
      </c>
      <c r="F11">
        <v>2017</v>
      </c>
      <c r="G11" s="84">
        <v>0.04</v>
      </c>
    </row>
    <row r="12" spans="2:8" x14ac:dyDescent="0.35">
      <c r="B12" s="15" t="s">
        <v>245</v>
      </c>
      <c r="C12" t="str">
        <f t="shared" si="0"/>
        <v>Wood</v>
      </c>
      <c r="D12" s="85">
        <v>0.01</v>
      </c>
      <c r="F12">
        <v>2016</v>
      </c>
      <c r="G12" s="84">
        <v>0.04</v>
      </c>
    </row>
    <row r="13" spans="2:8" x14ac:dyDescent="0.35">
      <c r="B13" s="15" t="s">
        <v>246</v>
      </c>
      <c r="C13" t="str">
        <f t="shared" si="0"/>
        <v>Textiles</v>
      </c>
      <c r="D13" s="85">
        <v>0.04</v>
      </c>
      <c r="F13">
        <v>2015</v>
      </c>
      <c r="G13" s="84">
        <v>6.6000000000000003E-2</v>
      </c>
    </row>
    <row r="14" spans="2:8" x14ac:dyDescent="0.35">
      <c r="B14" s="15" t="s">
        <v>247</v>
      </c>
      <c r="C14" t="str">
        <f t="shared" si="0"/>
        <v>Inert</v>
      </c>
      <c r="D14" s="85">
        <v>0.02</v>
      </c>
      <c r="F14">
        <v>2014</v>
      </c>
      <c r="G14" s="84">
        <v>6.6000000000000003E-2</v>
      </c>
    </row>
    <row r="15" spans="2:8" x14ac:dyDescent="0.35">
      <c r="B15" s="15" t="s">
        <v>248</v>
      </c>
      <c r="C15" t="str">
        <f t="shared" si="0"/>
        <v>Composites</v>
      </c>
      <c r="D15" s="85">
        <v>0.06</v>
      </c>
      <c r="F15">
        <v>2013</v>
      </c>
      <c r="G15" s="84">
        <v>8.2000000000000003E-2</v>
      </c>
    </row>
    <row r="16" spans="2:8" x14ac:dyDescent="0.35">
      <c r="B16" s="15" t="s">
        <v>249</v>
      </c>
      <c r="C16" t="str">
        <f t="shared" si="0"/>
        <v>Problematic waste</v>
      </c>
      <c r="D16" s="85">
        <v>0.01</v>
      </c>
      <c r="F16">
        <v>2012</v>
      </c>
      <c r="G16" s="84">
        <v>8.2000000000000003E-2</v>
      </c>
    </row>
    <row r="17" spans="2:8" x14ac:dyDescent="0.35">
      <c r="B17" s="15" t="s">
        <v>250</v>
      </c>
      <c r="C17" t="str">
        <f t="shared" si="0"/>
        <v>Other substances</v>
      </c>
      <c r="D17" s="85">
        <v>0.09</v>
      </c>
      <c r="F17">
        <v>2011</v>
      </c>
      <c r="G17" s="84">
        <v>0.11</v>
      </c>
    </row>
    <row r="18" spans="2:8" x14ac:dyDescent="0.35">
      <c r="B18" s="15" t="s">
        <v>251</v>
      </c>
      <c r="C18" t="str">
        <f t="shared" si="0"/>
        <v>Fine waste &lt;10mm</v>
      </c>
      <c r="D18" s="85">
        <v>0.05</v>
      </c>
      <c r="F18">
        <v>2010</v>
      </c>
      <c r="G18" s="84">
        <v>0.11</v>
      </c>
    </row>
    <row r="19" spans="2:8" ht="15" thickBot="1" x14ac:dyDescent="0.4">
      <c r="B19" s="17" t="s">
        <v>252</v>
      </c>
      <c r="C19" s="18"/>
      <c r="D19" s="86">
        <f>SUBTOTAL(109,MSW_comp_2021[Massenanteil])</f>
        <v>1</v>
      </c>
      <c r="F19" t="s">
        <v>261</v>
      </c>
      <c r="G19" s="84" t="s">
        <v>262</v>
      </c>
      <c r="H19" s="2" t="s">
        <v>235</v>
      </c>
    </row>
    <row r="20" spans="2:8" ht="15" thickBot="1" x14ac:dyDescent="0.4">
      <c r="B20" s="17" t="s">
        <v>253</v>
      </c>
      <c r="C20" s="18" t="s">
        <v>254</v>
      </c>
      <c r="D20" s="87" t="s">
        <v>235</v>
      </c>
      <c r="E20" t="s">
        <v>21</v>
      </c>
    </row>
    <row r="21" spans="2:8" ht="15" thickBot="1" x14ac:dyDescent="0.4"/>
    <row r="22" spans="2:8" x14ac:dyDescent="0.35">
      <c r="B22" s="12" t="s">
        <v>256</v>
      </c>
      <c r="C22" s="13"/>
      <c r="D22" s="14" t="s">
        <v>255</v>
      </c>
    </row>
    <row r="23" spans="2:8" x14ac:dyDescent="0.35">
      <c r="B23" s="15" t="s">
        <v>239</v>
      </c>
      <c r="C23" t="s">
        <v>238</v>
      </c>
      <c r="D23" s="16" t="s">
        <v>240</v>
      </c>
    </row>
    <row r="24" spans="2:8" x14ac:dyDescent="0.35">
      <c r="B24" s="15" t="s">
        <v>236</v>
      </c>
      <c r="C24" t="str">
        <f>_xlfn.TRANSLATE(B24,"DE","EN")</f>
        <v>Paper/ cardboard</v>
      </c>
      <c r="D24" s="85">
        <v>0.09</v>
      </c>
    </row>
    <row r="25" spans="2:8" x14ac:dyDescent="0.35">
      <c r="B25" s="15" t="s">
        <v>237</v>
      </c>
      <c r="C25" t="str">
        <f t="shared" ref="C25:C36" si="1">_xlfn.TRANSLATE(B25,"DE","EN")</f>
        <v>Glass</v>
      </c>
      <c r="D25" s="85">
        <v>0.06</v>
      </c>
    </row>
    <row r="26" spans="2:8" x14ac:dyDescent="0.35">
      <c r="B26" s="15" t="s">
        <v>241</v>
      </c>
      <c r="C26" t="str">
        <f t="shared" si="1"/>
        <v>Synthetics</v>
      </c>
      <c r="D26" s="85">
        <v>7.0000000000000007E-2</v>
      </c>
    </row>
    <row r="27" spans="2:8" x14ac:dyDescent="0.35">
      <c r="B27" s="15" t="s">
        <v>242</v>
      </c>
      <c r="C27" t="str">
        <f t="shared" si="1"/>
        <v>Metals</v>
      </c>
      <c r="D27" s="85">
        <v>0.02</v>
      </c>
    </row>
    <row r="28" spans="2:8" x14ac:dyDescent="0.35">
      <c r="B28" s="15" t="s">
        <v>243</v>
      </c>
      <c r="C28" t="str">
        <f t="shared" si="1"/>
        <v>Native Organic</v>
      </c>
      <c r="D28" s="85">
        <v>0.38</v>
      </c>
    </row>
    <row r="29" spans="2:8" x14ac:dyDescent="0.35">
      <c r="B29" s="15" t="s">
        <v>244</v>
      </c>
      <c r="C29" t="str">
        <f t="shared" si="1"/>
        <v>Other organics</v>
      </c>
      <c r="D29" s="85">
        <v>0.1</v>
      </c>
    </row>
    <row r="30" spans="2:8" x14ac:dyDescent="0.35">
      <c r="B30" s="15" t="s">
        <v>245</v>
      </c>
      <c r="C30" t="str">
        <f t="shared" si="1"/>
        <v>Wood</v>
      </c>
      <c r="D30" s="85">
        <v>0.01</v>
      </c>
    </row>
    <row r="31" spans="2:8" x14ac:dyDescent="0.35">
      <c r="B31" s="15" t="s">
        <v>246</v>
      </c>
      <c r="C31" t="str">
        <f t="shared" si="1"/>
        <v>Textiles</v>
      </c>
      <c r="D31" s="85">
        <v>0.04</v>
      </c>
    </row>
    <row r="32" spans="2:8" x14ac:dyDescent="0.35">
      <c r="B32" s="15" t="s">
        <v>247</v>
      </c>
      <c r="C32" t="str">
        <f t="shared" si="1"/>
        <v>Inert</v>
      </c>
      <c r="D32" s="85">
        <v>0.02</v>
      </c>
    </row>
    <row r="33" spans="2:4" x14ac:dyDescent="0.35">
      <c r="B33" s="15" t="s">
        <v>248</v>
      </c>
      <c r="C33" t="str">
        <f t="shared" si="1"/>
        <v>Composites</v>
      </c>
      <c r="D33" s="85">
        <v>0.06</v>
      </c>
    </row>
    <row r="34" spans="2:4" x14ac:dyDescent="0.35">
      <c r="B34" s="15" t="s">
        <v>249</v>
      </c>
      <c r="C34" t="str">
        <f t="shared" si="1"/>
        <v>Problematic waste</v>
      </c>
      <c r="D34" s="85">
        <v>0.01</v>
      </c>
    </row>
    <row r="35" spans="2:4" x14ac:dyDescent="0.35">
      <c r="B35" s="15" t="s">
        <v>250</v>
      </c>
      <c r="C35" t="str">
        <f t="shared" si="1"/>
        <v>Other substances</v>
      </c>
      <c r="D35" s="85">
        <v>0.09</v>
      </c>
    </row>
    <row r="36" spans="2:4" x14ac:dyDescent="0.35">
      <c r="B36" s="15" t="s">
        <v>251</v>
      </c>
      <c r="C36" t="str">
        <f t="shared" si="1"/>
        <v>Fine waste &lt;10mm</v>
      </c>
      <c r="D36" s="85">
        <v>0.05</v>
      </c>
    </row>
    <row r="37" spans="2:4" ht="15" thickBot="1" x14ac:dyDescent="0.4">
      <c r="B37" s="17" t="s">
        <v>252</v>
      </c>
      <c r="C37" s="18"/>
      <c r="D37" s="86">
        <f>SUBTOTAL(109,MSW_comp_202121[Massenanteil])</f>
        <v>1</v>
      </c>
    </row>
    <row r="38" spans="2:4" ht="15" thickBot="1" x14ac:dyDescent="0.4">
      <c r="B38" s="17" t="s">
        <v>253</v>
      </c>
      <c r="C38" s="18" t="s">
        <v>257</v>
      </c>
      <c r="D38" s="87" t="s">
        <v>235</v>
      </c>
    </row>
    <row r="39" spans="2:4" ht="15" thickBot="1" x14ac:dyDescent="0.4"/>
    <row r="40" spans="2:4" x14ac:dyDescent="0.35">
      <c r="B40" s="12" t="s">
        <v>256</v>
      </c>
      <c r="C40" s="13"/>
      <c r="D40" s="14" t="s">
        <v>266</v>
      </c>
    </row>
    <row r="41" spans="2:4" x14ac:dyDescent="0.35">
      <c r="B41" s="15" t="s">
        <v>239</v>
      </c>
      <c r="C41" t="s">
        <v>238</v>
      </c>
      <c r="D41" s="16" t="s">
        <v>240</v>
      </c>
    </row>
    <row r="42" spans="2:4" x14ac:dyDescent="0.35">
      <c r="B42" s="15" t="s">
        <v>236</v>
      </c>
      <c r="C42" t="str">
        <f>_xlfn.TRANSLATE(B42,"DE","EN")</f>
        <v>Paper/ cardboard</v>
      </c>
      <c r="D42" s="85">
        <v>0.1</v>
      </c>
    </row>
    <row r="43" spans="2:4" x14ac:dyDescent="0.35">
      <c r="B43" s="15" t="s">
        <v>237</v>
      </c>
      <c r="C43" t="str">
        <f t="shared" ref="C43:C53" si="2">_xlfn.TRANSLATE(B43,"DE","EN")</f>
        <v>Glass</v>
      </c>
      <c r="D43" s="85">
        <v>0.06</v>
      </c>
    </row>
    <row r="44" spans="2:4" x14ac:dyDescent="0.35">
      <c r="B44" s="15" t="s">
        <v>241</v>
      </c>
      <c r="C44" t="str">
        <f t="shared" si="2"/>
        <v>Synthetics</v>
      </c>
      <c r="D44" s="85">
        <v>0.08</v>
      </c>
    </row>
    <row r="45" spans="2:4" x14ac:dyDescent="0.35">
      <c r="B45" s="15" t="s">
        <v>242</v>
      </c>
      <c r="C45" t="str">
        <f t="shared" si="2"/>
        <v>Metals</v>
      </c>
      <c r="D45" s="85">
        <v>0.02</v>
      </c>
    </row>
    <row r="46" spans="2:4" x14ac:dyDescent="0.35">
      <c r="B46" s="15" t="s">
        <v>243</v>
      </c>
      <c r="C46" t="str">
        <f t="shared" si="2"/>
        <v>Native Organic</v>
      </c>
      <c r="D46" s="85">
        <v>0.44</v>
      </c>
    </row>
    <row r="47" spans="2:4" x14ac:dyDescent="0.35">
      <c r="B47" s="15" t="s">
        <v>245</v>
      </c>
      <c r="C47" t="str">
        <f t="shared" si="2"/>
        <v>Wood</v>
      </c>
      <c r="D47" s="85">
        <v>0.02</v>
      </c>
    </row>
    <row r="48" spans="2:4" x14ac:dyDescent="0.35">
      <c r="B48" s="15" t="s">
        <v>246</v>
      </c>
      <c r="C48" t="str">
        <f t="shared" si="2"/>
        <v>Textiles</v>
      </c>
      <c r="D48" s="85">
        <v>0.03</v>
      </c>
    </row>
    <row r="49" spans="2:4" x14ac:dyDescent="0.35">
      <c r="B49" s="15" t="s">
        <v>247</v>
      </c>
      <c r="C49" t="str">
        <f t="shared" si="2"/>
        <v>Inert</v>
      </c>
      <c r="D49" s="85">
        <v>0.03</v>
      </c>
    </row>
    <row r="50" spans="2:4" x14ac:dyDescent="0.35">
      <c r="B50" s="15" t="s">
        <v>248</v>
      </c>
      <c r="C50" t="str">
        <f t="shared" si="2"/>
        <v>Composites</v>
      </c>
      <c r="D50" s="85">
        <v>0.05</v>
      </c>
    </row>
    <row r="51" spans="2:4" x14ac:dyDescent="0.35">
      <c r="B51" s="15" t="s">
        <v>249</v>
      </c>
      <c r="C51" t="str">
        <f t="shared" si="2"/>
        <v>Problematic waste</v>
      </c>
      <c r="D51" s="85">
        <v>0</v>
      </c>
    </row>
    <row r="52" spans="2:4" x14ac:dyDescent="0.35">
      <c r="B52" s="15" t="s">
        <v>250</v>
      </c>
      <c r="C52" t="str">
        <f t="shared" si="2"/>
        <v>Other substances</v>
      </c>
      <c r="D52" s="85">
        <v>0.1</v>
      </c>
    </row>
    <row r="53" spans="2:4" x14ac:dyDescent="0.35">
      <c r="B53" s="15" t="s">
        <v>251</v>
      </c>
      <c r="C53" t="str">
        <f t="shared" si="2"/>
        <v>Fine waste &lt;10mm</v>
      </c>
      <c r="D53" s="85">
        <v>7.0000000000000007E-2</v>
      </c>
    </row>
    <row r="54" spans="2:4" ht="15" thickBot="1" x14ac:dyDescent="0.4">
      <c r="B54" s="17" t="s">
        <v>252</v>
      </c>
      <c r="C54" s="18"/>
      <c r="D54" s="86">
        <f>SUBTOTAL(109,MSW_comp_20212123[Massenanteil])</f>
        <v>1</v>
      </c>
    </row>
    <row r="55" spans="2:4" ht="15" thickBot="1" x14ac:dyDescent="0.4">
      <c r="B55" s="17" t="s">
        <v>253</v>
      </c>
      <c r="C55" s="18" t="s">
        <v>267</v>
      </c>
      <c r="D55" s="87" t="s">
        <v>235</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tabColor theme="4" tint="0.79998168889431442"/>
  </sheetPr>
  <dimension ref="A1:M41"/>
  <sheetViews>
    <sheetView zoomScale="115" zoomScaleNormal="115" workbookViewId="0">
      <selection activeCell="H30" sqref="H30"/>
    </sheetView>
  </sheetViews>
  <sheetFormatPr defaultColWidth="10.81640625" defaultRowHeight="14.5" x14ac:dyDescent="0.35"/>
  <cols>
    <col min="1" max="1" width="23.7265625" customWidth="1"/>
    <col min="2" max="2" width="32.26953125" customWidth="1"/>
    <col min="3" max="3" width="11.26953125" customWidth="1"/>
    <col min="5" max="5" width="15.26953125" customWidth="1"/>
    <col min="6" max="6" width="11.1796875" customWidth="1"/>
    <col min="10" max="10" width="12.26953125" bestFit="1" customWidth="1"/>
    <col min="11" max="11" width="14.26953125" bestFit="1" customWidth="1"/>
    <col min="13" max="13" width="10.81640625" bestFit="1" customWidth="1"/>
  </cols>
  <sheetData>
    <row r="1" spans="1:13" x14ac:dyDescent="0.35">
      <c r="A1" t="s">
        <v>19</v>
      </c>
    </row>
    <row r="2" spans="1:13" x14ac:dyDescent="0.35">
      <c r="A2" t="s">
        <v>20</v>
      </c>
    </row>
    <row r="4" spans="1:13" x14ac:dyDescent="0.35">
      <c r="A4" t="s">
        <v>21</v>
      </c>
      <c r="B4" t="s">
        <v>22</v>
      </c>
      <c r="C4" t="s">
        <v>58</v>
      </c>
      <c r="D4" t="s">
        <v>59</v>
      </c>
      <c r="E4" t="s">
        <v>60</v>
      </c>
      <c r="F4" t="s">
        <v>61</v>
      </c>
    </row>
    <row r="5" spans="1:13" x14ac:dyDescent="0.35">
      <c r="A5" t="s">
        <v>13</v>
      </c>
      <c r="B5" t="s">
        <v>23</v>
      </c>
      <c r="C5">
        <v>0.48</v>
      </c>
      <c r="D5">
        <v>1</v>
      </c>
      <c r="E5">
        <v>2.0830000000000002</v>
      </c>
      <c r="F5">
        <v>0.48</v>
      </c>
    </row>
    <row r="6" spans="1:13" x14ac:dyDescent="0.35">
      <c r="A6" t="s">
        <v>24</v>
      </c>
      <c r="B6" t="s">
        <v>23</v>
      </c>
      <c r="C6">
        <v>0.52</v>
      </c>
      <c r="D6">
        <v>1</v>
      </c>
      <c r="E6">
        <v>1.923</v>
      </c>
      <c r="F6">
        <v>0.52</v>
      </c>
    </row>
    <row r="7" spans="1:13" x14ac:dyDescent="0.35">
      <c r="A7" t="s">
        <v>25</v>
      </c>
      <c r="B7" t="s">
        <v>23</v>
      </c>
      <c r="C7">
        <v>0.52</v>
      </c>
      <c r="D7">
        <v>1</v>
      </c>
      <c r="E7">
        <v>1.923</v>
      </c>
      <c r="F7">
        <v>0.52</v>
      </c>
    </row>
    <row r="8" spans="1:13" x14ac:dyDescent="0.35">
      <c r="A8" t="s">
        <v>26</v>
      </c>
      <c r="B8" t="s">
        <v>23</v>
      </c>
      <c r="C8">
        <v>0.47</v>
      </c>
      <c r="D8">
        <v>1</v>
      </c>
      <c r="E8">
        <v>2.1280000000000001</v>
      </c>
      <c r="F8">
        <v>0.47</v>
      </c>
      <c r="J8" s="4"/>
    </row>
    <row r="9" spans="1:13" x14ac:dyDescent="0.35">
      <c r="A9" t="s">
        <v>27</v>
      </c>
      <c r="B9" t="s">
        <v>28</v>
      </c>
      <c r="C9">
        <v>0.18</v>
      </c>
      <c r="D9">
        <v>0.33</v>
      </c>
      <c r="E9">
        <v>1.833</v>
      </c>
      <c r="F9">
        <v>0.54500000000000004</v>
      </c>
    </row>
    <row r="10" spans="1:13" x14ac:dyDescent="0.35">
      <c r="A10" t="s">
        <v>29</v>
      </c>
      <c r="B10" t="s">
        <v>30</v>
      </c>
      <c r="C10">
        <v>0.47</v>
      </c>
      <c r="D10">
        <v>1</v>
      </c>
      <c r="E10">
        <v>2.1280000000000001</v>
      </c>
      <c r="F10">
        <v>0.47</v>
      </c>
    </row>
    <row r="11" spans="1:13" x14ac:dyDescent="0.35">
      <c r="A11" t="s">
        <v>31</v>
      </c>
      <c r="B11" t="s">
        <v>32</v>
      </c>
      <c r="C11">
        <v>0.8</v>
      </c>
      <c r="D11">
        <v>1.73</v>
      </c>
      <c r="E11">
        <v>2.1629999999999998</v>
      </c>
      <c r="F11">
        <v>0.46200000000000002</v>
      </c>
      <c r="K11" s="4"/>
      <c r="M11" s="4"/>
    </row>
    <row r="12" spans="1:13" x14ac:dyDescent="0.35">
      <c r="A12" t="s">
        <v>33</v>
      </c>
      <c r="B12" t="s">
        <v>34</v>
      </c>
      <c r="C12">
        <v>1</v>
      </c>
      <c r="D12">
        <v>1.98</v>
      </c>
      <c r="E12">
        <v>1.98</v>
      </c>
      <c r="F12">
        <v>0.505</v>
      </c>
    </row>
    <row r="13" spans="1:13" x14ac:dyDescent="0.35">
      <c r="A13" t="s">
        <v>35</v>
      </c>
      <c r="B13" t="s">
        <v>32</v>
      </c>
      <c r="C13">
        <v>0.9</v>
      </c>
      <c r="D13">
        <v>1.91</v>
      </c>
      <c r="E13">
        <v>2.1280000000000001</v>
      </c>
      <c r="F13">
        <v>0.47</v>
      </c>
    </row>
    <row r="14" spans="1:13" x14ac:dyDescent="0.35">
      <c r="A14" t="s">
        <v>36</v>
      </c>
      <c r="E14">
        <v>2.0369999999999999</v>
      </c>
      <c r="F14">
        <v>0.49199999999999999</v>
      </c>
    </row>
    <row r="17" spans="1:3" x14ac:dyDescent="0.35">
      <c r="A17" t="s">
        <v>37</v>
      </c>
    </row>
    <row r="18" spans="1:3" x14ac:dyDescent="0.35">
      <c r="A18" t="s">
        <v>38</v>
      </c>
    </row>
    <row r="20" spans="1:3" x14ac:dyDescent="0.35">
      <c r="A20" t="s">
        <v>39</v>
      </c>
      <c r="B20" t="s">
        <v>40</v>
      </c>
      <c r="C20" t="s">
        <v>62</v>
      </c>
    </row>
    <row r="21" spans="1:3" x14ac:dyDescent="0.35">
      <c r="A21" t="s">
        <v>41</v>
      </c>
      <c r="B21">
        <v>1.244</v>
      </c>
      <c r="C21">
        <v>2.1629999999999998</v>
      </c>
    </row>
    <row r="22" spans="1:3" x14ac:dyDescent="0.35">
      <c r="A22" t="s">
        <v>26</v>
      </c>
      <c r="B22">
        <v>1.6259999999999999</v>
      </c>
      <c r="C22">
        <v>2.1280000000000001</v>
      </c>
    </row>
    <row r="23" spans="1:3" x14ac:dyDescent="0.35">
      <c r="A23" t="s">
        <v>42</v>
      </c>
      <c r="B23">
        <v>1.208</v>
      </c>
      <c r="C23">
        <v>2.1280000000000001</v>
      </c>
    </row>
    <row r="24" spans="1:3" x14ac:dyDescent="0.35">
      <c r="A24" t="s">
        <v>43</v>
      </c>
      <c r="B24">
        <v>1.5720000000000001</v>
      </c>
      <c r="C24">
        <v>1.923</v>
      </c>
    </row>
    <row r="25" spans="1:3" x14ac:dyDescent="0.35">
      <c r="A25" t="s">
        <v>44</v>
      </c>
      <c r="B25">
        <v>1.7729999999999999</v>
      </c>
      <c r="C25">
        <v>1.923</v>
      </c>
    </row>
    <row r="26" spans="1:3" x14ac:dyDescent="0.35">
      <c r="A26" t="s">
        <v>45</v>
      </c>
      <c r="B26">
        <v>1.927</v>
      </c>
      <c r="C26">
        <v>2.0830000000000002</v>
      </c>
    </row>
    <row r="27" spans="1:3" x14ac:dyDescent="0.35">
      <c r="A27" t="s">
        <v>46</v>
      </c>
      <c r="B27">
        <v>1.111</v>
      </c>
      <c r="C27">
        <v>2.1280000000000001</v>
      </c>
    </row>
    <row r="28" spans="1:3" x14ac:dyDescent="0.35">
      <c r="A28" t="s">
        <v>47</v>
      </c>
      <c r="B28">
        <v>1.8480000000000001</v>
      </c>
      <c r="C28">
        <v>1.98</v>
      </c>
    </row>
    <row r="29" spans="1:3" x14ac:dyDescent="0.35">
      <c r="A29" t="s">
        <v>48</v>
      </c>
      <c r="B29">
        <v>1.1359999999999999</v>
      </c>
      <c r="C29">
        <v>1.923</v>
      </c>
    </row>
    <row r="30" spans="1:3" x14ac:dyDescent="0.35">
      <c r="A30" t="s">
        <v>49</v>
      </c>
      <c r="B30">
        <v>1.099</v>
      </c>
      <c r="C30">
        <v>1.25</v>
      </c>
    </row>
    <row r="31" spans="1:3" x14ac:dyDescent="0.35">
      <c r="A31" t="s">
        <v>50</v>
      </c>
      <c r="B31">
        <v>1.7569999999999999</v>
      </c>
      <c r="C31">
        <v>1.923</v>
      </c>
    </row>
    <row r="34" spans="1:2" x14ac:dyDescent="0.35">
      <c r="A34" t="s">
        <v>51</v>
      </c>
    </row>
    <row r="37" spans="1:2" ht="29" x14ac:dyDescent="0.35">
      <c r="A37" t="s">
        <v>52</v>
      </c>
      <c r="B37" s="3" t="s">
        <v>53</v>
      </c>
    </row>
    <row r="38" spans="1:2" x14ac:dyDescent="0.35">
      <c r="A38" t="s">
        <v>54</v>
      </c>
      <c r="B38">
        <v>1.3</v>
      </c>
    </row>
    <row r="39" spans="1:2" x14ac:dyDescent="0.35">
      <c r="A39" t="s">
        <v>55</v>
      </c>
      <c r="B39">
        <v>1.3</v>
      </c>
    </row>
    <row r="40" spans="1:2" x14ac:dyDescent="0.35">
      <c r="A40" t="s">
        <v>56</v>
      </c>
      <c r="B40">
        <v>1.7</v>
      </c>
    </row>
    <row r="41" spans="1:2" x14ac:dyDescent="0.35">
      <c r="A41" t="s">
        <v>57</v>
      </c>
      <c r="B41">
        <v>0.6</v>
      </c>
    </row>
  </sheetData>
  <pageMargins left="0.7" right="0.7" top="0.78740157499999996" bottom="0.78740157499999996" header="0.3" footer="0.3"/>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tabColor rgb="FFFFFF00"/>
  </sheetPr>
  <dimension ref="A1"/>
  <sheetViews>
    <sheetView workbookViewId="0">
      <selection activeCell="N34" sqref="N34"/>
    </sheetView>
  </sheetViews>
  <sheetFormatPr defaultColWidth="10.81640625" defaultRowHeight="14.5" x14ac:dyDescent="0.35"/>
  <sheetData>
    <row r="1" spans="1:1" x14ac:dyDescent="0.35">
      <c r="A1" t="s">
        <v>0</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tabColor rgb="FFFFFF00"/>
  </sheetPr>
  <dimension ref="B2:S19"/>
  <sheetViews>
    <sheetView zoomScale="130" zoomScaleNormal="130" workbookViewId="0">
      <selection activeCell="H19" sqref="H19"/>
    </sheetView>
  </sheetViews>
  <sheetFormatPr defaultColWidth="10.81640625" defaultRowHeight="14.5" x14ac:dyDescent="0.35"/>
  <cols>
    <col min="4" max="4" width="13.26953125" customWidth="1"/>
    <col min="7" max="7" width="16.7265625" customWidth="1"/>
    <col min="8" max="8" width="34.1796875" customWidth="1"/>
    <col min="12" max="12" width="33.453125" customWidth="1"/>
  </cols>
  <sheetData>
    <row r="2" spans="2:19" x14ac:dyDescent="0.35">
      <c r="B2" s="129" t="s">
        <v>224</v>
      </c>
      <c r="C2" s="129"/>
      <c r="D2" s="129"/>
      <c r="F2" s="129" t="s">
        <v>292</v>
      </c>
      <c r="G2" s="129"/>
      <c r="H2" s="129"/>
      <c r="J2" s="130" t="s">
        <v>291</v>
      </c>
      <c r="K2" s="130"/>
      <c r="L2" s="130"/>
      <c r="Q2" s="130" t="s">
        <v>291</v>
      </c>
      <c r="R2" s="130"/>
      <c r="S2" s="130"/>
    </row>
    <row r="3" spans="2:19" x14ac:dyDescent="0.35">
      <c r="B3" t="s">
        <v>225</v>
      </c>
      <c r="C3" t="s">
        <v>226</v>
      </c>
      <c r="D3" t="s">
        <v>18</v>
      </c>
      <c r="F3" t="s">
        <v>225</v>
      </c>
      <c r="G3" t="s">
        <v>226</v>
      </c>
      <c r="H3" t="s">
        <v>18</v>
      </c>
      <c r="J3" s="9" t="s">
        <v>225</v>
      </c>
      <c r="K3" s="9" t="s">
        <v>226</v>
      </c>
      <c r="L3" s="9" t="s">
        <v>18</v>
      </c>
      <c r="N3" t="s">
        <v>225</v>
      </c>
      <c r="O3" t="s">
        <v>232</v>
      </c>
      <c r="Q3" s="9" t="s">
        <v>225</v>
      </c>
      <c r="R3" s="9" t="s">
        <v>226</v>
      </c>
      <c r="S3" s="9" t="s">
        <v>18</v>
      </c>
    </row>
    <row r="4" spans="2:19" x14ac:dyDescent="0.35">
      <c r="B4">
        <v>1</v>
      </c>
      <c r="C4" t="s">
        <v>227</v>
      </c>
      <c r="F4">
        <v>1</v>
      </c>
      <c r="G4" t="s">
        <v>229</v>
      </c>
      <c r="H4" t="s">
        <v>229</v>
      </c>
      <c r="J4" s="10">
        <v>1</v>
      </c>
      <c r="K4" s="10" t="s">
        <v>348</v>
      </c>
      <c r="L4" s="10" t="s">
        <v>348</v>
      </c>
      <c r="N4">
        <v>1</v>
      </c>
      <c r="O4" t="s">
        <v>68</v>
      </c>
      <c r="Q4" s="10">
        <v>1</v>
      </c>
      <c r="R4" s="10" t="s">
        <v>348</v>
      </c>
      <c r="S4" s="10" t="s">
        <v>348</v>
      </c>
    </row>
    <row r="5" spans="2:19" x14ac:dyDescent="0.35">
      <c r="B5">
        <v>2</v>
      </c>
      <c r="C5" t="s">
        <v>102</v>
      </c>
      <c r="F5">
        <v>2</v>
      </c>
      <c r="G5" t="s">
        <v>174</v>
      </c>
      <c r="H5" t="s">
        <v>174</v>
      </c>
      <c r="J5">
        <v>2</v>
      </c>
      <c r="K5" t="s">
        <v>191</v>
      </c>
      <c r="L5" t="s">
        <v>191</v>
      </c>
      <c r="N5">
        <v>2</v>
      </c>
      <c r="O5" t="s">
        <v>71</v>
      </c>
      <c r="Q5">
        <v>2</v>
      </c>
      <c r="R5" t="s">
        <v>191</v>
      </c>
      <c r="S5" t="s">
        <v>191</v>
      </c>
    </row>
    <row r="6" spans="2:19" x14ac:dyDescent="0.35">
      <c r="B6">
        <v>3</v>
      </c>
      <c r="F6">
        <v>3</v>
      </c>
      <c r="G6" t="s">
        <v>177</v>
      </c>
      <c r="H6" t="s">
        <v>177</v>
      </c>
      <c r="J6" s="10">
        <v>3</v>
      </c>
      <c r="K6" s="10" t="s">
        <v>349</v>
      </c>
      <c r="L6" s="10" t="s">
        <v>349</v>
      </c>
      <c r="Q6" s="10">
        <v>3</v>
      </c>
      <c r="R6" s="10" t="s">
        <v>349</v>
      </c>
      <c r="S6" s="10" t="s">
        <v>349</v>
      </c>
    </row>
    <row r="7" spans="2:19" x14ac:dyDescent="0.35">
      <c r="B7">
        <v>4</v>
      </c>
      <c r="F7">
        <v>4</v>
      </c>
      <c r="G7" t="s">
        <v>352</v>
      </c>
      <c r="H7" t="s">
        <v>352</v>
      </c>
      <c r="J7">
        <v>4</v>
      </c>
      <c r="K7" t="s">
        <v>350</v>
      </c>
      <c r="L7" t="s">
        <v>350</v>
      </c>
      <c r="Q7">
        <v>4</v>
      </c>
      <c r="R7" t="s">
        <v>350</v>
      </c>
      <c r="S7" t="s">
        <v>350</v>
      </c>
    </row>
    <row r="8" spans="2:19" x14ac:dyDescent="0.35">
      <c r="B8">
        <v>5</v>
      </c>
      <c r="F8">
        <v>5</v>
      </c>
      <c r="J8" s="10">
        <v>5</v>
      </c>
      <c r="K8" s="10" t="s">
        <v>351</v>
      </c>
      <c r="L8" s="10" t="s">
        <v>351</v>
      </c>
      <c r="Q8" s="10">
        <v>5</v>
      </c>
      <c r="R8" s="10" t="s">
        <v>351</v>
      </c>
      <c r="S8" s="10" t="s">
        <v>351</v>
      </c>
    </row>
    <row r="9" spans="2:19" x14ac:dyDescent="0.35">
      <c r="B9">
        <v>6</v>
      </c>
      <c r="C9" t="s">
        <v>228</v>
      </c>
      <c r="F9">
        <v>6</v>
      </c>
      <c r="J9">
        <v>6</v>
      </c>
    </row>
    <row r="10" spans="2:19" x14ac:dyDescent="0.35">
      <c r="B10">
        <v>7</v>
      </c>
      <c r="F10">
        <v>7</v>
      </c>
    </row>
    <row r="11" spans="2:19" x14ac:dyDescent="0.35">
      <c r="B11">
        <v>8</v>
      </c>
      <c r="F11">
        <v>8</v>
      </c>
    </row>
    <row r="14" spans="2:19" x14ac:dyDescent="0.35">
      <c r="B14" s="129" t="s">
        <v>388</v>
      </c>
      <c r="C14" s="129"/>
      <c r="D14" s="129"/>
      <c r="F14" s="129" t="s">
        <v>408</v>
      </c>
      <c r="G14" s="129"/>
      <c r="H14" s="129"/>
    </row>
    <row r="15" spans="2:19" x14ac:dyDescent="0.35">
      <c r="B15" s="67" t="s">
        <v>225</v>
      </c>
      <c r="C15" s="67" t="s">
        <v>226</v>
      </c>
      <c r="D15" s="67" t="s">
        <v>18</v>
      </c>
      <c r="F15" s="67" t="s">
        <v>225</v>
      </c>
      <c r="G15" s="67" t="s">
        <v>226</v>
      </c>
      <c r="H15" s="67" t="s">
        <v>18</v>
      </c>
    </row>
    <row r="16" spans="2:19" x14ac:dyDescent="0.35">
      <c r="B16" s="10">
        <v>1</v>
      </c>
      <c r="C16" s="10" t="s">
        <v>389</v>
      </c>
      <c r="D16" s="10"/>
      <c r="F16" s="10">
        <v>1</v>
      </c>
      <c r="G16" s="10" t="s">
        <v>410</v>
      </c>
      <c r="H16" s="10" t="s">
        <v>412</v>
      </c>
    </row>
    <row r="17" spans="2:8" x14ac:dyDescent="0.35">
      <c r="B17" s="10">
        <v>2</v>
      </c>
      <c r="C17" s="10" t="s">
        <v>390</v>
      </c>
      <c r="D17" s="10"/>
      <c r="F17" s="10">
        <v>2</v>
      </c>
      <c r="G17" s="10" t="s">
        <v>411</v>
      </c>
      <c r="H17" s="10" t="s">
        <v>413</v>
      </c>
    </row>
    <row r="18" spans="2:8" x14ac:dyDescent="0.35">
      <c r="B18">
        <v>3</v>
      </c>
      <c r="C18" t="s">
        <v>387</v>
      </c>
      <c r="F18" s="10">
        <v>3</v>
      </c>
      <c r="G18" s="10" t="s">
        <v>415</v>
      </c>
      <c r="H18" s="10" t="s">
        <v>416</v>
      </c>
    </row>
    <row r="19" spans="2:8" x14ac:dyDescent="0.35">
      <c r="F19" s="10">
        <v>4</v>
      </c>
      <c r="G19" s="10" t="s">
        <v>409</v>
      </c>
      <c r="H19" s="10" t="s">
        <v>414</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tabColor theme="5" tint="-0.499984740745262"/>
  </sheetPr>
  <dimension ref="A1"/>
  <sheetViews>
    <sheetView workbookViewId="0">
      <selection activeCell="N51" sqref="N51"/>
    </sheetView>
  </sheetViews>
  <sheetFormatPr defaultColWidth="10.81640625" defaultRowHeight="14.5" x14ac:dyDescent="0.35"/>
  <sheetData>
    <row r="1" spans="1:1" x14ac:dyDescent="0.35">
      <c r="A1" t="s">
        <v>222</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tabColor theme="9" tint="0.79998168889431442"/>
  </sheetPr>
  <dimension ref="A1:M63"/>
  <sheetViews>
    <sheetView workbookViewId="0">
      <selection activeCell="B2" sqref="B2"/>
    </sheetView>
  </sheetViews>
  <sheetFormatPr defaultColWidth="10.81640625" defaultRowHeight="14.5" x14ac:dyDescent="0.35"/>
  <cols>
    <col min="2" max="4" width="16.54296875" customWidth="1"/>
    <col min="5" max="5" width="35" customWidth="1"/>
    <col min="6" max="6" width="14.7265625" customWidth="1"/>
    <col min="7" max="7" width="32.54296875" customWidth="1"/>
    <col min="8" max="9" width="15.54296875" customWidth="1"/>
    <col min="10" max="10" width="21.453125" customWidth="1"/>
    <col min="11" max="11" width="15.54296875" customWidth="1"/>
  </cols>
  <sheetData>
    <row r="1" spans="1:13" x14ac:dyDescent="0.35">
      <c r="A1" s="67" t="s">
        <v>223</v>
      </c>
      <c r="B1" s="9" t="s">
        <v>225</v>
      </c>
      <c r="C1" s="48" t="s">
        <v>319</v>
      </c>
      <c r="D1" t="s">
        <v>290</v>
      </c>
      <c r="E1" s="67" t="s">
        <v>230</v>
      </c>
      <c r="F1" t="s">
        <v>320</v>
      </c>
      <c r="G1" t="s">
        <v>234</v>
      </c>
      <c r="H1" t="s">
        <v>291</v>
      </c>
      <c r="I1" t="s">
        <v>292</v>
      </c>
      <c r="J1" s="48" t="s">
        <v>18</v>
      </c>
      <c r="K1" s="25" t="s">
        <v>325</v>
      </c>
      <c r="L1" s="26" t="s">
        <v>293</v>
      </c>
      <c r="M1" s="32" t="s">
        <v>324</v>
      </c>
    </row>
    <row r="2" spans="1:13" x14ac:dyDescent="0.35">
      <c r="A2" s="97"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231</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35">
      <c r="A3" s="97" t="b">
        <v>0</v>
      </c>
      <c r="B3" s="49">
        <f t="shared" si="0"/>
        <v>2</v>
      </c>
      <c r="C3" s="49" t="e">
        <f t="shared" si="1"/>
        <v>#N/A</v>
      </c>
      <c r="D3" s="49" t="e">
        <f>_xlfn.XLOOKUP($F3,Tab_Def_Processes[Name(EN)],Tab_Def_Processes[Process_ID],,0,)</f>
        <v>#N/A</v>
      </c>
      <c r="E3" s="49" t="e">
        <f>_xlfn.XLOOKUP(F3,Tab_Def_Processes[Name(EN)],#REF!,,0,)</f>
        <v>#REF!</v>
      </c>
      <c r="F3" s="51" t="s">
        <v>231</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35">
      <c r="A4" s="97" t="b">
        <v>0</v>
      </c>
      <c r="B4" s="49">
        <f t="shared" si="0"/>
        <v>3</v>
      </c>
      <c r="C4" s="49" t="e">
        <f t="shared" si="1"/>
        <v>#N/A</v>
      </c>
      <c r="D4" s="49" t="e">
        <f>_xlfn.XLOOKUP($F4,Tab_Def_Processes[Name(EN)],Tab_Def_Processes[Process_ID],,0,)</f>
        <v>#N/A</v>
      </c>
      <c r="E4" s="49" t="e">
        <f>_xlfn.XLOOKUP(F4,Tab_Def_Processes[Name(EN)],#REF!,,0,)</f>
        <v>#REF!</v>
      </c>
      <c r="F4" s="51" t="s">
        <v>231</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35">
      <c r="A5" s="97" t="b">
        <v>0</v>
      </c>
      <c r="B5" s="49">
        <f t="shared" si="0"/>
        <v>4</v>
      </c>
      <c r="C5" s="49" t="e">
        <f t="shared" si="1"/>
        <v>#N/A</v>
      </c>
      <c r="D5" s="49" t="e">
        <f>_xlfn.XLOOKUP($F5,Tab_Def_Processes[Name(EN)],Tab_Def_Processes[Process_ID],,0,)</f>
        <v>#N/A</v>
      </c>
      <c r="E5" s="49" t="e">
        <f>_xlfn.XLOOKUP(F5,Tab_Def_Processes[Name(EN)],#REF!,,0,)</f>
        <v>#REF!</v>
      </c>
      <c r="F5" s="51" t="s">
        <v>231</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35">
      <c r="A6" s="97" t="b">
        <v>0</v>
      </c>
      <c r="B6" s="49">
        <f t="shared" si="0"/>
        <v>5</v>
      </c>
      <c r="C6" s="49" t="e">
        <f t="shared" si="1"/>
        <v>#N/A</v>
      </c>
      <c r="D6" s="49" t="e">
        <f>_xlfn.XLOOKUP($F6,Tab_Def_Processes[Name(EN)],Tab_Def_Processes[Process_ID],,0,)</f>
        <v>#N/A</v>
      </c>
      <c r="E6" s="49" t="e">
        <f>_xlfn.XLOOKUP(F6,Tab_Def_Processes[Name(EN)],#REF!,,0,)</f>
        <v>#REF!</v>
      </c>
      <c r="F6" s="51" t="s">
        <v>231</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35">
      <c r="A7" s="97" t="b">
        <v>0</v>
      </c>
      <c r="B7" s="49">
        <f t="shared" si="0"/>
        <v>6</v>
      </c>
      <c r="C7" s="49" t="e">
        <f t="shared" si="1"/>
        <v>#N/A</v>
      </c>
      <c r="D7" s="49" t="e">
        <f>_xlfn.XLOOKUP($F7,Tab_Def_Processes[Name(EN)],Tab_Def_Processes[Process_ID],,0,)</f>
        <v>#N/A</v>
      </c>
      <c r="E7" s="49" t="e">
        <f>_xlfn.XLOOKUP(F7,Tab_Def_Processes[Name(EN)],#REF!,,0,)</f>
        <v>#REF!</v>
      </c>
      <c r="F7" s="51" t="s">
        <v>231</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35">
      <c r="A8" s="97" t="b">
        <v>0</v>
      </c>
      <c r="B8" s="49">
        <f t="shared" si="0"/>
        <v>7</v>
      </c>
      <c r="C8" s="49" t="e">
        <f t="shared" si="1"/>
        <v>#N/A</v>
      </c>
      <c r="D8" s="49" t="e">
        <f>_xlfn.XLOOKUP($F8,Tab_Def_Processes[Name(EN)],Tab_Def_Processes[Process_ID],,0,)</f>
        <v>#N/A</v>
      </c>
      <c r="E8" s="49" t="e">
        <f>_xlfn.XLOOKUP(F8,Tab_Def_Processes[Name(EN)],#REF!,,0,)</f>
        <v>#REF!</v>
      </c>
      <c r="F8" s="51" t="s">
        <v>231</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35">
      <c r="A9" s="97" t="b">
        <v>0</v>
      </c>
      <c r="B9" s="49">
        <f t="shared" si="0"/>
        <v>8</v>
      </c>
      <c r="C9" s="49" t="e">
        <f t="shared" si="1"/>
        <v>#N/A</v>
      </c>
      <c r="D9" s="49" t="e">
        <f>_xlfn.XLOOKUP($F9,Tab_Def_Processes[Name(EN)],Tab_Def_Processes[Process_ID],,0,)</f>
        <v>#N/A</v>
      </c>
      <c r="E9" s="49" t="e">
        <f>_xlfn.XLOOKUP(F9,Tab_Def_Processes[Name(EN)],#REF!,,0,)</f>
        <v>#REF!</v>
      </c>
      <c r="F9" s="51" t="s">
        <v>231</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35">
      <c r="A10" s="97" t="b">
        <v>0</v>
      </c>
      <c r="B10" s="49">
        <f t="shared" si="0"/>
        <v>9</v>
      </c>
      <c r="C10" s="49" t="e">
        <f t="shared" si="1"/>
        <v>#N/A</v>
      </c>
      <c r="D10" s="49" t="e">
        <f>_xlfn.XLOOKUP($F10,Tab_Def_Processes[Name(EN)],Tab_Def_Processes[Process_ID],,0,)</f>
        <v>#N/A</v>
      </c>
      <c r="E10" s="49" t="e">
        <f>_xlfn.XLOOKUP(F10,Tab_Def_Processes[Name(EN)],#REF!,,0,)</f>
        <v>#REF!</v>
      </c>
      <c r="F10" s="51" t="s">
        <v>231</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35">
      <c r="A11" s="97" t="b">
        <v>0</v>
      </c>
      <c r="B11" s="49">
        <f t="shared" si="0"/>
        <v>10</v>
      </c>
      <c r="C11" s="49" t="e">
        <f t="shared" si="1"/>
        <v>#N/A</v>
      </c>
      <c r="D11" s="49" t="e">
        <f>_xlfn.XLOOKUP($F11,Tab_Def_Processes[Name(EN)],Tab_Def_Processes[Process_ID],,0,)</f>
        <v>#N/A</v>
      </c>
      <c r="E11" s="49" t="e">
        <f>_xlfn.XLOOKUP(F11,Tab_Def_Processes[Name(EN)],#REF!,,0,)</f>
        <v>#REF!</v>
      </c>
      <c r="F11" s="51" t="s">
        <v>231</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35">
      <c r="A12" s="97" t="b">
        <v>0</v>
      </c>
      <c r="B12" s="49">
        <f t="shared" si="0"/>
        <v>11</v>
      </c>
      <c r="C12" s="49" t="e">
        <f t="shared" si="1"/>
        <v>#N/A</v>
      </c>
      <c r="D12" s="49" t="e">
        <f>_xlfn.XLOOKUP($F12,Tab_Def_Processes[Name(EN)],Tab_Def_Processes[Process_ID],,0,)</f>
        <v>#N/A</v>
      </c>
      <c r="E12" s="49" t="e">
        <f>_xlfn.XLOOKUP(F12,Tab_Def_Processes[Name(EN)],#REF!,,0,)</f>
        <v>#REF!</v>
      </c>
      <c r="F12" s="51" t="s">
        <v>231</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35">
      <c r="A13" s="97" t="b">
        <v>0</v>
      </c>
      <c r="B13" s="49">
        <f t="shared" si="0"/>
        <v>12</v>
      </c>
      <c r="C13" s="49" t="e">
        <f t="shared" si="1"/>
        <v>#N/A</v>
      </c>
      <c r="D13" s="49" t="e">
        <f>_xlfn.XLOOKUP($F13,Tab_Def_Processes[Name(EN)],Tab_Def_Processes[Process_ID],,0,)</f>
        <v>#N/A</v>
      </c>
      <c r="E13" s="49" t="e">
        <f>_xlfn.XLOOKUP(F13,Tab_Def_Processes[Name(EN)],#REF!,,0,)</f>
        <v>#REF!</v>
      </c>
      <c r="F13" s="51" t="s">
        <v>231</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35">
      <c r="A14" s="97" t="b">
        <v>0</v>
      </c>
      <c r="B14" s="49">
        <f t="shared" si="0"/>
        <v>13</v>
      </c>
      <c r="C14" s="49" t="e">
        <f t="shared" si="1"/>
        <v>#N/A</v>
      </c>
      <c r="D14" s="49" t="e">
        <f>_xlfn.XLOOKUP($F14,Tab_Def_Processes[Name(EN)],Tab_Def_Processes[Process_ID],,0,)</f>
        <v>#N/A</v>
      </c>
      <c r="E14" s="49" t="e">
        <f>_xlfn.XLOOKUP(F14,Tab_Def_Processes[Name(EN)],#REF!,,0,)</f>
        <v>#REF!</v>
      </c>
      <c r="F14" s="51" t="s">
        <v>231</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35">
      <c r="A15" s="97" t="b">
        <v>0</v>
      </c>
      <c r="B15" s="49">
        <f t="shared" si="0"/>
        <v>14</v>
      </c>
      <c r="C15" s="49" t="e">
        <f t="shared" si="1"/>
        <v>#N/A</v>
      </c>
      <c r="D15" s="49" t="e">
        <f>_xlfn.XLOOKUP($F15,Tab_Def_Processes[Name(EN)],Tab_Def_Processes[Process_ID],,0,)</f>
        <v>#N/A</v>
      </c>
      <c r="E15" s="49" t="e">
        <f>_xlfn.XLOOKUP(F15,Tab_Def_Processes[Name(EN)],#REF!,,0,)</f>
        <v>#REF!</v>
      </c>
      <c r="F15" s="51" t="s">
        <v>231</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35">
      <c r="A16" s="97" t="b">
        <v>0</v>
      </c>
      <c r="B16" s="49">
        <f t="shared" si="0"/>
        <v>15</v>
      </c>
      <c r="C16" s="49" t="e">
        <f t="shared" si="1"/>
        <v>#N/A</v>
      </c>
      <c r="D16" s="49" t="e">
        <f>_xlfn.XLOOKUP($F16,Tab_Def_Processes[Name(EN)],Tab_Def_Processes[Process_ID],,0,)</f>
        <v>#N/A</v>
      </c>
      <c r="E16" s="49" t="e">
        <f>_xlfn.XLOOKUP(F16,Tab_Def_Processes[Name(EN)],#REF!,,0,)</f>
        <v>#REF!</v>
      </c>
      <c r="F16" s="51" t="s">
        <v>231</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35">
      <c r="A17" s="97" t="b">
        <v>0</v>
      </c>
      <c r="B17" s="49">
        <f t="shared" si="0"/>
        <v>16</v>
      </c>
      <c r="C17" s="49" t="e">
        <f t="shared" si="1"/>
        <v>#N/A</v>
      </c>
      <c r="D17" s="49" t="e">
        <f>_xlfn.XLOOKUP($F17,Tab_Def_Processes[Name(EN)],Tab_Def_Processes[Process_ID],,0,)</f>
        <v>#N/A</v>
      </c>
      <c r="E17" s="49" t="e">
        <f>_xlfn.XLOOKUP(F17,Tab_Def_Processes[Name(EN)],#REF!,,0,)</f>
        <v>#REF!</v>
      </c>
      <c r="F17" s="51" t="s">
        <v>231</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35">
      <c r="A18" s="97" t="b">
        <v>0</v>
      </c>
      <c r="B18" s="49">
        <f t="shared" si="0"/>
        <v>17</v>
      </c>
      <c r="C18" s="49" t="e">
        <f t="shared" si="1"/>
        <v>#N/A</v>
      </c>
      <c r="D18" s="49" t="e">
        <f>_xlfn.XLOOKUP($F18,Tab_Def_Processes[Name(EN)],Tab_Def_Processes[Process_ID],,0,)</f>
        <v>#N/A</v>
      </c>
      <c r="E18" s="49" t="e">
        <f>_xlfn.XLOOKUP(F18,Tab_Def_Processes[Name(EN)],#REF!,,0,)</f>
        <v>#REF!</v>
      </c>
      <c r="F18" s="51" t="s">
        <v>231</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35">
      <c r="A19" s="97" t="b">
        <v>0</v>
      </c>
      <c r="B19" s="49">
        <f t="shared" si="0"/>
        <v>18</v>
      </c>
      <c r="C19" s="49" t="e">
        <f t="shared" si="1"/>
        <v>#N/A</v>
      </c>
      <c r="D19" s="49" t="e">
        <f>_xlfn.XLOOKUP($F19,Tab_Def_Processes[Name(EN)],Tab_Def_Processes[Process_ID],,0,)</f>
        <v>#N/A</v>
      </c>
      <c r="E19" s="49" t="e">
        <f>_xlfn.XLOOKUP(F19,Tab_Def_Processes[Name(EN)],#REF!,,0,)</f>
        <v>#REF!</v>
      </c>
      <c r="F19" s="51" t="s">
        <v>231</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35">
      <c r="A20" s="97" t="b">
        <v>0</v>
      </c>
      <c r="B20" s="49">
        <f t="shared" si="0"/>
        <v>19</v>
      </c>
      <c r="C20" s="49" t="e">
        <f t="shared" si="1"/>
        <v>#N/A</v>
      </c>
      <c r="D20" s="49" t="e">
        <f>_xlfn.XLOOKUP($F20,Tab_Def_Processes[Name(EN)],Tab_Def_Processes[Process_ID],,0,)</f>
        <v>#N/A</v>
      </c>
      <c r="E20" s="49" t="e">
        <f>_xlfn.XLOOKUP(F20,Tab_Def_Processes[Name(EN)],#REF!,,0,)</f>
        <v>#REF!</v>
      </c>
      <c r="F20" s="51" t="s">
        <v>231</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35">
      <c r="A21" s="97" t="b">
        <v>0</v>
      </c>
      <c r="B21" s="49">
        <f t="shared" si="0"/>
        <v>20</v>
      </c>
      <c r="C21" s="49" t="e">
        <f t="shared" si="1"/>
        <v>#N/A</v>
      </c>
      <c r="D21" s="49" t="e">
        <f>_xlfn.XLOOKUP($F21,Tab_Def_Processes[Name(EN)],Tab_Def_Processes[Process_ID],,0,)</f>
        <v>#N/A</v>
      </c>
      <c r="E21" s="49" t="e">
        <f>_xlfn.XLOOKUP(F21,Tab_Def_Processes[Name(EN)],#REF!,,0,)</f>
        <v>#REF!</v>
      </c>
      <c r="F21" s="51" t="s">
        <v>231</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35">
      <c r="A22" s="97" t="b">
        <v>0</v>
      </c>
      <c r="B22" s="49">
        <f t="shared" si="0"/>
        <v>21</v>
      </c>
      <c r="C22" s="49" t="e">
        <f t="shared" si="1"/>
        <v>#N/A</v>
      </c>
      <c r="D22" s="49" t="e">
        <f>_xlfn.XLOOKUP($F22,Tab_Def_Processes[Name(EN)],Tab_Def_Processes[Process_ID],,0,)</f>
        <v>#N/A</v>
      </c>
      <c r="E22" s="49" t="e">
        <f>_xlfn.XLOOKUP(F22,Tab_Def_Processes[Name(EN)],#REF!,,0,)</f>
        <v>#REF!</v>
      </c>
      <c r="F22" s="51" t="s">
        <v>231</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35">
      <c r="A23" s="97" t="b">
        <v>0</v>
      </c>
      <c r="B23" s="49">
        <f t="shared" si="0"/>
        <v>22</v>
      </c>
      <c r="C23" s="49" t="e">
        <f t="shared" si="1"/>
        <v>#N/A</v>
      </c>
      <c r="D23" s="49" t="e">
        <f>_xlfn.XLOOKUP($F23,Tab_Def_Processes[Name(EN)],Tab_Def_Processes[Process_ID],,0,)</f>
        <v>#N/A</v>
      </c>
      <c r="E23" s="49" t="e">
        <f>_xlfn.XLOOKUP(F23,Tab_Def_Processes[Name(EN)],#REF!,,0,)</f>
        <v>#REF!</v>
      </c>
      <c r="F23" s="51" t="s">
        <v>231</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35">
      <c r="A24" s="97" t="b">
        <v>0</v>
      </c>
      <c r="B24" s="49">
        <f t="shared" si="0"/>
        <v>23</v>
      </c>
      <c r="C24" s="49" t="e">
        <f t="shared" si="1"/>
        <v>#N/A</v>
      </c>
      <c r="D24" s="49" t="e">
        <f>_xlfn.XLOOKUP($F24,Tab_Def_Processes[Name(EN)],Tab_Def_Processes[Process_ID],,0,)</f>
        <v>#N/A</v>
      </c>
      <c r="E24" s="49" t="e">
        <f>_xlfn.XLOOKUP(F24,Tab_Def_Processes[Name(EN)],#REF!,,0,)</f>
        <v>#REF!</v>
      </c>
      <c r="F24" s="51" t="s">
        <v>231</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35">
      <c r="A25" s="97" t="b">
        <v>0</v>
      </c>
      <c r="B25" s="49">
        <f t="shared" si="0"/>
        <v>24</v>
      </c>
      <c r="C25" s="49" t="e">
        <f t="shared" si="1"/>
        <v>#N/A</v>
      </c>
      <c r="D25" s="49" t="e">
        <f>_xlfn.XLOOKUP($F25,Tab_Def_Processes[Name(EN)],Tab_Def_Processes[Process_ID],,0,)</f>
        <v>#N/A</v>
      </c>
      <c r="E25" s="49" t="e">
        <f>_xlfn.XLOOKUP(F25,Tab_Def_Processes[Name(EN)],#REF!,,0,)</f>
        <v>#REF!</v>
      </c>
      <c r="F25" s="51" t="s">
        <v>231</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35">
      <c r="A26" s="97" t="b">
        <v>0</v>
      </c>
      <c r="B26" s="49">
        <f t="shared" si="0"/>
        <v>25</v>
      </c>
      <c r="C26" s="49" t="e">
        <f t="shared" si="1"/>
        <v>#N/A</v>
      </c>
      <c r="D26" s="49" t="e">
        <f>_xlfn.XLOOKUP($F26,Tab_Def_Processes[Name(EN)],Tab_Def_Processes[Process_ID],,0,)</f>
        <v>#N/A</v>
      </c>
      <c r="E26" s="49" t="e">
        <f>_xlfn.XLOOKUP(F26,Tab_Def_Processes[Name(EN)],#REF!,,0,)</f>
        <v>#REF!</v>
      </c>
      <c r="F26" s="51" t="s">
        <v>231</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35">
      <c r="A27" s="97" t="b">
        <v>0</v>
      </c>
      <c r="B27" s="49">
        <f t="shared" si="0"/>
        <v>26</v>
      </c>
      <c r="C27" s="49" t="e">
        <f t="shared" si="1"/>
        <v>#N/A</v>
      </c>
      <c r="D27" s="49" t="e">
        <f>_xlfn.XLOOKUP($F27,Tab_Def_Processes[Name(EN)],Tab_Def_Processes[Process_ID],,0,)</f>
        <v>#N/A</v>
      </c>
      <c r="E27" s="49" t="e">
        <f>_xlfn.XLOOKUP(F27,Tab_Def_Processes[Name(EN)],#REF!,,0,)</f>
        <v>#REF!</v>
      </c>
      <c r="F27" s="51" t="s">
        <v>231</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35">
      <c r="A28" s="97" t="b">
        <v>0</v>
      </c>
      <c r="B28" s="49">
        <f t="shared" si="0"/>
        <v>27</v>
      </c>
      <c r="C28" s="49" t="e">
        <f t="shared" si="1"/>
        <v>#N/A</v>
      </c>
      <c r="D28" s="49" t="e">
        <f>_xlfn.XLOOKUP($F28,Tab_Def_Processes[Name(EN)],Tab_Def_Processes[Process_ID],,0,)</f>
        <v>#N/A</v>
      </c>
      <c r="E28" s="49" t="e">
        <f>_xlfn.XLOOKUP(F28,Tab_Def_Processes[Name(EN)],#REF!,,0,)</f>
        <v>#REF!</v>
      </c>
      <c r="F28" s="51" t="s">
        <v>231</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35">
      <c r="A29" s="97" t="b">
        <v>0</v>
      </c>
      <c r="B29" s="49">
        <f t="shared" si="0"/>
        <v>28</v>
      </c>
      <c r="C29" s="49" t="e">
        <f t="shared" si="1"/>
        <v>#N/A</v>
      </c>
      <c r="D29" s="49" t="e">
        <f>_xlfn.XLOOKUP($F29,Tab_Def_Processes[Name(EN)],Tab_Def_Processes[Process_ID],,0,)</f>
        <v>#N/A</v>
      </c>
      <c r="E29" s="49" t="e">
        <f>_xlfn.XLOOKUP(F29,Tab_Def_Processes[Name(EN)],#REF!,,0,)</f>
        <v>#REF!</v>
      </c>
      <c r="F29" s="51" t="s">
        <v>231</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35">
      <c r="A30" s="97" t="b">
        <v>0</v>
      </c>
      <c r="B30" s="49">
        <f t="shared" si="0"/>
        <v>29</v>
      </c>
      <c r="C30" s="49" t="e">
        <f t="shared" si="1"/>
        <v>#N/A</v>
      </c>
      <c r="D30" s="49" t="e">
        <f>_xlfn.XLOOKUP($F30,Tab_Def_Processes[Name(EN)],Tab_Def_Processes[Process_ID],,0,)</f>
        <v>#N/A</v>
      </c>
      <c r="E30" s="49" t="e">
        <f>_xlfn.XLOOKUP(F30,Tab_Def_Processes[Name(EN)],#REF!,,0,)</f>
        <v>#REF!</v>
      </c>
      <c r="F30" s="51" t="s">
        <v>231</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35">
      <c r="A31" s="97" t="b">
        <v>0</v>
      </c>
      <c r="B31" s="49">
        <f t="shared" si="0"/>
        <v>30</v>
      </c>
      <c r="C31" s="49" t="e">
        <f t="shared" si="1"/>
        <v>#N/A</v>
      </c>
      <c r="D31" s="49" t="e">
        <f>_xlfn.XLOOKUP($F31,Tab_Def_Processes[Name(EN)],Tab_Def_Processes[Process_ID],,0,)</f>
        <v>#N/A</v>
      </c>
      <c r="E31" s="49" t="e">
        <f>_xlfn.XLOOKUP(F31,Tab_Def_Processes[Name(EN)],#REF!,,0,)</f>
        <v>#REF!</v>
      </c>
      <c r="F31" s="51" t="s">
        <v>231</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35">
      <c r="A32" s="97" t="b">
        <v>0</v>
      </c>
      <c r="B32" s="49">
        <f t="shared" si="0"/>
        <v>31</v>
      </c>
      <c r="C32" s="49" t="e">
        <f t="shared" si="1"/>
        <v>#N/A</v>
      </c>
      <c r="D32" s="49" t="e">
        <f>_xlfn.XLOOKUP($F32,Tab_Def_Processes[Name(EN)],Tab_Def_Processes[Process_ID],,0,)</f>
        <v>#N/A</v>
      </c>
      <c r="E32" s="49" t="e">
        <f>_xlfn.XLOOKUP(F32,Tab_Def_Processes[Name(EN)],#REF!,,0,)</f>
        <v>#REF!</v>
      </c>
      <c r="F32" s="51" t="s">
        <v>231</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35">
      <c r="A33" s="97" t="b">
        <v>0</v>
      </c>
      <c r="B33" s="49">
        <f t="shared" si="0"/>
        <v>32</v>
      </c>
      <c r="C33" s="49" t="e">
        <f t="shared" si="1"/>
        <v>#N/A</v>
      </c>
      <c r="D33" s="49" t="e">
        <f>_xlfn.XLOOKUP($F33,Tab_Def_Processes[Name(EN)],Tab_Def_Processes[Process_ID],,0,)</f>
        <v>#N/A</v>
      </c>
      <c r="E33" s="49" t="e">
        <f>_xlfn.XLOOKUP(F33,Tab_Def_Processes[Name(EN)],#REF!,,0,)</f>
        <v>#REF!</v>
      </c>
      <c r="F33" s="51" t="s">
        <v>231</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35">
      <c r="A34" s="97"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231</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35">
      <c r="A35" s="97" t="b">
        <v>0</v>
      </c>
      <c r="B35" s="49">
        <f t="shared" si="2"/>
        <v>34</v>
      </c>
      <c r="C35" s="49" t="e">
        <f t="shared" si="3"/>
        <v>#N/A</v>
      </c>
      <c r="D35" s="49" t="e">
        <f>_xlfn.XLOOKUP($F35,Tab_Def_Processes[Name(EN)],Tab_Def_Processes[Process_ID],,0,)</f>
        <v>#N/A</v>
      </c>
      <c r="E35" s="49" t="e">
        <f>_xlfn.XLOOKUP(F35,Tab_Def_Processes[Name(EN)],#REF!,,0,)</f>
        <v>#REF!</v>
      </c>
      <c r="F35" s="51" t="s">
        <v>231</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35">
      <c r="A36" s="97" t="b">
        <v>0</v>
      </c>
      <c r="B36" s="49">
        <f t="shared" si="2"/>
        <v>35</v>
      </c>
      <c r="C36" s="49" t="e">
        <f t="shared" si="3"/>
        <v>#N/A</v>
      </c>
      <c r="D36" s="49" t="e">
        <f>_xlfn.XLOOKUP($F36,Tab_Def_Processes[Name(EN)],Tab_Def_Processes[Process_ID],,0,)</f>
        <v>#N/A</v>
      </c>
      <c r="E36" s="49" t="e">
        <f>_xlfn.XLOOKUP(F36,Tab_Def_Processes[Name(EN)],#REF!,,0,)</f>
        <v>#REF!</v>
      </c>
      <c r="F36" s="51" t="s">
        <v>231</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35">
      <c r="A37" s="97" t="b">
        <v>0</v>
      </c>
      <c r="B37" s="49">
        <f t="shared" si="2"/>
        <v>36</v>
      </c>
      <c r="C37" s="49" t="e">
        <f t="shared" si="3"/>
        <v>#N/A</v>
      </c>
      <c r="D37" s="49" t="e">
        <f>_xlfn.XLOOKUP($F37,Tab_Def_Processes[Name(EN)],Tab_Def_Processes[Process_ID],,0,)</f>
        <v>#N/A</v>
      </c>
      <c r="E37" s="49" t="e">
        <f>_xlfn.XLOOKUP(F37,Tab_Def_Processes[Name(EN)],#REF!,,0,)</f>
        <v>#REF!</v>
      </c>
      <c r="F37" s="51" t="s">
        <v>231</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35">
      <c r="A38" s="97" t="b">
        <v>0</v>
      </c>
      <c r="B38" s="49">
        <f t="shared" si="2"/>
        <v>37</v>
      </c>
      <c r="C38" s="49" t="e">
        <f t="shared" si="3"/>
        <v>#N/A</v>
      </c>
      <c r="D38" s="49" t="e">
        <f>_xlfn.XLOOKUP($F38,Tab_Def_Processes[Name(EN)],Tab_Def_Processes[Process_ID],,0,)</f>
        <v>#N/A</v>
      </c>
      <c r="E38" s="49" t="e">
        <f>_xlfn.XLOOKUP(F38,Tab_Def_Processes[Name(EN)],#REF!,,0,)</f>
        <v>#REF!</v>
      </c>
      <c r="F38" s="51" t="s">
        <v>231</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35">
      <c r="A39" s="97" t="b">
        <v>0</v>
      </c>
      <c r="B39" s="49">
        <f t="shared" si="2"/>
        <v>38</v>
      </c>
      <c r="C39" s="49" t="e">
        <f t="shared" si="3"/>
        <v>#N/A</v>
      </c>
      <c r="D39" s="49" t="e">
        <f>_xlfn.XLOOKUP($F39,Tab_Def_Processes[Name(EN)],Tab_Def_Processes[Process_ID],,0,)</f>
        <v>#N/A</v>
      </c>
      <c r="E39" s="49" t="e">
        <f>_xlfn.XLOOKUP(F39,Tab_Def_Processes[Name(EN)],#REF!,,0,)</f>
        <v>#REF!</v>
      </c>
      <c r="F39" s="51" t="s">
        <v>231</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35">
      <c r="A40" s="97" t="b">
        <v>0</v>
      </c>
      <c r="B40" s="49">
        <f t="shared" si="2"/>
        <v>39</v>
      </c>
      <c r="C40" s="49" t="e">
        <f t="shared" si="3"/>
        <v>#N/A</v>
      </c>
      <c r="D40" s="49" t="e">
        <f>_xlfn.XLOOKUP($F40,Tab_Def_Processes[Name(EN)],Tab_Def_Processes[Process_ID],,0,)</f>
        <v>#N/A</v>
      </c>
      <c r="E40" s="49" t="e">
        <f>_xlfn.XLOOKUP(F40,Tab_Def_Processes[Name(EN)],#REF!,,0,)</f>
        <v>#REF!</v>
      </c>
      <c r="F40" s="51" t="s">
        <v>231</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35">
      <c r="A41" s="97" t="b">
        <v>0</v>
      </c>
      <c r="B41" s="49">
        <f t="shared" si="2"/>
        <v>40</v>
      </c>
      <c r="C41" s="49" t="e">
        <f t="shared" si="3"/>
        <v>#N/A</v>
      </c>
      <c r="D41" s="49" t="e">
        <f>_xlfn.XLOOKUP($F41,Tab_Def_Processes[Name(EN)],Tab_Def_Processes[Process_ID],,0,)</f>
        <v>#N/A</v>
      </c>
      <c r="E41" s="49" t="e">
        <f>_xlfn.XLOOKUP(F41,Tab_Def_Processes[Name(EN)],#REF!,,0,)</f>
        <v>#REF!</v>
      </c>
      <c r="F41" s="51" t="s">
        <v>231</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35">
      <c r="A42" s="97" t="b">
        <v>0</v>
      </c>
      <c r="B42" s="49">
        <f t="shared" si="2"/>
        <v>41</v>
      </c>
      <c r="C42" s="49" t="e">
        <f t="shared" si="3"/>
        <v>#N/A</v>
      </c>
      <c r="D42" s="49" t="e">
        <f>_xlfn.XLOOKUP($F42,Tab_Def_Processes[Name(EN)],Tab_Def_Processes[Process_ID],,0,)</f>
        <v>#N/A</v>
      </c>
      <c r="E42" s="49" t="e">
        <f>_xlfn.XLOOKUP(F42,Tab_Def_Processes[Name(EN)],#REF!,,0,)</f>
        <v>#REF!</v>
      </c>
      <c r="F42" s="51" t="s">
        <v>231</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35">
      <c r="A43" s="97" t="b">
        <v>0</v>
      </c>
      <c r="B43" s="49">
        <f t="shared" si="2"/>
        <v>42</v>
      </c>
      <c r="C43" s="49" t="e">
        <f t="shared" si="3"/>
        <v>#N/A</v>
      </c>
      <c r="D43" s="49" t="e">
        <f>_xlfn.XLOOKUP($F43,Tab_Def_Processes[Name(EN)],Tab_Def_Processes[Process_ID],,0,)</f>
        <v>#N/A</v>
      </c>
      <c r="E43" s="49" t="e">
        <f>_xlfn.XLOOKUP(F43,Tab_Def_Processes[Name(EN)],#REF!,,0,)</f>
        <v>#REF!</v>
      </c>
      <c r="F43" s="51" t="s">
        <v>231</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35">
      <c r="A44" s="97" t="b">
        <v>0</v>
      </c>
      <c r="B44" s="49">
        <f t="shared" si="2"/>
        <v>43</v>
      </c>
      <c r="C44" s="49" t="e">
        <f t="shared" si="3"/>
        <v>#N/A</v>
      </c>
      <c r="D44" s="49" t="e">
        <f>_xlfn.XLOOKUP($F44,Tab_Def_Processes[Name(EN)],Tab_Def_Processes[Process_ID],,0,)</f>
        <v>#N/A</v>
      </c>
      <c r="E44" s="49" t="e">
        <f>_xlfn.XLOOKUP(F44,Tab_Def_Processes[Name(EN)],#REF!,,0,)</f>
        <v>#REF!</v>
      </c>
      <c r="F44" s="51" t="s">
        <v>231</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35">
      <c r="A45" s="97" t="b">
        <v>0</v>
      </c>
      <c r="B45" s="49">
        <f t="shared" si="2"/>
        <v>44</v>
      </c>
      <c r="C45" s="49" t="e">
        <f t="shared" si="3"/>
        <v>#N/A</v>
      </c>
      <c r="D45" s="49" t="e">
        <f>_xlfn.XLOOKUP($F45,Tab_Def_Processes[Name(EN)],Tab_Def_Processes[Process_ID],,0,)</f>
        <v>#N/A</v>
      </c>
      <c r="E45" s="49" t="e">
        <f>_xlfn.XLOOKUP(F45,Tab_Def_Processes[Name(EN)],#REF!,,0,)</f>
        <v>#REF!</v>
      </c>
      <c r="F45" s="51" t="s">
        <v>231</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35">
      <c r="A46" s="97" t="b">
        <v>0</v>
      </c>
      <c r="B46" s="49">
        <f t="shared" si="2"/>
        <v>45</v>
      </c>
      <c r="C46" s="49" t="e">
        <f t="shared" si="3"/>
        <v>#N/A</v>
      </c>
      <c r="D46" s="49" t="e">
        <f>_xlfn.XLOOKUP($F46,Tab_Def_Processes[Name(EN)],Tab_Def_Processes[Process_ID],,0,)</f>
        <v>#N/A</v>
      </c>
      <c r="E46" s="49" t="e">
        <f>_xlfn.XLOOKUP(F46,Tab_Def_Processes[Name(EN)],#REF!,,0,)</f>
        <v>#REF!</v>
      </c>
      <c r="F46" s="51" t="s">
        <v>231</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35">
      <c r="A47" s="97" t="b">
        <v>0</v>
      </c>
      <c r="B47" s="49">
        <f t="shared" si="2"/>
        <v>46</v>
      </c>
      <c r="C47" s="49" t="e">
        <f t="shared" si="3"/>
        <v>#N/A</v>
      </c>
      <c r="D47" s="49" t="e">
        <f>_xlfn.XLOOKUP($F47,Tab_Def_Processes[Name(EN)],Tab_Def_Processes[Process_ID],,0,)</f>
        <v>#N/A</v>
      </c>
      <c r="E47" s="49" t="e">
        <f>_xlfn.XLOOKUP(F47,Tab_Def_Processes[Name(EN)],#REF!,,0,)</f>
        <v>#REF!</v>
      </c>
      <c r="F47" s="51" t="s">
        <v>231</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35">
      <c r="A48" s="97" t="b">
        <v>0</v>
      </c>
      <c r="B48" s="49">
        <f t="shared" si="2"/>
        <v>47</v>
      </c>
      <c r="C48" s="49" t="e">
        <f t="shared" si="3"/>
        <v>#N/A</v>
      </c>
      <c r="D48" s="49" t="e">
        <f>_xlfn.XLOOKUP($F48,Tab_Def_Processes[Name(EN)],Tab_Def_Processes[Process_ID],,0,)</f>
        <v>#N/A</v>
      </c>
      <c r="E48" s="49" t="e">
        <f>_xlfn.XLOOKUP(F48,Tab_Def_Processes[Name(EN)],#REF!,,0,)</f>
        <v>#REF!</v>
      </c>
      <c r="F48" s="51" t="s">
        <v>231</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35">
      <c r="A49" s="97" t="b">
        <v>0</v>
      </c>
      <c r="B49" s="49">
        <f t="shared" si="2"/>
        <v>48</v>
      </c>
      <c r="C49" s="49" t="e">
        <f t="shared" si="3"/>
        <v>#N/A</v>
      </c>
      <c r="D49" s="49" t="e">
        <f>_xlfn.XLOOKUP($F49,Tab_Def_Processes[Name(EN)],Tab_Def_Processes[Process_ID],,0,)</f>
        <v>#N/A</v>
      </c>
      <c r="E49" s="49" t="e">
        <f>_xlfn.XLOOKUP(F49,Tab_Def_Processes[Name(EN)],#REF!,,0,)</f>
        <v>#REF!</v>
      </c>
      <c r="F49" s="51" t="s">
        <v>231</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35">
      <c r="A50" s="97" t="b">
        <v>0</v>
      </c>
      <c r="B50" s="49">
        <f t="shared" si="2"/>
        <v>49</v>
      </c>
      <c r="C50" s="49" t="e">
        <f t="shared" si="3"/>
        <v>#N/A</v>
      </c>
      <c r="D50" s="49" t="e">
        <f>_xlfn.XLOOKUP($F50,Tab_Def_Processes[Name(EN)],Tab_Def_Processes[Process_ID],,0,)</f>
        <v>#N/A</v>
      </c>
      <c r="E50" s="49" t="e">
        <f>_xlfn.XLOOKUP(F50,Tab_Def_Processes[Name(EN)],#REF!,,0,)</f>
        <v>#REF!</v>
      </c>
      <c r="F50" s="51" t="s">
        <v>231</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35">
      <c r="A51" s="97" t="b">
        <v>0</v>
      </c>
      <c r="B51" s="49">
        <f t="shared" si="2"/>
        <v>50</v>
      </c>
      <c r="C51" s="49" t="e">
        <f t="shared" si="3"/>
        <v>#N/A</v>
      </c>
      <c r="D51" s="49" t="e">
        <f>_xlfn.XLOOKUP($F51,Tab_Def_Processes[Name(EN)],Tab_Def_Processes[Process_ID],,0,)</f>
        <v>#N/A</v>
      </c>
      <c r="E51" s="49" t="e">
        <f>_xlfn.XLOOKUP(F51,Tab_Def_Processes[Name(EN)],#REF!,,0,)</f>
        <v>#REF!</v>
      </c>
      <c r="F51" s="51" t="s">
        <v>231</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35">
      <c r="A52" s="97" t="b">
        <v>0</v>
      </c>
      <c r="B52" s="49">
        <f t="shared" si="2"/>
        <v>51</v>
      </c>
      <c r="C52" s="49" t="str">
        <f t="shared" si="3"/>
        <v>D51_21____0</v>
      </c>
      <c r="D52" s="49" t="str">
        <f>_xlfn.XLOOKUP($F52,Tab_Def_Processes[Name(EN)],Tab_Def_Processes[Process_ID],,0,)</f>
        <v>21__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35">
      <c r="A53" s="97" t="b">
        <v>0</v>
      </c>
      <c r="B53" s="49">
        <f t="shared" si="2"/>
        <v>52</v>
      </c>
      <c r="C53" s="49" t="str">
        <f t="shared" si="3"/>
        <v>D52_21____0</v>
      </c>
      <c r="D53" s="49" t="str">
        <f>_xlfn.XLOOKUP($F53,Tab_Def_Processes[Name(EN)],Tab_Def_Processes[Process_ID],,0,)</f>
        <v>21__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35">
      <c r="A54" s="97" t="b">
        <v>0</v>
      </c>
      <c r="B54" s="49">
        <f t="shared" si="2"/>
        <v>53</v>
      </c>
      <c r="C54" s="49" t="str">
        <f t="shared" si="3"/>
        <v>D53_21____0</v>
      </c>
      <c r="D54" s="49" t="str">
        <f>_xlfn.XLOOKUP($F54,Tab_Def_Processes[Name(EN)],Tab_Def_Processes[Process_ID],,0,)</f>
        <v>21__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35">
      <c r="A55" s="97" t="b">
        <v>0</v>
      </c>
      <c r="B55" s="49">
        <f t="shared" si="2"/>
        <v>54</v>
      </c>
      <c r="C55" s="49" t="str">
        <f t="shared" si="3"/>
        <v>D54_21____0</v>
      </c>
      <c r="D55" s="49" t="str">
        <f>_xlfn.XLOOKUP($F55,Tab_Def_Processes[Name(EN)],Tab_Def_Processes[Process_ID],,0,)</f>
        <v>21__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35">
      <c r="A56" s="97" t="b">
        <v>0</v>
      </c>
      <c r="B56" s="49">
        <f t="shared" si="2"/>
        <v>55</v>
      </c>
      <c r="C56" s="49" t="str">
        <f t="shared" si="3"/>
        <v>D55_21____0</v>
      </c>
      <c r="D56" s="49" t="str">
        <f>_xlfn.XLOOKUP($F56,Tab_Def_Processes[Name(EN)],Tab_Def_Processes[Process_ID],,0,)</f>
        <v>21__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35">
      <c r="A57" s="97" t="b">
        <v>0</v>
      </c>
      <c r="B57" s="49">
        <f t="shared" si="2"/>
        <v>56</v>
      </c>
      <c r="C57" s="49" t="str">
        <f t="shared" si="3"/>
        <v>D56_21____0</v>
      </c>
      <c r="D57" s="49" t="str">
        <f>_xlfn.XLOOKUP($F57,Tab_Def_Processes[Name(EN)],Tab_Def_Processes[Process_ID],,0,)</f>
        <v>21__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35">
      <c r="A58" s="97" t="b">
        <v>0</v>
      </c>
      <c r="B58" s="49">
        <f t="shared" si="2"/>
        <v>57</v>
      </c>
      <c r="C58" s="49" t="str">
        <f t="shared" si="3"/>
        <v>D57_21____0</v>
      </c>
      <c r="D58" s="49" t="str">
        <f>_xlfn.XLOOKUP($F58,Tab_Def_Processes[Name(EN)],Tab_Def_Processes[Process_ID],,0,)</f>
        <v>21__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35">
      <c r="A59" s="97" t="b">
        <v>0</v>
      </c>
      <c r="B59" s="49">
        <f t="shared" si="2"/>
        <v>58</v>
      </c>
      <c r="C59" s="49" t="str">
        <f t="shared" si="3"/>
        <v>D58_21____0</v>
      </c>
      <c r="D59" s="49" t="str">
        <f>_xlfn.XLOOKUP($F59,Tab_Def_Processes[Name(EN)],Tab_Def_Processes[Process_ID],,0,)</f>
        <v>21__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35">
      <c r="A60" s="97" t="b">
        <v>0</v>
      </c>
      <c r="B60" s="49">
        <f t="shared" si="2"/>
        <v>59</v>
      </c>
      <c r="C60" s="49" t="str">
        <f t="shared" si="3"/>
        <v>D59_21____0</v>
      </c>
      <c r="D60" s="49" t="str">
        <f>_xlfn.XLOOKUP($F60,Tab_Def_Processes[Name(EN)],Tab_Def_Processes[Process_ID],,0,)</f>
        <v>21__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35">
      <c r="A61" s="97" t="b">
        <v>0</v>
      </c>
      <c r="B61" s="49">
        <f t="shared" si="2"/>
        <v>60</v>
      </c>
      <c r="C61" s="49" t="str">
        <f t="shared" si="3"/>
        <v>D60_21____0</v>
      </c>
      <c r="D61" s="49" t="str">
        <f>_xlfn.XLOOKUP($F61,Tab_Def_Processes[Name(EN)],Tab_Def_Processes[Process_ID],,0,)</f>
        <v>21__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35">
      <c r="A62" s="97" t="b">
        <v>0</v>
      </c>
      <c r="B62" s="49">
        <f t="shared" si="2"/>
        <v>61</v>
      </c>
      <c r="C62" s="49" t="str">
        <f t="shared" si="3"/>
        <v>D61_21____0</v>
      </c>
      <c r="D62" s="49" t="str">
        <f>_xlfn.XLOOKUP($F62,Tab_Def_Processes[Name(EN)],Tab_Def_Processes[Process_ID],,0,)</f>
        <v>21__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35">
      <c r="A63" s="97" t="b">
        <v>0</v>
      </c>
      <c r="B63" s="49">
        <f t="shared" si="2"/>
        <v>62</v>
      </c>
      <c r="C63" s="49" t="str">
        <f t="shared" si="3"/>
        <v>D62_21____0</v>
      </c>
      <c r="D63" s="49" t="str">
        <f>_xlfn.XLOOKUP($F63,Tab_Def_Processes[Name(EN)],Tab_Def_Processes[Process_ID],,0,)</f>
        <v>21__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1640625" defaultRowHeight="14.5" x14ac:dyDescent="0.35"/>
  <cols>
    <col min="4" max="4" width="27.54296875" customWidth="1"/>
    <col min="5" max="5" width="19.453125" customWidth="1"/>
    <col min="6" max="6" width="14.453125" customWidth="1"/>
    <col min="7" max="7" width="23.1796875" customWidth="1"/>
    <col min="8" max="8" width="17.54296875" customWidth="1"/>
    <col min="10" max="10" width="13.26953125" customWidth="1"/>
    <col min="12" max="12" width="13.26953125" customWidth="1"/>
    <col min="14" max="14" width="13.26953125" customWidth="1"/>
    <col min="16" max="16" width="13.26953125" customWidth="1"/>
    <col min="18" max="18" width="22.81640625" customWidth="1"/>
    <col min="19" max="19" width="11.453125" customWidth="1"/>
    <col min="20" max="20" width="14.7265625" customWidth="1"/>
    <col min="21" max="21" width="11.453125" customWidth="1"/>
    <col min="22" max="22" width="19.81640625" customWidth="1"/>
    <col min="23" max="23" width="11.453125" customWidth="1"/>
    <col min="24" max="24" width="14.7265625" customWidth="1"/>
    <col min="25" max="25" width="11.453125" customWidth="1"/>
    <col min="26" max="26" width="14.7265625" customWidth="1"/>
    <col min="27" max="27" width="11.453125" customWidth="1"/>
    <col min="28" max="28" width="14.7265625" customWidth="1"/>
    <col min="30" max="30" width="15.26953125" customWidth="1"/>
    <col min="31" max="31" width="24.81640625" customWidth="1"/>
  </cols>
  <sheetData>
    <row r="2" spans="2:32" ht="15" thickBot="1" x14ac:dyDescent="0.4">
      <c r="B2" s="129" t="s">
        <v>2</v>
      </c>
      <c r="C2" s="129"/>
      <c r="D2" s="129"/>
      <c r="E2" s="129"/>
      <c r="F2" s="129"/>
      <c r="G2" s="129"/>
      <c r="H2" s="129"/>
      <c r="I2" s="129"/>
      <c r="J2" s="129"/>
      <c r="K2" s="129"/>
      <c r="L2" s="129"/>
      <c r="M2" s="129"/>
      <c r="N2" s="129"/>
      <c r="O2" s="129"/>
      <c r="P2" s="129"/>
      <c r="Q2" s="129"/>
      <c r="R2" s="129"/>
      <c r="S2" s="129"/>
      <c r="T2" s="129"/>
      <c r="U2" s="129"/>
      <c r="V2" s="129"/>
      <c r="W2" s="129"/>
      <c r="X2" s="129"/>
      <c r="Y2" s="129"/>
      <c r="Z2" s="129"/>
      <c r="AA2" s="129"/>
      <c r="AB2" s="129"/>
      <c r="AC2" s="129"/>
      <c r="AD2" s="129"/>
      <c r="AE2" s="129"/>
      <c r="AF2" s="129"/>
    </row>
    <row r="3" spans="2:32" x14ac:dyDescent="0.35">
      <c r="B3" t="s">
        <v>1</v>
      </c>
      <c r="C3" t="s">
        <v>148</v>
      </c>
      <c r="D3" t="s">
        <v>3</v>
      </c>
      <c r="E3" t="s">
        <v>78</v>
      </c>
      <c r="F3" t="s">
        <v>12</v>
      </c>
      <c r="G3" t="s">
        <v>172</v>
      </c>
      <c r="H3" s="12" t="s">
        <v>150</v>
      </c>
      <c r="I3" s="13" t="s">
        <v>151</v>
      </c>
      <c r="J3" s="13" t="s">
        <v>153</v>
      </c>
      <c r="K3" s="13" t="s">
        <v>152</v>
      </c>
      <c r="L3" s="13" t="s">
        <v>155</v>
      </c>
      <c r="M3" s="13" t="s">
        <v>154</v>
      </c>
      <c r="N3" s="13" t="s">
        <v>156</v>
      </c>
      <c r="O3" s="13" t="s">
        <v>157</v>
      </c>
      <c r="P3" s="13" t="s">
        <v>158</v>
      </c>
      <c r="Q3" s="14" t="s">
        <v>159</v>
      </c>
      <c r="R3" s="13" t="s">
        <v>160</v>
      </c>
      <c r="S3" s="13" t="s">
        <v>161</v>
      </c>
      <c r="T3" s="13" t="s">
        <v>162</v>
      </c>
      <c r="U3" s="13" t="s">
        <v>163</v>
      </c>
      <c r="V3" s="13" t="s">
        <v>164</v>
      </c>
      <c r="W3" s="13" t="s">
        <v>165</v>
      </c>
      <c r="X3" s="13" t="s">
        <v>166</v>
      </c>
      <c r="Y3" s="13" t="s">
        <v>167</v>
      </c>
      <c r="Z3" s="13" t="s">
        <v>168</v>
      </c>
      <c r="AA3" s="13" t="s">
        <v>169</v>
      </c>
      <c r="AB3" s="13" t="s">
        <v>170</v>
      </c>
      <c r="AC3" s="14" t="s">
        <v>171</v>
      </c>
      <c r="AD3" t="s">
        <v>67</v>
      </c>
      <c r="AE3" t="s">
        <v>70</v>
      </c>
      <c r="AF3" t="s">
        <v>6</v>
      </c>
    </row>
    <row r="4" spans="2:32" x14ac:dyDescent="0.35">
      <c r="B4">
        <v>1</v>
      </c>
      <c r="D4" t="s">
        <v>15</v>
      </c>
      <c r="E4" t="s">
        <v>79</v>
      </c>
      <c r="F4" t="s">
        <v>14</v>
      </c>
      <c r="G4" t="s">
        <v>191</v>
      </c>
      <c r="H4" s="15" t="s">
        <v>69</v>
      </c>
      <c r="J4" t="s">
        <v>120</v>
      </c>
      <c r="L4" t="s">
        <v>86</v>
      </c>
      <c r="M4" t="s">
        <v>86</v>
      </c>
      <c r="N4" t="s">
        <v>86</v>
      </c>
      <c r="O4" t="s">
        <v>86</v>
      </c>
      <c r="P4" t="s">
        <v>86</v>
      </c>
      <c r="Q4" s="16" t="s">
        <v>86</v>
      </c>
      <c r="R4" t="s">
        <v>14</v>
      </c>
      <c r="T4" t="s">
        <v>86</v>
      </c>
      <c r="U4" t="s">
        <v>86</v>
      </c>
      <c r="V4" t="s">
        <v>86</v>
      </c>
      <c r="W4" t="s">
        <v>86</v>
      </c>
      <c r="X4" t="s">
        <v>86</v>
      </c>
      <c r="Y4" t="s">
        <v>86</v>
      </c>
      <c r="Z4" t="s">
        <v>86</v>
      </c>
      <c r="AA4" t="s">
        <v>86</v>
      </c>
      <c r="AB4" t="s">
        <v>86</v>
      </c>
      <c r="AC4" s="16" t="s">
        <v>86</v>
      </c>
      <c r="AD4" t="s">
        <v>68</v>
      </c>
      <c r="AE4" t="s">
        <v>71</v>
      </c>
      <c r="AF4">
        <v>2022</v>
      </c>
    </row>
    <row r="5" spans="2:32" x14ac:dyDescent="0.35">
      <c r="B5">
        <v>2</v>
      </c>
      <c r="D5" t="s">
        <v>15</v>
      </c>
      <c r="E5" t="s">
        <v>81</v>
      </c>
      <c r="F5" t="s">
        <v>14</v>
      </c>
      <c r="G5" t="s">
        <v>191</v>
      </c>
      <c r="H5" s="15" t="s">
        <v>69</v>
      </c>
      <c r="J5" t="s">
        <v>120</v>
      </c>
      <c r="L5" t="s">
        <v>86</v>
      </c>
      <c r="M5" t="s">
        <v>86</v>
      </c>
      <c r="N5" t="s">
        <v>86</v>
      </c>
      <c r="O5" t="s">
        <v>86</v>
      </c>
      <c r="P5" t="s">
        <v>86</v>
      </c>
      <c r="Q5" s="16" t="s">
        <v>86</v>
      </c>
      <c r="R5" t="s">
        <v>14</v>
      </c>
      <c r="T5" t="s">
        <v>86</v>
      </c>
      <c r="U5" t="s">
        <v>86</v>
      </c>
      <c r="V5" t="s">
        <v>86</v>
      </c>
      <c r="W5" t="s">
        <v>86</v>
      </c>
      <c r="X5" t="s">
        <v>86</v>
      </c>
      <c r="Y5" t="s">
        <v>86</v>
      </c>
      <c r="Z5" t="s">
        <v>86</v>
      </c>
      <c r="AA5" t="s">
        <v>86</v>
      </c>
      <c r="AB5" t="s">
        <v>86</v>
      </c>
      <c r="AC5" s="16" t="s">
        <v>86</v>
      </c>
      <c r="AD5" t="s">
        <v>68</v>
      </c>
      <c r="AE5" t="s">
        <v>71</v>
      </c>
      <c r="AF5">
        <v>2022</v>
      </c>
    </row>
    <row r="6" spans="2:32" x14ac:dyDescent="0.35">
      <c r="B6">
        <v>3</v>
      </c>
      <c r="D6" t="s">
        <v>15</v>
      </c>
      <c r="E6" t="s">
        <v>79</v>
      </c>
      <c r="F6" t="s">
        <v>14</v>
      </c>
      <c r="G6" t="s">
        <v>191</v>
      </c>
      <c r="H6" s="15" t="s">
        <v>69</v>
      </c>
      <c r="J6" t="s">
        <v>120</v>
      </c>
      <c r="L6" t="s">
        <v>86</v>
      </c>
      <c r="M6" t="s">
        <v>86</v>
      </c>
      <c r="N6" t="s">
        <v>86</v>
      </c>
      <c r="O6" t="s">
        <v>86</v>
      </c>
      <c r="P6" t="s">
        <v>86</v>
      </c>
      <c r="Q6" s="16" t="s">
        <v>86</v>
      </c>
      <c r="R6" t="s">
        <v>14</v>
      </c>
      <c r="T6" t="s">
        <v>86</v>
      </c>
      <c r="U6" t="s">
        <v>86</v>
      </c>
      <c r="V6" t="s">
        <v>86</v>
      </c>
      <c r="W6" t="s">
        <v>86</v>
      </c>
      <c r="X6" t="s">
        <v>86</v>
      </c>
      <c r="Y6" t="s">
        <v>86</v>
      </c>
      <c r="Z6" t="s">
        <v>86</v>
      </c>
      <c r="AA6" t="s">
        <v>86</v>
      </c>
      <c r="AB6" t="s">
        <v>86</v>
      </c>
      <c r="AC6" s="16" t="s">
        <v>86</v>
      </c>
      <c r="AD6" t="s">
        <v>68</v>
      </c>
      <c r="AE6" t="s">
        <v>71</v>
      </c>
      <c r="AF6">
        <v>2012</v>
      </c>
    </row>
    <row r="7" spans="2:32" x14ac:dyDescent="0.35">
      <c r="B7">
        <v>4</v>
      </c>
      <c r="D7" t="s">
        <v>15</v>
      </c>
      <c r="E7" t="s">
        <v>85</v>
      </c>
      <c r="F7" t="s">
        <v>14</v>
      </c>
      <c r="G7" t="s">
        <v>191</v>
      </c>
      <c r="H7" s="15" t="s">
        <v>69</v>
      </c>
      <c r="J7" t="s">
        <v>120</v>
      </c>
      <c r="L7" t="s">
        <v>86</v>
      </c>
      <c r="M7" t="s">
        <v>86</v>
      </c>
      <c r="N7" t="s">
        <v>86</v>
      </c>
      <c r="O7" t="s">
        <v>86</v>
      </c>
      <c r="P7" t="s">
        <v>86</v>
      </c>
      <c r="Q7" s="16" t="s">
        <v>86</v>
      </c>
      <c r="R7" t="s">
        <v>14</v>
      </c>
      <c r="T7" t="s">
        <v>86</v>
      </c>
      <c r="U7" t="s">
        <v>86</v>
      </c>
      <c r="V7" t="s">
        <v>86</v>
      </c>
      <c r="W7" t="s">
        <v>86</v>
      </c>
      <c r="X7" t="s">
        <v>86</v>
      </c>
      <c r="Y7" t="s">
        <v>86</v>
      </c>
      <c r="Z7" t="s">
        <v>86</v>
      </c>
      <c r="AA7" t="s">
        <v>86</v>
      </c>
      <c r="AB7" t="s">
        <v>86</v>
      </c>
      <c r="AC7" s="16" t="s">
        <v>86</v>
      </c>
      <c r="AD7" t="s">
        <v>68</v>
      </c>
      <c r="AE7" t="s">
        <v>71</v>
      </c>
      <c r="AF7">
        <v>2012</v>
      </c>
    </row>
    <row r="8" spans="2:32" x14ac:dyDescent="0.35">
      <c r="B8">
        <v>5</v>
      </c>
      <c r="D8" t="s">
        <v>102</v>
      </c>
      <c r="E8" t="s">
        <v>79</v>
      </c>
      <c r="F8" t="s">
        <v>14</v>
      </c>
      <c r="G8" s="20" t="s">
        <v>173</v>
      </c>
      <c r="H8" s="15" t="s">
        <v>14</v>
      </c>
      <c r="J8" t="s">
        <v>86</v>
      </c>
      <c r="K8" t="s">
        <v>86</v>
      </c>
      <c r="L8" t="s">
        <v>86</v>
      </c>
      <c r="M8" t="s">
        <v>86</v>
      </c>
      <c r="N8" t="s">
        <v>86</v>
      </c>
      <c r="O8" t="s">
        <v>86</v>
      </c>
      <c r="P8" t="s">
        <v>86</v>
      </c>
      <c r="Q8" s="16" t="s">
        <v>86</v>
      </c>
      <c r="R8" t="s">
        <v>117</v>
      </c>
      <c r="T8" t="s">
        <v>118</v>
      </c>
      <c r="V8" t="s">
        <v>119</v>
      </c>
      <c r="X8" t="s">
        <v>120</v>
      </c>
      <c r="Z8" t="s">
        <v>86</v>
      </c>
      <c r="AA8" t="s">
        <v>86</v>
      </c>
      <c r="AB8" t="s">
        <v>86</v>
      </c>
      <c r="AC8" s="16" t="s">
        <v>86</v>
      </c>
      <c r="AD8" t="s">
        <v>71</v>
      </c>
      <c r="AE8" t="s">
        <v>71</v>
      </c>
    </row>
    <row r="9" spans="2:32" x14ac:dyDescent="0.35">
      <c r="B9">
        <v>6</v>
      </c>
      <c r="D9" t="s">
        <v>16</v>
      </c>
      <c r="E9" t="s">
        <v>79</v>
      </c>
      <c r="F9" t="s">
        <v>14</v>
      </c>
      <c r="G9" t="s">
        <v>174</v>
      </c>
      <c r="H9" s="15" t="s">
        <v>121</v>
      </c>
      <c r="J9" t="s">
        <v>86</v>
      </c>
      <c r="K9" t="s">
        <v>86</v>
      </c>
      <c r="L9" t="s">
        <v>86</v>
      </c>
      <c r="M9" t="s">
        <v>86</v>
      </c>
      <c r="N9" t="s">
        <v>86</v>
      </c>
      <c r="O9" t="s">
        <v>86</v>
      </c>
      <c r="P9" t="s">
        <v>86</v>
      </c>
      <c r="Q9" s="16" t="s">
        <v>86</v>
      </c>
      <c r="R9" t="s">
        <v>122</v>
      </c>
      <c r="T9" t="s">
        <v>123</v>
      </c>
      <c r="V9" t="s">
        <v>124</v>
      </c>
      <c r="X9" t="s">
        <v>125</v>
      </c>
      <c r="Z9" t="s">
        <v>126</v>
      </c>
      <c r="AB9" t="s">
        <v>130</v>
      </c>
      <c r="AC9" s="16"/>
      <c r="AD9" t="s">
        <v>71</v>
      </c>
      <c r="AE9" t="s">
        <v>68</v>
      </c>
      <c r="AF9">
        <v>2023</v>
      </c>
    </row>
    <row r="10" spans="2:32" x14ac:dyDescent="0.35">
      <c r="B10">
        <v>7</v>
      </c>
      <c r="D10" t="s">
        <v>17</v>
      </c>
      <c r="E10" t="s">
        <v>79</v>
      </c>
      <c r="F10" t="s">
        <v>14</v>
      </c>
      <c r="G10" t="s">
        <v>174</v>
      </c>
      <c r="H10" s="15" t="s">
        <v>149</v>
      </c>
      <c r="J10" t="s">
        <v>202</v>
      </c>
      <c r="L10" t="s">
        <v>203</v>
      </c>
      <c r="N10" t="s">
        <v>204</v>
      </c>
      <c r="P10" t="s">
        <v>86</v>
      </c>
      <c r="Q10" s="16" t="s">
        <v>86</v>
      </c>
      <c r="R10" t="s">
        <v>205</v>
      </c>
      <c r="T10" t="s">
        <v>206</v>
      </c>
      <c r="V10" t="s">
        <v>130</v>
      </c>
      <c r="X10" t="s">
        <v>86</v>
      </c>
      <c r="Y10" t="s">
        <v>86</v>
      </c>
      <c r="Z10" t="s">
        <v>86</v>
      </c>
      <c r="AA10" t="s">
        <v>86</v>
      </c>
      <c r="AB10" t="s">
        <v>86</v>
      </c>
      <c r="AC10" s="16" t="s">
        <v>86</v>
      </c>
      <c r="AE10" t="s">
        <v>68</v>
      </c>
    </row>
    <row r="11" spans="2:32" x14ac:dyDescent="0.35">
      <c r="D11" t="s">
        <v>201</v>
      </c>
      <c r="E11" t="s">
        <v>79</v>
      </c>
      <c r="F11" t="s">
        <v>14</v>
      </c>
      <c r="G11" t="s">
        <v>174</v>
      </c>
      <c r="H11" s="15" t="s">
        <v>149</v>
      </c>
      <c r="J11" t="s">
        <v>202</v>
      </c>
      <c r="L11" t="s">
        <v>203</v>
      </c>
      <c r="N11" t="s">
        <v>204</v>
      </c>
      <c r="P11" t="s">
        <v>86</v>
      </c>
      <c r="Q11" s="16" t="s">
        <v>86</v>
      </c>
      <c r="R11" s="15"/>
      <c r="AC11" s="16"/>
    </row>
    <row r="12" spans="2:32" x14ac:dyDescent="0.35">
      <c r="B12">
        <v>8</v>
      </c>
      <c r="D12" t="s">
        <v>175</v>
      </c>
      <c r="E12" t="s">
        <v>85</v>
      </c>
      <c r="F12" t="s">
        <v>14</v>
      </c>
      <c r="G12" t="s">
        <v>177</v>
      </c>
      <c r="H12" t="s">
        <v>190</v>
      </c>
      <c r="J12" t="s">
        <v>86</v>
      </c>
      <c r="K12" t="s">
        <v>86</v>
      </c>
      <c r="L12" t="s">
        <v>86</v>
      </c>
      <c r="M12" t="s">
        <v>86</v>
      </c>
      <c r="N12" t="s">
        <v>86</v>
      </c>
      <c r="O12" t="s">
        <v>86</v>
      </c>
      <c r="P12" t="s">
        <v>86</v>
      </c>
      <c r="Q12" s="16" t="s">
        <v>86</v>
      </c>
      <c r="R12" t="s">
        <v>181</v>
      </c>
      <c r="T12" t="s">
        <v>86</v>
      </c>
      <c r="U12" t="s">
        <v>86</v>
      </c>
      <c r="V12" t="s">
        <v>86</v>
      </c>
      <c r="W12" t="s">
        <v>86</v>
      </c>
      <c r="X12" t="s">
        <v>86</v>
      </c>
      <c r="Y12" t="s">
        <v>86</v>
      </c>
      <c r="Z12" t="s">
        <v>86</v>
      </c>
      <c r="AA12" t="s">
        <v>86</v>
      </c>
      <c r="AB12" t="s">
        <v>86</v>
      </c>
      <c r="AC12" t="s">
        <v>86</v>
      </c>
      <c r="AD12" t="s">
        <v>68</v>
      </c>
    </row>
    <row r="13" spans="2:32" x14ac:dyDescent="0.35">
      <c r="B13">
        <v>9</v>
      </c>
      <c r="D13" t="s">
        <v>176</v>
      </c>
      <c r="E13" t="s">
        <v>85</v>
      </c>
      <c r="F13" t="s">
        <v>14</v>
      </c>
      <c r="G13" t="s">
        <v>177</v>
      </c>
      <c r="H13" s="15" t="s">
        <v>178</v>
      </c>
      <c r="J13" t="s">
        <v>86</v>
      </c>
      <c r="K13" t="s">
        <v>86</v>
      </c>
      <c r="L13" t="s">
        <v>86</v>
      </c>
      <c r="M13" t="s">
        <v>86</v>
      </c>
      <c r="N13" t="s">
        <v>86</v>
      </c>
      <c r="O13" t="s">
        <v>86</v>
      </c>
      <c r="P13" t="s">
        <v>86</v>
      </c>
      <c r="Q13" s="16" t="s">
        <v>86</v>
      </c>
      <c r="R13" t="s">
        <v>181</v>
      </c>
      <c r="T13" t="s">
        <v>86</v>
      </c>
      <c r="U13" t="s">
        <v>86</v>
      </c>
      <c r="V13" t="s">
        <v>86</v>
      </c>
      <c r="W13" t="s">
        <v>86</v>
      </c>
      <c r="X13" t="s">
        <v>86</v>
      </c>
      <c r="Y13" t="s">
        <v>86</v>
      </c>
      <c r="Z13" t="s">
        <v>86</v>
      </c>
      <c r="AA13" t="s">
        <v>86</v>
      </c>
      <c r="AB13" t="s">
        <v>86</v>
      </c>
      <c r="AC13" t="s">
        <v>86</v>
      </c>
      <c r="AD13" t="s">
        <v>68</v>
      </c>
    </row>
    <row r="14" spans="2:32" x14ac:dyDescent="0.35">
      <c r="B14">
        <v>10</v>
      </c>
      <c r="D14" t="s">
        <v>179</v>
      </c>
      <c r="E14" t="s">
        <v>81</v>
      </c>
      <c r="F14" t="s">
        <v>14</v>
      </c>
      <c r="G14" s="20" t="s">
        <v>180</v>
      </c>
      <c r="H14" s="15" t="s">
        <v>181</v>
      </c>
      <c r="J14" t="s">
        <v>182</v>
      </c>
      <c r="L14" t="s">
        <v>86</v>
      </c>
      <c r="M14" t="s">
        <v>86</v>
      </c>
      <c r="N14" t="s">
        <v>86</v>
      </c>
      <c r="O14" t="s">
        <v>86</v>
      </c>
      <c r="P14" t="s">
        <v>86</v>
      </c>
      <c r="Q14" s="16" t="s">
        <v>86</v>
      </c>
      <c r="R14" t="s">
        <v>194</v>
      </c>
      <c r="T14" t="s">
        <v>195</v>
      </c>
      <c r="V14" t="s">
        <v>196</v>
      </c>
      <c r="X14" t="s">
        <v>197</v>
      </c>
      <c r="Z14" t="s">
        <v>86</v>
      </c>
      <c r="AA14" t="s">
        <v>86</v>
      </c>
      <c r="AB14" t="s">
        <v>86</v>
      </c>
      <c r="AC14" s="16" t="s">
        <v>86</v>
      </c>
    </row>
    <row r="15" spans="2:32" x14ac:dyDescent="0.35">
      <c r="B15">
        <v>11</v>
      </c>
      <c r="D15" t="s">
        <v>179</v>
      </c>
      <c r="E15" t="s">
        <v>79</v>
      </c>
      <c r="F15" t="s">
        <v>14</v>
      </c>
      <c r="G15" s="20" t="s">
        <v>180</v>
      </c>
      <c r="H15" s="15" t="s">
        <v>181</v>
      </c>
      <c r="J15" t="s">
        <v>182</v>
      </c>
      <c r="L15" t="s">
        <v>86</v>
      </c>
      <c r="M15" t="s">
        <v>86</v>
      </c>
      <c r="N15" t="s">
        <v>86</v>
      </c>
      <c r="O15" t="s">
        <v>86</v>
      </c>
      <c r="P15" t="s">
        <v>86</v>
      </c>
      <c r="Q15" s="16" t="s">
        <v>86</v>
      </c>
      <c r="R15" t="s">
        <v>194</v>
      </c>
      <c r="T15" t="s">
        <v>195</v>
      </c>
      <c r="V15" t="s">
        <v>196</v>
      </c>
      <c r="X15" t="s">
        <v>197</v>
      </c>
      <c r="Z15" t="s">
        <v>86</v>
      </c>
      <c r="AA15" t="s">
        <v>86</v>
      </c>
      <c r="AB15" t="s">
        <v>86</v>
      </c>
      <c r="AC15" s="16" t="s">
        <v>86</v>
      </c>
      <c r="AD15" t="s">
        <v>71</v>
      </c>
      <c r="AE15" t="s">
        <v>68</v>
      </c>
    </row>
    <row r="16" spans="2:32" x14ac:dyDescent="0.35">
      <c r="B16">
        <v>12</v>
      </c>
      <c r="D16" t="s">
        <v>183</v>
      </c>
      <c r="E16" t="s">
        <v>81</v>
      </c>
      <c r="F16" t="s">
        <v>14</v>
      </c>
      <c r="G16" s="20" t="s">
        <v>180</v>
      </c>
      <c r="H16" t="s">
        <v>184</v>
      </c>
      <c r="J16" t="s">
        <v>185</v>
      </c>
      <c r="L16" t="s">
        <v>186</v>
      </c>
      <c r="N16" t="s">
        <v>187</v>
      </c>
      <c r="P16" t="s">
        <v>86</v>
      </c>
      <c r="Q16" s="16" t="s">
        <v>86</v>
      </c>
      <c r="R16" t="s">
        <v>188</v>
      </c>
      <c r="T16" t="s">
        <v>189</v>
      </c>
      <c r="V16" t="s">
        <v>86</v>
      </c>
      <c r="W16" t="s">
        <v>86</v>
      </c>
      <c r="X16" t="s">
        <v>86</v>
      </c>
      <c r="Y16" t="s">
        <v>86</v>
      </c>
      <c r="Z16" t="s">
        <v>86</v>
      </c>
      <c r="AA16" t="s">
        <v>86</v>
      </c>
      <c r="AB16" t="s">
        <v>86</v>
      </c>
      <c r="AC16" s="16" t="s">
        <v>86</v>
      </c>
      <c r="AD16" t="s">
        <v>71</v>
      </c>
      <c r="AE16" t="s">
        <v>68</v>
      </c>
    </row>
    <row r="17" spans="2:31" x14ac:dyDescent="0.35">
      <c r="B17">
        <v>13</v>
      </c>
      <c r="D17" t="s">
        <v>183</v>
      </c>
      <c r="E17" t="s">
        <v>79</v>
      </c>
      <c r="F17" t="s">
        <v>14</v>
      </c>
      <c r="G17" s="20" t="s">
        <v>180</v>
      </c>
      <c r="H17" t="s">
        <v>184</v>
      </c>
      <c r="J17" t="s">
        <v>185</v>
      </c>
      <c r="L17" t="s">
        <v>186</v>
      </c>
      <c r="N17" t="s">
        <v>187</v>
      </c>
      <c r="P17" t="s">
        <v>86</v>
      </c>
      <c r="Q17" s="16" t="s">
        <v>86</v>
      </c>
      <c r="R17" t="s">
        <v>188</v>
      </c>
      <c r="T17" t="s">
        <v>189</v>
      </c>
      <c r="V17" t="s">
        <v>86</v>
      </c>
      <c r="W17" t="s">
        <v>86</v>
      </c>
      <c r="X17" t="s">
        <v>86</v>
      </c>
      <c r="Y17" t="s">
        <v>86</v>
      </c>
      <c r="Z17" t="s">
        <v>86</v>
      </c>
      <c r="AA17" t="s">
        <v>86</v>
      </c>
      <c r="AB17" t="s">
        <v>86</v>
      </c>
      <c r="AC17" s="16" t="s">
        <v>86</v>
      </c>
      <c r="AD17" t="s">
        <v>71</v>
      </c>
      <c r="AE17" t="s">
        <v>68</v>
      </c>
    </row>
    <row r="18" spans="2:31" x14ac:dyDescent="0.35">
      <c r="B18">
        <v>14</v>
      </c>
      <c r="H18" s="15"/>
      <c r="Q18" s="16"/>
      <c r="AC18" s="16"/>
    </row>
    <row r="19" spans="2:31" x14ac:dyDescent="0.35">
      <c r="B19">
        <v>15</v>
      </c>
      <c r="H19" s="15"/>
      <c r="Q19" s="16"/>
      <c r="AC19" s="16"/>
    </row>
    <row r="20" spans="2:31" x14ac:dyDescent="0.35">
      <c r="B20">
        <v>16</v>
      </c>
      <c r="H20" s="15"/>
      <c r="Q20" s="16"/>
      <c r="AC20" s="16"/>
    </row>
    <row r="21" spans="2:31" x14ac:dyDescent="0.35">
      <c r="B21">
        <v>17</v>
      </c>
      <c r="H21" s="15"/>
      <c r="Q21" s="16"/>
      <c r="AC21" s="16"/>
    </row>
    <row r="22" spans="2:31" x14ac:dyDescent="0.35">
      <c r="B22">
        <v>18</v>
      </c>
      <c r="H22" s="15"/>
      <c r="Q22" s="16"/>
      <c r="AC22" s="16"/>
    </row>
    <row r="23" spans="2:31" x14ac:dyDescent="0.35">
      <c r="B23">
        <v>19</v>
      </c>
      <c r="H23" s="15"/>
      <c r="Q23" s="16"/>
      <c r="AC23" s="16"/>
    </row>
    <row r="24" spans="2:31" x14ac:dyDescent="0.35">
      <c r="B24">
        <v>20</v>
      </c>
      <c r="H24" s="15"/>
      <c r="Q24" s="16"/>
      <c r="AC24" s="16"/>
    </row>
    <row r="25" spans="2:31" x14ac:dyDescent="0.35">
      <c r="B25">
        <v>21</v>
      </c>
      <c r="H25" s="15"/>
      <c r="Q25" s="16"/>
      <c r="AC25" s="16"/>
    </row>
    <row r="26" spans="2:31" x14ac:dyDescent="0.35">
      <c r="B26">
        <v>22</v>
      </c>
      <c r="H26" s="15"/>
      <c r="Q26" s="16"/>
      <c r="AC26" s="16"/>
    </row>
    <row r="27" spans="2:31" x14ac:dyDescent="0.35">
      <c r="B27">
        <v>23</v>
      </c>
      <c r="H27" s="15"/>
      <c r="Q27" s="16"/>
      <c r="AC27" s="16"/>
    </row>
    <row r="28" spans="2:31" x14ac:dyDescent="0.35">
      <c r="B28">
        <v>24</v>
      </c>
      <c r="H28" s="15"/>
      <c r="Q28" s="16"/>
      <c r="AC28" s="16"/>
    </row>
    <row r="29" spans="2:31" x14ac:dyDescent="0.35">
      <c r="B29">
        <v>25</v>
      </c>
      <c r="H29" s="15"/>
      <c r="Q29" s="16"/>
      <c r="AC29" s="16"/>
    </row>
    <row r="30" spans="2:31" x14ac:dyDescent="0.35">
      <c r="B30">
        <v>26</v>
      </c>
      <c r="H30" s="15"/>
      <c r="Q30" s="16"/>
      <c r="AC30" s="16"/>
    </row>
    <row r="31" spans="2:31" x14ac:dyDescent="0.35">
      <c r="B31">
        <v>27</v>
      </c>
      <c r="H31" s="15"/>
      <c r="Q31" s="16"/>
      <c r="AC31" s="16"/>
    </row>
    <row r="32" spans="2:31" x14ac:dyDescent="0.35">
      <c r="B32">
        <v>28</v>
      </c>
      <c r="H32" s="15"/>
      <c r="Q32" s="16"/>
      <c r="AC32" s="16"/>
    </row>
    <row r="33" spans="2:29" x14ac:dyDescent="0.35">
      <c r="B33">
        <v>29</v>
      </c>
      <c r="H33" s="15"/>
      <c r="Q33" s="16"/>
      <c r="AC33" s="16"/>
    </row>
    <row r="34" spans="2:29" x14ac:dyDescent="0.35">
      <c r="B34">
        <v>30</v>
      </c>
      <c r="H34" s="15"/>
      <c r="Q34" s="16"/>
      <c r="AC34" s="16"/>
    </row>
    <row r="35" spans="2:29" x14ac:dyDescent="0.35">
      <c r="H35" s="15"/>
      <c r="Q35" s="16"/>
      <c r="AC35" s="16"/>
    </row>
    <row r="36" spans="2:29" x14ac:dyDescent="0.35">
      <c r="H36" s="15"/>
      <c r="Q36" s="16"/>
      <c r="AC36" s="16"/>
    </row>
    <row r="37" spans="2:29" x14ac:dyDescent="0.35">
      <c r="H37" s="15"/>
      <c r="Q37" s="16"/>
      <c r="AC37" s="16"/>
    </row>
    <row r="38" spans="2:29" x14ac:dyDescent="0.35">
      <c r="H38" s="15"/>
      <c r="Q38" s="16"/>
      <c r="AC38" s="16"/>
    </row>
    <row r="39" spans="2:29" x14ac:dyDescent="0.35">
      <c r="H39" s="15"/>
      <c r="Q39" s="16"/>
      <c r="AC39" s="16"/>
    </row>
    <row r="40" spans="2:29" x14ac:dyDescent="0.35">
      <c r="H40" s="15"/>
      <c r="Q40" s="16"/>
      <c r="AC40" s="16"/>
    </row>
    <row r="41" spans="2:29" x14ac:dyDescent="0.35">
      <c r="H41" s="15"/>
      <c r="Q41" s="16"/>
      <c r="AC41" s="16"/>
    </row>
    <row r="42" spans="2:29" x14ac:dyDescent="0.35">
      <c r="H42" s="15"/>
      <c r="Q42" s="16"/>
      <c r="AC42" s="16"/>
    </row>
    <row r="43" spans="2:29" x14ac:dyDescent="0.35">
      <c r="H43" s="15"/>
      <c r="Q43" s="16"/>
      <c r="AC43" s="16"/>
    </row>
    <row r="44" spans="2:29" x14ac:dyDescent="0.35">
      <c r="H44" s="15"/>
      <c r="Q44" s="16"/>
      <c r="AC44" s="16"/>
    </row>
    <row r="45" spans="2:29" x14ac:dyDescent="0.35">
      <c r="H45" s="15"/>
      <c r="Q45" s="16"/>
      <c r="AC45" s="16"/>
    </row>
    <row r="46" spans="2:29" x14ac:dyDescent="0.35">
      <c r="H46" s="15"/>
      <c r="Q46" s="16"/>
      <c r="AC46" s="16"/>
    </row>
    <row r="47" spans="2:29" ht="15" thickBot="1" x14ac:dyDescent="0.4">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1640625" defaultRowHeight="14.5" x14ac:dyDescent="0.35"/>
  <cols>
    <col min="3" max="3" width="19.81640625" customWidth="1"/>
    <col min="4" max="4" width="35" customWidth="1"/>
    <col min="5" max="5" width="17.1796875" customWidth="1"/>
    <col min="6" max="6" width="15.1796875" customWidth="1"/>
    <col min="7" max="7" width="15.54296875" customWidth="1"/>
    <col min="8" max="8" width="14.26953125" customWidth="1"/>
    <col min="10" max="10" width="15.54296875" customWidth="1"/>
    <col min="13" max="13" width="15.26953125" customWidth="1"/>
    <col min="14" max="14" width="16.1796875" customWidth="1"/>
    <col min="15" max="15" width="15.81640625" customWidth="1"/>
    <col min="16" max="16" width="15.1796875" customWidth="1"/>
    <col min="17" max="17" width="15.453125" customWidth="1"/>
    <col min="19" max="19" width="14.1796875" customWidth="1"/>
  </cols>
  <sheetData>
    <row r="1" spans="1:19" x14ac:dyDescent="0.35">
      <c r="A1" s="48" t="s">
        <v>316</v>
      </c>
      <c r="B1" s="22" t="s">
        <v>1</v>
      </c>
      <c r="C1" s="22" t="s">
        <v>268</v>
      </c>
      <c r="D1" s="101" t="s">
        <v>320</v>
      </c>
      <c r="E1" s="22" t="s">
        <v>269</v>
      </c>
      <c r="F1" s="9" t="s">
        <v>272</v>
      </c>
      <c r="G1" s="9" t="s">
        <v>273</v>
      </c>
      <c r="H1" s="9" t="s">
        <v>274</v>
      </c>
      <c r="I1" s="9" t="s">
        <v>275</v>
      </c>
      <c r="J1" s="67" t="s">
        <v>407</v>
      </c>
      <c r="K1" s="21" t="s">
        <v>354</v>
      </c>
      <c r="L1" s="22" t="s">
        <v>356</v>
      </c>
      <c r="M1" s="23" t="s">
        <v>355</v>
      </c>
      <c r="N1" s="21" t="s">
        <v>357</v>
      </c>
      <c r="O1" s="23" t="s">
        <v>358</v>
      </c>
      <c r="P1" s="21" t="s">
        <v>359</v>
      </c>
      <c r="Q1" s="23" t="s">
        <v>360</v>
      </c>
      <c r="R1" s="21" t="s">
        <v>361</v>
      </c>
      <c r="S1" s="23" t="s">
        <v>362</v>
      </c>
    </row>
    <row r="2" spans="1:19" x14ac:dyDescent="0.35">
      <c r="A2" s="93" t="b">
        <v>0</v>
      </c>
      <c r="B2" s="49">
        <f>ROW()-1</f>
        <v>1</v>
      </c>
      <c r="C2" s="49" t="e">
        <f>_xlfn.XLOOKUP(D2,Tab_Def_Flows[Name(EN)],Tab_Def_Flows[Flow_ID],,0,)</f>
        <v>#N/A</v>
      </c>
      <c r="D2" s="51" t="s">
        <v>333</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6">
        <v>0.06</v>
      </c>
      <c r="O2" s="99"/>
      <c r="P2" s="103">
        <v>0.94</v>
      </c>
      <c r="Q2" s="99"/>
      <c r="R2" s="105">
        <v>0.5</v>
      </c>
      <c r="S2" s="102"/>
    </row>
    <row r="3" spans="1:19" x14ac:dyDescent="0.35">
      <c r="A3" s="93" t="b">
        <v>0</v>
      </c>
      <c r="B3" s="49">
        <f t="shared" ref="B3:B41" si="0">ROW()-1</f>
        <v>2</v>
      </c>
      <c r="C3" s="49" t="str">
        <f>_xlfn.XLOOKUP(D3,Tab_Def_Flows[Name(EN)],Tab_Def_Flows[Flow_ID],,0,)</f>
        <v>F_20_15</v>
      </c>
      <c r="D3" s="51" t="s">
        <v>334</v>
      </c>
      <c r="E3" s="49">
        <f>_xlfn.XLOOKUP(D3,Tab_Def_Flows[Name(EN)],Tab_Def_Flows[Type_Biomass],,0,)</f>
        <v>0</v>
      </c>
      <c r="F3" s="49" t="str">
        <f>_xlfn.XLOOKUP(D3,Tab_Def_Flows[Name(EN)],Tab_Def_Flows[Output_Process],,0,)</f>
        <v>Rye cultivation and harvest</v>
      </c>
      <c r="G3" s="49" t="str">
        <f>_xlfn.XLOOKUP(D3,Tab_Def_Flows[Name(EN)],Tab_Def_Flows[Process_ID_O],,0,)</f>
        <v>20_Rye_BB</v>
      </c>
      <c r="H3" s="49" t="str">
        <f>_xlfn.XLOOKUP(D3,Tab_Def_Flows[Name(EN)],Tab_Def_Flows[Input_Process],,0,)</f>
        <v>Rye processing and consumption</v>
      </c>
      <c r="I3" s="61" t="str">
        <f>_xlfn.XLOOKUP(D3,Tab_Def_Flows[Name(EN)],Tab_Def_Flows[Process_ID_I],,0,)</f>
        <v>15_Rye_BB</v>
      </c>
      <c r="J3" s="61" t="str">
        <f>_xlfn.XLOOKUP(D3,Tab_Def_Flows[Name(EN)],Tab_Def_Flows[Value_Source],,0,)</f>
        <v>Data_Literature</v>
      </c>
      <c r="K3" s="61" t="str">
        <f>_xlfn.XLOOKUP(D3,Tab_Def_Flows[Name(EN)],Tab_Def_Flows[WC?],,0,)</f>
        <v>Yes</v>
      </c>
      <c r="L3" s="61" t="str">
        <f>_xlfn.XLOOKUP(D3,Tab_Def_Flows[Name(EN)],Tab_Def_Flows[DM?],,0,)</f>
        <v>Yes</v>
      </c>
      <c r="M3" s="61" t="str">
        <f>_xlfn.XLOOKUP(D3,Tab_Def_Flows[Name(EN)],Tab_Def_Flows[CC?],,0,)</f>
        <v>Yes</v>
      </c>
      <c r="N3" s="106">
        <v>0.06</v>
      </c>
      <c r="O3" s="99"/>
      <c r="P3" s="103">
        <v>0.94</v>
      </c>
      <c r="Q3" s="99"/>
      <c r="R3" s="106">
        <v>0.5</v>
      </c>
      <c r="S3" s="99"/>
    </row>
    <row r="4" spans="1:19" x14ac:dyDescent="0.35">
      <c r="A4" s="93" t="b">
        <v>0</v>
      </c>
      <c r="B4" s="49">
        <f t="shared" si="0"/>
        <v>3</v>
      </c>
      <c r="C4" s="49" t="str">
        <f>_xlfn.XLOOKUP(D4,Tab_Def_Flows[Name(EN)],Tab_Def_Flows[Flow_ID],,0,)</f>
        <v>F_20_01</v>
      </c>
      <c r="D4" s="51" t="s">
        <v>335</v>
      </c>
      <c r="E4" s="49">
        <f>_xlfn.XLOOKUP(D4,Tab_Def_Flows[Name(EN)],Tab_Def_Flows[Type_Biomass],,0,)</f>
        <v>0</v>
      </c>
      <c r="F4" s="49" t="str">
        <f>_xlfn.XLOOKUP(D4,Tab_Def_Flows[Name(EN)],Tab_Def_Flows[Output_Process],,0,)</f>
        <v>Rye cultivation and harvest</v>
      </c>
      <c r="G4" s="49" t="str">
        <f>_xlfn.XLOOKUP(D4,Tab_Def_Flows[Name(EN)],Tab_Def_Flows[Process_ID_O],,0,)</f>
        <v>20_Rye_BB</v>
      </c>
      <c r="H4" s="49" t="str">
        <f>_xlfn.XLOOKUP(D4,Tab_Def_Flows[Name(EN)],Tab_Def_Flows[Input_Process],,0,)</f>
        <v>Biogas production</v>
      </c>
      <c r="I4" s="61" t="str">
        <f>_xlfn.XLOOKUP(D4,Tab_Def_Flows[Name(EN)],Tab_Def_Flows[Process_ID_I],,0,)</f>
        <v>01_Bio_BB</v>
      </c>
      <c r="J4" s="61" t="str">
        <f>_xlfn.XLOOKUP(D4,Tab_Def_Flows[Name(EN)],Tab_Def_Flows[Value_Source],,0,)</f>
        <v>Data_Literature</v>
      </c>
      <c r="K4" s="61" t="str">
        <f>_xlfn.XLOOKUP(D4,Tab_Def_Flows[Name(EN)],Tab_Def_Flows[WC?],,0,)</f>
        <v>Yes</v>
      </c>
      <c r="L4" s="61" t="str">
        <f>_xlfn.XLOOKUP(D4,Tab_Def_Flows[Name(EN)],Tab_Def_Flows[DM?],,0,)</f>
        <v>Yes</v>
      </c>
      <c r="M4" s="61" t="str">
        <f>_xlfn.XLOOKUP(D4,Tab_Def_Flows[Name(EN)],Tab_Def_Flows[CC?],,0,)</f>
        <v>Yes</v>
      </c>
      <c r="N4" s="106">
        <v>0.06</v>
      </c>
      <c r="O4" s="99"/>
      <c r="P4" s="103">
        <v>0.94</v>
      </c>
      <c r="Q4" s="99"/>
      <c r="R4" s="106">
        <v>0.5</v>
      </c>
      <c r="S4" s="99"/>
    </row>
    <row r="5" spans="1:19" x14ac:dyDescent="0.35">
      <c r="A5" s="93" t="b">
        <v>0</v>
      </c>
      <c r="B5" s="49">
        <f t="shared" si="0"/>
        <v>4</v>
      </c>
      <c r="C5" s="49" t="str">
        <f>_xlfn.XLOOKUP(D5,Tab_Def_Flows[Name(EN)],Tab_Def_Flows[Flow_ID],,0,)</f>
        <v>F_20_16</v>
      </c>
      <c r="D5" s="51" t="s">
        <v>336</v>
      </c>
      <c r="E5" s="49">
        <f>_xlfn.XLOOKUP(D5,Tab_Def_Flows[Name(EN)],Tab_Def_Flows[Type_Biomass],,0,)</f>
        <v>0</v>
      </c>
      <c r="F5" s="49" t="str">
        <f>_xlfn.XLOOKUP(D5,Tab_Def_Flows[Name(EN)],Tab_Def_Flows[Output_Process],,0,)</f>
        <v>Rye cultivation and harvest</v>
      </c>
      <c r="G5" s="49" t="str">
        <f>_xlfn.XLOOKUP(D5,Tab_Def_Flows[Name(EN)],Tab_Def_Flows[Process_ID_O],,0,)</f>
        <v>20_Rye_BB</v>
      </c>
      <c r="H5" s="49" t="str">
        <f>_xlfn.XLOOKUP(D5,Tab_Def_Flows[Name(EN)],Tab_Def_Flows[Input_Process],,0,)</f>
        <v>Not mobilizable Rye Straw</v>
      </c>
      <c r="I5" s="61" t="str">
        <f>_xlfn.XLOOKUP(D5,Tab_Def_Flows[Name(EN)],Tab_Def_Flows[Process_ID_I],,0,)</f>
        <v>16_Not_BB</v>
      </c>
      <c r="J5" s="61" t="str">
        <f>_xlfn.XLOOKUP(D5,Tab_Def_Flows[Name(EN)],Tab_Def_Flows[Value_Source],,0,)</f>
        <v>Data_Literature</v>
      </c>
      <c r="K5" s="61" t="str">
        <f>_xlfn.XLOOKUP(D5,Tab_Def_Flows[Name(EN)],Tab_Def_Flows[WC?],,0,)</f>
        <v>Yes</v>
      </c>
      <c r="L5" s="61" t="str">
        <f>_xlfn.XLOOKUP(D5,Tab_Def_Flows[Name(EN)],Tab_Def_Flows[DM?],,0,)</f>
        <v>Yes</v>
      </c>
      <c r="M5" s="61" t="str">
        <f>_xlfn.XLOOKUP(D5,Tab_Def_Flows[Name(EN)],Tab_Def_Flows[CC?],,0,)</f>
        <v>Yes</v>
      </c>
      <c r="N5" s="106">
        <v>0.06</v>
      </c>
      <c r="O5" s="99"/>
      <c r="P5" s="103">
        <v>0.94</v>
      </c>
      <c r="Q5" s="99"/>
      <c r="R5" s="106">
        <v>0.5</v>
      </c>
      <c r="S5" s="99"/>
    </row>
    <row r="6" spans="1:19" x14ac:dyDescent="0.35">
      <c r="A6" s="93" t="b">
        <v>0</v>
      </c>
      <c r="B6" s="49">
        <f t="shared" si="0"/>
        <v>5</v>
      </c>
      <c r="C6" s="49" t="str">
        <f>_xlfn.XLOOKUP(D6,Tab_Def_Flows[Name(EN)],Tab_Def_Flows[Flow_ID],,0,)</f>
        <v>F_04_01</v>
      </c>
      <c r="D6" s="51" t="s">
        <v>337</v>
      </c>
      <c r="E6" s="49">
        <f>_xlfn.XLOOKUP(D6,Tab_Def_Flows[Name(EN)],Tab_Def_Flows[Type_Biomass],,0,)</f>
        <v>0</v>
      </c>
      <c r="F6" s="49" t="str">
        <f>_xlfn.XLOOKUP(D6,Tab_Def_Flows[Name(EN)],Tab_Def_Flows[Output_Process],,0,)</f>
        <v>Life stock farming</v>
      </c>
      <c r="G6" s="49" t="str">
        <f>_xlfn.XLOOKUP(D6,Tab_Def_Flows[Name(EN)],Tab_Def_Flows[Process_ID_O],,0,)</f>
        <v>04_Lif_BB</v>
      </c>
      <c r="H6" s="49" t="str">
        <f>_xlfn.XLOOKUP(D6,Tab_Def_Flows[Name(EN)],Tab_Def_Flows[Input_Process],,0,)</f>
        <v>Biogas production</v>
      </c>
      <c r="I6" s="61" t="str">
        <f>_xlfn.XLOOKUP(D6,Tab_Def_Flows[Name(EN)],Tab_Def_Flows[Process_ID_I],,0,)</f>
        <v>01_Bio_BB</v>
      </c>
      <c r="J6" s="61">
        <f>_xlfn.XLOOKUP(D6,Tab_Def_Flows[Name(EN)],Tab_Def_Flows[Value_Source],,0,)</f>
        <v>0</v>
      </c>
      <c r="K6" s="61" t="str">
        <f>_xlfn.XLOOKUP(D6,Tab_Def_Flows[Name(EN)],Tab_Def_Flows[WC?],,0,)</f>
        <v>Yes</v>
      </c>
      <c r="L6" s="61" t="str">
        <f>_xlfn.XLOOKUP(D6,Tab_Def_Flows[Name(EN)],Tab_Def_Flows[DM?],,0,)</f>
        <v>Yes</v>
      </c>
      <c r="M6" s="61" t="str">
        <f>_xlfn.XLOOKUP(D6,Tab_Def_Flows[Name(EN)],Tab_Def_Flows[CC?],,0,)</f>
        <v>Yes</v>
      </c>
      <c r="N6" s="106">
        <v>0.94</v>
      </c>
      <c r="O6" s="99"/>
      <c r="P6" s="103">
        <v>0.06</v>
      </c>
      <c r="Q6" s="99"/>
      <c r="R6" s="106">
        <v>0.49</v>
      </c>
      <c r="S6" s="99"/>
    </row>
    <row r="7" spans="1:19" x14ac:dyDescent="0.35">
      <c r="A7" s="93" t="b">
        <v>0</v>
      </c>
      <c r="B7" s="49">
        <f t="shared" si="0"/>
        <v>6</v>
      </c>
      <c r="C7" s="49" t="str">
        <f>_xlfn.XLOOKUP(D7,Tab_Def_Flows[Name(EN)],Tab_Def_Flows[Flow_ID],,0,)</f>
        <v>F_01_05</v>
      </c>
      <c r="D7" s="51" t="s">
        <v>338</v>
      </c>
      <c r="E7" s="49">
        <f>_xlfn.XLOOKUP(D7,Tab_Def_Flows[Name(EN)],Tab_Def_Flows[Type_Biomass],,0,)</f>
        <v>0</v>
      </c>
      <c r="F7" s="49" t="str">
        <f>_xlfn.XLOOKUP(D7,Tab_Def_Flows[Name(EN)],Tab_Def_Flows[Output_Process],,0,)</f>
        <v>Biogas production</v>
      </c>
      <c r="G7" s="49" t="str">
        <f>_xlfn.XLOOKUP(D7,Tab_Def_Flows[Name(EN)],Tab_Def_Flows[Process_ID_O],,0,)</f>
        <v>01_Bio_BB</v>
      </c>
      <c r="H7" s="49" t="str">
        <f>_xlfn.XLOOKUP(D7,Tab_Def_Flows[Name(EN)],Tab_Def_Flows[Input_Process],,0,)</f>
        <v>Biogas Incineration</v>
      </c>
      <c r="I7" s="61" t="str">
        <f>_xlfn.XLOOKUP(D7,Tab_Def_Flows[Name(EN)],Tab_Def_Flows[Process_ID_I],,0,)</f>
        <v>05_Bio_BB</v>
      </c>
      <c r="J7" s="61" t="str">
        <f>_xlfn.XLOOKUP(D7,Tab_Def_Flows[Name(EN)],Tab_Def_Flows[Value_Source],,0,)</f>
        <v>Calculation_TC</v>
      </c>
      <c r="K7" s="61" t="str">
        <f>_xlfn.XLOOKUP(D7,Tab_Def_Flows[Name(EN)],Tab_Def_Flows[WC?],,0,)</f>
        <v>Yes</v>
      </c>
      <c r="L7" s="61" t="str">
        <f>_xlfn.XLOOKUP(D7,Tab_Def_Flows[Name(EN)],Tab_Def_Flows[DM?],,0,)</f>
        <v>Yes</v>
      </c>
      <c r="M7" s="61" t="str">
        <f>_xlfn.XLOOKUP(D7,Tab_Def_Flows[Name(EN)],Tab_Def_Flows[CC?],,0,)</f>
        <v>Yes</v>
      </c>
      <c r="N7" s="106">
        <v>0</v>
      </c>
      <c r="O7" s="99"/>
      <c r="P7" s="103">
        <v>1</v>
      </c>
      <c r="Q7" s="99"/>
      <c r="R7" s="106"/>
      <c r="S7" s="99"/>
    </row>
    <row r="8" spans="1:19" x14ac:dyDescent="0.35">
      <c r="A8" s="93" t="b">
        <v>0</v>
      </c>
      <c r="B8" s="49">
        <f t="shared" si="0"/>
        <v>7</v>
      </c>
      <c r="C8" s="49" t="str">
        <f>_xlfn.XLOOKUP(D8,Tab_Def_Flows[Name(EN)],Tab_Def_Flows[Flow_ID],,0,)</f>
        <v>F_01_02</v>
      </c>
      <c r="D8" s="51" t="s">
        <v>339</v>
      </c>
      <c r="E8" s="49">
        <f>_xlfn.XLOOKUP(D8,Tab_Def_Flows[Name(EN)],Tab_Def_Flows[Type_Biomass],,0,)</f>
        <v>0</v>
      </c>
      <c r="F8" s="49" t="str">
        <f>_xlfn.XLOOKUP(D8,Tab_Def_Flows[Name(EN)],Tab_Def_Flows[Output_Process],,0,)</f>
        <v>Biogas production</v>
      </c>
      <c r="G8" s="49" t="str">
        <f>_xlfn.XLOOKUP(D8,Tab_Def_Flows[Name(EN)],Tab_Def_Flows[Process_ID_O],,0,)</f>
        <v>01_Bio_BB</v>
      </c>
      <c r="H8" s="49" t="str">
        <f>_xlfn.XLOOKUP(D8,Tab_Def_Flows[Name(EN)],Tab_Def_Flows[Input_Process],,0,)</f>
        <v>MBC production</v>
      </c>
      <c r="I8" s="61" t="str">
        <f>_xlfn.XLOOKUP(D8,Tab_Def_Flows[Name(EN)],Tab_Def_Flows[Process_ID_I],,0,)</f>
        <v>02_MBC_BB</v>
      </c>
      <c r="J8" s="61" t="str">
        <f>_xlfn.XLOOKUP(D8,Tab_Def_Flows[Name(EN)],Tab_Def_Flows[Value_Source],,0,)</f>
        <v>Data_experiment</v>
      </c>
      <c r="K8" s="61" t="str">
        <f>_xlfn.XLOOKUP(D8,Tab_Def_Flows[Name(EN)],Tab_Def_Flows[WC?],,0,)</f>
        <v>Yes</v>
      </c>
      <c r="L8" s="61" t="str">
        <f>_xlfn.XLOOKUP(D8,Tab_Def_Flows[Name(EN)],Tab_Def_Flows[DM?],,0,)</f>
        <v>Yes</v>
      </c>
      <c r="M8" s="61" t="str">
        <f>_xlfn.XLOOKUP(D8,Tab_Def_Flows[Name(EN)],Tab_Def_Flows[CC?],,0,)</f>
        <v>Yes</v>
      </c>
      <c r="N8" s="106">
        <v>0.64</v>
      </c>
      <c r="O8" s="99"/>
      <c r="P8" s="103">
        <v>0.36</v>
      </c>
      <c r="Q8" s="99"/>
      <c r="R8" s="106">
        <v>0.38</v>
      </c>
      <c r="S8" s="99" t="s">
        <v>368</v>
      </c>
    </row>
    <row r="9" spans="1:19" x14ac:dyDescent="0.35">
      <c r="A9" s="93" t="b">
        <v>0</v>
      </c>
      <c r="B9" s="49">
        <f t="shared" si="0"/>
        <v>8</v>
      </c>
      <c r="C9" s="49" t="str">
        <f>_xlfn.XLOOKUP(D9,Tab_Def_Flows[Name(EN)],Tab_Def_Flows[Flow_ID],,0,)</f>
        <v>F_02_03</v>
      </c>
      <c r="D9" s="51" t="s">
        <v>393</v>
      </c>
      <c r="E9" s="49">
        <f>_xlfn.XLOOKUP(D9,Tab_Def_Flows[Name(EN)],Tab_Def_Flows[Type_Biomass],,0,)</f>
        <v>0</v>
      </c>
      <c r="F9" s="49" t="str">
        <f>_xlfn.XLOOKUP(D9,Tab_Def_Flows[Name(EN)],Tab_Def_Flows[Output_Process],,0,)</f>
        <v>MBC production</v>
      </c>
      <c r="G9" s="49" t="str">
        <f>_xlfn.XLOOKUP(D9,Tab_Def_Flows[Name(EN)],Tab_Def_Flows[Process_ID_O],,0,)</f>
        <v>02_MBC_BB</v>
      </c>
      <c r="H9" s="49" t="str">
        <f>_xlfn.XLOOKUP(D9,Tab_Def_Flows[Name(EN)],Tab_Def_Flows[Input_Process],,0,)</f>
        <v>MBC Use phase</v>
      </c>
      <c r="I9" s="61" t="str">
        <f>_xlfn.XLOOKUP(D9,Tab_Def_Flows[Name(EN)],Tab_Def_Flows[Process_ID_I],,0,)</f>
        <v>03_MBC_BB</v>
      </c>
      <c r="J9" s="61">
        <f>_xlfn.XLOOKUP(D9,Tab_Def_Flows[Name(EN)],Tab_Def_Flows[Value_Source],,0,)</f>
        <v>0</v>
      </c>
      <c r="K9" s="61" t="str">
        <f>_xlfn.XLOOKUP(D9,Tab_Def_Flows[Name(EN)],Tab_Def_Flows[WC?],,0,)</f>
        <v>Yes</v>
      </c>
      <c r="L9" s="61" t="str">
        <f>_xlfn.XLOOKUP(D9,Tab_Def_Flows[Name(EN)],Tab_Def_Flows[DM?],,0,)</f>
        <v>Yes</v>
      </c>
      <c r="M9" s="61" t="str">
        <f>_xlfn.XLOOKUP(D9,Tab_Def_Flows[Name(EN)],Tab_Def_Flows[CC?],,0,)</f>
        <v>Yes</v>
      </c>
      <c r="N9" s="106">
        <v>0.22</v>
      </c>
      <c r="O9" s="99"/>
      <c r="P9" s="103">
        <v>0.39</v>
      </c>
      <c r="Q9" s="99"/>
      <c r="R9" s="106">
        <v>0.39800000000000002</v>
      </c>
      <c r="S9" s="99"/>
    </row>
    <row r="10" spans="1:19" x14ac:dyDescent="0.35">
      <c r="A10" s="110" t="b">
        <v>1</v>
      </c>
      <c r="B10" s="49">
        <f>ROW()-1</f>
        <v>9</v>
      </c>
      <c r="C10" s="49" t="str">
        <f>_xlfn.XLOOKUP(D10,Tab_Def_Flows[Name(EN)],Tab_Def_Flows[Flow_ID],,0,)</f>
        <v>F_03_07</v>
      </c>
      <c r="D10" s="51" t="s">
        <v>394</v>
      </c>
      <c r="E10" s="49">
        <f>_xlfn.XLOOKUP(D10,Tab_Def_Flows[Name(EN)],Tab_Def_Flows[Type_Biomass],,0,)</f>
        <v>0</v>
      </c>
      <c r="F10" s="49" t="str">
        <f>_xlfn.XLOOKUP(D10,Tab_Def_Flows[Name(EN)],Tab_Def_Flows[Output_Process],,0,)</f>
        <v>MBC Use phase</v>
      </c>
      <c r="G10" s="49" t="str">
        <f>_xlfn.XLOOKUP(D10,Tab_Def_Flows[Name(EN)],Tab_Def_Flows[Process_ID_O],,0,)</f>
        <v>03_MBC_BB</v>
      </c>
      <c r="H10" s="49" t="str">
        <f>_xlfn.XLOOKUP(D10,Tab_Def_Flows[Name(EN)],Tab_Def_Flows[Input_Process],,0,)</f>
        <v>EoL-Treatment (MBC)</v>
      </c>
      <c r="I10" s="61" t="str">
        <f>_xlfn.XLOOKUP(D10,Tab_Def_Flows[Name(EN)],Tab_Def_Flows[Process_ID_I],,0,)</f>
        <v>07_EoL_BB</v>
      </c>
      <c r="J10" s="61">
        <f>_xlfn.XLOOKUP(D10,Tab_Def_Flows[Name(EN)],Tab_Def_Flows[Value_Source],,0,)</f>
        <v>0</v>
      </c>
      <c r="K10" s="61" t="str">
        <f>_xlfn.XLOOKUP(D10,Tab_Def_Flows[Name(EN)],Tab_Def_Flows[WC?],,0,)</f>
        <v>Yes</v>
      </c>
      <c r="L10" s="61" t="str">
        <f>_xlfn.XLOOKUP(D10,Tab_Def_Flows[Name(EN)],Tab_Def_Flows[DM?],,0,)</f>
        <v>Yes</v>
      </c>
      <c r="M10" s="61" t="str">
        <f>_xlfn.XLOOKUP(D10,Tab_Def_Flows[Name(EN)],Tab_Def_Flows[CC?],,0,)</f>
        <v>Yes</v>
      </c>
      <c r="N10" s="106"/>
      <c r="O10" s="99"/>
      <c r="P10" s="103"/>
      <c r="Q10" s="99"/>
      <c r="R10" s="106"/>
      <c r="S10" s="99"/>
    </row>
    <row r="11" spans="1:19" x14ac:dyDescent="0.35">
      <c r="A11" s="93" t="b">
        <v>1</v>
      </c>
      <c r="B11" s="49">
        <f t="shared" si="0"/>
        <v>10</v>
      </c>
      <c r="C11" s="49" t="str">
        <f>_xlfn.XLOOKUP(D11,Tab_Def_Flows[Name(EN)],Tab_Def_Flows[Flow_ID],,0,)</f>
        <v>F_02_06</v>
      </c>
      <c r="D11" s="51" t="s">
        <v>340</v>
      </c>
      <c r="E11" s="49">
        <f>_xlfn.XLOOKUP(D11,Tab_Def_Flows[Name(EN)],Tab_Def_Flows[Type_Biomass],,0,)</f>
        <v>0</v>
      </c>
      <c r="F11" s="49" t="str">
        <f>_xlfn.XLOOKUP(D11,Tab_Def_Flows[Name(EN)],Tab_Def_Flows[Output_Process],,0,)</f>
        <v>MBC production</v>
      </c>
      <c r="G11" s="49" t="str">
        <f>_xlfn.XLOOKUP(D11,Tab_Def_Flows[Name(EN)],Tab_Def_Flows[Process_ID_O],,0,)</f>
        <v>02_MBC_BB</v>
      </c>
      <c r="H11" s="49" t="str">
        <f>_xlfn.XLOOKUP(D11,Tab_Def_Flows[Name(EN)],Tab_Def_Flows[Input_Process],,0,)</f>
        <v>EoL-Treatment</v>
      </c>
      <c r="I11" s="61" t="str">
        <f>_xlfn.XLOOKUP(D11,Tab_Def_Flows[Name(EN)],Tab_Def_Flows[Process_ID_I],,0,)</f>
        <v>06_EoL_BB</v>
      </c>
      <c r="J11" s="61">
        <f>_xlfn.XLOOKUP(D11,Tab_Def_Flows[Name(EN)],Tab_Def_Flows[Value_Source],,0,)</f>
        <v>0</v>
      </c>
      <c r="K11" s="61" t="str">
        <f>_xlfn.XLOOKUP(D11,Tab_Def_Flows[Name(EN)],Tab_Def_Flows[WC?],,0,)</f>
        <v>Yes</v>
      </c>
      <c r="L11" s="61" t="str">
        <f>_xlfn.XLOOKUP(D11,Tab_Def_Flows[Name(EN)],Tab_Def_Flows[DM?],,0,)</f>
        <v>Yes</v>
      </c>
      <c r="M11" s="61" t="str">
        <f>_xlfn.XLOOKUP(D11,Tab_Def_Flows[Name(EN)],Tab_Def_Flows[CC?],,0,)</f>
        <v>Yes</v>
      </c>
      <c r="N11" s="106">
        <v>0</v>
      </c>
      <c r="O11" s="99"/>
      <c r="P11" s="103">
        <v>1</v>
      </c>
      <c r="Q11" s="99"/>
      <c r="R11" s="106">
        <v>0.38</v>
      </c>
      <c r="S11" s="99"/>
    </row>
    <row r="12" spans="1:19" x14ac:dyDescent="0.35">
      <c r="A12" s="93" t="b">
        <v>0</v>
      </c>
      <c r="B12" s="49">
        <f t="shared" si="0"/>
        <v>11</v>
      </c>
      <c r="C12" s="49" t="str">
        <f>_xlfn.XLOOKUP(D12,Tab_Def_Flows[Name(EN)],Tab_Def_Flows[Flow_ID],,0,)</f>
        <v>F_11_02</v>
      </c>
      <c r="D12" s="51" t="s">
        <v>341</v>
      </c>
      <c r="E12" s="49">
        <f>_xlfn.XLOOKUP(D12,Tab_Def_Flows[Name(EN)],Tab_Def_Flows[Type_Biomass],,0,)</f>
        <v>0</v>
      </c>
      <c r="F12" s="49" t="str">
        <f>_xlfn.XLOOKUP(D12,Tab_Def_Flows[Name(EN)],Tab_Def_Flows[Output_Process],,0,)</f>
        <v>Millet production</v>
      </c>
      <c r="G12" s="49" t="str">
        <f>_xlfn.XLOOKUP(D12,Tab_Def_Flows[Name(EN)],Tab_Def_Flows[Process_ID_O],,0,)</f>
        <v>11_Mil_BB</v>
      </c>
      <c r="H12" s="49" t="str">
        <f>_xlfn.XLOOKUP(D12,Tab_Def_Flows[Name(EN)],Tab_Def_Flows[Input_Process],,0,)</f>
        <v>MBC production</v>
      </c>
      <c r="I12" s="61" t="str">
        <f>_xlfn.XLOOKUP(D12,Tab_Def_Flows[Name(EN)],Tab_Def_Flows[Process_ID_I],,0,)</f>
        <v>02_MBC_BB</v>
      </c>
      <c r="J12" s="61">
        <f>_xlfn.XLOOKUP(D12,Tab_Def_Flows[Name(EN)],Tab_Def_Flows[Value_Source],,0,)</f>
        <v>0</v>
      </c>
      <c r="K12" s="61" t="str">
        <f>_xlfn.XLOOKUP(D12,Tab_Def_Flows[Name(EN)],Tab_Def_Flows[WC?],,0,)</f>
        <v>Yes</v>
      </c>
      <c r="L12" s="61" t="str">
        <f>_xlfn.XLOOKUP(D12,Tab_Def_Flows[Name(EN)],Tab_Def_Flows[DM?],,0,)</f>
        <v>Yes</v>
      </c>
      <c r="M12" s="61" t="str">
        <f>_xlfn.XLOOKUP(D12,Tab_Def_Flows[Name(EN)],Tab_Def_Flows[CC?],,0,)</f>
        <v>Yes</v>
      </c>
      <c r="N12" s="106">
        <v>0.66</v>
      </c>
      <c r="O12" s="99"/>
      <c r="P12" s="103">
        <v>0.34</v>
      </c>
      <c r="Q12" s="99"/>
      <c r="R12" s="106">
        <v>0.47</v>
      </c>
      <c r="S12" s="99"/>
    </row>
    <row r="13" spans="1:19" x14ac:dyDescent="0.35">
      <c r="A13" s="93" t="b">
        <v>0</v>
      </c>
      <c r="B13" s="49">
        <f t="shared" si="0"/>
        <v>12</v>
      </c>
      <c r="C13" s="49" t="e">
        <f>_xlfn.XLOOKUP(D13,Tab_Def_Flows[Name(EN)],Tab_Def_Flows[Flow_ID],,0,)</f>
        <v>#N/A</v>
      </c>
      <c r="D13" s="51" t="s">
        <v>342</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6">
        <v>0.61</v>
      </c>
      <c r="O13" s="99"/>
      <c r="P13" s="103">
        <v>0.39</v>
      </c>
      <c r="Q13" s="99"/>
      <c r="R13" s="106">
        <v>0.4</v>
      </c>
      <c r="S13" s="99"/>
    </row>
    <row r="14" spans="1:19" x14ac:dyDescent="0.35">
      <c r="A14" s="93" t="b">
        <v>0</v>
      </c>
      <c r="B14" s="49">
        <f t="shared" si="0"/>
        <v>13</v>
      </c>
      <c r="C14" s="49" t="str">
        <f>_xlfn.XLOOKUP(D14,Tab_Def_Flows[Name(EN)],Tab_Def_Flows[Flow_ID],,0,)</f>
        <v>F_08_02</v>
      </c>
      <c r="D14" s="51" t="s">
        <v>343</v>
      </c>
      <c r="E14" s="49">
        <f>_xlfn.XLOOKUP(D14,Tab_Def_Flows[Name(EN)],Tab_Def_Flows[Type_Biomass],,0,)</f>
        <v>0</v>
      </c>
      <c r="F14" s="49" t="str">
        <f>_xlfn.XLOOKUP(D14,Tab_Def_Flows[Name(EN)],Tab_Def_Flows[Output_Process],,0,)</f>
        <v>Water System (Import)</v>
      </c>
      <c r="G14" s="49" t="str">
        <f>_xlfn.XLOOKUP(D14,Tab_Def_Flows[Name(EN)],Tab_Def_Flows[Process_ID_O],,0,)</f>
        <v>08_Wat_BB</v>
      </c>
      <c r="H14" s="49" t="str">
        <f>_xlfn.XLOOKUP(D14,Tab_Def_Flows[Name(EN)],Tab_Def_Flows[Input_Process],,0,)</f>
        <v>MBC production</v>
      </c>
      <c r="I14" s="61" t="str">
        <f>_xlfn.XLOOKUP(D14,Tab_Def_Flows[Name(EN)],Tab_Def_Flows[Process_ID_I],,0,)</f>
        <v>02_MBC_BB</v>
      </c>
      <c r="J14" s="61">
        <f>_xlfn.XLOOKUP(D14,Tab_Def_Flows[Name(EN)],Tab_Def_Flows[Value_Source],,0,)</f>
        <v>0</v>
      </c>
      <c r="K14" s="61" t="str">
        <f>_xlfn.XLOOKUP(D14,Tab_Def_Flows[Name(EN)],Tab_Def_Flows[WC?],,0,)</f>
        <v>Yes</v>
      </c>
      <c r="L14" s="61" t="str">
        <f>_xlfn.XLOOKUP(D14,Tab_Def_Flows[Name(EN)],Tab_Def_Flows[DM?],,0,)</f>
        <v>Yes</v>
      </c>
      <c r="M14" s="61" t="str">
        <f>_xlfn.XLOOKUP(D14,Tab_Def_Flows[Name(EN)],Tab_Def_Flows[CC?],,0,)</f>
        <v>Yes</v>
      </c>
      <c r="N14" s="106">
        <v>1</v>
      </c>
      <c r="O14" s="99"/>
      <c r="P14" s="103">
        <v>0</v>
      </c>
      <c r="Q14" s="99"/>
      <c r="R14" s="106">
        <v>0</v>
      </c>
      <c r="S14" s="99"/>
    </row>
    <row r="15" spans="1:19" x14ac:dyDescent="0.35">
      <c r="A15" s="93" t="b">
        <v>0</v>
      </c>
      <c r="B15" s="49">
        <f t="shared" si="0"/>
        <v>14</v>
      </c>
      <c r="C15" s="49" t="str">
        <f>_xlfn.XLOOKUP(D15,Tab_Def_Flows[Name(EN)],Tab_Def_Flows[Flow_ID],,0,)</f>
        <v>F_02_14</v>
      </c>
      <c r="D15" s="51" t="s">
        <v>344</v>
      </c>
      <c r="E15" s="49">
        <f>_xlfn.XLOOKUP(D15,Tab_Def_Flows[Name(EN)],Tab_Def_Flows[Type_Biomass],,0,)</f>
        <v>0</v>
      </c>
      <c r="F15" s="49" t="str">
        <f>_xlfn.XLOOKUP(D15,Tab_Def_Flows[Name(EN)],Tab_Def_Flows[Output_Process],,0,)</f>
        <v>MBC production</v>
      </c>
      <c r="G15" s="49" t="str">
        <f>_xlfn.XLOOKUP(D15,Tab_Def_Flows[Name(EN)],Tab_Def_Flows[Process_ID_O],,0,)</f>
        <v>02_MBC_BB</v>
      </c>
      <c r="H15" s="49" t="str">
        <f>_xlfn.XLOOKUP(D15,Tab_Def_Flows[Name(EN)],Tab_Def_Flows[Input_Process],,0,)</f>
        <v>Water System (Export)</v>
      </c>
      <c r="I15" s="61" t="str">
        <f>_xlfn.XLOOKUP(D15,Tab_Def_Flows[Name(EN)],Tab_Def_Flows[Process_ID_I],,0,)</f>
        <v>14_Wat_BB</v>
      </c>
      <c r="J15" s="61">
        <f>_xlfn.XLOOKUP(D15,Tab_Def_Flows[Name(EN)],Tab_Def_Flows[Value_Source],,0,)</f>
        <v>0</v>
      </c>
      <c r="K15" s="61" t="str">
        <f>_xlfn.XLOOKUP(D15,Tab_Def_Flows[Name(EN)],Tab_Def_Flows[WC?],,0,)</f>
        <v>Yes</v>
      </c>
      <c r="L15" s="61" t="str">
        <f>_xlfn.XLOOKUP(D15,Tab_Def_Flows[Name(EN)],Tab_Def_Flows[DM?],,0,)</f>
        <v>Yes</v>
      </c>
      <c r="M15" s="61" t="str">
        <f>_xlfn.XLOOKUP(D15,Tab_Def_Flows[Name(EN)],Tab_Def_Flows[CC?],,0,)</f>
        <v>Yes</v>
      </c>
      <c r="N15" s="106">
        <v>1</v>
      </c>
      <c r="O15" s="99"/>
      <c r="P15" s="103">
        <v>0</v>
      </c>
      <c r="Q15" s="99"/>
      <c r="R15" s="106">
        <v>0</v>
      </c>
      <c r="S15" s="99"/>
    </row>
    <row r="16" spans="1:19" x14ac:dyDescent="0.35">
      <c r="A16" s="93" t="b">
        <v>0</v>
      </c>
      <c r="B16" s="49">
        <f t="shared" si="0"/>
        <v>15</v>
      </c>
      <c r="C16" s="49" t="str">
        <f>_xlfn.XLOOKUP(D16,Tab_Def_Flows[Name(EN)],Tab_Def_Flows[Flow_ID],,0,)</f>
        <v>F_02_12</v>
      </c>
      <c r="D16" s="51" t="s">
        <v>367</v>
      </c>
      <c r="E16" s="49">
        <f>_xlfn.XLOOKUP(D16,Tab_Def_Flows[Name(EN)],Tab_Def_Flows[Type_Biomass],,0,)</f>
        <v>0</v>
      </c>
      <c r="F16" s="49" t="str">
        <f>_xlfn.XLOOKUP(D16,Tab_Def_Flows[Name(EN)],Tab_Def_Flows[Output_Process],,0,)</f>
        <v>MBC production</v>
      </c>
      <c r="G16" s="49" t="str">
        <f>_xlfn.XLOOKUP(D16,Tab_Def_Flows[Name(EN)],Tab_Def_Flows[Process_ID_O],,0,)</f>
        <v>02_MBC_BB</v>
      </c>
      <c r="H16" s="49" t="str">
        <f>_xlfn.XLOOKUP(D16,Tab_Def_Flows[Name(EN)],Tab_Def_Flows[Input_Process],,0,)</f>
        <v>Delta (MBC)</v>
      </c>
      <c r="I16" s="61" t="str">
        <f>_xlfn.XLOOKUP(D16,Tab_Def_Flows[Name(EN)],Tab_Def_Flows[Process_ID_I],,0,)</f>
        <v>12_Del_BB</v>
      </c>
      <c r="J16" s="61">
        <f>_xlfn.XLOOKUP(D16,Tab_Def_Flows[Name(EN)],Tab_Def_Flows[Value_Source],,0,)</f>
        <v>0</v>
      </c>
      <c r="K16" s="61" t="str">
        <f>_xlfn.XLOOKUP(D16,Tab_Def_Flows[Name(EN)],Tab_Def_Flows[WC?],,0,)</f>
        <v>Yes</v>
      </c>
      <c r="L16" s="61" t="str">
        <f>_xlfn.XLOOKUP(D16,Tab_Def_Flows[Name(EN)],Tab_Def_Flows[DM?],,0,)</f>
        <v>Yes</v>
      </c>
      <c r="M16" s="61" t="str">
        <f>_xlfn.XLOOKUP(D16,Tab_Def_Flows[Name(EN)],Tab_Def_Flows[CC?],,0,)</f>
        <v>Yes</v>
      </c>
      <c r="N16" s="106"/>
      <c r="O16" s="99"/>
      <c r="P16" s="103"/>
      <c r="Q16" s="99"/>
      <c r="R16" s="106"/>
      <c r="S16" s="99"/>
    </row>
    <row r="17" spans="1:23" x14ac:dyDescent="0.35">
      <c r="A17" s="93" t="b">
        <v>0</v>
      </c>
      <c r="B17" s="49">
        <f t="shared" si="0"/>
        <v>16</v>
      </c>
      <c r="C17" s="49" t="str">
        <f>_xlfn.XLOOKUP(D17,Tab_Def_Flows[Name(EN)],Tab_Def_Flows[Flow_ID],,0,)</f>
        <v>F_07_09</v>
      </c>
      <c r="D17" s="51" t="s">
        <v>396</v>
      </c>
      <c r="E17" s="49">
        <f>_xlfn.XLOOKUP(D17,Tab_Def_Flows[Name(EN)],Tab_Def_Flows[Type_Biomass],,0,)</f>
        <v>0</v>
      </c>
      <c r="F17" s="49" t="str">
        <f>_xlfn.XLOOKUP(D17,Tab_Def_Flows[Name(EN)],Tab_Def_Flows[Output_Process],,0,)</f>
        <v>EoL-Treatment (MBC)</v>
      </c>
      <c r="G17" s="49" t="str">
        <f>_xlfn.XLOOKUP(D17,Tab_Def_Flows[Name(EN)],Tab_Def_Flows[Process_ID_O],,0,)</f>
        <v>07_EoL_BB</v>
      </c>
      <c r="H17" s="49" t="str">
        <f>_xlfn.XLOOKUP(D17,Tab_Def_Flows[Name(EN)],Tab_Def_Flows[Input_Process],,0,)</f>
        <v>Biomass Pyrolysis</v>
      </c>
      <c r="I17" s="61" t="str">
        <f>_xlfn.XLOOKUP(D17,Tab_Def_Flows[Name(EN)],Tab_Def_Flows[Process_ID_I],,0,)</f>
        <v>09_Bio_BB</v>
      </c>
      <c r="J17" s="61">
        <f>_xlfn.XLOOKUP(D17,Tab_Def_Flows[Name(EN)],Tab_Def_Flows[Value_Source],,0,)</f>
        <v>0</v>
      </c>
      <c r="K17" s="61" t="str">
        <f>_xlfn.XLOOKUP(D17,Tab_Def_Flows[Name(EN)],Tab_Def_Flows[WC?],,0,)</f>
        <v>Yes</v>
      </c>
      <c r="L17" s="61" t="str">
        <f>_xlfn.XLOOKUP(D17,Tab_Def_Flows[Name(EN)],Tab_Def_Flows[DM?],,0,)</f>
        <v>Yes</v>
      </c>
      <c r="M17" s="61" t="str">
        <f>_xlfn.XLOOKUP(D17,Tab_Def_Flows[Name(EN)],Tab_Def_Flows[CC?],,0,)</f>
        <v>Yes</v>
      </c>
      <c r="N17" s="106"/>
      <c r="O17" s="99"/>
      <c r="P17" s="103">
        <v>0.39</v>
      </c>
      <c r="Q17" s="99"/>
      <c r="R17" s="106">
        <v>0.4</v>
      </c>
      <c r="S17" s="99"/>
    </row>
    <row r="18" spans="1:23" x14ac:dyDescent="0.35">
      <c r="A18" s="93" t="b">
        <v>0</v>
      </c>
      <c r="B18" s="49">
        <f t="shared" si="0"/>
        <v>17</v>
      </c>
      <c r="C18" s="49" t="str">
        <f>_xlfn.XLOOKUP(D18,Tab_Def_Flows[Name(EN)],Tab_Def_Flows[Flow_ID],,0,)</f>
        <v>F_07_10</v>
      </c>
      <c r="D18" s="51" t="s">
        <v>397</v>
      </c>
      <c r="E18" s="49">
        <f>_xlfn.XLOOKUP(D18,Tab_Def_Flows[Name(EN)],Tab_Def_Flows[Type_Biomass],,0,)</f>
        <v>0</v>
      </c>
      <c r="F18" s="49" t="str">
        <f>_xlfn.XLOOKUP(D18,Tab_Def_Flows[Name(EN)],Tab_Def_Flows[Output_Process],,0,)</f>
        <v>EoL-Treatment (MBC)</v>
      </c>
      <c r="G18" s="49" t="str">
        <f>_xlfn.XLOOKUP(D18,Tab_Def_Flows[Name(EN)],Tab_Def_Flows[Process_ID_O],,0,)</f>
        <v>07_EoL_BB</v>
      </c>
      <c r="H18" s="49" t="str">
        <f>_xlfn.XLOOKUP(D18,Tab_Def_Flows[Name(EN)],Tab_Def_Flows[Input_Process],,0,)</f>
        <v>Biomass Incineration</v>
      </c>
      <c r="I18" s="61" t="str">
        <f>_xlfn.XLOOKUP(D18,Tab_Def_Flows[Name(EN)],Tab_Def_Flows[Process_ID_I],,0,)</f>
        <v>10_Bio_BB</v>
      </c>
      <c r="J18" s="61">
        <f>_xlfn.XLOOKUP(D18,Tab_Def_Flows[Name(EN)],Tab_Def_Flows[Value_Source],,0,)</f>
        <v>0</v>
      </c>
      <c r="K18" s="61" t="str">
        <f>_xlfn.XLOOKUP(D18,Tab_Def_Flows[Name(EN)],Tab_Def_Flows[WC?],,0,)</f>
        <v>Yes</v>
      </c>
      <c r="L18" s="61" t="str">
        <f>_xlfn.XLOOKUP(D18,Tab_Def_Flows[Name(EN)],Tab_Def_Flows[DM?],,0,)</f>
        <v>Yes</v>
      </c>
      <c r="M18" s="61" t="str">
        <f>_xlfn.XLOOKUP(D18,Tab_Def_Flows[Name(EN)],Tab_Def_Flows[CC?],,0,)</f>
        <v>Yes</v>
      </c>
      <c r="N18" s="106"/>
      <c r="O18" s="99"/>
      <c r="P18" s="103">
        <v>0.39</v>
      </c>
      <c r="Q18" s="99"/>
      <c r="R18" s="106">
        <v>0.4</v>
      </c>
      <c r="S18" s="99"/>
    </row>
    <row r="19" spans="1:23" x14ac:dyDescent="0.35">
      <c r="A19" s="93" t="b">
        <v>0</v>
      </c>
      <c r="B19" s="49">
        <f t="shared" si="0"/>
        <v>18</v>
      </c>
      <c r="C19" s="49" t="str">
        <f>_xlfn.XLOOKUP(D19,Tab_Def_Flows[Name(EN)],Tab_Def_Flows[Flow_ID],,0,)</f>
        <v>F_09_17</v>
      </c>
      <c r="D19" s="51" t="s">
        <v>399</v>
      </c>
      <c r="E19" s="49">
        <f>_xlfn.XLOOKUP(D19,Tab_Def_Flows[Name(EN)],Tab_Def_Flows[Type_Biomass],,0,)</f>
        <v>0</v>
      </c>
      <c r="F19" s="49" t="str">
        <f>_xlfn.XLOOKUP(D19,Tab_Def_Flows[Name(EN)],Tab_Def_Flows[Output_Process],,0,)</f>
        <v>Biomass Pyrolysis</v>
      </c>
      <c r="G19" s="49" t="str">
        <f>_xlfn.XLOOKUP(D19,Tab_Def_Flows[Name(EN)],Tab_Def_Flows[Process_ID_O],,0,)</f>
        <v>09_Bio_BB</v>
      </c>
      <c r="H19" s="49" t="str">
        <f>_xlfn.XLOOKUP(D19,Tab_Def_Flows[Name(EN)],Tab_Def_Flows[Input_Process],,0,)</f>
        <v>Lithosphere</v>
      </c>
      <c r="I19" s="61" t="str">
        <f>_xlfn.XLOOKUP(D19,Tab_Def_Flows[Name(EN)],Tab_Def_Flows[Process_ID_I],,0,)</f>
        <v>17_Lit_BB</v>
      </c>
      <c r="J19" s="61">
        <f>_xlfn.XLOOKUP(D19,Tab_Def_Flows[Name(EN)],Tab_Def_Flows[Value_Source],,0,)</f>
        <v>0</v>
      </c>
      <c r="K19" s="61" t="str">
        <f>_xlfn.XLOOKUP(D19,Tab_Def_Flows[Name(EN)],Tab_Def_Flows[WC?],,0,)</f>
        <v>Yes</v>
      </c>
      <c r="L19" s="61" t="str">
        <f>_xlfn.XLOOKUP(D19,Tab_Def_Flows[Name(EN)],Tab_Def_Flows[DM?],,0,)</f>
        <v>Yes</v>
      </c>
      <c r="M19" s="61" t="str">
        <f>_xlfn.XLOOKUP(D19,Tab_Def_Flows[Name(EN)],Tab_Def_Flows[CC?],,0,)</f>
        <v>Yes</v>
      </c>
      <c r="N19" s="106"/>
      <c r="O19" s="99"/>
      <c r="P19" s="103">
        <v>1</v>
      </c>
      <c r="Q19" s="99"/>
      <c r="R19" s="106">
        <v>0.95</v>
      </c>
      <c r="S19" s="99" t="s">
        <v>419</v>
      </c>
      <c r="W19">
        <v>3.67</v>
      </c>
    </row>
    <row r="20" spans="1:23" x14ac:dyDescent="0.35">
      <c r="A20" s="93" t="b">
        <v>0</v>
      </c>
      <c r="B20" s="49">
        <f t="shared" si="0"/>
        <v>19</v>
      </c>
      <c r="C20" s="49" t="str">
        <f>_xlfn.XLOOKUP(D20,Tab_Def_Flows[Name(EN)],Tab_Def_Flows[Flow_ID],,0,)</f>
        <v>F_10_18</v>
      </c>
      <c r="D20" s="51" t="s">
        <v>189</v>
      </c>
      <c r="E20" s="49">
        <f>_xlfn.XLOOKUP(D20,Tab_Def_Flows[Name(EN)],Tab_Def_Flows[Type_Biomass],,0,)</f>
        <v>0</v>
      </c>
      <c r="F20" s="49" t="str">
        <f>_xlfn.XLOOKUP(D20,Tab_Def_Flows[Name(EN)],Tab_Def_Flows[Output_Process],,0,)</f>
        <v>Biomass Incineration</v>
      </c>
      <c r="G20" s="49" t="str">
        <f>_xlfn.XLOOKUP(D20,Tab_Def_Flows[Name(EN)],Tab_Def_Flows[Process_ID_O],,0,)</f>
        <v>10_Bio_BB</v>
      </c>
      <c r="H20" s="49" t="str">
        <f>_xlfn.XLOOKUP(D20,Tab_Def_Flows[Name(EN)],Tab_Def_Flows[Input_Process],,0,)</f>
        <v>Ash Treatment</v>
      </c>
      <c r="I20" s="61" t="str">
        <f>_xlfn.XLOOKUP(D20,Tab_Def_Flows[Name(EN)],Tab_Def_Flows[Process_ID_I],,0,)</f>
        <v>18_Ash_BB</v>
      </c>
      <c r="J20" s="61">
        <f>_xlfn.XLOOKUP(D20,Tab_Def_Flows[Name(EN)],Tab_Def_Flows[Value_Source],,0,)</f>
        <v>0</v>
      </c>
      <c r="K20" s="61" t="str">
        <f>_xlfn.XLOOKUP(D20,Tab_Def_Flows[Name(EN)],Tab_Def_Flows[WC?],,0,)</f>
        <v>Yes</v>
      </c>
      <c r="L20" s="61" t="str">
        <f>_xlfn.XLOOKUP(D20,Tab_Def_Flows[Name(EN)],Tab_Def_Flows[DM?],,0,)</f>
        <v>Yes</v>
      </c>
      <c r="M20" s="61" t="str">
        <f>_xlfn.XLOOKUP(D20,Tab_Def_Flows[Name(EN)],Tab_Def_Flows[CC?],,0,)</f>
        <v>Yes</v>
      </c>
      <c r="N20" s="106"/>
      <c r="O20" s="99"/>
      <c r="P20" s="103"/>
      <c r="Q20" s="99"/>
      <c r="R20" s="106"/>
      <c r="S20" s="99"/>
    </row>
    <row r="21" spans="1:23" x14ac:dyDescent="0.35">
      <c r="A21" s="93" t="b">
        <v>1</v>
      </c>
      <c r="B21" s="49">
        <f t="shared" si="0"/>
        <v>20</v>
      </c>
      <c r="C21" s="49" t="str">
        <f>_xlfn.XLOOKUP(D21,Tab_Def_Flows[Name(EN)],Tab_Def_Flows[Flow_ID],,0,)</f>
        <v>F_10_19</v>
      </c>
      <c r="D21" s="51" t="s">
        <v>417</v>
      </c>
      <c r="E21" s="49">
        <f>_xlfn.XLOOKUP(D21,Tab_Def_Flows[Name(EN)],Tab_Def_Flows[Type_Biomass],,0,)</f>
        <v>0</v>
      </c>
      <c r="F21" s="49" t="str">
        <f>_xlfn.XLOOKUP(D21,Tab_Def_Flows[Name(EN)],Tab_Def_Flows[Output_Process],,0,)</f>
        <v>Biomass Incineration</v>
      </c>
      <c r="G21" s="49" t="str">
        <f>_xlfn.XLOOKUP(D21,Tab_Def_Flows[Name(EN)],Tab_Def_Flows[Process_ID_O],,0,)</f>
        <v>10_Bio_BB</v>
      </c>
      <c r="H21" s="49" t="str">
        <f>_xlfn.XLOOKUP(D21,Tab_Def_Flows[Name(EN)],Tab_Def_Flows[Input_Process],,0,)</f>
        <v>Atmosphere</v>
      </c>
      <c r="I21" s="61" t="str">
        <f>_xlfn.XLOOKUP(D21,Tab_Def_Flows[Name(EN)],Tab_Def_Flows[Process_ID_I],,0,)</f>
        <v>19_Atm_BB</v>
      </c>
      <c r="J21" s="61" t="str">
        <f>_xlfn.XLOOKUP(D21,Tab_Def_Flows[Name(EN)],Tab_Def_Flows[Value_Source],,0,)</f>
        <v>Calculation_TC</v>
      </c>
      <c r="K21" s="61" t="str">
        <f>_xlfn.XLOOKUP(D21,Tab_Def_Flows[Name(EN)],Tab_Def_Flows[WC?],,0,)</f>
        <v>Yes</v>
      </c>
      <c r="L21" s="61" t="str">
        <f>_xlfn.XLOOKUP(D21,Tab_Def_Flows[Name(EN)],Tab_Def_Flows[DM?],,0,)</f>
        <v>Yes</v>
      </c>
      <c r="M21" s="61" t="str">
        <f>_xlfn.XLOOKUP(D21,Tab_Def_Flows[Name(EN)],Tab_Def_Flows[CC?],,0,)</f>
        <v>Yes</v>
      </c>
      <c r="N21" s="106"/>
      <c r="O21" s="99"/>
      <c r="P21" s="103"/>
      <c r="Q21" s="99"/>
      <c r="R21" s="106"/>
      <c r="S21" s="99"/>
    </row>
    <row r="22" spans="1:23" x14ac:dyDescent="0.35">
      <c r="A22" s="93" t="b">
        <v>0</v>
      </c>
      <c r="B22" s="49">
        <f t="shared" si="0"/>
        <v>21</v>
      </c>
      <c r="C22" s="49" t="str">
        <f>_xlfn.XLOOKUP(D22,Tab_Def_Flows[Name(EN)],Tab_Def_Flows[Flow_ID],,0,)</f>
        <v>F_21_21</v>
      </c>
      <c r="D22" s="51"/>
      <c r="E22" s="49">
        <f>_xlfn.XLOOKUP(D22,Tab_Def_Flows[Name(EN)],Tab_Def_Flows[Type_Biomass],,0,)</f>
        <v>0</v>
      </c>
      <c r="F22" s="49">
        <f>_xlfn.XLOOKUP(D22,Tab_Def_Flows[Name(EN)],Tab_Def_Flows[Output_Process],,0,)</f>
        <v>0</v>
      </c>
      <c r="G22" s="49" t="str">
        <f>_xlfn.XLOOKUP(D22,Tab_Def_Flows[Name(EN)],Tab_Def_Flows[Process_ID_O],,0,)</f>
        <v>21__</v>
      </c>
      <c r="H22" s="49">
        <f>_xlfn.XLOOKUP(D22,Tab_Def_Flows[Name(EN)],Tab_Def_Flows[Input_Process],,0,)</f>
        <v>0</v>
      </c>
      <c r="I22" s="61" t="str">
        <f>_xlfn.XLOOKUP(D22,Tab_Def_Flows[Name(EN)],Tab_Def_Flows[Process_ID_I],,0,)</f>
        <v>21__</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6"/>
      <c r="O22" s="99"/>
      <c r="P22" s="103"/>
      <c r="Q22" s="99"/>
      <c r="R22" s="106"/>
      <c r="S22" s="99"/>
    </row>
    <row r="23" spans="1:23" x14ac:dyDescent="0.35">
      <c r="A23" s="93" t="b">
        <v>0</v>
      </c>
      <c r="B23" s="49">
        <f t="shared" si="0"/>
        <v>22</v>
      </c>
      <c r="C23" s="49" t="str">
        <f>_xlfn.XLOOKUP(D23,Tab_Def_Flows[Name(EN)],Tab_Def_Flows[Flow_ID],,0,)</f>
        <v>F_21_21</v>
      </c>
      <c r="D23" s="51"/>
      <c r="E23" s="49">
        <f>_xlfn.XLOOKUP(D23,Tab_Def_Flows[Name(EN)],Tab_Def_Flows[Type_Biomass],,0,)</f>
        <v>0</v>
      </c>
      <c r="F23" s="49">
        <f>_xlfn.XLOOKUP(D23,Tab_Def_Flows[Name(EN)],Tab_Def_Flows[Output_Process],,0,)</f>
        <v>0</v>
      </c>
      <c r="G23" s="49" t="str">
        <f>_xlfn.XLOOKUP(D23,Tab_Def_Flows[Name(EN)],Tab_Def_Flows[Process_ID_O],,0,)</f>
        <v>21__</v>
      </c>
      <c r="H23" s="49">
        <f>_xlfn.XLOOKUP(D23,Tab_Def_Flows[Name(EN)],Tab_Def_Flows[Input_Process],,0,)</f>
        <v>0</v>
      </c>
      <c r="I23" s="61" t="str">
        <f>_xlfn.XLOOKUP(D23,Tab_Def_Flows[Name(EN)],Tab_Def_Flows[Process_ID_I],,0,)</f>
        <v>21__</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6"/>
      <c r="O23" s="99"/>
      <c r="P23" s="103"/>
      <c r="Q23" s="99"/>
      <c r="R23" s="106"/>
      <c r="S23" s="99"/>
    </row>
    <row r="24" spans="1:23" x14ac:dyDescent="0.35">
      <c r="A24" s="93" t="b">
        <v>0</v>
      </c>
      <c r="B24" s="49">
        <f t="shared" si="0"/>
        <v>23</v>
      </c>
      <c r="C24" s="49" t="str">
        <f>_xlfn.XLOOKUP(D24,Tab_Def_Flows[Name(EN)],Tab_Def_Flows[Flow_ID],,0,)</f>
        <v>F_21_21</v>
      </c>
      <c r="D24" s="51"/>
      <c r="E24" s="49">
        <f>_xlfn.XLOOKUP(D24,Tab_Def_Flows[Name(EN)],Tab_Def_Flows[Type_Biomass],,0,)</f>
        <v>0</v>
      </c>
      <c r="F24" s="49">
        <f>_xlfn.XLOOKUP(D24,Tab_Def_Flows[Name(EN)],Tab_Def_Flows[Output_Process],,0,)</f>
        <v>0</v>
      </c>
      <c r="G24" s="49" t="str">
        <f>_xlfn.XLOOKUP(D24,Tab_Def_Flows[Name(EN)],Tab_Def_Flows[Process_ID_O],,0,)</f>
        <v>21__</v>
      </c>
      <c r="H24" s="49">
        <f>_xlfn.XLOOKUP(D24,Tab_Def_Flows[Name(EN)],Tab_Def_Flows[Input_Process],,0,)</f>
        <v>0</v>
      </c>
      <c r="I24" s="61" t="str">
        <f>_xlfn.XLOOKUP(D24,Tab_Def_Flows[Name(EN)],Tab_Def_Flows[Process_ID_I],,0,)</f>
        <v>21__</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6"/>
      <c r="O24" s="99"/>
      <c r="P24" s="103"/>
      <c r="Q24" s="99"/>
      <c r="R24" s="106"/>
      <c r="S24" s="99"/>
    </row>
    <row r="25" spans="1:23" x14ac:dyDescent="0.35">
      <c r="A25" s="93" t="b">
        <v>0</v>
      </c>
      <c r="B25" s="49">
        <f t="shared" si="0"/>
        <v>24</v>
      </c>
      <c r="C25" s="49" t="str">
        <f>_xlfn.XLOOKUP(D25,Tab_Def_Flows[Name(EN)],Tab_Def_Flows[Flow_ID],,0,)</f>
        <v>F_21_21</v>
      </c>
      <c r="D25" s="51"/>
      <c r="E25" s="49">
        <f>_xlfn.XLOOKUP(D25,Tab_Def_Flows[Name(EN)],Tab_Def_Flows[Type_Biomass],,0,)</f>
        <v>0</v>
      </c>
      <c r="F25" s="49">
        <f>_xlfn.XLOOKUP(D25,Tab_Def_Flows[Name(EN)],Tab_Def_Flows[Output_Process],,0,)</f>
        <v>0</v>
      </c>
      <c r="G25" s="49" t="str">
        <f>_xlfn.XLOOKUP(D25,Tab_Def_Flows[Name(EN)],Tab_Def_Flows[Process_ID_O],,0,)</f>
        <v>21__</v>
      </c>
      <c r="H25" s="49">
        <f>_xlfn.XLOOKUP(D25,Tab_Def_Flows[Name(EN)],Tab_Def_Flows[Input_Process],,0,)</f>
        <v>0</v>
      </c>
      <c r="I25" s="61" t="str">
        <f>_xlfn.XLOOKUP(D25,Tab_Def_Flows[Name(EN)],Tab_Def_Flows[Process_ID_I],,0,)</f>
        <v>21__</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6"/>
      <c r="O25" s="99"/>
      <c r="P25" s="103"/>
      <c r="Q25" s="99"/>
      <c r="R25" s="106"/>
      <c r="S25" s="99"/>
    </row>
    <row r="26" spans="1:23" x14ac:dyDescent="0.35">
      <c r="A26" s="93" t="b">
        <v>0</v>
      </c>
      <c r="B26" s="49">
        <f t="shared" si="0"/>
        <v>25</v>
      </c>
      <c r="C26" s="49" t="str">
        <f>_xlfn.XLOOKUP(D26,Tab_Def_Flows[Name(EN)],Tab_Def_Flows[Flow_ID],,0,)</f>
        <v>F_21_21</v>
      </c>
      <c r="D26" s="51"/>
      <c r="E26" s="49">
        <f>_xlfn.XLOOKUP(D26,Tab_Def_Flows[Name(EN)],Tab_Def_Flows[Type_Biomass],,0,)</f>
        <v>0</v>
      </c>
      <c r="F26" s="49">
        <f>_xlfn.XLOOKUP(D26,Tab_Def_Flows[Name(EN)],Tab_Def_Flows[Output_Process],,0,)</f>
        <v>0</v>
      </c>
      <c r="G26" s="49" t="str">
        <f>_xlfn.XLOOKUP(D26,Tab_Def_Flows[Name(EN)],Tab_Def_Flows[Process_ID_O],,0,)</f>
        <v>21__</v>
      </c>
      <c r="H26" s="49">
        <f>_xlfn.XLOOKUP(D26,Tab_Def_Flows[Name(EN)],Tab_Def_Flows[Input_Process],,0,)</f>
        <v>0</v>
      </c>
      <c r="I26" s="61" t="str">
        <f>_xlfn.XLOOKUP(D26,Tab_Def_Flows[Name(EN)],Tab_Def_Flows[Process_ID_I],,0,)</f>
        <v>21__</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6"/>
      <c r="O26" s="99"/>
      <c r="P26" s="103"/>
      <c r="Q26" s="99"/>
      <c r="R26" s="106"/>
      <c r="S26" s="99"/>
    </row>
    <row r="27" spans="1:23" x14ac:dyDescent="0.35">
      <c r="A27" s="93" t="b">
        <v>0</v>
      </c>
      <c r="B27" s="49">
        <f t="shared" si="0"/>
        <v>26</v>
      </c>
      <c r="C27" s="49" t="str">
        <f>_xlfn.XLOOKUP(D27,Tab_Def_Flows[Name(EN)],Tab_Def_Flows[Flow_ID],,0,)</f>
        <v>F_21_21</v>
      </c>
      <c r="D27" s="51"/>
      <c r="E27" s="49">
        <f>_xlfn.XLOOKUP(D27,Tab_Def_Flows[Name(EN)],Tab_Def_Flows[Type_Biomass],,0,)</f>
        <v>0</v>
      </c>
      <c r="F27" s="49">
        <f>_xlfn.XLOOKUP(D27,Tab_Def_Flows[Name(EN)],Tab_Def_Flows[Output_Process],,0,)</f>
        <v>0</v>
      </c>
      <c r="G27" s="49" t="str">
        <f>_xlfn.XLOOKUP(D27,Tab_Def_Flows[Name(EN)],Tab_Def_Flows[Process_ID_O],,0,)</f>
        <v>21__</v>
      </c>
      <c r="H27" s="49">
        <f>_xlfn.XLOOKUP(D27,Tab_Def_Flows[Name(EN)],Tab_Def_Flows[Input_Process],,0,)</f>
        <v>0</v>
      </c>
      <c r="I27" s="61" t="str">
        <f>_xlfn.XLOOKUP(D27,Tab_Def_Flows[Name(EN)],Tab_Def_Flows[Process_ID_I],,0,)</f>
        <v>21__</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6"/>
      <c r="O27" s="99"/>
      <c r="P27" s="103"/>
      <c r="Q27" s="99"/>
      <c r="R27" s="106"/>
      <c r="S27" s="99"/>
    </row>
    <row r="28" spans="1:23" x14ac:dyDescent="0.35">
      <c r="A28" s="93" t="b">
        <v>0</v>
      </c>
      <c r="B28" s="49">
        <f t="shared" si="0"/>
        <v>27</v>
      </c>
      <c r="C28" s="49" t="str">
        <f>_xlfn.XLOOKUP(D28,Tab_Def_Flows[Name(EN)],Tab_Def_Flows[Flow_ID],,0,)</f>
        <v>F_21_21</v>
      </c>
      <c r="D28" s="51"/>
      <c r="E28" s="49">
        <f>_xlfn.XLOOKUP(D28,Tab_Def_Flows[Name(EN)],Tab_Def_Flows[Type_Biomass],,0,)</f>
        <v>0</v>
      </c>
      <c r="F28" s="49">
        <f>_xlfn.XLOOKUP(D28,Tab_Def_Flows[Name(EN)],Tab_Def_Flows[Output_Process],,0,)</f>
        <v>0</v>
      </c>
      <c r="G28" s="49" t="str">
        <f>_xlfn.XLOOKUP(D28,Tab_Def_Flows[Name(EN)],Tab_Def_Flows[Process_ID_O],,0,)</f>
        <v>21__</v>
      </c>
      <c r="H28" s="49">
        <f>_xlfn.XLOOKUP(D28,Tab_Def_Flows[Name(EN)],Tab_Def_Flows[Input_Process],,0,)</f>
        <v>0</v>
      </c>
      <c r="I28" s="61" t="str">
        <f>_xlfn.XLOOKUP(D28,Tab_Def_Flows[Name(EN)],Tab_Def_Flows[Process_ID_I],,0,)</f>
        <v>21__</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6"/>
      <c r="O28" s="99"/>
      <c r="P28" s="103"/>
      <c r="Q28" s="99"/>
      <c r="R28" s="106"/>
      <c r="S28" s="99"/>
    </row>
    <row r="29" spans="1:23" x14ac:dyDescent="0.35">
      <c r="A29" s="93" t="b">
        <v>0</v>
      </c>
      <c r="B29" s="49">
        <f t="shared" si="0"/>
        <v>28</v>
      </c>
      <c r="C29" s="49" t="str">
        <f>_xlfn.XLOOKUP(D29,Tab_Def_Flows[Name(EN)],Tab_Def_Flows[Flow_ID],,0,)</f>
        <v>F_21_21</v>
      </c>
      <c r="D29" s="51"/>
      <c r="E29" s="49">
        <f>_xlfn.XLOOKUP(D29,Tab_Def_Flows[Name(EN)],Tab_Def_Flows[Type_Biomass],,0,)</f>
        <v>0</v>
      </c>
      <c r="F29" s="49">
        <f>_xlfn.XLOOKUP(D29,Tab_Def_Flows[Name(EN)],Tab_Def_Flows[Output_Process],,0,)</f>
        <v>0</v>
      </c>
      <c r="G29" s="49" t="str">
        <f>_xlfn.XLOOKUP(D29,Tab_Def_Flows[Name(EN)],Tab_Def_Flows[Process_ID_O],,0,)</f>
        <v>21__</v>
      </c>
      <c r="H29" s="49">
        <f>_xlfn.XLOOKUP(D29,Tab_Def_Flows[Name(EN)],Tab_Def_Flows[Input_Process],,0,)</f>
        <v>0</v>
      </c>
      <c r="I29" s="61" t="str">
        <f>_xlfn.XLOOKUP(D29,Tab_Def_Flows[Name(EN)],Tab_Def_Flows[Process_ID_I],,0,)</f>
        <v>21__</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6"/>
      <c r="O29" s="99"/>
      <c r="P29" s="103"/>
      <c r="Q29" s="99"/>
      <c r="R29" s="106"/>
      <c r="S29" s="99"/>
    </row>
    <row r="30" spans="1:23" x14ac:dyDescent="0.35">
      <c r="A30" s="93" t="b">
        <v>0</v>
      </c>
      <c r="B30" s="49">
        <f t="shared" si="0"/>
        <v>29</v>
      </c>
      <c r="C30" s="49" t="str">
        <f>_xlfn.XLOOKUP(D30,Tab_Def_Flows[Name(EN)],Tab_Def_Flows[Flow_ID],,0,)</f>
        <v>F_21_21</v>
      </c>
      <c r="D30" s="51"/>
      <c r="E30" s="49">
        <f>_xlfn.XLOOKUP(D30,Tab_Def_Flows[Name(EN)],Tab_Def_Flows[Type_Biomass],,0,)</f>
        <v>0</v>
      </c>
      <c r="F30" s="49">
        <f>_xlfn.XLOOKUP(D30,Tab_Def_Flows[Name(EN)],Tab_Def_Flows[Output_Process],,0,)</f>
        <v>0</v>
      </c>
      <c r="G30" s="49" t="str">
        <f>_xlfn.XLOOKUP(D30,Tab_Def_Flows[Name(EN)],Tab_Def_Flows[Process_ID_O],,0,)</f>
        <v>21__</v>
      </c>
      <c r="H30" s="49">
        <f>_xlfn.XLOOKUP(D30,Tab_Def_Flows[Name(EN)],Tab_Def_Flows[Input_Process],,0,)</f>
        <v>0</v>
      </c>
      <c r="I30" s="61" t="str">
        <f>_xlfn.XLOOKUP(D30,Tab_Def_Flows[Name(EN)],Tab_Def_Flows[Process_ID_I],,0,)</f>
        <v>21__</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6"/>
      <c r="O30" s="99"/>
      <c r="P30" s="103"/>
      <c r="Q30" s="99"/>
      <c r="R30" s="106"/>
      <c r="S30" s="99"/>
    </row>
    <row r="31" spans="1:23" x14ac:dyDescent="0.35">
      <c r="A31" s="93" t="b">
        <v>0</v>
      </c>
      <c r="B31" s="49">
        <f t="shared" si="0"/>
        <v>30</v>
      </c>
      <c r="C31" s="49" t="str">
        <f>_xlfn.XLOOKUP(D31,Tab_Def_Flows[Name(EN)],Tab_Def_Flows[Flow_ID],,0,)</f>
        <v>F_21_21</v>
      </c>
      <c r="D31" s="51"/>
      <c r="E31" s="49">
        <f>_xlfn.XLOOKUP(D31,Tab_Def_Flows[Name(EN)],Tab_Def_Flows[Type_Biomass],,0,)</f>
        <v>0</v>
      </c>
      <c r="F31" s="49">
        <f>_xlfn.XLOOKUP(D31,Tab_Def_Flows[Name(EN)],Tab_Def_Flows[Output_Process],,0,)</f>
        <v>0</v>
      </c>
      <c r="G31" s="49" t="str">
        <f>_xlfn.XLOOKUP(D31,Tab_Def_Flows[Name(EN)],Tab_Def_Flows[Process_ID_O],,0,)</f>
        <v>21__</v>
      </c>
      <c r="H31" s="49">
        <f>_xlfn.XLOOKUP(D31,Tab_Def_Flows[Name(EN)],Tab_Def_Flows[Input_Process],,0,)</f>
        <v>0</v>
      </c>
      <c r="I31" s="61" t="str">
        <f>_xlfn.XLOOKUP(D31,Tab_Def_Flows[Name(EN)],Tab_Def_Flows[Process_ID_I],,0,)</f>
        <v>21__</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6"/>
      <c r="O31" s="99"/>
      <c r="P31" s="103"/>
      <c r="Q31" s="99"/>
      <c r="R31" s="106"/>
      <c r="S31" s="99"/>
    </row>
    <row r="32" spans="1:23" x14ac:dyDescent="0.35">
      <c r="A32" s="93" t="b">
        <v>0</v>
      </c>
      <c r="B32" s="49">
        <f t="shared" si="0"/>
        <v>31</v>
      </c>
      <c r="C32" s="49" t="str">
        <f>_xlfn.XLOOKUP(D32,Tab_Def_Flows[Name(EN)],Tab_Def_Flows[Flow_ID],,0,)</f>
        <v>F_21_21</v>
      </c>
      <c r="D32" s="51"/>
      <c r="E32" s="49">
        <f>_xlfn.XLOOKUP(D32,Tab_Def_Flows[Name(EN)],Tab_Def_Flows[Type_Biomass],,0,)</f>
        <v>0</v>
      </c>
      <c r="F32" s="49">
        <f>_xlfn.XLOOKUP(D32,Tab_Def_Flows[Name(EN)],Tab_Def_Flows[Output_Process],,0,)</f>
        <v>0</v>
      </c>
      <c r="G32" s="49" t="str">
        <f>_xlfn.XLOOKUP(D32,Tab_Def_Flows[Name(EN)],Tab_Def_Flows[Process_ID_O],,0,)</f>
        <v>21__</v>
      </c>
      <c r="H32" s="49">
        <f>_xlfn.XLOOKUP(D32,Tab_Def_Flows[Name(EN)],Tab_Def_Flows[Input_Process],,0,)</f>
        <v>0</v>
      </c>
      <c r="I32" s="61" t="str">
        <f>_xlfn.XLOOKUP(D32,Tab_Def_Flows[Name(EN)],Tab_Def_Flows[Process_ID_I],,0,)</f>
        <v>21__</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6"/>
      <c r="O32" s="99"/>
      <c r="P32" s="103"/>
      <c r="Q32" s="99"/>
      <c r="R32" s="106"/>
      <c r="S32" s="99"/>
    </row>
    <row r="33" spans="1:19" x14ac:dyDescent="0.35">
      <c r="A33" s="93" t="b">
        <v>0</v>
      </c>
      <c r="B33" s="49">
        <f t="shared" si="0"/>
        <v>32</v>
      </c>
      <c r="C33" s="49" t="str">
        <f>_xlfn.XLOOKUP(D33,Tab_Def_Flows[Name(EN)],Tab_Def_Flows[Flow_ID],,0,)</f>
        <v>F_21_21</v>
      </c>
      <c r="D33" s="51"/>
      <c r="E33" s="49">
        <f>_xlfn.XLOOKUP(D33,Tab_Def_Flows[Name(EN)],Tab_Def_Flows[Type_Biomass],,0,)</f>
        <v>0</v>
      </c>
      <c r="F33" s="49">
        <f>_xlfn.XLOOKUP(D33,Tab_Def_Flows[Name(EN)],Tab_Def_Flows[Output_Process],,0,)</f>
        <v>0</v>
      </c>
      <c r="G33" s="49" t="str">
        <f>_xlfn.XLOOKUP(D33,Tab_Def_Flows[Name(EN)],Tab_Def_Flows[Process_ID_O],,0,)</f>
        <v>21__</v>
      </c>
      <c r="H33" s="49">
        <f>_xlfn.XLOOKUP(D33,Tab_Def_Flows[Name(EN)],Tab_Def_Flows[Input_Process],,0,)</f>
        <v>0</v>
      </c>
      <c r="I33" s="61" t="str">
        <f>_xlfn.XLOOKUP(D33,Tab_Def_Flows[Name(EN)],Tab_Def_Flows[Process_ID_I],,0,)</f>
        <v>21__</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6"/>
      <c r="O33" s="99"/>
      <c r="P33" s="103"/>
      <c r="Q33" s="99"/>
      <c r="R33" s="106"/>
      <c r="S33" s="99"/>
    </row>
    <row r="34" spans="1:19" x14ac:dyDescent="0.35">
      <c r="A34" s="93" t="b">
        <v>0</v>
      </c>
      <c r="B34" s="49">
        <f t="shared" si="0"/>
        <v>33</v>
      </c>
      <c r="C34" s="49" t="str">
        <f>_xlfn.XLOOKUP(D34,Tab_Def_Flows[Name(EN)],Tab_Def_Flows[Flow_ID],,0,)</f>
        <v>F_21_21</v>
      </c>
      <c r="D34" s="51"/>
      <c r="E34" s="49">
        <f>_xlfn.XLOOKUP(D34,Tab_Def_Flows[Name(EN)],Tab_Def_Flows[Type_Biomass],,0,)</f>
        <v>0</v>
      </c>
      <c r="F34" s="49">
        <f>_xlfn.XLOOKUP(D34,Tab_Def_Flows[Name(EN)],Tab_Def_Flows[Output_Process],,0,)</f>
        <v>0</v>
      </c>
      <c r="G34" s="49" t="str">
        <f>_xlfn.XLOOKUP(D34,Tab_Def_Flows[Name(EN)],Tab_Def_Flows[Process_ID_O],,0,)</f>
        <v>21__</v>
      </c>
      <c r="H34" s="49">
        <f>_xlfn.XLOOKUP(D34,Tab_Def_Flows[Name(EN)],Tab_Def_Flows[Input_Process],,0,)</f>
        <v>0</v>
      </c>
      <c r="I34" s="61" t="str">
        <f>_xlfn.XLOOKUP(D34,Tab_Def_Flows[Name(EN)],Tab_Def_Flows[Process_ID_I],,0,)</f>
        <v>21__</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6"/>
      <c r="O34" s="99"/>
      <c r="P34" s="103"/>
      <c r="Q34" s="99"/>
      <c r="R34" s="106"/>
      <c r="S34" s="99"/>
    </row>
    <row r="35" spans="1:19" x14ac:dyDescent="0.35">
      <c r="A35" s="93" t="b">
        <v>0</v>
      </c>
      <c r="B35" s="49">
        <f t="shared" si="0"/>
        <v>34</v>
      </c>
      <c r="C35" s="49" t="str">
        <f>_xlfn.XLOOKUP(D35,Tab_Def_Flows[Name(EN)],Tab_Def_Flows[Flow_ID],,0,)</f>
        <v>F_21_21</v>
      </c>
      <c r="D35" s="51"/>
      <c r="E35" s="49">
        <f>_xlfn.XLOOKUP(D35,Tab_Def_Flows[Name(EN)],Tab_Def_Flows[Type_Biomass],,0,)</f>
        <v>0</v>
      </c>
      <c r="F35" s="49">
        <f>_xlfn.XLOOKUP(D35,Tab_Def_Flows[Name(EN)],Tab_Def_Flows[Output_Process],,0,)</f>
        <v>0</v>
      </c>
      <c r="G35" s="49" t="str">
        <f>_xlfn.XLOOKUP(D35,Tab_Def_Flows[Name(EN)],Tab_Def_Flows[Process_ID_O],,0,)</f>
        <v>21__</v>
      </c>
      <c r="H35" s="49">
        <f>_xlfn.XLOOKUP(D35,Tab_Def_Flows[Name(EN)],Tab_Def_Flows[Input_Process],,0,)</f>
        <v>0</v>
      </c>
      <c r="I35" s="61" t="str">
        <f>_xlfn.XLOOKUP(D35,Tab_Def_Flows[Name(EN)],Tab_Def_Flows[Process_ID_I],,0,)</f>
        <v>21__</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6"/>
      <c r="O35" s="99"/>
      <c r="P35" s="103"/>
      <c r="Q35" s="99"/>
      <c r="R35" s="106"/>
      <c r="S35" s="99"/>
    </row>
    <row r="36" spans="1:19" x14ac:dyDescent="0.35">
      <c r="A36" s="93" t="b">
        <v>0</v>
      </c>
      <c r="B36" s="49">
        <f t="shared" si="0"/>
        <v>35</v>
      </c>
      <c r="C36" s="49" t="str">
        <f>_xlfn.XLOOKUP(D36,Tab_Def_Flows[Name(EN)],Tab_Def_Flows[Flow_ID],,0,)</f>
        <v>F_21_21</v>
      </c>
      <c r="D36" s="51"/>
      <c r="E36" s="49">
        <f>_xlfn.XLOOKUP(D36,Tab_Def_Flows[Name(EN)],Tab_Def_Flows[Type_Biomass],,0,)</f>
        <v>0</v>
      </c>
      <c r="F36" s="49">
        <f>_xlfn.XLOOKUP(D36,Tab_Def_Flows[Name(EN)],Tab_Def_Flows[Output_Process],,0,)</f>
        <v>0</v>
      </c>
      <c r="G36" s="49" t="str">
        <f>_xlfn.XLOOKUP(D36,Tab_Def_Flows[Name(EN)],Tab_Def_Flows[Process_ID_O],,0,)</f>
        <v>21__</v>
      </c>
      <c r="H36" s="49">
        <f>_xlfn.XLOOKUP(D36,Tab_Def_Flows[Name(EN)],Tab_Def_Flows[Input_Process],,0,)</f>
        <v>0</v>
      </c>
      <c r="I36" s="61" t="str">
        <f>_xlfn.XLOOKUP(D36,Tab_Def_Flows[Name(EN)],Tab_Def_Flows[Process_ID_I],,0,)</f>
        <v>21__</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6"/>
      <c r="O36" s="99"/>
      <c r="P36" s="103"/>
      <c r="Q36" s="99"/>
      <c r="R36" s="106"/>
      <c r="S36" s="99"/>
    </row>
    <row r="37" spans="1:19" x14ac:dyDescent="0.35">
      <c r="A37" s="93" t="b">
        <v>0</v>
      </c>
      <c r="B37" s="49">
        <f t="shared" si="0"/>
        <v>36</v>
      </c>
      <c r="C37" s="49" t="str">
        <f>_xlfn.XLOOKUP(D37,Tab_Def_Flows[Name(EN)],Tab_Def_Flows[Flow_ID],,0,)</f>
        <v>F_21_21</v>
      </c>
      <c r="D37" s="51"/>
      <c r="E37" s="49">
        <f>_xlfn.XLOOKUP(D37,Tab_Def_Flows[Name(EN)],Tab_Def_Flows[Type_Biomass],,0,)</f>
        <v>0</v>
      </c>
      <c r="F37" s="49">
        <f>_xlfn.XLOOKUP(D37,Tab_Def_Flows[Name(EN)],Tab_Def_Flows[Output_Process],,0,)</f>
        <v>0</v>
      </c>
      <c r="G37" s="49" t="str">
        <f>_xlfn.XLOOKUP(D37,Tab_Def_Flows[Name(EN)],Tab_Def_Flows[Process_ID_O],,0,)</f>
        <v>21__</v>
      </c>
      <c r="H37" s="49">
        <f>_xlfn.XLOOKUP(D37,Tab_Def_Flows[Name(EN)],Tab_Def_Flows[Input_Process],,0,)</f>
        <v>0</v>
      </c>
      <c r="I37" s="61" t="str">
        <f>_xlfn.XLOOKUP(D37,Tab_Def_Flows[Name(EN)],Tab_Def_Flows[Process_ID_I],,0,)</f>
        <v>21__</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6"/>
      <c r="O37" s="99"/>
      <c r="P37" s="103"/>
      <c r="Q37" s="99"/>
      <c r="R37" s="106"/>
      <c r="S37" s="99"/>
    </row>
    <row r="38" spans="1:19" x14ac:dyDescent="0.35">
      <c r="A38" s="93" t="b">
        <v>0</v>
      </c>
      <c r="B38" s="49">
        <f t="shared" si="0"/>
        <v>37</v>
      </c>
      <c r="C38" s="49" t="str">
        <f>_xlfn.XLOOKUP(D38,Tab_Def_Flows[Name(EN)],Tab_Def_Flows[Flow_ID],,0,)</f>
        <v>F_21_21</v>
      </c>
      <c r="D38" s="51"/>
      <c r="E38" s="49">
        <f>_xlfn.XLOOKUP(D38,Tab_Def_Flows[Name(EN)],Tab_Def_Flows[Type_Biomass],,0,)</f>
        <v>0</v>
      </c>
      <c r="F38" s="49">
        <f>_xlfn.XLOOKUP(D38,Tab_Def_Flows[Name(EN)],Tab_Def_Flows[Output_Process],,0,)</f>
        <v>0</v>
      </c>
      <c r="G38" s="49" t="str">
        <f>_xlfn.XLOOKUP(D38,Tab_Def_Flows[Name(EN)],Tab_Def_Flows[Process_ID_O],,0,)</f>
        <v>21__</v>
      </c>
      <c r="H38" s="49">
        <f>_xlfn.XLOOKUP(D38,Tab_Def_Flows[Name(EN)],Tab_Def_Flows[Input_Process],,0,)</f>
        <v>0</v>
      </c>
      <c r="I38" s="61" t="str">
        <f>_xlfn.XLOOKUP(D38,Tab_Def_Flows[Name(EN)],Tab_Def_Flows[Process_ID_I],,0,)</f>
        <v>21__</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6"/>
      <c r="O38" s="99"/>
      <c r="P38" s="103"/>
      <c r="Q38" s="99"/>
      <c r="R38" s="106"/>
      <c r="S38" s="99"/>
    </row>
    <row r="39" spans="1:19" x14ac:dyDescent="0.35">
      <c r="A39" s="93" t="b">
        <v>0</v>
      </c>
      <c r="B39" s="49">
        <f t="shared" si="0"/>
        <v>38</v>
      </c>
      <c r="C39" s="49" t="str">
        <f>_xlfn.XLOOKUP(D39,Tab_Def_Flows[Name(EN)],Tab_Def_Flows[Flow_ID],,0,)</f>
        <v>F_21_21</v>
      </c>
      <c r="D39" s="51"/>
      <c r="E39" s="49">
        <f>_xlfn.XLOOKUP(D39,Tab_Def_Flows[Name(EN)],Tab_Def_Flows[Type_Biomass],,0,)</f>
        <v>0</v>
      </c>
      <c r="F39" s="49">
        <f>_xlfn.XLOOKUP(D39,Tab_Def_Flows[Name(EN)],Tab_Def_Flows[Output_Process],,0,)</f>
        <v>0</v>
      </c>
      <c r="G39" s="49" t="str">
        <f>_xlfn.XLOOKUP(D39,Tab_Def_Flows[Name(EN)],Tab_Def_Flows[Process_ID_O],,0,)</f>
        <v>21__</v>
      </c>
      <c r="H39" s="49">
        <f>_xlfn.XLOOKUP(D39,Tab_Def_Flows[Name(EN)],Tab_Def_Flows[Input_Process],,0,)</f>
        <v>0</v>
      </c>
      <c r="I39" s="61" t="str">
        <f>_xlfn.XLOOKUP(D39,Tab_Def_Flows[Name(EN)],Tab_Def_Flows[Process_ID_I],,0,)</f>
        <v>21__</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6"/>
      <c r="O39" s="99"/>
      <c r="P39" s="103"/>
      <c r="Q39" s="99"/>
      <c r="R39" s="106"/>
      <c r="S39" s="99"/>
    </row>
    <row r="40" spans="1:19" x14ac:dyDescent="0.35">
      <c r="A40" s="93" t="b">
        <v>0</v>
      </c>
      <c r="B40" s="49">
        <f t="shared" si="0"/>
        <v>39</v>
      </c>
      <c r="C40" s="49" t="str">
        <f>_xlfn.XLOOKUP(D40,Tab_Def_Flows[Name(EN)],Tab_Def_Flows[Flow_ID],,0,)</f>
        <v>F_21_21</v>
      </c>
      <c r="D40" s="51"/>
      <c r="E40" s="49">
        <f>_xlfn.XLOOKUP(D40,Tab_Def_Flows[Name(EN)],Tab_Def_Flows[Type_Biomass],,0,)</f>
        <v>0</v>
      </c>
      <c r="F40" s="49">
        <f>_xlfn.XLOOKUP(D40,Tab_Def_Flows[Name(EN)],Tab_Def_Flows[Output_Process],,0,)</f>
        <v>0</v>
      </c>
      <c r="G40" s="49" t="str">
        <f>_xlfn.XLOOKUP(D40,Tab_Def_Flows[Name(EN)],Tab_Def_Flows[Process_ID_O],,0,)</f>
        <v>21__</v>
      </c>
      <c r="H40" s="49">
        <f>_xlfn.XLOOKUP(D40,Tab_Def_Flows[Name(EN)],Tab_Def_Flows[Input_Process],,0,)</f>
        <v>0</v>
      </c>
      <c r="I40" s="61" t="str">
        <f>_xlfn.XLOOKUP(D40,Tab_Def_Flows[Name(EN)],Tab_Def_Flows[Process_ID_I],,0,)</f>
        <v>21__</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6"/>
      <c r="O40" s="99"/>
      <c r="P40" s="103"/>
      <c r="Q40" s="99"/>
      <c r="R40" s="106"/>
      <c r="S40" s="99"/>
    </row>
    <row r="41" spans="1:19" ht="15" thickBot="1" x14ac:dyDescent="0.4">
      <c r="A41" s="93" t="b">
        <v>0</v>
      </c>
      <c r="B41" s="49">
        <f t="shared" si="0"/>
        <v>40</v>
      </c>
      <c r="C41" s="49" t="str">
        <f>_xlfn.XLOOKUP(D41,Tab_Def_Flows[Name(EN)],Tab_Def_Flows[Flow_ID],,0,)</f>
        <v>F_21_21</v>
      </c>
      <c r="D41" s="51"/>
      <c r="E41" s="49">
        <f>_xlfn.XLOOKUP(D41,Tab_Def_Flows[Name(EN)],Tab_Def_Flows[Type_Biomass],,0,)</f>
        <v>0</v>
      </c>
      <c r="F41" s="49">
        <f>_xlfn.XLOOKUP(D41,Tab_Def_Flows[Name(EN)],Tab_Def_Flows[Output_Process],,0,)</f>
        <v>0</v>
      </c>
      <c r="G41" s="49" t="str">
        <f>_xlfn.XLOOKUP(D41,Tab_Def_Flows[Name(EN)],Tab_Def_Flows[Process_ID_O],,0,)</f>
        <v>21__</v>
      </c>
      <c r="H41" s="49">
        <f>_xlfn.XLOOKUP(D41,Tab_Def_Flows[Name(EN)],Tab_Def_Flows[Input_Process],,0,)</f>
        <v>0</v>
      </c>
      <c r="I41" s="61" t="str">
        <f>_xlfn.XLOOKUP(D41,Tab_Def_Flows[Name(EN)],Tab_Def_Flows[Process_ID_I],,0,)</f>
        <v>21__</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7"/>
      <c r="O41" s="100"/>
      <c r="P41" s="104"/>
      <c r="Q41" s="100"/>
      <c r="R41" s="107"/>
      <c r="S41" s="100"/>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'1_1_Definition_Flows'!$D$2:$D$77</xm:f>
          </x14:formula1>
          <xm:sqref>D1:D16 D22:D1048576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dimension ref="B4:AV13"/>
  <sheetViews>
    <sheetView topLeftCell="AD1" zoomScale="130" zoomScaleNormal="130" workbookViewId="0">
      <selection activeCell="AS8" sqref="AS8"/>
    </sheetView>
  </sheetViews>
  <sheetFormatPr defaultColWidth="10.81640625" defaultRowHeight="14.5" x14ac:dyDescent="0.35"/>
  <cols>
    <col min="3" max="3" width="16.26953125" customWidth="1"/>
    <col min="4" max="4" width="22" customWidth="1"/>
    <col min="5" max="5" width="13.26953125" customWidth="1"/>
    <col min="6" max="6" width="12.453125" customWidth="1"/>
    <col min="8" max="8" width="12.453125" customWidth="1"/>
    <col min="10" max="10" width="12.453125" customWidth="1"/>
    <col min="12" max="12" width="12.453125" customWidth="1"/>
    <col min="14" max="14" width="12.453125" customWidth="1"/>
    <col min="16" max="16" width="13.81640625" customWidth="1"/>
    <col min="18" max="18" width="14.54296875" customWidth="1"/>
    <col min="20" max="20" width="13.81640625" customWidth="1"/>
    <col min="22" max="22" width="13.81640625" customWidth="1"/>
    <col min="24" max="24" width="16.453125" customWidth="1"/>
    <col min="26" max="26" width="15" customWidth="1"/>
    <col min="28" max="28" width="14.1796875" customWidth="1"/>
    <col min="29" max="29" width="24.81640625" customWidth="1"/>
    <col min="32" max="32" width="11.453125" style="7"/>
    <col min="34" max="34" width="11.453125" style="7"/>
    <col min="36" max="36" width="11.453125" style="7"/>
    <col min="38" max="38" width="11.453125" style="7"/>
    <col min="40" max="40" width="11.453125" style="7"/>
    <col min="42" max="43" width="11.453125" style="7"/>
    <col min="47" max="47" width="16.26953125" customWidth="1"/>
  </cols>
  <sheetData>
    <row r="4" spans="2:48" x14ac:dyDescent="0.35">
      <c r="B4" s="129" t="s">
        <v>2</v>
      </c>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t="s">
        <v>91</v>
      </c>
      <c r="AF4" s="129"/>
      <c r="AG4" s="129"/>
      <c r="AH4" s="129"/>
      <c r="AI4" s="129"/>
      <c r="AJ4" s="129"/>
      <c r="AK4" s="129"/>
      <c r="AL4" s="129"/>
      <c r="AM4" s="129"/>
      <c r="AN4" s="129"/>
      <c r="AO4" s="1"/>
      <c r="AP4" s="8"/>
      <c r="AQ4" s="8"/>
      <c r="AR4" s="129" t="s">
        <v>18</v>
      </c>
      <c r="AS4" s="129"/>
      <c r="AT4" s="129"/>
      <c r="AU4" s="129"/>
      <c r="AV4" s="129"/>
    </row>
    <row r="5" spans="2:48" x14ac:dyDescent="0.35">
      <c r="B5" t="s">
        <v>1</v>
      </c>
      <c r="C5" t="s">
        <v>3</v>
      </c>
      <c r="D5" t="s">
        <v>78</v>
      </c>
      <c r="E5" t="s">
        <v>12</v>
      </c>
      <c r="F5" t="s">
        <v>103</v>
      </c>
      <c r="G5" t="s">
        <v>108</v>
      </c>
      <c r="H5" t="s">
        <v>104</v>
      </c>
      <c r="I5" t="s">
        <v>109</v>
      </c>
      <c r="J5" t="s">
        <v>105</v>
      </c>
      <c r="K5" t="s">
        <v>110</v>
      </c>
      <c r="L5" t="s">
        <v>106</v>
      </c>
      <c r="M5" t="s">
        <v>111</v>
      </c>
      <c r="N5" t="s">
        <v>107</v>
      </c>
      <c r="O5" t="s">
        <v>112</v>
      </c>
      <c r="P5" t="s">
        <v>113</v>
      </c>
      <c r="Q5" t="s">
        <v>141</v>
      </c>
      <c r="R5" t="s">
        <v>114</v>
      </c>
      <c r="S5" t="s">
        <v>142</v>
      </c>
      <c r="T5" t="s">
        <v>115</v>
      </c>
      <c r="U5" t="s">
        <v>143</v>
      </c>
      <c r="V5" t="s">
        <v>116</v>
      </c>
      <c r="W5" t="s">
        <v>144</v>
      </c>
      <c r="X5" t="s">
        <v>127</v>
      </c>
      <c r="Y5" t="s">
        <v>145</v>
      </c>
      <c r="Z5" t="s">
        <v>128</v>
      </c>
      <c r="AA5" t="s">
        <v>129</v>
      </c>
      <c r="AB5" t="s">
        <v>67</v>
      </c>
      <c r="AC5" t="s">
        <v>70</v>
      </c>
      <c r="AD5" t="s">
        <v>6</v>
      </c>
      <c r="AE5" t="s">
        <v>92</v>
      </c>
      <c r="AF5" s="7" t="s">
        <v>93</v>
      </c>
      <c r="AG5" t="s">
        <v>94</v>
      </c>
      <c r="AH5" s="7" t="s">
        <v>95</v>
      </c>
      <c r="AI5" t="s">
        <v>96</v>
      </c>
      <c r="AJ5" s="7" t="s">
        <v>97</v>
      </c>
      <c r="AK5" t="s">
        <v>98</v>
      </c>
      <c r="AL5" s="7" t="s">
        <v>99</v>
      </c>
      <c r="AM5" t="s">
        <v>100</v>
      </c>
      <c r="AN5" s="7" t="s">
        <v>101</v>
      </c>
      <c r="AO5" t="s">
        <v>131</v>
      </c>
      <c r="AP5" s="7" t="s">
        <v>132</v>
      </c>
      <c r="AQ5" s="7" t="s">
        <v>133</v>
      </c>
      <c r="AR5" t="s">
        <v>146</v>
      </c>
      <c r="AS5" t="s">
        <v>147</v>
      </c>
      <c r="AT5" t="s">
        <v>9</v>
      </c>
      <c r="AU5" t="s">
        <v>8</v>
      </c>
      <c r="AV5" t="s">
        <v>10</v>
      </c>
    </row>
    <row r="6" spans="2:48" x14ac:dyDescent="0.35">
      <c r="B6">
        <v>1</v>
      </c>
      <c r="C6" t="s">
        <v>15</v>
      </c>
      <c r="D6" t="s">
        <v>79</v>
      </c>
      <c r="E6" t="s">
        <v>14</v>
      </c>
      <c r="F6" t="s">
        <v>69</v>
      </c>
      <c r="H6" t="s">
        <v>86</v>
      </c>
      <c r="I6" t="s">
        <v>86</v>
      </c>
      <c r="J6" t="s">
        <v>86</v>
      </c>
      <c r="K6" t="s">
        <v>86</v>
      </c>
      <c r="L6" t="s">
        <v>86</v>
      </c>
      <c r="M6" t="s">
        <v>86</v>
      </c>
      <c r="N6" t="s">
        <v>86</v>
      </c>
      <c r="O6" t="s">
        <v>86</v>
      </c>
      <c r="P6" t="s">
        <v>14</v>
      </c>
      <c r="R6" t="s">
        <v>86</v>
      </c>
      <c r="S6" t="s">
        <v>86</v>
      </c>
      <c r="T6" t="s">
        <v>86</v>
      </c>
      <c r="U6" t="s">
        <v>86</v>
      </c>
      <c r="V6" t="s">
        <v>86</v>
      </c>
      <c r="W6" t="s">
        <v>86</v>
      </c>
      <c r="X6" t="s">
        <v>86</v>
      </c>
      <c r="Y6" t="s">
        <v>86</v>
      </c>
      <c r="Z6" t="s">
        <v>86</v>
      </c>
      <c r="AA6" t="s">
        <v>86</v>
      </c>
      <c r="AB6" t="s">
        <v>68</v>
      </c>
      <c r="AC6" t="s">
        <v>71</v>
      </c>
      <c r="AD6">
        <v>2022</v>
      </c>
      <c r="AE6" t="s">
        <v>86</v>
      </c>
    </row>
    <row r="7" spans="2:48" x14ac:dyDescent="0.35">
      <c r="B7">
        <v>2</v>
      </c>
      <c r="C7" t="s">
        <v>15</v>
      </c>
      <c r="D7" t="s">
        <v>81</v>
      </c>
      <c r="E7" t="s">
        <v>14</v>
      </c>
      <c r="F7" t="s">
        <v>69</v>
      </c>
      <c r="H7" t="s">
        <v>86</v>
      </c>
      <c r="I7" t="s">
        <v>86</v>
      </c>
      <c r="J7" t="s">
        <v>86</v>
      </c>
      <c r="K7" t="s">
        <v>86</v>
      </c>
      <c r="L7" t="s">
        <v>86</v>
      </c>
      <c r="M7" t="s">
        <v>86</v>
      </c>
      <c r="N7" t="s">
        <v>86</v>
      </c>
      <c r="O7" t="s">
        <v>86</v>
      </c>
      <c r="P7" t="s">
        <v>14</v>
      </c>
      <c r="R7" t="s">
        <v>86</v>
      </c>
      <c r="S7" t="s">
        <v>86</v>
      </c>
      <c r="T7" t="s">
        <v>86</v>
      </c>
      <c r="U7" t="s">
        <v>86</v>
      </c>
      <c r="V7" t="s">
        <v>86</v>
      </c>
      <c r="W7" t="s">
        <v>86</v>
      </c>
      <c r="X7" t="s">
        <v>86</v>
      </c>
      <c r="Y7" t="s">
        <v>86</v>
      </c>
      <c r="Z7" t="s">
        <v>86</v>
      </c>
      <c r="AA7" t="s">
        <v>86</v>
      </c>
      <c r="AB7" t="s">
        <v>68</v>
      </c>
      <c r="AC7" t="s">
        <v>71</v>
      </c>
      <c r="AD7">
        <v>2022</v>
      </c>
      <c r="AE7" t="s">
        <v>86</v>
      </c>
    </row>
    <row r="8" spans="2:48" x14ac:dyDescent="0.35">
      <c r="B8">
        <v>3</v>
      </c>
      <c r="C8" t="s">
        <v>15</v>
      </c>
      <c r="D8" t="s">
        <v>79</v>
      </c>
      <c r="E8" t="s">
        <v>14</v>
      </c>
      <c r="F8" t="s">
        <v>69</v>
      </c>
      <c r="H8" t="s">
        <v>86</v>
      </c>
      <c r="I8" t="s">
        <v>86</v>
      </c>
      <c r="J8" t="s">
        <v>86</v>
      </c>
      <c r="K8" t="s">
        <v>86</v>
      </c>
      <c r="L8" t="s">
        <v>86</v>
      </c>
      <c r="M8" t="s">
        <v>86</v>
      </c>
      <c r="N8" t="s">
        <v>86</v>
      </c>
      <c r="O8" t="s">
        <v>86</v>
      </c>
      <c r="P8" t="s">
        <v>14</v>
      </c>
      <c r="R8" t="s">
        <v>86</v>
      </c>
      <c r="S8" t="s">
        <v>86</v>
      </c>
      <c r="T8" t="s">
        <v>86</v>
      </c>
      <c r="U8" t="s">
        <v>86</v>
      </c>
      <c r="V8" t="s">
        <v>86</v>
      </c>
      <c r="W8" t="s">
        <v>86</v>
      </c>
      <c r="X8" t="s">
        <v>86</v>
      </c>
      <c r="Y8" t="s">
        <v>86</v>
      </c>
      <c r="Z8" t="s">
        <v>86</v>
      </c>
      <c r="AA8" t="s">
        <v>86</v>
      </c>
      <c r="AB8" t="s">
        <v>68</v>
      </c>
      <c r="AC8" t="s">
        <v>71</v>
      </c>
      <c r="AD8">
        <v>2012</v>
      </c>
      <c r="AE8" t="s">
        <v>86</v>
      </c>
    </row>
    <row r="9" spans="2:48" x14ac:dyDescent="0.35">
      <c r="B9">
        <v>4</v>
      </c>
      <c r="C9" t="s">
        <v>15</v>
      </c>
      <c r="D9" t="s">
        <v>85</v>
      </c>
      <c r="E9" t="s">
        <v>14</v>
      </c>
      <c r="F9" t="s">
        <v>69</v>
      </c>
      <c r="H9" t="s">
        <v>86</v>
      </c>
      <c r="I9" t="s">
        <v>86</v>
      </c>
      <c r="J9" t="s">
        <v>86</v>
      </c>
      <c r="K9" t="s">
        <v>86</v>
      </c>
      <c r="L9" t="s">
        <v>86</v>
      </c>
      <c r="M9" t="s">
        <v>86</v>
      </c>
      <c r="N9" t="s">
        <v>86</v>
      </c>
      <c r="O9" t="s">
        <v>86</v>
      </c>
      <c r="P9" t="s">
        <v>14</v>
      </c>
      <c r="R9" t="s">
        <v>86</v>
      </c>
      <c r="S9" t="s">
        <v>86</v>
      </c>
      <c r="T9" t="s">
        <v>86</v>
      </c>
      <c r="U9" t="s">
        <v>86</v>
      </c>
      <c r="V9" t="s">
        <v>86</v>
      </c>
      <c r="W9" t="s">
        <v>86</v>
      </c>
      <c r="X9" t="s">
        <v>86</v>
      </c>
      <c r="Y9" t="s">
        <v>86</v>
      </c>
      <c r="Z9" t="s">
        <v>86</v>
      </c>
      <c r="AA9" t="s">
        <v>86</v>
      </c>
      <c r="AB9" t="s">
        <v>68</v>
      </c>
      <c r="AC9" t="s">
        <v>71</v>
      </c>
      <c r="AD9">
        <v>2012</v>
      </c>
      <c r="AE9" t="s">
        <v>86</v>
      </c>
    </row>
    <row r="10" spans="2:48" x14ac:dyDescent="0.35">
      <c r="B10">
        <v>5</v>
      </c>
      <c r="C10" t="s">
        <v>102</v>
      </c>
      <c r="D10" t="s">
        <v>79</v>
      </c>
      <c r="E10" t="s">
        <v>14</v>
      </c>
      <c r="F10" t="s">
        <v>14</v>
      </c>
      <c r="H10" t="s">
        <v>86</v>
      </c>
      <c r="I10" t="s">
        <v>86</v>
      </c>
      <c r="J10" t="s">
        <v>86</v>
      </c>
      <c r="K10" t="s">
        <v>86</v>
      </c>
      <c r="L10" t="s">
        <v>86</v>
      </c>
      <c r="M10" t="s">
        <v>86</v>
      </c>
      <c r="N10" t="s">
        <v>86</v>
      </c>
      <c r="O10" t="s">
        <v>86</v>
      </c>
      <c r="P10" t="s">
        <v>117</v>
      </c>
      <c r="R10" t="s">
        <v>118</v>
      </c>
      <c r="T10" t="s">
        <v>119</v>
      </c>
      <c r="V10" t="s">
        <v>120</v>
      </c>
      <c r="X10" t="s">
        <v>86</v>
      </c>
      <c r="Y10" t="s">
        <v>86</v>
      </c>
      <c r="Z10" t="s">
        <v>86</v>
      </c>
      <c r="AA10" t="s">
        <v>86</v>
      </c>
      <c r="AB10" t="s">
        <v>71</v>
      </c>
      <c r="AC10" t="s">
        <v>71</v>
      </c>
      <c r="AE10" t="s">
        <v>86</v>
      </c>
    </row>
    <row r="11" spans="2:48" x14ac:dyDescent="0.35">
      <c r="B11">
        <v>6</v>
      </c>
      <c r="C11" t="s">
        <v>16</v>
      </c>
      <c r="D11" t="s">
        <v>79</v>
      </c>
      <c r="E11" t="s">
        <v>14</v>
      </c>
      <c r="F11" t="s">
        <v>121</v>
      </c>
      <c r="H11" t="s">
        <v>86</v>
      </c>
      <c r="I11" t="s">
        <v>86</v>
      </c>
      <c r="J11" t="s">
        <v>86</v>
      </c>
      <c r="K11" t="s">
        <v>86</v>
      </c>
      <c r="L11" t="s">
        <v>86</v>
      </c>
      <c r="M11" t="s">
        <v>86</v>
      </c>
      <c r="N11" t="s">
        <v>86</v>
      </c>
      <c r="O11" t="s">
        <v>86</v>
      </c>
      <c r="P11" t="s">
        <v>122</v>
      </c>
      <c r="R11" t="s">
        <v>123</v>
      </c>
      <c r="T11" t="s">
        <v>124</v>
      </c>
      <c r="V11" t="s">
        <v>125</v>
      </c>
      <c r="X11" t="s">
        <v>126</v>
      </c>
      <c r="Z11" t="s">
        <v>130</v>
      </c>
      <c r="AB11" t="s">
        <v>71</v>
      </c>
      <c r="AC11" t="s">
        <v>68</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136</v>
      </c>
      <c r="AS11">
        <v>2024</v>
      </c>
      <c r="AT11" t="s">
        <v>134</v>
      </c>
      <c r="AU11" t="s">
        <v>135</v>
      </c>
      <c r="AV11" t="s">
        <v>86</v>
      </c>
    </row>
    <row r="12" spans="2:48" x14ac:dyDescent="0.35">
      <c r="B12">
        <v>7</v>
      </c>
    </row>
    <row r="13" spans="2:48" x14ac:dyDescent="0.3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dimension ref="A1"/>
  <sheetViews>
    <sheetView workbookViewId="0">
      <selection activeCell="J50" sqref="J50"/>
    </sheetView>
  </sheetViews>
  <sheetFormatPr defaultColWidth="10.81640625" defaultRowHeight="14.5" x14ac:dyDescent="0.35"/>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dimension ref="B1:AP49"/>
  <sheetViews>
    <sheetView workbookViewId="0">
      <selection activeCell="T38" sqref="T38"/>
    </sheetView>
  </sheetViews>
  <sheetFormatPr defaultColWidth="10.81640625" defaultRowHeight="14.5" x14ac:dyDescent="0.35"/>
  <cols>
    <col min="3" max="3" width="11.453125" customWidth="1"/>
    <col min="4" max="4" width="28.1796875" customWidth="1"/>
    <col min="5" max="5" width="20.1796875" customWidth="1"/>
    <col min="6" max="6" width="14.453125" customWidth="1"/>
    <col min="7" max="7" width="22.1796875" customWidth="1"/>
    <col min="8" max="8" width="19.54296875" customWidth="1"/>
    <col min="9" max="9" width="12" customWidth="1"/>
    <col min="10" max="10" width="14.7265625" customWidth="1"/>
    <col min="11" max="11" width="12" customWidth="1"/>
    <col min="12" max="12" width="14.7265625" customWidth="1"/>
    <col min="13" max="13" width="12" customWidth="1"/>
    <col min="14" max="14" width="14.7265625" customWidth="1"/>
    <col min="15" max="15" width="12" customWidth="1"/>
    <col min="16" max="16" width="14.7265625" customWidth="1"/>
    <col min="17" max="17" width="12" customWidth="1"/>
    <col min="18" max="18" width="17.1796875" customWidth="1"/>
    <col min="19" max="19" width="12.81640625" customWidth="1"/>
    <col min="20" max="20" width="17.1796875" customWidth="1"/>
    <col min="21" max="21" width="12.81640625" customWidth="1"/>
    <col min="22" max="22" width="17.1796875" customWidth="1"/>
    <col min="23" max="23" width="12.81640625" customWidth="1"/>
    <col min="24" max="24" width="17.1796875" customWidth="1"/>
    <col min="25" max="25" width="12.81640625" customWidth="1"/>
    <col min="26" max="26" width="17.1796875" customWidth="1"/>
    <col min="27" max="27" width="12.81640625" customWidth="1"/>
    <col min="28" max="28" width="17.1796875" customWidth="1"/>
    <col min="29" max="29" width="13.81640625" customWidth="1"/>
    <col min="30" max="30" width="15.453125" customWidth="1"/>
    <col min="31" max="31" width="27" customWidth="1"/>
    <col min="35" max="35" width="24" customWidth="1"/>
    <col min="36" max="36" width="16.54296875" customWidth="1"/>
    <col min="41" max="41" width="17.54296875" customWidth="1"/>
    <col min="42" max="42" width="18.54296875" customWidth="1"/>
  </cols>
  <sheetData>
    <row r="1" spans="2:42" ht="15" thickBot="1" x14ac:dyDescent="0.4"/>
    <row r="2" spans="2:42" ht="15" thickBot="1" x14ac:dyDescent="0.4">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131" t="s">
        <v>90</v>
      </c>
      <c r="AH2" s="132"/>
      <c r="AI2" s="132"/>
      <c r="AJ2" s="132"/>
      <c r="AK2" s="133"/>
      <c r="AL2" s="131" t="s">
        <v>192</v>
      </c>
      <c r="AM2" s="132"/>
      <c r="AN2" s="132"/>
      <c r="AO2" s="132"/>
      <c r="AP2" s="133"/>
    </row>
    <row r="3" spans="2:42" x14ac:dyDescent="0.35">
      <c r="B3" s="27" t="s">
        <v>1</v>
      </c>
      <c r="C3" s="24" t="s">
        <v>148</v>
      </c>
      <c r="D3" s="24" t="s">
        <v>3</v>
      </c>
      <c r="E3" s="24" t="s">
        <v>78</v>
      </c>
      <c r="F3" s="24" t="s">
        <v>12</v>
      </c>
      <c r="G3" s="37" t="s">
        <v>172</v>
      </c>
      <c r="H3" s="25" t="s">
        <v>150</v>
      </c>
      <c r="I3" s="26" t="s">
        <v>151</v>
      </c>
      <c r="J3" s="26" t="s">
        <v>153</v>
      </c>
      <c r="K3" s="26" t="s">
        <v>152</v>
      </c>
      <c r="L3" s="26" t="s">
        <v>155</v>
      </c>
      <c r="M3" s="26" t="s">
        <v>154</v>
      </c>
      <c r="N3" s="26" t="s">
        <v>156</v>
      </c>
      <c r="O3" s="26" t="s">
        <v>157</v>
      </c>
      <c r="P3" s="26" t="s">
        <v>158</v>
      </c>
      <c r="Q3" s="32" t="s">
        <v>159</v>
      </c>
      <c r="R3" s="25" t="s">
        <v>160</v>
      </c>
      <c r="S3" s="26" t="s">
        <v>161</v>
      </c>
      <c r="T3" s="26" t="s">
        <v>162</v>
      </c>
      <c r="U3" s="26" t="s">
        <v>163</v>
      </c>
      <c r="V3" s="26" t="s">
        <v>164</v>
      </c>
      <c r="W3" s="26" t="s">
        <v>165</v>
      </c>
      <c r="X3" s="26" t="s">
        <v>166</v>
      </c>
      <c r="Y3" s="26" t="s">
        <v>167</v>
      </c>
      <c r="Z3" s="26" t="s">
        <v>168</v>
      </c>
      <c r="AA3" s="26" t="s">
        <v>169</v>
      </c>
      <c r="AB3" s="26" t="s">
        <v>170</v>
      </c>
      <c r="AC3" s="32" t="s">
        <v>171</v>
      </c>
      <c r="AD3" s="24" t="s">
        <v>67</v>
      </c>
      <c r="AE3" s="24" t="s">
        <v>70</v>
      </c>
      <c r="AF3" s="29" t="s">
        <v>6</v>
      </c>
      <c r="AG3" s="15" t="s">
        <v>72</v>
      </c>
      <c r="AH3" t="s">
        <v>7</v>
      </c>
      <c r="AI3" t="s">
        <v>82</v>
      </c>
      <c r="AJ3" t="s">
        <v>73</v>
      </c>
      <c r="AK3" s="16" t="s">
        <v>138</v>
      </c>
      <c r="AL3" s="15" t="s">
        <v>139</v>
      </c>
      <c r="AM3" t="s">
        <v>140</v>
      </c>
      <c r="AN3" t="s">
        <v>9</v>
      </c>
      <c r="AO3" t="s">
        <v>8</v>
      </c>
      <c r="AP3" s="16" t="s">
        <v>10</v>
      </c>
    </row>
    <row r="4" spans="2:42" x14ac:dyDescent="0.3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80</v>
      </c>
      <c r="AI4" t="s">
        <v>83</v>
      </c>
      <c r="AJ4">
        <v>19579</v>
      </c>
      <c r="AK4" s="16" t="s">
        <v>80</v>
      </c>
      <c r="AL4" s="15" t="s">
        <v>74</v>
      </c>
      <c r="AM4">
        <v>2024</v>
      </c>
      <c r="AN4" t="s">
        <v>75</v>
      </c>
      <c r="AO4" t="s">
        <v>76</v>
      </c>
      <c r="AP4" s="16" t="s">
        <v>77</v>
      </c>
    </row>
    <row r="5" spans="2:42" x14ac:dyDescent="0.3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80</v>
      </c>
      <c r="AI5" t="s">
        <v>83</v>
      </c>
      <c r="AJ5">
        <v>-174</v>
      </c>
      <c r="AK5" s="16" t="s">
        <v>80</v>
      </c>
      <c r="AL5" s="15" t="s">
        <v>74</v>
      </c>
      <c r="AM5">
        <v>2024</v>
      </c>
      <c r="AN5" t="s">
        <v>75</v>
      </c>
      <c r="AO5" t="s">
        <v>76</v>
      </c>
      <c r="AP5" s="16" t="s">
        <v>77</v>
      </c>
    </row>
    <row r="6" spans="2:42" x14ac:dyDescent="0.3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80</v>
      </c>
      <c r="AI6" t="s">
        <v>86</v>
      </c>
      <c r="AJ6" t="s">
        <v>86</v>
      </c>
      <c r="AK6" s="16" t="s">
        <v>86</v>
      </c>
      <c r="AL6" s="15"/>
      <c r="AM6">
        <v>2013</v>
      </c>
      <c r="AN6" t="s">
        <v>75</v>
      </c>
      <c r="AO6" t="s">
        <v>76</v>
      </c>
      <c r="AP6" s="16" t="s">
        <v>84</v>
      </c>
    </row>
    <row r="7" spans="2:42" x14ac:dyDescent="0.3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80</v>
      </c>
      <c r="AI7" t="s">
        <v>89</v>
      </c>
      <c r="AJ7">
        <v>53684</v>
      </c>
      <c r="AK7" s="16" t="s">
        <v>80</v>
      </c>
      <c r="AL7" s="15" t="s">
        <v>87</v>
      </c>
      <c r="AM7">
        <v>2012</v>
      </c>
      <c r="AN7" t="s">
        <v>75</v>
      </c>
      <c r="AO7" t="s">
        <v>76</v>
      </c>
      <c r="AP7" s="16" t="s">
        <v>88</v>
      </c>
    </row>
    <row r="8" spans="2:42" x14ac:dyDescent="0.3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3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3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3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3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3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3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3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3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3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3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3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3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3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3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3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3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3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3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3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3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3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3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3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3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3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3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3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3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3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3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3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3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3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3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3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3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3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3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3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3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 thickBot="1" x14ac:dyDescent="0.4">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dimension ref="B2:AX51"/>
  <sheetViews>
    <sheetView topLeftCell="AB1" workbookViewId="0">
      <selection activeCell="AT2" sqref="AT2:AX3"/>
    </sheetView>
  </sheetViews>
  <sheetFormatPr defaultColWidth="10.81640625" defaultRowHeight="14.5" x14ac:dyDescent="0.35"/>
  <cols>
    <col min="3" max="3" width="11.453125" customWidth="1"/>
    <col min="4" max="4" width="27.54296875" customWidth="1"/>
    <col min="5" max="5" width="19.1796875" customWidth="1"/>
    <col min="6" max="6" width="14.453125" customWidth="1"/>
    <col min="7" max="7" width="23.26953125" customWidth="1"/>
    <col min="8" max="8" width="17.54296875" customWidth="1"/>
    <col min="9" max="9" width="12" customWidth="1"/>
    <col min="10" max="10" width="19.26953125" customWidth="1"/>
    <col min="11" max="11" width="12" customWidth="1"/>
    <col min="12" max="12" width="14.7265625" customWidth="1"/>
    <col min="13" max="13" width="12" customWidth="1"/>
    <col min="14" max="14" width="14.7265625" customWidth="1"/>
    <col min="15" max="15" width="12" customWidth="1"/>
    <col min="16" max="16" width="14.7265625" customWidth="1"/>
    <col min="17" max="17" width="12" customWidth="1"/>
    <col min="18" max="18" width="17.1796875" customWidth="1"/>
    <col min="19" max="19" width="12.81640625" customWidth="1"/>
    <col min="20" max="20" width="17.1796875" customWidth="1"/>
    <col min="21" max="21" width="12.81640625" customWidth="1"/>
    <col min="22" max="22" width="17.1796875" customWidth="1"/>
    <col min="23" max="23" width="12.81640625" customWidth="1"/>
    <col min="24" max="24" width="17.1796875" customWidth="1"/>
    <col min="25" max="25" width="12.81640625" customWidth="1"/>
    <col min="26" max="26" width="17.1796875" customWidth="1"/>
    <col min="27" max="27" width="12.81640625" customWidth="1"/>
    <col min="28" max="28" width="17.1796875" customWidth="1"/>
    <col min="29" max="29" width="13.81640625" customWidth="1"/>
    <col min="30" max="30" width="15.453125" customWidth="1"/>
    <col min="31" max="31" width="27" customWidth="1"/>
    <col min="33" max="33" width="22.81640625" customWidth="1"/>
    <col min="35" max="35" width="15.54296875" customWidth="1"/>
    <col min="37" max="37" width="19.81640625" customWidth="1"/>
    <col min="46" max="46" width="36.1796875" customWidth="1"/>
    <col min="48" max="48" width="15" customWidth="1"/>
    <col min="49" max="49" width="17.54296875" customWidth="1"/>
  </cols>
  <sheetData>
    <row r="2" spans="2:50" ht="15" thickBot="1" x14ac:dyDescent="0.4">
      <c r="AG2" s="134" t="s">
        <v>91</v>
      </c>
      <c r="AH2" s="134"/>
      <c r="AI2" s="134"/>
      <c r="AJ2" s="134"/>
      <c r="AK2" s="134"/>
      <c r="AL2" s="134"/>
      <c r="AM2" s="134"/>
      <c r="AN2" s="134"/>
      <c r="AO2" s="134"/>
      <c r="AP2" s="134"/>
      <c r="AQ2" s="134"/>
      <c r="AR2" s="134"/>
      <c r="AS2" s="134"/>
      <c r="AT2" s="129" t="s">
        <v>18</v>
      </c>
      <c r="AU2" s="129"/>
      <c r="AV2" s="129"/>
      <c r="AW2" s="129"/>
      <c r="AX2" s="129"/>
    </row>
    <row r="3" spans="2:50" x14ac:dyDescent="0.35">
      <c r="B3" s="29" t="s">
        <v>1</v>
      </c>
      <c r="C3" s="9" t="s">
        <v>148</v>
      </c>
      <c r="D3" s="9" t="s">
        <v>3</v>
      </c>
      <c r="E3" s="9" t="s">
        <v>78</v>
      </c>
      <c r="F3" s="9" t="s">
        <v>12</v>
      </c>
      <c r="G3" s="38" t="s">
        <v>172</v>
      </c>
      <c r="H3" s="21" t="s">
        <v>150</v>
      </c>
      <c r="I3" s="22" t="s">
        <v>151</v>
      </c>
      <c r="J3" s="22" t="s">
        <v>153</v>
      </c>
      <c r="K3" s="22" t="s">
        <v>152</v>
      </c>
      <c r="L3" s="22" t="s">
        <v>155</v>
      </c>
      <c r="M3" s="22" t="s">
        <v>154</v>
      </c>
      <c r="N3" s="22" t="s">
        <v>156</v>
      </c>
      <c r="O3" s="22" t="s">
        <v>157</v>
      </c>
      <c r="P3" s="22" t="s">
        <v>158</v>
      </c>
      <c r="Q3" s="23" t="s">
        <v>159</v>
      </c>
      <c r="R3" s="21" t="s">
        <v>160</v>
      </c>
      <c r="S3" s="22" t="s">
        <v>161</v>
      </c>
      <c r="T3" s="22" t="s">
        <v>162</v>
      </c>
      <c r="U3" s="22" t="s">
        <v>163</v>
      </c>
      <c r="V3" s="22" t="s">
        <v>164</v>
      </c>
      <c r="W3" s="22" t="s">
        <v>165</v>
      </c>
      <c r="X3" s="22" t="s">
        <v>166</v>
      </c>
      <c r="Y3" s="22" t="s">
        <v>167</v>
      </c>
      <c r="Z3" s="22" t="s">
        <v>168</v>
      </c>
      <c r="AA3" s="22" t="s">
        <v>169</v>
      </c>
      <c r="AB3" s="22" t="s">
        <v>170</v>
      </c>
      <c r="AC3" s="23" t="s">
        <v>171</v>
      </c>
      <c r="AD3" s="9" t="s">
        <v>67</v>
      </c>
      <c r="AE3" s="9" t="s">
        <v>70</v>
      </c>
      <c r="AF3" s="29" t="s">
        <v>6</v>
      </c>
      <c r="AG3" s="21" t="s">
        <v>92</v>
      </c>
      <c r="AH3" s="40" t="s">
        <v>93</v>
      </c>
      <c r="AI3" s="22" t="s">
        <v>94</v>
      </c>
      <c r="AJ3" s="40" t="s">
        <v>95</v>
      </c>
      <c r="AK3" s="22" t="s">
        <v>96</v>
      </c>
      <c r="AL3" s="40" t="s">
        <v>97</v>
      </c>
      <c r="AM3" s="22" t="s">
        <v>98</v>
      </c>
      <c r="AN3" s="40" t="s">
        <v>99</v>
      </c>
      <c r="AO3" s="22" t="s">
        <v>100</v>
      </c>
      <c r="AP3" s="40" t="s">
        <v>101</v>
      </c>
      <c r="AQ3" s="22" t="s">
        <v>131</v>
      </c>
      <c r="AR3" s="40" t="s">
        <v>132</v>
      </c>
      <c r="AS3" s="40" t="s">
        <v>133</v>
      </c>
      <c r="AT3" s="22" t="s">
        <v>263</v>
      </c>
      <c r="AU3" s="22" t="s">
        <v>264</v>
      </c>
      <c r="AV3" s="22" t="s">
        <v>9</v>
      </c>
      <c r="AW3" s="22" t="s">
        <v>8</v>
      </c>
      <c r="AX3" s="23" t="s">
        <v>10</v>
      </c>
    </row>
    <row r="4" spans="2:50" x14ac:dyDescent="0.3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86</v>
      </c>
      <c r="AH4" s="44"/>
      <c r="AI4" s="10"/>
      <c r="AJ4" s="44"/>
      <c r="AK4" s="10"/>
      <c r="AL4" s="44"/>
      <c r="AM4" s="10"/>
      <c r="AN4" s="44"/>
      <c r="AO4" s="10"/>
      <c r="AP4" s="41"/>
      <c r="AQ4" s="10"/>
      <c r="AR4" s="41"/>
      <c r="AS4" s="41"/>
      <c r="AT4" s="10"/>
      <c r="AU4" s="10"/>
      <c r="AV4" s="10"/>
      <c r="AW4" s="10"/>
      <c r="AX4" s="36"/>
    </row>
    <row r="5" spans="2:50" x14ac:dyDescent="0.3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86</v>
      </c>
      <c r="AH5" s="45"/>
      <c r="AJ5" s="45"/>
      <c r="AL5" s="45"/>
      <c r="AN5" s="45"/>
      <c r="AP5" s="7"/>
      <c r="AR5" s="7"/>
      <c r="AS5" s="7"/>
      <c r="AX5" s="16"/>
    </row>
    <row r="6" spans="2:50" x14ac:dyDescent="0.3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86</v>
      </c>
      <c r="AH6" s="44"/>
      <c r="AI6" s="10"/>
      <c r="AJ6" s="44"/>
      <c r="AK6" s="10"/>
      <c r="AL6" s="44"/>
      <c r="AM6" s="10"/>
      <c r="AN6" s="44"/>
      <c r="AO6" s="10"/>
      <c r="AP6" s="41"/>
      <c r="AQ6" s="10"/>
      <c r="AR6" s="41"/>
      <c r="AS6" s="41"/>
      <c r="AT6" s="10"/>
      <c r="AU6" s="10"/>
      <c r="AV6" s="10"/>
      <c r="AW6" s="10"/>
      <c r="AX6" s="36"/>
    </row>
    <row r="7" spans="2:50" x14ac:dyDescent="0.3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86</v>
      </c>
      <c r="AH7" s="45"/>
      <c r="AJ7" s="45"/>
      <c r="AL7" s="45"/>
      <c r="AN7" s="45"/>
      <c r="AP7" s="7"/>
      <c r="AR7" s="7"/>
      <c r="AS7" s="7"/>
      <c r="AX7" s="16"/>
    </row>
    <row r="8" spans="2:50" x14ac:dyDescent="0.3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86</v>
      </c>
      <c r="AH8" s="44"/>
      <c r="AI8" s="10"/>
      <c r="AJ8" s="44"/>
      <c r="AK8" s="10"/>
      <c r="AL8" s="44"/>
      <c r="AM8" s="10"/>
      <c r="AN8" s="44"/>
      <c r="AO8" s="10"/>
      <c r="AP8" s="41"/>
      <c r="AQ8" s="10"/>
      <c r="AR8" s="41"/>
      <c r="AS8" s="41"/>
      <c r="AT8" s="10"/>
      <c r="AU8" s="10"/>
      <c r="AV8" s="10"/>
      <c r="AW8" s="10"/>
      <c r="AX8" s="36"/>
    </row>
    <row r="9" spans="2:50" x14ac:dyDescent="0.3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136</v>
      </c>
      <c r="AU9" s="11">
        <v>2024</v>
      </c>
      <c r="AV9" s="11" t="s">
        <v>134</v>
      </c>
      <c r="AW9" s="11" t="s">
        <v>135</v>
      </c>
      <c r="AX9" s="43" t="s">
        <v>86</v>
      </c>
    </row>
    <row r="10" spans="2:50" x14ac:dyDescent="0.3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3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3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3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195</v>
      </c>
      <c r="AJ13" s="45">
        <v>0.04</v>
      </c>
      <c r="AK13" t="str">
        <f>Tabelle11[[#This Row],[Output Flow O_3]]</f>
        <v>stoffliche Verwertung</v>
      </c>
      <c r="AL13" s="45">
        <v>0.02</v>
      </c>
      <c r="AM13" t="str">
        <f>Tabelle11[[#This Row],[Output Flow O_4]]</f>
        <v>n.b.</v>
      </c>
      <c r="AN13" s="45">
        <v>0.01</v>
      </c>
      <c r="AS13" s="39">
        <f>AH13+AJ13+AL13+AN13+AP13+AR13</f>
        <v>1</v>
      </c>
      <c r="AT13" t="s">
        <v>200</v>
      </c>
      <c r="AU13">
        <v>2024</v>
      </c>
      <c r="AV13" t="s">
        <v>198</v>
      </c>
      <c r="AW13" t="s">
        <v>199</v>
      </c>
      <c r="AX13" s="16" t="s">
        <v>193</v>
      </c>
    </row>
    <row r="14" spans="2:50" x14ac:dyDescent="0.3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3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3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3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3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3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3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3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3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3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3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3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3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3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3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3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3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3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3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3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3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3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3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3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3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3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3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3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3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3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3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3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3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3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3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3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3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 thickBot="1" x14ac:dyDescent="0.4">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tabColor theme="5" tint="-0.499984740745262"/>
  </sheetPr>
  <dimension ref="A3:AB8"/>
  <sheetViews>
    <sheetView zoomScale="115" zoomScaleNormal="115" workbookViewId="0">
      <selection activeCell="H39" sqref="H39"/>
    </sheetView>
  </sheetViews>
  <sheetFormatPr defaultColWidth="10.81640625" defaultRowHeight="14.5" x14ac:dyDescent="0.35"/>
  <cols>
    <col min="3" max="3" width="20" customWidth="1"/>
    <col min="4" max="4" width="13.81640625" customWidth="1"/>
    <col min="5" max="5" width="11.453125" customWidth="1"/>
    <col min="7" max="7" width="12.81640625" customWidth="1"/>
    <col min="9" max="9" width="14.54296875" customWidth="1"/>
    <col min="10" max="10" width="25.453125" customWidth="1"/>
    <col min="14" max="14" width="23.1796875" customWidth="1"/>
    <col min="15" max="15" width="16" customWidth="1"/>
    <col min="17" max="17" width="23.7265625" customWidth="1"/>
    <col min="20" max="20" width="16.81640625" customWidth="1"/>
  </cols>
  <sheetData>
    <row r="3" spans="1:28" x14ac:dyDescent="0.35">
      <c r="A3" s="129" t="s">
        <v>2</v>
      </c>
      <c r="B3" s="129"/>
      <c r="C3" s="129"/>
      <c r="D3" s="129"/>
      <c r="E3" s="129"/>
      <c r="F3" s="129"/>
      <c r="G3" s="129"/>
      <c r="H3" s="129"/>
      <c r="I3" s="129"/>
      <c r="J3" s="129"/>
      <c r="K3" s="129"/>
      <c r="L3" s="129" t="s">
        <v>90</v>
      </c>
      <c r="M3" s="129"/>
      <c r="N3" s="129"/>
      <c r="O3" s="129"/>
      <c r="P3" s="129"/>
      <c r="Q3" s="129" t="s">
        <v>192</v>
      </c>
      <c r="R3" s="129"/>
      <c r="S3" s="129"/>
      <c r="T3" s="129"/>
      <c r="U3" s="129"/>
      <c r="Y3" s="129" t="s">
        <v>4</v>
      </c>
      <c r="Z3" s="129"/>
      <c r="AA3" s="129"/>
      <c r="AB3" s="129"/>
    </row>
    <row r="4" spans="1:28" x14ac:dyDescent="0.35">
      <c r="A4" t="s">
        <v>1</v>
      </c>
      <c r="B4" t="s">
        <v>3</v>
      </c>
      <c r="C4" t="s">
        <v>78</v>
      </c>
      <c r="D4" t="s">
        <v>12</v>
      </c>
      <c r="E4" t="s">
        <v>64</v>
      </c>
      <c r="F4" t="s">
        <v>65</v>
      </c>
      <c r="G4" t="s">
        <v>66</v>
      </c>
      <c r="H4" t="s">
        <v>137</v>
      </c>
      <c r="I4" t="s">
        <v>67</v>
      </c>
      <c r="J4" t="s">
        <v>70</v>
      </c>
      <c r="K4" t="s">
        <v>6</v>
      </c>
      <c r="L4" t="s">
        <v>72</v>
      </c>
      <c r="M4" t="s">
        <v>7</v>
      </c>
      <c r="N4" t="s">
        <v>82</v>
      </c>
      <c r="O4" t="s">
        <v>73</v>
      </c>
      <c r="P4" t="s">
        <v>138</v>
      </c>
      <c r="Q4" t="s">
        <v>139</v>
      </c>
      <c r="R4" t="s">
        <v>140</v>
      </c>
      <c r="S4" t="s">
        <v>9</v>
      </c>
      <c r="T4" t="s">
        <v>8</v>
      </c>
      <c r="U4" t="s">
        <v>10</v>
      </c>
      <c r="Y4" t="s">
        <v>11</v>
      </c>
      <c r="AB4" t="s">
        <v>5</v>
      </c>
    </row>
    <row r="5" spans="1:28" x14ac:dyDescent="0.35">
      <c r="A5">
        <v>1</v>
      </c>
      <c r="B5" t="s">
        <v>15</v>
      </c>
      <c r="C5" t="s">
        <v>79</v>
      </c>
      <c r="D5" t="s">
        <v>14</v>
      </c>
      <c r="E5" t="s">
        <v>69</v>
      </c>
      <c r="G5" t="s">
        <v>14</v>
      </c>
      <c r="I5" t="s">
        <v>68</v>
      </c>
      <c r="J5" t="s">
        <v>71</v>
      </c>
      <c r="K5">
        <v>2022</v>
      </c>
      <c r="L5">
        <v>325681</v>
      </c>
      <c r="M5" t="s">
        <v>80</v>
      </c>
      <c r="N5" t="s">
        <v>83</v>
      </c>
      <c r="O5">
        <v>19579</v>
      </c>
      <c r="P5" t="s">
        <v>80</v>
      </c>
      <c r="Q5" t="s">
        <v>74</v>
      </c>
      <c r="R5">
        <v>2024</v>
      </c>
      <c r="S5" t="s">
        <v>75</v>
      </c>
      <c r="T5" t="s">
        <v>76</v>
      </c>
      <c r="U5" t="s">
        <v>77</v>
      </c>
    </row>
    <row r="6" spans="1:28" x14ac:dyDescent="0.35">
      <c r="A6">
        <v>2</v>
      </c>
      <c r="B6" t="s">
        <v>15</v>
      </c>
      <c r="C6" t="s">
        <v>81</v>
      </c>
      <c r="D6" t="s">
        <v>14</v>
      </c>
      <c r="E6" t="s">
        <v>69</v>
      </c>
      <c r="G6" t="s">
        <v>14</v>
      </c>
      <c r="I6" t="s">
        <v>68</v>
      </c>
      <c r="J6" t="s">
        <v>71</v>
      </c>
      <c r="K6">
        <v>2022</v>
      </c>
      <c r="L6">
        <v>4977</v>
      </c>
      <c r="M6" t="s">
        <v>80</v>
      </c>
      <c r="N6" t="s">
        <v>83</v>
      </c>
      <c r="O6">
        <v>-174</v>
      </c>
      <c r="P6" t="s">
        <v>80</v>
      </c>
      <c r="Q6" t="s">
        <v>74</v>
      </c>
      <c r="R6">
        <v>2024</v>
      </c>
      <c r="S6" t="s">
        <v>75</v>
      </c>
      <c r="T6" t="s">
        <v>76</v>
      </c>
      <c r="U6" t="s">
        <v>77</v>
      </c>
    </row>
    <row r="7" spans="1:28" x14ac:dyDescent="0.35">
      <c r="A7">
        <v>3</v>
      </c>
      <c r="B7" t="s">
        <v>15</v>
      </c>
      <c r="C7" t="s">
        <v>79</v>
      </c>
      <c r="D7" t="s">
        <v>14</v>
      </c>
      <c r="E7" t="s">
        <v>69</v>
      </c>
      <c r="G7" t="s">
        <v>14</v>
      </c>
      <c r="I7" t="s">
        <v>68</v>
      </c>
      <c r="J7" t="s">
        <v>71</v>
      </c>
      <c r="K7">
        <v>2012</v>
      </c>
      <c r="L7" s="5">
        <v>222889</v>
      </c>
      <c r="M7" t="s">
        <v>80</v>
      </c>
      <c r="N7" t="s">
        <v>86</v>
      </c>
      <c r="O7" t="s">
        <v>86</v>
      </c>
      <c r="P7" t="s">
        <v>86</v>
      </c>
      <c r="R7">
        <v>2013</v>
      </c>
      <c r="S7" t="s">
        <v>75</v>
      </c>
      <c r="T7" t="s">
        <v>76</v>
      </c>
      <c r="U7" t="s">
        <v>84</v>
      </c>
    </row>
    <row r="8" spans="1:28" x14ac:dyDescent="0.35">
      <c r="A8">
        <v>4</v>
      </c>
      <c r="B8" t="s">
        <v>15</v>
      </c>
      <c r="C8" t="s">
        <v>85</v>
      </c>
      <c r="D8" t="s">
        <v>14</v>
      </c>
      <c r="E8" t="s">
        <v>69</v>
      </c>
      <c r="G8" t="s">
        <v>14</v>
      </c>
      <c r="I8" t="s">
        <v>68</v>
      </c>
      <c r="K8">
        <v>2012</v>
      </c>
      <c r="L8" s="6">
        <v>233943</v>
      </c>
      <c r="M8" t="s">
        <v>80</v>
      </c>
      <c r="N8" t="s">
        <v>89</v>
      </c>
      <c r="O8">
        <v>53684</v>
      </c>
      <c r="P8" t="s">
        <v>80</v>
      </c>
      <c r="Q8" t="s">
        <v>87</v>
      </c>
      <c r="R8">
        <v>2012</v>
      </c>
      <c r="S8" t="s">
        <v>75</v>
      </c>
      <c r="T8" t="s">
        <v>76</v>
      </c>
      <c r="U8" t="s">
        <v>88</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Intro</vt:lpstr>
      <vt:lpstr>Version_20.02.</vt:lpstr>
      <vt:lpstr>1_Flows&gt;&gt;&gt;&gt;</vt:lpstr>
      <vt:lpstr>1_1_Definition_Flows</vt:lpstr>
      <vt:lpstr>1_2_Data_Flows</vt:lpstr>
      <vt:lpstr>2. Processes&gt;&gt;&gt;&gt;</vt:lpstr>
      <vt:lpstr>2_1_Definition_Processes</vt:lpstr>
      <vt:lpstr>2_3_Process_TCs</vt:lpstr>
      <vt:lpstr>2_4_Process_Stock_</vt:lpstr>
      <vt:lpstr>3.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TU-Pseudonym 9055540188463204</cp:lastModifiedBy>
  <dcterms:created xsi:type="dcterms:W3CDTF">2015-06-05T18:19:34Z</dcterms:created>
  <dcterms:modified xsi:type="dcterms:W3CDTF">2025-03-11T15:23:28Z</dcterms:modified>
</cp:coreProperties>
</file>