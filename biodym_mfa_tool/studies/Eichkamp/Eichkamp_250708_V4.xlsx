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https://d.docs.live.net/023efa4eecab5d74/Uni/Eichkamp Dachstuhl MFA/bioDYM-CERT-edit-main/studies/Eichkamp/"/>
    </mc:Choice>
  </mc:AlternateContent>
  <xr:revisionPtr revIDLastSave="289" documentId="13_ncr:1_{E14DDAB4-2C16-4919-8ED4-7D4A035DED85}" xr6:coauthVersionLast="47" xr6:coauthVersionMax="47" xr10:uidLastSave="{3E8D7A56-EAB8-452A-889B-7D86EF2917B8}"/>
  <bookViews>
    <workbookView xWindow="-108" yWindow="-108" windowWidth="23256" windowHeight="13176" tabRatio="840" activeTab="5" xr2:uid="{00000000-000D-0000-FFFF-FFFF00000000}"/>
  </bookViews>
  <sheets>
    <sheet name="Intro" sheetId="1" r:id="rId1"/>
    <sheet name="1_1_Definition_Flows" sheetId="15" r:id="rId2"/>
    <sheet name="2_1_Definition_Processes" sheetId="16" r:id="rId3"/>
    <sheet name="1_2_Data_Flows" sheetId="2" r:id="rId4"/>
    <sheet name="2_2_Process_Data" sheetId="18" state="hidden" r:id="rId5"/>
    <sheet name="2_3_Process_TCs" sheetId="22" r:id="rId6"/>
    <sheet name="2_4_Process_Stock_" sheetId="21" r:id="rId7"/>
    <sheet name="2_5_dynamic_tcs" sheetId="33" r:id="rId8"/>
    <sheet name="Tabelle1" sheetId="34" r:id="rId9"/>
    <sheet name="PX - Template" sheetId="27" state="hidden" r:id="rId10"/>
    <sheet name="3_1_Calculation_factors (Waste)" sheetId="5" state="hidden" r:id="rId11"/>
    <sheet name="3_1_Calculation_factors (Wood)" sheetId="6" state="hidden" r:id="rId12"/>
    <sheet name="4_1 Codelists" sheetId="17" state="hidden" r:id="rId13"/>
    <sheet name="Data_Processes" sheetId="8" state="hidden" r:id="rId14"/>
    <sheet name="1_2_WC_DM_CC_Flows" sheetId="25" state="hidden" r:id="rId15"/>
    <sheet name="Data_Processes_TCs" sheetId="7" state="hidden" r:id="rId16"/>
    <sheet name="2_3_Process_TC" sheetId="19" state="hidden" r:id="rId17"/>
    <sheet name="Tabelle2" sheetId="9" state="hidden" r:id="rId18"/>
    <sheet name="Tabelle3" sheetId="10" state="hidden" r:id="rId19"/>
    <sheet name="Data_Processes_Stocks" sheetId="4" state="hidden" r:id="rId20"/>
  </sheets>
  <definedNames>
    <definedName name="Baumart_" localSheetId="11">'3_1_Calculation_factors (Wood)'!#REF!</definedName>
    <definedName name="Baumart_">#REF!</definedName>
    <definedName name="Cluster_" localSheetId="11">'3_1_Calculation_factors (Wood)'!#REF!</definedName>
    <definedName name="Cluster_">#REF!</definedName>
    <definedName name="einheit" localSheetId="11">'3_1_Calculation_factors (Wood)'!#REF!</definedName>
    <definedName name="einheit">#REF!</definedName>
    <definedName name="Erhebungsart_" localSheetId="11">'3_1_Calculation_factors (Wood)'!#REF!</definedName>
    <definedName name="Erhebungsart_">#REF!</definedName>
    <definedName name="Herkunft_" localSheetId="11">'3_1_Calculation_factors (Wood)'!#REF!</definedName>
    <definedName name="Herkunft_">#REF!</definedName>
    <definedName name="Holzstrom_" localSheetId="11">'3_1_Calculation_factors (Wood)'!#REF!</definedName>
    <definedName name="Holzstrom_">#REF!</definedName>
    <definedName name="In_Out_" localSheetId="11">'3_1_Calculation_factors (Wood)'!#REF!</definedName>
    <definedName name="In_Out_">#REF!</definedName>
    <definedName name="Inhaltsverzeichnis">"MTRANS(ERSETZEN(Inhalt;1;FINDEN(""]"";Inhalt);""))"</definedName>
    <definedName name="Klassifizierung" localSheetId="11">'3_1_Calculation_factors (Wood)'!#REF!</definedName>
    <definedName name="Klassifizierung">#REF!</definedName>
    <definedName name="Ort_" localSheetId="11">'3_1_Calculation_factors (Wood)'!#REF!</definedName>
    <definedName name="Ort_">#REF!</definedName>
    <definedName name="Tab_Process_TCs_dyn" localSheetId="7">Tab_Process_TCs2527[]</definedName>
    <definedName name="Tab_Process_TCs_dyn">#REF!</definedName>
    <definedName name="Ziel_" localSheetId="11">'3_1_Calculation_factors (Wood)'!#REF!</definedName>
    <definedName name="Ziel_">#REF!</definedName>
  </definedNames>
  <calcPr calcId="191028"/>
  <pivotCaches>
    <pivotCache cacheId="0"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2" l="1"/>
  <c r="L29" i="33"/>
  <c r="N29" i="33"/>
  <c r="L30" i="33"/>
  <c r="N30" i="33"/>
  <c r="L31" i="33"/>
  <c r="N31" i="33"/>
  <c r="B27" i="33"/>
  <c r="B28" i="33"/>
  <c r="B29" i="33"/>
  <c r="B30" i="33"/>
  <c r="B31" i="33"/>
  <c r="L27" i="33"/>
  <c r="L28" i="33"/>
  <c r="N27" i="33"/>
  <c r="N28" i="33"/>
  <c r="Q27" i="33"/>
  <c r="Q28" i="33"/>
  <c r="Q29" i="33"/>
  <c r="Q30" i="33"/>
  <c r="Q31" i="33"/>
  <c r="T27" i="33"/>
  <c r="T28" i="33"/>
  <c r="T29" i="33"/>
  <c r="T30" i="33"/>
  <c r="T31" i="33"/>
  <c r="W27" i="33"/>
  <c r="W28" i="33"/>
  <c r="W29" i="33"/>
  <c r="W30" i="33"/>
  <c r="W31" i="33"/>
  <c r="Z27" i="33"/>
  <c r="Z28" i="33"/>
  <c r="Z29" i="33"/>
  <c r="Z30" i="33"/>
  <c r="Z31" i="33"/>
  <c r="AC27" i="33"/>
  <c r="AC28" i="33"/>
  <c r="AC29" i="33"/>
  <c r="AC30" i="33"/>
  <c r="AC31" i="33"/>
  <c r="AS27" i="33"/>
  <c r="AS28" i="33"/>
  <c r="AS29" i="33"/>
  <c r="AS30" i="33"/>
  <c r="AS31" i="33"/>
  <c r="AT27" i="33"/>
  <c r="AT28" i="33"/>
  <c r="AT29" i="33"/>
  <c r="AT30" i="33"/>
  <c r="AT31" i="33"/>
  <c r="AX27" i="33"/>
  <c r="AX28" i="33"/>
  <c r="AX29" i="33"/>
  <c r="AX30" i="33"/>
  <c r="AX31" i="33"/>
  <c r="AY27" i="33"/>
  <c r="BA27" i="33" s="1"/>
  <c r="AY28" i="33"/>
  <c r="BA28" i="33" s="1"/>
  <c r="AY29" i="33"/>
  <c r="BA29" i="33" s="1"/>
  <c r="AY30" i="33"/>
  <c r="BA30" i="33" s="1"/>
  <c r="AY31" i="33"/>
  <c r="BA31" i="33" s="1"/>
  <c r="BC27" i="33"/>
  <c r="BC28" i="33"/>
  <c r="BC29" i="33"/>
  <c r="BC30" i="33"/>
  <c r="BC31" i="33"/>
  <c r="BD27" i="33"/>
  <c r="BF27" i="33" s="1"/>
  <c r="BD28" i="33"/>
  <c r="BF28" i="33" s="1"/>
  <c r="BD29" i="33"/>
  <c r="BF29" i="33" s="1"/>
  <c r="BD30" i="33"/>
  <c r="BF30" i="33" s="1"/>
  <c r="BD31" i="33"/>
  <c r="BF31" i="33" s="1"/>
  <c r="BH27" i="33"/>
  <c r="BH28" i="33"/>
  <c r="BH29" i="33"/>
  <c r="BH30" i="33"/>
  <c r="BH31" i="33"/>
  <c r="AJ127" i="2"/>
  <c r="AG127" i="2"/>
  <c r="K6" i="33"/>
  <c r="K5" i="33"/>
  <c r="K4" i="33"/>
  <c r="K2" i="33"/>
  <c r="K3" i="33"/>
  <c r="AX10" i="33"/>
  <c r="BC10" i="33"/>
  <c r="AY10" i="33"/>
  <c r="AS10" i="33"/>
  <c r="AX7" i="33"/>
  <c r="AT10" i="33"/>
  <c r="AY7" i="33"/>
  <c r="BD10" i="33"/>
  <c r="AS7" i="33"/>
  <c r="BC7" i="33"/>
  <c r="BD7" i="33"/>
  <c r="AT7" i="33"/>
  <c r="Z10" i="33"/>
  <c r="W10" i="33"/>
  <c r="T10" i="33"/>
  <c r="Q10" i="33"/>
  <c r="N10" i="33"/>
  <c r="L10" i="33"/>
  <c r="Z7" i="33"/>
  <c r="W7" i="33"/>
  <c r="T7" i="33"/>
  <c r="Q7" i="33"/>
  <c r="N7" i="33"/>
  <c r="L7" i="33"/>
  <c r="AH2" i="22"/>
  <c r="AH3" i="22"/>
  <c r="AD6" i="22" l="1"/>
  <c r="AD8" i="22"/>
  <c r="AD9" i="22"/>
  <c r="V16" i="15"/>
  <c r="B7" i="21"/>
  <c r="F7" i="21"/>
  <c r="G7" i="21"/>
  <c r="H7" i="21"/>
  <c r="I7" i="21"/>
  <c r="J7" i="21"/>
  <c r="K7" i="21"/>
  <c r="L7" i="21"/>
  <c r="B8" i="21"/>
  <c r="F8" i="21"/>
  <c r="G8" i="21"/>
  <c r="H8" i="21"/>
  <c r="I8" i="21"/>
  <c r="J8" i="21"/>
  <c r="K8" i="21"/>
  <c r="L8" i="21"/>
  <c r="B9" i="21"/>
  <c r="F9" i="21"/>
  <c r="G9" i="21"/>
  <c r="H9" i="21"/>
  <c r="I9" i="21"/>
  <c r="J9" i="21"/>
  <c r="K9" i="21"/>
  <c r="L9" i="21"/>
  <c r="B10" i="21"/>
  <c r="F10" i="21"/>
  <c r="G10" i="21"/>
  <c r="H10" i="21"/>
  <c r="I10" i="21"/>
  <c r="J10" i="21"/>
  <c r="K10" i="21"/>
  <c r="L10" i="21"/>
  <c r="AP2" i="22"/>
  <c r="AP8" i="22"/>
  <c r="AP9" i="22"/>
  <c r="AP10" i="22"/>
  <c r="AP4" i="22"/>
  <c r="AP5" i="22"/>
  <c r="AP6" i="22"/>
  <c r="AP7" i="22"/>
  <c r="AP3" i="22"/>
  <c r="M5" i="22"/>
  <c r="M4" i="22"/>
  <c r="V14" i="15" l="1"/>
  <c r="B8" i="22"/>
  <c r="D8" i="22"/>
  <c r="G8" i="22"/>
  <c r="H8" i="22"/>
  <c r="I8" i="22"/>
  <c r="J8" i="22"/>
  <c r="K8" i="22"/>
  <c r="L8" i="22"/>
  <c r="M8" i="22"/>
  <c r="N8" i="22"/>
  <c r="Q8" i="22"/>
  <c r="T8" i="22"/>
  <c r="W8" i="22"/>
  <c r="Z8" i="22"/>
  <c r="AC8" i="22"/>
  <c r="AH8" i="22"/>
  <c r="AL8" i="22"/>
  <c r="B9" i="22"/>
  <c r="D9" i="22"/>
  <c r="G9" i="22"/>
  <c r="H9" i="22"/>
  <c r="I9" i="22"/>
  <c r="J9" i="22"/>
  <c r="K9" i="22"/>
  <c r="L9" i="22"/>
  <c r="M9" i="22"/>
  <c r="N9" i="22"/>
  <c r="Q9" i="22"/>
  <c r="T9" i="22"/>
  <c r="W9" i="22"/>
  <c r="Z9" i="22"/>
  <c r="AC9" i="22"/>
  <c r="AH9" i="22"/>
  <c r="AL9" i="22"/>
  <c r="B10" i="22"/>
  <c r="D10" i="22"/>
  <c r="G10" i="22"/>
  <c r="H10" i="22"/>
  <c r="I10" i="22"/>
  <c r="J10" i="22"/>
  <c r="K10" i="22"/>
  <c r="L10" i="22"/>
  <c r="M10" i="22"/>
  <c r="N10" i="22"/>
  <c r="Q10" i="22"/>
  <c r="T10" i="22"/>
  <c r="W10" i="22"/>
  <c r="Z10" i="22"/>
  <c r="AC10" i="22"/>
  <c r="AD10" i="22"/>
  <c r="AH10" i="22"/>
  <c r="AL10" i="22"/>
  <c r="B4" i="22"/>
  <c r="D4" i="22"/>
  <c r="G4" i="22"/>
  <c r="H4" i="22"/>
  <c r="I4" i="22"/>
  <c r="J4" i="22"/>
  <c r="K4" i="22"/>
  <c r="L4" i="22"/>
  <c r="N4" i="22"/>
  <c r="Q4" i="22"/>
  <c r="T4" i="22"/>
  <c r="W4" i="22"/>
  <c r="Z4" i="22"/>
  <c r="AC4" i="22"/>
  <c r="AD4" i="22"/>
  <c r="AH4" i="22"/>
  <c r="AL4" i="22"/>
  <c r="B5" i="22"/>
  <c r="D5" i="22"/>
  <c r="G5" i="22"/>
  <c r="H5" i="22"/>
  <c r="I5" i="22"/>
  <c r="J5" i="22"/>
  <c r="K5" i="22"/>
  <c r="L5" i="22"/>
  <c r="N5" i="22"/>
  <c r="Q5" i="22"/>
  <c r="T5" i="22"/>
  <c r="W5" i="22"/>
  <c r="Z5" i="22"/>
  <c r="AC5" i="22"/>
  <c r="AD5" i="22"/>
  <c r="AH5" i="22"/>
  <c r="AL5" i="22"/>
  <c r="B6" i="22"/>
  <c r="D6" i="22"/>
  <c r="G6" i="22"/>
  <c r="H6" i="22"/>
  <c r="I6" i="22"/>
  <c r="J6" i="22"/>
  <c r="K6" i="22"/>
  <c r="L6" i="22"/>
  <c r="M6" i="22"/>
  <c r="N6" i="22"/>
  <c r="Q6" i="22"/>
  <c r="T6" i="22"/>
  <c r="W6" i="22"/>
  <c r="Z6" i="22"/>
  <c r="AC6" i="22"/>
  <c r="AH6" i="22"/>
  <c r="AL6" i="22"/>
  <c r="B7" i="22"/>
  <c r="D7" i="22"/>
  <c r="G7" i="22"/>
  <c r="H7" i="22"/>
  <c r="I7" i="22"/>
  <c r="J7" i="22"/>
  <c r="K7" i="22"/>
  <c r="L7" i="22"/>
  <c r="M7" i="22"/>
  <c r="N7" i="22"/>
  <c r="Q7" i="22"/>
  <c r="T7" i="22"/>
  <c r="W7" i="22"/>
  <c r="Z7" i="22"/>
  <c r="AC7" i="22"/>
  <c r="AD7" i="22"/>
  <c r="AH7" i="22"/>
  <c r="AL7" i="22"/>
  <c r="J8" i="18"/>
  <c r="C5" i="22" l="1"/>
  <c r="C10" i="33"/>
  <c r="C29" i="33"/>
  <c r="C30" i="33"/>
  <c r="C31" i="33"/>
  <c r="C27" i="33"/>
  <c r="C28" i="33"/>
  <c r="C7" i="33"/>
  <c r="G10" i="33"/>
  <c r="G29" i="33"/>
  <c r="G31" i="33"/>
  <c r="G30" i="33"/>
  <c r="G28" i="33"/>
  <c r="G27" i="33"/>
  <c r="F31" i="33"/>
  <c r="F29" i="33"/>
  <c r="F10" i="33"/>
  <c r="F30" i="33"/>
  <c r="F28" i="33"/>
  <c r="F7" i="33"/>
  <c r="F27" i="33"/>
  <c r="G7" i="33"/>
  <c r="C6" i="22"/>
  <c r="C9" i="22"/>
  <c r="C7" i="22"/>
  <c r="C4" i="22"/>
  <c r="C10" i="22"/>
  <c r="C8" i="22"/>
  <c r="AI2" i="2"/>
  <c r="V15" i="15"/>
  <c r="V13" i="15"/>
  <c r="V12" i="15"/>
  <c r="V11" i="15"/>
  <c r="V10" i="15"/>
  <c r="V9" i="15"/>
  <c r="V8" i="15"/>
  <c r="V5" i="15"/>
  <c r="V2" i="15"/>
  <c r="V3" i="15"/>
  <c r="V6" i="15"/>
  <c r="V7" i="15"/>
  <c r="C8" i="16"/>
  <c r="D8" i="21" s="1"/>
  <c r="C8" i="21" s="1"/>
  <c r="C9" i="16"/>
  <c r="B2" i="22"/>
  <c r="D2" i="22"/>
  <c r="G2" i="22"/>
  <c r="H2" i="22"/>
  <c r="I2" i="22"/>
  <c r="J2" i="22"/>
  <c r="L2" i="22"/>
  <c r="M2" i="22"/>
  <c r="N2" i="22"/>
  <c r="Q2" i="22"/>
  <c r="T2" i="22"/>
  <c r="W2" i="22"/>
  <c r="Z2" i="22"/>
  <c r="AC2" i="22"/>
  <c r="AD2" i="22"/>
  <c r="AL2" i="22"/>
  <c r="B5" i="33"/>
  <c r="L5" i="33"/>
  <c r="N5" i="33"/>
  <c r="Q5" i="33"/>
  <c r="T5" i="33"/>
  <c r="W5" i="33"/>
  <c r="Z5" i="33"/>
  <c r="AC5" i="33"/>
  <c r="BH5" i="33"/>
  <c r="B3" i="33"/>
  <c r="L3" i="33"/>
  <c r="N3" i="33"/>
  <c r="Q3" i="33"/>
  <c r="T3" i="33"/>
  <c r="W3" i="33"/>
  <c r="Z3" i="33"/>
  <c r="AC3" i="33"/>
  <c r="BH3" i="33"/>
  <c r="B2" i="33"/>
  <c r="L2" i="33"/>
  <c r="N2" i="33"/>
  <c r="Q2" i="33"/>
  <c r="T2" i="33"/>
  <c r="W2" i="33"/>
  <c r="Z2" i="33"/>
  <c r="AC2" i="33"/>
  <c r="BH2" i="33"/>
  <c r="B8" i="33"/>
  <c r="L8" i="33"/>
  <c r="N8" i="33"/>
  <c r="Q8" i="33"/>
  <c r="T8" i="33"/>
  <c r="W8" i="33"/>
  <c r="Z8" i="33"/>
  <c r="AC8" i="33"/>
  <c r="BH8" i="33"/>
  <c r="B7" i="33"/>
  <c r="AC7" i="33"/>
  <c r="BH7" i="33"/>
  <c r="B10" i="33"/>
  <c r="AC10" i="33"/>
  <c r="BH10" i="33"/>
  <c r="B9" i="33"/>
  <c r="L9" i="33"/>
  <c r="N9" i="33"/>
  <c r="Q9" i="33"/>
  <c r="T9" i="33"/>
  <c r="W9" i="33"/>
  <c r="Z9" i="33"/>
  <c r="AC9" i="33"/>
  <c r="BH9" i="33"/>
  <c r="B11" i="33"/>
  <c r="L11" i="33"/>
  <c r="N11" i="33"/>
  <c r="Q11" i="33"/>
  <c r="T11" i="33"/>
  <c r="W11" i="33"/>
  <c r="Z11" i="33"/>
  <c r="AC11" i="33"/>
  <c r="BH11" i="33"/>
  <c r="B13" i="33"/>
  <c r="L13" i="33"/>
  <c r="N13" i="33"/>
  <c r="Q13" i="33"/>
  <c r="T13" i="33"/>
  <c r="W13" i="33"/>
  <c r="Z13" i="33"/>
  <c r="AC13" i="33"/>
  <c r="BH13" i="33"/>
  <c r="B12" i="33"/>
  <c r="L12" i="33"/>
  <c r="N12" i="33"/>
  <c r="Q12" i="33"/>
  <c r="T12" i="33"/>
  <c r="W12" i="33"/>
  <c r="Z12" i="33"/>
  <c r="AC12" i="33"/>
  <c r="BH12" i="33"/>
  <c r="B15" i="33"/>
  <c r="L15" i="33"/>
  <c r="N15" i="33"/>
  <c r="Q15" i="33"/>
  <c r="T15" i="33"/>
  <c r="W15" i="33"/>
  <c r="Z15" i="33"/>
  <c r="AC15" i="33"/>
  <c r="BH15" i="33"/>
  <c r="B14" i="33"/>
  <c r="L14" i="33"/>
  <c r="N14" i="33"/>
  <c r="Q14" i="33"/>
  <c r="T14" i="33"/>
  <c r="W14" i="33"/>
  <c r="Z14" i="33"/>
  <c r="AC14" i="33"/>
  <c r="BH14" i="33"/>
  <c r="B16" i="33"/>
  <c r="L16" i="33"/>
  <c r="N16" i="33"/>
  <c r="Q16" i="33"/>
  <c r="T16" i="33"/>
  <c r="W16" i="33"/>
  <c r="Z16" i="33"/>
  <c r="AC16" i="33"/>
  <c r="BH16" i="33"/>
  <c r="B18" i="33"/>
  <c r="L18" i="33"/>
  <c r="N18" i="33"/>
  <c r="Q18" i="33"/>
  <c r="T18" i="33"/>
  <c r="W18" i="33"/>
  <c r="Z18" i="33"/>
  <c r="AC18" i="33"/>
  <c r="BH18" i="33"/>
  <c r="B17" i="33"/>
  <c r="L17" i="33"/>
  <c r="N17" i="33"/>
  <c r="Q17" i="33"/>
  <c r="T17" i="33"/>
  <c r="W17" i="33"/>
  <c r="Z17" i="33"/>
  <c r="AC17" i="33"/>
  <c r="BH17" i="33"/>
  <c r="B20" i="33"/>
  <c r="L20" i="33"/>
  <c r="N20" i="33"/>
  <c r="Q20" i="33"/>
  <c r="T20" i="33"/>
  <c r="W20" i="33"/>
  <c r="Z20" i="33"/>
  <c r="AC20" i="33"/>
  <c r="BH20" i="33"/>
  <c r="B19" i="33"/>
  <c r="L19" i="33"/>
  <c r="N19" i="33"/>
  <c r="Q19" i="33"/>
  <c r="T19" i="33"/>
  <c r="W19" i="33"/>
  <c r="Z19" i="33"/>
  <c r="AC19" i="33"/>
  <c r="BH19" i="33"/>
  <c r="B21" i="33"/>
  <c r="L21" i="33"/>
  <c r="N21" i="33"/>
  <c r="Q21" i="33"/>
  <c r="T21" i="33"/>
  <c r="W21" i="33"/>
  <c r="Z21" i="33"/>
  <c r="AC21" i="33"/>
  <c r="BH21" i="33"/>
  <c r="B23" i="33"/>
  <c r="L23" i="33"/>
  <c r="N23" i="33"/>
  <c r="Q23" i="33"/>
  <c r="T23" i="33"/>
  <c r="W23" i="33"/>
  <c r="Z23" i="33"/>
  <c r="AC23" i="33"/>
  <c r="BH23" i="33"/>
  <c r="B22" i="33"/>
  <c r="L22" i="33"/>
  <c r="N22" i="33"/>
  <c r="Q22" i="33"/>
  <c r="T22" i="33"/>
  <c r="W22" i="33"/>
  <c r="Z22" i="33"/>
  <c r="AC22" i="33"/>
  <c r="BH22" i="33"/>
  <c r="B25" i="33"/>
  <c r="L25" i="33"/>
  <c r="N25" i="33"/>
  <c r="Q25" i="33"/>
  <c r="T25" i="33"/>
  <c r="W25" i="33"/>
  <c r="Z25" i="33"/>
  <c r="AC25" i="33"/>
  <c r="BH25" i="33"/>
  <c r="B24" i="33"/>
  <c r="L24" i="33"/>
  <c r="N24" i="33"/>
  <c r="Q24" i="33"/>
  <c r="T24" i="33"/>
  <c r="W24" i="33"/>
  <c r="Z24" i="33"/>
  <c r="AC24" i="33"/>
  <c r="BH24" i="33"/>
  <c r="B26" i="33"/>
  <c r="L26" i="33"/>
  <c r="N26" i="33"/>
  <c r="Q26" i="33"/>
  <c r="T26" i="33"/>
  <c r="W26" i="33"/>
  <c r="Z26" i="33"/>
  <c r="AC26" i="33"/>
  <c r="BH26" i="33"/>
  <c r="B6" i="33"/>
  <c r="L6" i="33"/>
  <c r="N6" i="33"/>
  <c r="Q6" i="33"/>
  <c r="T6" i="33"/>
  <c r="W6" i="33"/>
  <c r="Z6" i="33"/>
  <c r="AC6" i="33"/>
  <c r="BH6" i="33"/>
  <c r="BH4" i="33"/>
  <c r="AC4" i="33"/>
  <c r="Z4" i="33"/>
  <c r="W4" i="33"/>
  <c r="T4" i="33"/>
  <c r="Q4" i="33"/>
  <c r="N4" i="33"/>
  <c r="L4" i="33"/>
  <c r="B4" i="33"/>
  <c r="L3" i="22"/>
  <c r="AK4"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C3" i="2"/>
  <c r="AC2"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G9" i="33"/>
  <c r="G4" i="33"/>
  <c r="G6" i="33"/>
  <c r="G5" i="33"/>
  <c r="G13" i="33"/>
  <c r="G20" i="33"/>
  <c r="G23" i="33"/>
  <c r="G24" i="33"/>
  <c r="G11" i="33"/>
  <c r="G14" i="33"/>
  <c r="G21" i="33"/>
  <c r="G15" i="33"/>
  <c r="G17" i="33"/>
  <c r="G25" i="33"/>
  <c r="G19" i="33"/>
  <c r="G8" i="33"/>
  <c r="G16" i="33"/>
  <c r="G18" i="33"/>
  <c r="G26" i="33"/>
  <c r="G12" i="33"/>
  <c r="G22" i="33"/>
  <c r="G3" i="33"/>
  <c r="G2" i="33"/>
  <c r="T6" i="1" a="1"/>
  <c r="T6" i="1"/>
  <c r="B1" i="27"/>
  <c r="F16" i="27"/>
  <c r="I16" i="27"/>
  <c r="J16" i="27"/>
  <c r="F17" i="27"/>
  <c r="G17" i="27"/>
  <c r="I17" i="27"/>
  <c r="J17" i="27"/>
  <c r="F18" i="27"/>
  <c r="I18" i="27"/>
  <c r="J18" i="27"/>
  <c r="C19" i="27"/>
  <c r="I28" i="27"/>
  <c r="F19" i="27"/>
  <c r="J19" i="27"/>
  <c r="F20" i="27"/>
  <c r="G20" i="27"/>
  <c r="J20" i="27"/>
  <c r="A21" i="27"/>
  <c r="C21" i="27"/>
  <c r="I30" i="27"/>
  <c r="F21" i="27"/>
  <c r="J21" i="27"/>
  <c r="B22" i="27"/>
  <c r="C16" i="27"/>
  <c r="F22" i="27"/>
  <c r="G19" i="27"/>
  <c r="C25" i="27"/>
  <c r="F25" i="27"/>
  <c r="G25" i="27"/>
  <c r="F26" i="27"/>
  <c r="G26" i="27"/>
  <c r="C27" i="27"/>
  <c r="F27" i="27"/>
  <c r="G27" i="27"/>
  <c r="C28" i="27"/>
  <c r="F28" i="27"/>
  <c r="G28" i="27"/>
  <c r="C29" i="27"/>
  <c r="F29" i="27"/>
  <c r="G29" i="27"/>
  <c r="A30" i="27"/>
  <c r="C30" i="27"/>
  <c r="F30" i="27"/>
  <c r="G30" i="27"/>
  <c r="G31" i="27"/>
  <c r="F35" i="27"/>
  <c r="C44" i="27"/>
  <c r="I35" i="27"/>
  <c r="J35" i="27"/>
  <c r="F36" i="27"/>
  <c r="G36" i="27"/>
  <c r="I36" i="27"/>
  <c r="J36" i="27"/>
  <c r="F37" i="27"/>
  <c r="C46" i="27"/>
  <c r="I37" i="27"/>
  <c r="F38" i="27"/>
  <c r="C47" i="27"/>
  <c r="J38" i="27"/>
  <c r="F39" i="27"/>
  <c r="J39" i="27"/>
  <c r="A40" i="27"/>
  <c r="A49" i="27"/>
  <c r="A63" i="27" s="1"/>
  <c r="F40" i="27"/>
  <c r="J40" i="27"/>
  <c r="B41" i="27"/>
  <c r="C36" i="27"/>
  <c r="F41" i="27"/>
  <c r="C54" i="27"/>
  <c r="F44" i="27"/>
  <c r="G44" i="27"/>
  <c r="G50" i="27"/>
  <c r="C45" i="27"/>
  <c r="F45" i="27"/>
  <c r="G45" i="27"/>
  <c r="F46" i="27"/>
  <c r="G46" i="27"/>
  <c r="F47" i="27"/>
  <c r="G47" i="27"/>
  <c r="C48" i="27"/>
  <c r="F48" i="27"/>
  <c r="G48" i="27"/>
  <c r="C49" i="27"/>
  <c r="F49" i="27"/>
  <c r="G49" i="27"/>
  <c r="B53" i="27"/>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c r="H30" i="27"/>
  <c r="C26" i="27"/>
  <c r="C53" i="27"/>
  <c r="E41" i="27"/>
  <c r="G37" i="27"/>
  <c r="H44" i="27"/>
  <c r="H50" i="27"/>
  <c r="C39" i="27"/>
  <c r="C17" i="27"/>
  <c r="I26" i="27"/>
  <c r="C37" i="27"/>
  <c r="G35" i="27"/>
  <c r="C35" i="27"/>
  <c r="E22" i="27"/>
  <c r="G18" i="27"/>
  <c r="G40" i="27"/>
  <c r="G38" i="27"/>
  <c r="C20" i="27"/>
  <c r="I29" i="27"/>
  <c r="C18" i="27"/>
  <c r="I27" i="27"/>
  <c r="G16" i="27"/>
  <c r="G22" i="27"/>
  <c r="C40" i="27"/>
  <c r="C38" i="27"/>
  <c r="G39" i="27"/>
  <c r="B54" i="27"/>
  <c r="G21" i="27"/>
  <c r="I41" i="27"/>
  <c r="D54" i="27"/>
  <c r="K38" i="27"/>
  <c r="K36" i="27"/>
  <c r="K35" i="27"/>
  <c r="K39" i="27"/>
  <c r="E54" i="27"/>
  <c r="B50" i="27"/>
  <c r="D49" i="27"/>
  <c r="C31" i="27"/>
  <c r="J27" i="27"/>
  <c r="K27" i="27"/>
  <c r="M27" i="27"/>
  <c r="J25" i="27"/>
  <c r="K25" i="27"/>
  <c r="M25" i="27"/>
  <c r="M31" i="27"/>
  <c r="I31" i="27"/>
  <c r="C55" i="27"/>
  <c r="C56" i="27"/>
  <c r="C22" i="27"/>
  <c r="C60" i="27"/>
  <c r="C58" i="27"/>
  <c r="C63" i="27"/>
  <c r="C59" i="27"/>
  <c r="C62" i="27"/>
  <c r="C41" i="27"/>
  <c r="D47" i="27"/>
  <c r="B55" i="27"/>
  <c r="B56" i="27"/>
  <c r="K17" i="27"/>
  <c r="K40" i="27"/>
  <c r="D53" i="27"/>
  <c r="K20" i="27"/>
  <c r="I22" i="27"/>
  <c r="L30" i="27"/>
  <c r="K16" i="27"/>
  <c r="K22" i="27"/>
  <c r="J29" i="27"/>
  <c r="K29" i="27"/>
  <c r="M29" i="27"/>
  <c r="D44" i="27"/>
  <c r="E62" i="27"/>
  <c r="E63" i="27"/>
  <c r="E61" i="27"/>
  <c r="E59" i="27"/>
  <c r="E64" i="27"/>
  <c r="K37" i="27"/>
  <c r="G41" i="27"/>
  <c r="C61" i="27"/>
  <c r="J26" i="27"/>
  <c r="K26" i="27"/>
  <c r="M26" i="27"/>
  <c r="H31" i="27"/>
  <c r="L28" i="27"/>
  <c r="D25" i="27"/>
  <c r="B31" i="27"/>
  <c r="D30" i="27"/>
  <c r="D28" i="27"/>
  <c r="E53" i="27"/>
  <c r="D29" i="27"/>
  <c r="D27" i="27"/>
  <c r="D26" i="27"/>
  <c r="D55" i="27"/>
  <c r="D56" i="27"/>
  <c r="K41" i="27"/>
  <c r="C64" i="27"/>
  <c r="D50" i="27"/>
  <c r="B61" i="27"/>
  <c r="I47" i="27"/>
  <c r="B58" i="27"/>
  <c r="B63" i="27"/>
  <c r="I49" i="27"/>
  <c r="B59" i="27"/>
  <c r="I45" i="27"/>
  <c r="B62" i="27"/>
  <c r="I48" i="27"/>
  <c r="B60" i="27"/>
  <c r="I46" i="27"/>
  <c r="J31" i="27"/>
  <c r="L25" i="27"/>
  <c r="L31" i="27"/>
  <c r="D63" i="27"/>
  <c r="D61" i="27"/>
  <c r="D59" i="27"/>
  <c r="D62" i="27"/>
  <c r="D58" i="27"/>
  <c r="D60" i="27"/>
  <c r="K31" i="27"/>
  <c r="L29" i="27"/>
  <c r="L26" i="27"/>
  <c r="L27" i="27"/>
  <c r="J48" i="27"/>
  <c r="K48" i="27"/>
  <c r="M48" i="27"/>
  <c r="K49" i="27"/>
  <c r="J49" i="27"/>
  <c r="L49" i="27"/>
  <c r="M49" i="27"/>
  <c r="B64" i="27"/>
  <c r="I44" i="27"/>
  <c r="M45" i="27"/>
  <c r="K45" i="27"/>
  <c r="J45" i="27"/>
  <c r="L45" i="27"/>
  <c r="D64" i="27"/>
  <c r="M47" i="27"/>
  <c r="J47" i="27"/>
  <c r="K47" i="27"/>
  <c r="J46" i="27"/>
  <c r="K46" i="27"/>
  <c r="M46" i="27"/>
  <c r="E55" i="27"/>
  <c r="E56" i="27"/>
  <c r="D31" i="27"/>
  <c r="M44" i="27"/>
  <c r="M50" i="27"/>
  <c r="I50" i="27"/>
  <c r="J44" i="27"/>
  <c r="K44" i="27"/>
  <c r="K50" i="27"/>
  <c r="L46" i="27"/>
  <c r="L47" i="27"/>
  <c r="L48" i="27"/>
  <c r="L44" i="27"/>
  <c r="L50" i="27"/>
  <c r="J50" i="27"/>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C3" i="16"/>
  <c r="I4" i="15" s="1"/>
  <c r="AA58" i="2"/>
  <c r="AA29" i="2"/>
  <c r="AA87" i="2"/>
  <c r="G65" i="2"/>
  <c r="G66" i="2"/>
  <c r="G67" i="2"/>
  <c r="G68" i="2"/>
  <c r="G69" i="2"/>
  <c r="G70" i="2"/>
  <c r="G71" i="2"/>
  <c r="G72" i="2"/>
  <c r="G73" i="2"/>
  <c r="G74" i="2"/>
  <c r="G75" i="2"/>
  <c r="G76" i="2"/>
  <c r="G77" i="2"/>
  <c r="G78" i="2"/>
  <c r="G79" i="2"/>
  <c r="G80" i="2"/>
  <c r="G81" i="2"/>
  <c r="G82" i="2"/>
  <c r="G83" i="2"/>
  <c r="G84" i="2"/>
  <c r="G85" i="2"/>
  <c r="G86" i="2"/>
  <c r="E65" i="2"/>
  <c r="E66" i="2"/>
  <c r="E67" i="2"/>
  <c r="E68" i="2"/>
  <c r="E69" i="2"/>
  <c r="E70" i="2"/>
  <c r="E71" i="2"/>
  <c r="E72" i="2"/>
  <c r="E73" i="2"/>
  <c r="E74" i="2"/>
  <c r="E75" i="2"/>
  <c r="E76" i="2"/>
  <c r="E77" i="2"/>
  <c r="E78" i="2"/>
  <c r="E79" i="2"/>
  <c r="E80" i="2"/>
  <c r="E81" i="2"/>
  <c r="E82" i="2"/>
  <c r="E83" i="2"/>
  <c r="E84" i="2"/>
  <c r="E85" i="2"/>
  <c r="E86" i="2"/>
  <c r="G94" i="2"/>
  <c r="G95" i="2"/>
  <c r="G96" i="2"/>
  <c r="G97" i="2"/>
  <c r="G98" i="2"/>
  <c r="G99" i="2"/>
  <c r="G100" i="2"/>
  <c r="G101" i="2"/>
  <c r="G102" i="2"/>
  <c r="G103" i="2"/>
  <c r="G104" i="2"/>
  <c r="G105" i="2"/>
  <c r="G106" i="2"/>
  <c r="G107" i="2"/>
  <c r="G108" i="2"/>
  <c r="G109" i="2"/>
  <c r="G110" i="2"/>
  <c r="G111" i="2"/>
  <c r="G112" i="2"/>
  <c r="G113" i="2"/>
  <c r="G114" i="2"/>
  <c r="G115" i="2"/>
  <c r="E94" i="2"/>
  <c r="E95" i="2"/>
  <c r="E96" i="2"/>
  <c r="E97" i="2"/>
  <c r="E98" i="2"/>
  <c r="E99" i="2"/>
  <c r="E100" i="2"/>
  <c r="E101" i="2"/>
  <c r="E102" i="2"/>
  <c r="E103" i="2"/>
  <c r="E104" i="2"/>
  <c r="E105" i="2"/>
  <c r="E106" i="2"/>
  <c r="E107" i="2"/>
  <c r="E108" i="2"/>
  <c r="E109" i="2"/>
  <c r="E110" i="2"/>
  <c r="E111" i="2"/>
  <c r="E112" i="2"/>
  <c r="E113" i="2"/>
  <c r="E114" i="2"/>
  <c r="E115" i="2"/>
  <c r="G123" i="2"/>
  <c r="G124" i="2"/>
  <c r="G125" i="2"/>
  <c r="G126" i="2"/>
  <c r="E123" i="2"/>
  <c r="E124" i="2"/>
  <c r="E125" i="2"/>
  <c r="E126" i="2"/>
  <c r="I123" i="2"/>
  <c r="I124" i="2"/>
  <c r="I125" i="2"/>
  <c r="I126" i="2"/>
  <c r="J123" i="2"/>
  <c r="J124" i="2"/>
  <c r="J125" i="2"/>
  <c r="J126" i="2"/>
  <c r="K123" i="2"/>
  <c r="K124" i="2"/>
  <c r="K125" i="2"/>
  <c r="K126" i="2"/>
  <c r="L123" i="2"/>
  <c r="L124" i="2"/>
  <c r="L125" i="2"/>
  <c r="L126" i="2"/>
  <c r="R123" i="2"/>
  <c r="R124" i="2"/>
  <c r="R125" i="2"/>
  <c r="R126" i="2"/>
  <c r="R127" i="2"/>
  <c r="S123" i="2"/>
  <c r="S124" i="2"/>
  <c r="S125" i="2"/>
  <c r="S126" i="2"/>
  <c r="S127" i="2"/>
  <c r="AE123" i="2"/>
  <c r="AE124" i="2"/>
  <c r="AE125" i="2"/>
  <c r="AE126" i="2"/>
  <c r="AE127" i="2"/>
  <c r="AH123" i="2"/>
  <c r="AH124" i="2"/>
  <c r="AH125" i="2"/>
  <c r="AH126" i="2"/>
  <c r="AH127" i="2"/>
  <c r="AK123" i="2"/>
  <c r="AK124" i="2"/>
  <c r="AK125" i="2"/>
  <c r="AK126" i="2"/>
  <c r="AK127" i="2"/>
  <c r="I109" i="2"/>
  <c r="I110" i="2"/>
  <c r="I111" i="2"/>
  <c r="I112" i="2"/>
  <c r="I113" i="2"/>
  <c r="I114" i="2"/>
  <c r="I115" i="2"/>
  <c r="J109" i="2"/>
  <c r="J110" i="2"/>
  <c r="J111" i="2"/>
  <c r="J112" i="2"/>
  <c r="J113" i="2"/>
  <c r="J114" i="2"/>
  <c r="J115" i="2"/>
  <c r="K109" i="2"/>
  <c r="K110" i="2"/>
  <c r="K111" i="2"/>
  <c r="K112" i="2"/>
  <c r="K113" i="2"/>
  <c r="K114" i="2"/>
  <c r="K115" i="2"/>
  <c r="L109" i="2"/>
  <c r="L110" i="2"/>
  <c r="L111" i="2"/>
  <c r="L112" i="2"/>
  <c r="L113" i="2"/>
  <c r="L114" i="2"/>
  <c r="L115" i="2"/>
  <c r="R109" i="2"/>
  <c r="R110" i="2"/>
  <c r="R111" i="2"/>
  <c r="R112" i="2"/>
  <c r="R113" i="2"/>
  <c r="R114" i="2"/>
  <c r="R115" i="2"/>
  <c r="S109" i="2"/>
  <c r="S110" i="2"/>
  <c r="S111" i="2"/>
  <c r="S112" i="2"/>
  <c r="S113" i="2"/>
  <c r="S114" i="2"/>
  <c r="S115" i="2"/>
  <c r="AE109" i="2"/>
  <c r="AE110" i="2"/>
  <c r="AE111" i="2"/>
  <c r="AE112" i="2"/>
  <c r="AE113" i="2"/>
  <c r="AE114" i="2"/>
  <c r="AE115" i="2"/>
  <c r="AH109" i="2"/>
  <c r="AH110" i="2"/>
  <c r="AH111" i="2"/>
  <c r="AH112" i="2"/>
  <c r="AH113" i="2"/>
  <c r="AH114" i="2"/>
  <c r="AH115" i="2"/>
  <c r="AK109" i="2"/>
  <c r="AK110" i="2"/>
  <c r="AK111" i="2"/>
  <c r="AK112" i="2"/>
  <c r="AK113" i="2"/>
  <c r="AK114" i="2"/>
  <c r="AK115" i="2"/>
  <c r="I94" i="2"/>
  <c r="I95" i="2"/>
  <c r="I96" i="2"/>
  <c r="I97" i="2"/>
  <c r="I98" i="2"/>
  <c r="I99" i="2"/>
  <c r="I100" i="2"/>
  <c r="I101" i="2"/>
  <c r="I102" i="2"/>
  <c r="I103" i="2"/>
  <c r="I104" i="2"/>
  <c r="I105" i="2"/>
  <c r="I106" i="2"/>
  <c r="I107" i="2"/>
  <c r="I108" i="2"/>
  <c r="J94" i="2"/>
  <c r="J95" i="2"/>
  <c r="J96" i="2"/>
  <c r="J97" i="2"/>
  <c r="J98" i="2"/>
  <c r="J99" i="2"/>
  <c r="J100" i="2"/>
  <c r="J101" i="2"/>
  <c r="J102" i="2"/>
  <c r="J103" i="2"/>
  <c r="J104" i="2"/>
  <c r="J105" i="2"/>
  <c r="J106" i="2"/>
  <c r="J107" i="2"/>
  <c r="J108" i="2"/>
  <c r="K94" i="2"/>
  <c r="K95" i="2"/>
  <c r="K96" i="2"/>
  <c r="K97" i="2"/>
  <c r="K98" i="2"/>
  <c r="K99" i="2"/>
  <c r="K100" i="2"/>
  <c r="K101" i="2"/>
  <c r="K102" i="2"/>
  <c r="K103" i="2"/>
  <c r="K104" i="2"/>
  <c r="K105" i="2"/>
  <c r="K106" i="2"/>
  <c r="K107" i="2"/>
  <c r="K108" i="2"/>
  <c r="L94" i="2"/>
  <c r="L95" i="2"/>
  <c r="L96" i="2"/>
  <c r="L97" i="2"/>
  <c r="L98" i="2"/>
  <c r="L99" i="2"/>
  <c r="L100" i="2"/>
  <c r="L101" i="2"/>
  <c r="L102" i="2"/>
  <c r="L103" i="2"/>
  <c r="L104" i="2"/>
  <c r="L105" i="2"/>
  <c r="L106" i="2"/>
  <c r="L107" i="2"/>
  <c r="L108" i="2"/>
  <c r="R94" i="2"/>
  <c r="R95" i="2"/>
  <c r="R96" i="2"/>
  <c r="R97" i="2"/>
  <c r="R98" i="2"/>
  <c r="R99" i="2"/>
  <c r="R100" i="2"/>
  <c r="R101" i="2"/>
  <c r="R102" i="2"/>
  <c r="R103" i="2"/>
  <c r="R104" i="2"/>
  <c r="R105" i="2"/>
  <c r="R106" i="2"/>
  <c r="R107" i="2"/>
  <c r="R108" i="2"/>
  <c r="S94" i="2"/>
  <c r="S95" i="2"/>
  <c r="S96" i="2"/>
  <c r="S97" i="2"/>
  <c r="S98" i="2"/>
  <c r="S99" i="2"/>
  <c r="S100" i="2"/>
  <c r="S101" i="2"/>
  <c r="S102" i="2"/>
  <c r="S103" i="2"/>
  <c r="S104" i="2"/>
  <c r="S105" i="2"/>
  <c r="S106" i="2"/>
  <c r="S107" i="2"/>
  <c r="S108" i="2"/>
  <c r="AE94" i="2"/>
  <c r="AE95" i="2"/>
  <c r="AE96" i="2"/>
  <c r="AE97" i="2"/>
  <c r="AE98" i="2"/>
  <c r="AE99" i="2"/>
  <c r="AE100" i="2"/>
  <c r="AE101" i="2"/>
  <c r="AE102" i="2"/>
  <c r="AE103" i="2"/>
  <c r="AE104" i="2"/>
  <c r="AE105" i="2"/>
  <c r="AE106" i="2"/>
  <c r="AE107" i="2"/>
  <c r="AE108" i="2"/>
  <c r="AH94" i="2"/>
  <c r="AH95" i="2"/>
  <c r="AH96" i="2"/>
  <c r="AH97" i="2"/>
  <c r="AH98" i="2"/>
  <c r="AH99" i="2"/>
  <c r="AH100" i="2"/>
  <c r="AH101" i="2"/>
  <c r="AH102" i="2"/>
  <c r="AH103" i="2"/>
  <c r="AH104" i="2"/>
  <c r="AH105" i="2"/>
  <c r="AH106" i="2"/>
  <c r="AH107" i="2"/>
  <c r="AH108" i="2"/>
  <c r="AK94" i="2"/>
  <c r="AK95" i="2"/>
  <c r="AK96" i="2"/>
  <c r="AK97" i="2"/>
  <c r="AK98" i="2"/>
  <c r="AK99" i="2"/>
  <c r="AK100" i="2"/>
  <c r="AK101" i="2"/>
  <c r="AK102" i="2"/>
  <c r="AK103" i="2"/>
  <c r="AK104" i="2"/>
  <c r="AK105" i="2"/>
  <c r="AK106" i="2"/>
  <c r="AK107" i="2"/>
  <c r="AK108" i="2"/>
  <c r="I65" i="2"/>
  <c r="I66" i="2"/>
  <c r="I67" i="2"/>
  <c r="I68" i="2"/>
  <c r="I69" i="2"/>
  <c r="I70" i="2"/>
  <c r="I71" i="2"/>
  <c r="I72" i="2"/>
  <c r="I73" i="2"/>
  <c r="I74" i="2"/>
  <c r="I75" i="2"/>
  <c r="I76" i="2"/>
  <c r="I77" i="2"/>
  <c r="I78" i="2"/>
  <c r="I79" i="2"/>
  <c r="I80" i="2"/>
  <c r="I81" i="2"/>
  <c r="I82" i="2"/>
  <c r="I83" i="2"/>
  <c r="I84" i="2"/>
  <c r="I85" i="2"/>
  <c r="I86" i="2"/>
  <c r="J65" i="2"/>
  <c r="J66" i="2"/>
  <c r="J67" i="2"/>
  <c r="J68" i="2"/>
  <c r="J69" i="2"/>
  <c r="J70" i="2"/>
  <c r="J71" i="2"/>
  <c r="J72" i="2"/>
  <c r="J73" i="2"/>
  <c r="J74" i="2"/>
  <c r="J75" i="2"/>
  <c r="J76" i="2"/>
  <c r="J77" i="2"/>
  <c r="J78" i="2"/>
  <c r="J79" i="2"/>
  <c r="J80" i="2"/>
  <c r="J81" i="2"/>
  <c r="J82" i="2"/>
  <c r="J83" i="2"/>
  <c r="J84" i="2"/>
  <c r="J85" i="2"/>
  <c r="J86" i="2"/>
  <c r="K65" i="2"/>
  <c r="K66" i="2"/>
  <c r="K67" i="2"/>
  <c r="K68" i="2"/>
  <c r="K69" i="2"/>
  <c r="K70" i="2"/>
  <c r="K71" i="2"/>
  <c r="K72" i="2"/>
  <c r="K73" i="2"/>
  <c r="K74" i="2"/>
  <c r="K75" i="2"/>
  <c r="K76" i="2"/>
  <c r="K77" i="2"/>
  <c r="K78" i="2"/>
  <c r="K79" i="2"/>
  <c r="K80" i="2"/>
  <c r="K81" i="2"/>
  <c r="K82" i="2"/>
  <c r="K83" i="2"/>
  <c r="K84" i="2"/>
  <c r="K85" i="2"/>
  <c r="K86" i="2"/>
  <c r="L65" i="2"/>
  <c r="L66" i="2"/>
  <c r="L67" i="2"/>
  <c r="L68" i="2"/>
  <c r="L69" i="2"/>
  <c r="L70" i="2"/>
  <c r="L71" i="2"/>
  <c r="L72" i="2"/>
  <c r="L73" i="2"/>
  <c r="L74" i="2"/>
  <c r="L75" i="2"/>
  <c r="L76" i="2"/>
  <c r="L77" i="2"/>
  <c r="L78" i="2"/>
  <c r="L79" i="2"/>
  <c r="L80" i="2"/>
  <c r="L81" i="2"/>
  <c r="L82" i="2"/>
  <c r="L83" i="2"/>
  <c r="L84" i="2"/>
  <c r="L85" i="2"/>
  <c r="L86" i="2"/>
  <c r="R65" i="2"/>
  <c r="R66" i="2"/>
  <c r="R67" i="2"/>
  <c r="R68" i="2"/>
  <c r="R69" i="2"/>
  <c r="R70" i="2"/>
  <c r="R71" i="2"/>
  <c r="R72" i="2"/>
  <c r="R73" i="2"/>
  <c r="R74" i="2"/>
  <c r="R75" i="2"/>
  <c r="R76" i="2"/>
  <c r="R77" i="2"/>
  <c r="R78" i="2"/>
  <c r="R79" i="2"/>
  <c r="R80" i="2"/>
  <c r="R81" i="2"/>
  <c r="R82" i="2"/>
  <c r="R83" i="2"/>
  <c r="R84" i="2"/>
  <c r="R85" i="2"/>
  <c r="R86" i="2"/>
  <c r="S65" i="2"/>
  <c r="S66" i="2"/>
  <c r="S67" i="2"/>
  <c r="S68" i="2"/>
  <c r="S69" i="2"/>
  <c r="S70" i="2"/>
  <c r="S71" i="2"/>
  <c r="S72" i="2"/>
  <c r="S73" i="2"/>
  <c r="S74" i="2"/>
  <c r="S75" i="2"/>
  <c r="S76" i="2"/>
  <c r="S77" i="2"/>
  <c r="S78" i="2"/>
  <c r="S79" i="2"/>
  <c r="S80" i="2"/>
  <c r="S81" i="2"/>
  <c r="S82" i="2"/>
  <c r="S83" i="2"/>
  <c r="S84" i="2"/>
  <c r="S85" i="2"/>
  <c r="S86" i="2"/>
  <c r="AE65" i="2"/>
  <c r="AE66" i="2"/>
  <c r="AE67" i="2"/>
  <c r="AE68" i="2"/>
  <c r="AE69" i="2"/>
  <c r="AE70" i="2"/>
  <c r="AE71" i="2"/>
  <c r="AE72" i="2"/>
  <c r="AE73" i="2"/>
  <c r="AE74" i="2"/>
  <c r="AE75" i="2"/>
  <c r="AE76" i="2"/>
  <c r="AE77" i="2"/>
  <c r="AE78" i="2"/>
  <c r="AE79" i="2"/>
  <c r="AE80" i="2"/>
  <c r="AE81" i="2"/>
  <c r="AE82" i="2"/>
  <c r="AE83" i="2"/>
  <c r="AE84" i="2"/>
  <c r="AE85" i="2"/>
  <c r="AE86" i="2"/>
  <c r="AH65" i="2"/>
  <c r="AH66" i="2"/>
  <c r="AH67" i="2"/>
  <c r="AH68" i="2"/>
  <c r="AH69" i="2"/>
  <c r="AH70" i="2"/>
  <c r="AH71" i="2"/>
  <c r="AH72" i="2"/>
  <c r="AH73" i="2"/>
  <c r="AH74" i="2"/>
  <c r="AH75" i="2"/>
  <c r="AH76" i="2"/>
  <c r="AH77" i="2"/>
  <c r="AH78" i="2"/>
  <c r="AH79" i="2"/>
  <c r="AH80" i="2"/>
  <c r="AH81" i="2"/>
  <c r="AH82" i="2"/>
  <c r="AH83" i="2"/>
  <c r="AH84" i="2"/>
  <c r="AH85" i="2"/>
  <c r="AH86" i="2"/>
  <c r="AK65" i="2"/>
  <c r="AK66" i="2"/>
  <c r="AK67" i="2"/>
  <c r="AK68" i="2"/>
  <c r="AK69" i="2"/>
  <c r="AK70" i="2"/>
  <c r="AK71" i="2"/>
  <c r="AK72" i="2"/>
  <c r="AK73" i="2"/>
  <c r="AK74" i="2"/>
  <c r="AK75" i="2"/>
  <c r="AK76" i="2"/>
  <c r="AK77" i="2"/>
  <c r="AK78" i="2"/>
  <c r="AK79" i="2"/>
  <c r="AK80" i="2"/>
  <c r="AK81" i="2"/>
  <c r="AK82" i="2"/>
  <c r="AK83" i="2"/>
  <c r="AK84" i="2"/>
  <c r="AK85" i="2"/>
  <c r="AK86" i="2"/>
  <c r="G36" i="2"/>
  <c r="G37" i="2"/>
  <c r="G38" i="2"/>
  <c r="G39" i="2"/>
  <c r="G40" i="2"/>
  <c r="G41" i="2"/>
  <c r="G42" i="2"/>
  <c r="G43" i="2"/>
  <c r="G44" i="2"/>
  <c r="G45" i="2"/>
  <c r="G46" i="2"/>
  <c r="G47" i="2"/>
  <c r="G48" i="2"/>
  <c r="G49" i="2"/>
  <c r="G50" i="2"/>
  <c r="G51" i="2"/>
  <c r="G52" i="2"/>
  <c r="G53" i="2"/>
  <c r="G54" i="2"/>
  <c r="G55" i="2"/>
  <c r="G56" i="2"/>
  <c r="G57" i="2"/>
  <c r="E36" i="2"/>
  <c r="E37" i="2"/>
  <c r="E38" i="2"/>
  <c r="E39" i="2"/>
  <c r="E40" i="2"/>
  <c r="E41" i="2"/>
  <c r="E42" i="2"/>
  <c r="E43" i="2"/>
  <c r="E44" i="2"/>
  <c r="E45" i="2"/>
  <c r="E46" i="2"/>
  <c r="E47" i="2"/>
  <c r="E48" i="2"/>
  <c r="E49" i="2"/>
  <c r="E50" i="2"/>
  <c r="E51" i="2"/>
  <c r="E52" i="2"/>
  <c r="E53" i="2"/>
  <c r="E54" i="2"/>
  <c r="E55" i="2"/>
  <c r="E56" i="2"/>
  <c r="E57" i="2"/>
  <c r="I36" i="2"/>
  <c r="I37" i="2"/>
  <c r="I38" i="2"/>
  <c r="I39" i="2"/>
  <c r="I40" i="2"/>
  <c r="I41" i="2"/>
  <c r="I42" i="2"/>
  <c r="I43" i="2"/>
  <c r="I44" i="2"/>
  <c r="I45" i="2"/>
  <c r="I46" i="2"/>
  <c r="I47" i="2"/>
  <c r="I48" i="2"/>
  <c r="I49" i="2"/>
  <c r="I50" i="2"/>
  <c r="I51" i="2"/>
  <c r="I52" i="2"/>
  <c r="I53" i="2"/>
  <c r="I54" i="2"/>
  <c r="I55" i="2"/>
  <c r="I56" i="2"/>
  <c r="I57" i="2"/>
  <c r="J36" i="2"/>
  <c r="J37" i="2"/>
  <c r="J38" i="2"/>
  <c r="J39" i="2"/>
  <c r="J40" i="2"/>
  <c r="J41" i="2"/>
  <c r="J42" i="2"/>
  <c r="J43" i="2"/>
  <c r="J44" i="2"/>
  <c r="J45" i="2"/>
  <c r="J46" i="2"/>
  <c r="J47" i="2"/>
  <c r="J48" i="2"/>
  <c r="J49" i="2"/>
  <c r="J50" i="2"/>
  <c r="J51" i="2"/>
  <c r="J52" i="2"/>
  <c r="J53" i="2"/>
  <c r="J54" i="2"/>
  <c r="J55" i="2"/>
  <c r="J56" i="2"/>
  <c r="J57" i="2"/>
  <c r="K36" i="2"/>
  <c r="K37" i="2"/>
  <c r="K38" i="2"/>
  <c r="K39" i="2"/>
  <c r="K40" i="2"/>
  <c r="K41" i="2"/>
  <c r="K42" i="2"/>
  <c r="K43" i="2"/>
  <c r="K44" i="2"/>
  <c r="K45" i="2"/>
  <c r="K46" i="2"/>
  <c r="K47" i="2"/>
  <c r="K48" i="2"/>
  <c r="K49" i="2"/>
  <c r="K50" i="2"/>
  <c r="K51" i="2"/>
  <c r="K52" i="2"/>
  <c r="K53" i="2"/>
  <c r="K54" i="2"/>
  <c r="K55" i="2"/>
  <c r="K56" i="2"/>
  <c r="K57" i="2"/>
  <c r="L36" i="2"/>
  <c r="L37" i="2"/>
  <c r="L38" i="2"/>
  <c r="L39" i="2"/>
  <c r="L40" i="2"/>
  <c r="L41" i="2"/>
  <c r="L42" i="2"/>
  <c r="L43" i="2"/>
  <c r="L44" i="2"/>
  <c r="L45" i="2"/>
  <c r="L46" i="2"/>
  <c r="L47" i="2"/>
  <c r="L48" i="2"/>
  <c r="L49" i="2"/>
  <c r="L50" i="2"/>
  <c r="L51" i="2"/>
  <c r="L52" i="2"/>
  <c r="L53" i="2"/>
  <c r="L54" i="2"/>
  <c r="L55" i="2"/>
  <c r="L56" i="2"/>
  <c r="L57" i="2"/>
  <c r="R36" i="2"/>
  <c r="R37" i="2"/>
  <c r="R38" i="2"/>
  <c r="R39" i="2"/>
  <c r="R40" i="2"/>
  <c r="R41" i="2"/>
  <c r="R42" i="2"/>
  <c r="R43" i="2"/>
  <c r="R44" i="2"/>
  <c r="R45" i="2"/>
  <c r="R46" i="2"/>
  <c r="R47" i="2"/>
  <c r="R48" i="2"/>
  <c r="R49" i="2"/>
  <c r="R50" i="2"/>
  <c r="R51" i="2"/>
  <c r="R52" i="2"/>
  <c r="R53" i="2"/>
  <c r="R54" i="2"/>
  <c r="R55" i="2"/>
  <c r="R56" i="2"/>
  <c r="R57" i="2"/>
  <c r="S36" i="2"/>
  <c r="S37" i="2"/>
  <c r="S38" i="2"/>
  <c r="S39" i="2"/>
  <c r="S40" i="2"/>
  <c r="S41" i="2"/>
  <c r="S42" i="2"/>
  <c r="S43" i="2"/>
  <c r="S44" i="2"/>
  <c r="S45" i="2"/>
  <c r="S46" i="2"/>
  <c r="S47" i="2"/>
  <c r="S48" i="2"/>
  <c r="S49" i="2"/>
  <c r="S50" i="2"/>
  <c r="S51" i="2"/>
  <c r="S52" i="2"/>
  <c r="S53" i="2"/>
  <c r="S54" i="2"/>
  <c r="S55" i="2"/>
  <c r="S56" i="2"/>
  <c r="S57" i="2"/>
  <c r="AE36" i="2"/>
  <c r="AE37" i="2"/>
  <c r="AE38" i="2"/>
  <c r="AE39" i="2"/>
  <c r="AE40" i="2"/>
  <c r="AE41" i="2"/>
  <c r="AE42" i="2"/>
  <c r="AE43" i="2"/>
  <c r="AE44" i="2"/>
  <c r="AE45" i="2"/>
  <c r="AE46" i="2"/>
  <c r="AE47" i="2"/>
  <c r="AE48" i="2"/>
  <c r="AE49" i="2"/>
  <c r="AE50" i="2"/>
  <c r="AE51" i="2"/>
  <c r="AE52" i="2"/>
  <c r="AE53" i="2"/>
  <c r="AE54" i="2"/>
  <c r="AE55" i="2"/>
  <c r="AE56" i="2"/>
  <c r="AE57" i="2"/>
  <c r="AH36" i="2"/>
  <c r="AH37" i="2"/>
  <c r="AH38" i="2"/>
  <c r="AH39" i="2"/>
  <c r="AH40" i="2"/>
  <c r="AH41" i="2"/>
  <c r="AH42" i="2"/>
  <c r="AH43" i="2"/>
  <c r="AH44" i="2"/>
  <c r="AH45" i="2"/>
  <c r="AH46" i="2"/>
  <c r="AH47" i="2"/>
  <c r="AH48" i="2"/>
  <c r="AH49" i="2"/>
  <c r="AH50" i="2"/>
  <c r="AH51" i="2"/>
  <c r="AH52" i="2"/>
  <c r="AH53" i="2"/>
  <c r="AH54" i="2"/>
  <c r="AH55" i="2"/>
  <c r="AH56" i="2"/>
  <c r="AH57" i="2"/>
  <c r="AK36" i="2"/>
  <c r="AK37" i="2"/>
  <c r="AK38" i="2"/>
  <c r="AK39" i="2"/>
  <c r="AK40" i="2"/>
  <c r="AK41" i="2"/>
  <c r="AK42" i="2"/>
  <c r="AK43" i="2"/>
  <c r="AK44" i="2"/>
  <c r="AK45" i="2"/>
  <c r="AK46" i="2"/>
  <c r="AK47" i="2"/>
  <c r="AK48" i="2"/>
  <c r="AK49" i="2"/>
  <c r="AK50" i="2"/>
  <c r="AK51" i="2"/>
  <c r="AK52" i="2"/>
  <c r="AK53" i="2"/>
  <c r="AK54" i="2"/>
  <c r="AK55" i="2"/>
  <c r="AK56" i="2"/>
  <c r="AK57" i="2"/>
  <c r="G22" i="2"/>
  <c r="G23" i="2"/>
  <c r="G24" i="2"/>
  <c r="G25" i="2"/>
  <c r="G26" i="2"/>
  <c r="G27" i="2"/>
  <c r="G28" i="2"/>
  <c r="D22" i="2"/>
  <c r="D23" i="2"/>
  <c r="D24" i="2"/>
  <c r="D25" i="2"/>
  <c r="D26" i="2"/>
  <c r="D27" i="2"/>
  <c r="D28" i="2"/>
  <c r="E22" i="2"/>
  <c r="E23" i="2"/>
  <c r="E24" i="2"/>
  <c r="E25" i="2"/>
  <c r="E26" i="2"/>
  <c r="E27" i="2"/>
  <c r="E28" i="2"/>
  <c r="I22" i="2"/>
  <c r="I23" i="2"/>
  <c r="I24" i="2"/>
  <c r="I25" i="2"/>
  <c r="I26" i="2"/>
  <c r="I27" i="2"/>
  <c r="I28" i="2"/>
  <c r="J22" i="2"/>
  <c r="J23" i="2"/>
  <c r="J24" i="2"/>
  <c r="J25" i="2"/>
  <c r="J26" i="2"/>
  <c r="J27" i="2"/>
  <c r="J28" i="2"/>
  <c r="K22" i="2"/>
  <c r="K23" i="2"/>
  <c r="K24" i="2"/>
  <c r="K25" i="2"/>
  <c r="K26" i="2"/>
  <c r="K27" i="2"/>
  <c r="K28" i="2"/>
  <c r="L22" i="2"/>
  <c r="L23" i="2"/>
  <c r="L24" i="2"/>
  <c r="L25" i="2"/>
  <c r="L26" i="2"/>
  <c r="L27" i="2"/>
  <c r="L28" i="2"/>
  <c r="R22" i="2"/>
  <c r="R23" i="2"/>
  <c r="R24" i="2"/>
  <c r="R25" i="2"/>
  <c r="R26" i="2"/>
  <c r="R27" i="2"/>
  <c r="R28" i="2"/>
  <c r="S22" i="2"/>
  <c r="S23" i="2"/>
  <c r="S24" i="2"/>
  <c r="S25" i="2"/>
  <c r="S26" i="2"/>
  <c r="S27" i="2"/>
  <c r="S28" i="2"/>
  <c r="AE22" i="2"/>
  <c r="AE23" i="2"/>
  <c r="AE24" i="2"/>
  <c r="AE25" i="2"/>
  <c r="AE26" i="2"/>
  <c r="AE27" i="2"/>
  <c r="AE28" i="2"/>
  <c r="AH22" i="2"/>
  <c r="AH23" i="2"/>
  <c r="AH24" i="2"/>
  <c r="AH25" i="2"/>
  <c r="AH26" i="2"/>
  <c r="AH27" i="2"/>
  <c r="AH28" i="2"/>
  <c r="AK22" i="2"/>
  <c r="AK23" i="2"/>
  <c r="AK24" i="2"/>
  <c r="AK25" i="2"/>
  <c r="AK26" i="2"/>
  <c r="AK27" i="2"/>
  <c r="AK28" i="2"/>
  <c r="G7" i="2"/>
  <c r="G8" i="2"/>
  <c r="G9" i="2"/>
  <c r="G10" i="2"/>
  <c r="G11" i="2"/>
  <c r="G12" i="2"/>
  <c r="G13" i="2"/>
  <c r="G14" i="2"/>
  <c r="G15" i="2"/>
  <c r="G16" i="2"/>
  <c r="G17" i="2"/>
  <c r="G18" i="2"/>
  <c r="G19" i="2"/>
  <c r="G20" i="2"/>
  <c r="G21" i="2"/>
  <c r="D7" i="2"/>
  <c r="D8" i="2"/>
  <c r="D9" i="2"/>
  <c r="D10" i="2"/>
  <c r="D11" i="2"/>
  <c r="D12" i="2"/>
  <c r="D13" i="2"/>
  <c r="D14" i="2"/>
  <c r="D15" i="2"/>
  <c r="D16" i="2"/>
  <c r="D17" i="2"/>
  <c r="D18" i="2"/>
  <c r="D19" i="2"/>
  <c r="D20" i="2"/>
  <c r="D21" i="2"/>
  <c r="E7" i="2"/>
  <c r="E8" i="2"/>
  <c r="E9" i="2"/>
  <c r="E10" i="2"/>
  <c r="E11" i="2"/>
  <c r="E12" i="2"/>
  <c r="E13" i="2"/>
  <c r="E14" i="2"/>
  <c r="E15" i="2"/>
  <c r="E16" i="2"/>
  <c r="E17" i="2"/>
  <c r="E18" i="2"/>
  <c r="E19" i="2"/>
  <c r="E20" i="2"/>
  <c r="E21" i="2"/>
  <c r="I7" i="2"/>
  <c r="I8" i="2"/>
  <c r="I9" i="2"/>
  <c r="I10" i="2"/>
  <c r="I11" i="2"/>
  <c r="I12" i="2"/>
  <c r="I13" i="2"/>
  <c r="I14" i="2"/>
  <c r="I15" i="2"/>
  <c r="I16" i="2"/>
  <c r="I17" i="2"/>
  <c r="I18" i="2"/>
  <c r="I19" i="2"/>
  <c r="I20" i="2"/>
  <c r="I21" i="2"/>
  <c r="J7" i="2"/>
  <c r="J8" i="2"/>
  <c r="J9" i="2"/>
  <c r="J10" i="2"/>
  <c r="J11" i="2"/>
  <c r="J12" i="2"/>
  <c r="J13" i="2"/>
  <c r="J14" i="2"/>
  <c r="J15" i="2"/>
  <c r="J16" i="2"/>
  <c r="J17" i="2"/>
  <c r="J18" i="2"/>
  <c r="J19" i="2"/>
  <c r="J20" i="2"/>
  <c r="J21" i="2"/>
  <c r="K7" i="2"/>
  <c r="K8" i="2"/>
  <c r="K9" i="2"/>
  <c r="K10" i="2"/>
  <c r="K11" i="2"/>
  <c r="K12" i="2"/>
  <c r="K13" i="2"/>
  <c r="K14" i="2"/>
  <c r="K15" i="2"/>
  <c r="K16" i="2"/>
  <c r="K17" i="2"/>
  <c r="K18" i="2"/>
  <c r="K19" i="2"/>
  <c r="K20" i="2"/>
  <c r="K21" i="2"/>
  <c r="L7" i="2"/>
  <c r="L8" i="2"/>
  <c r="L9" i="2"/>
  <c r="L10" i="2"/>
  <c r="L11" i="2"/>
  <c r="L12" i="2"/>
  <c r="L13" i="2"/>
  <c r="L14" i="2"/>
  <c r="L15" i="2"/>
  <c r="L16" i="2"/>
  <c r="L17" i="2"/>
  <c r="L18" i="2"/>
  <c r="L19" i="2"/>
  <c r="L20" i="2"/>
  <c r="L21" i="2"/>
  <c r="R7" i="2"/>
  <c r="R8" i="2"/>
  <c r="R9" i="2"/>
  <c r="R10" i="2"/>
  <c r="R11" i="2"/>
  <c r="R12" i="2"/>
  <c r="R13" i="2"/>
  <c r="R14" i="2"/>
  <c r="R15" i="2"/>
  <c r="R16" i="2"/>
  <c r="R17" i="2"/>
  <c r="R18" i="2"/>
  <c r="R19" i="2"/>
  <c r="R20" i="2"/>
  <c r="R21" i="2"/>
  <c r="S7" i="2"/>
  <c r="S8" i="2"/>
  <c r="S9" i="2"/>
  <c r="S10" i="2"/>
  <c r="S11" i="2"/>
  <c r="S12" i="2"/>
  <c r="S13" i="2"/>
  <c r="S14" i="2"/>
  <c r="S15" i="2"/>
  <c r="S16" i="2"/>
  <c r="S17" i="2"/>
  <c r="S18" i="2"/>
  <c r="S19" i="2"/>
  <c r="S20" i="2"/>
  <c r="S21" i="2"/>
  <c r="AE7" i="2"/>
  <c r="AE8" i="2"/>
  <c r="AE9" i="2"/>
  <c r="AE10" i="2"/>
  <c r="AE11" i="2"/>
  <c r="AE12" i="2"/>
  <c r="AE13" i="2"/>
  <c r="AE14" i="2"/>
  <c r="AE15" i="2"/>
  <c r="AE16" i="2"/>
  <c r="AE17" i="2"/>
  <c r="AE18" i="2"/>
  <c r="AE19" i="2"/>
  <c r="AE20" i="2"/>
  <c r="AE21" i="2"/>
  <c r="AH7" i="2"/>
  <c r="AH8" i="2"/>
  <c r="AH9" i="2"/>
  <c r="AH10" i="2"/>
  <c r="AH11" i="2"/>
  <c r="AH12" i="2"/>
  <c r="AH13" i="2"/>
  <c r="AH14" i="2"/>
  <c r="AH15" i="2"/>
  <c r="AH16" i="2"/>
  <c r="AH17" i="2"/>
  <c r="AH18" i="2"/>
  <c r="AH19" i="2"/>
  <c r="AH20" i="2"/>
  <c r="AH21" i="2"/>
  <c r="AK7" i="2"/>
  <c r="AK8" i="2"/>
  <c r="AK9" i="2"/>
  <c r="AK10" i="2"/>
  <c r="AK11" i="2"/>
  <c r="AK12" i="2"/>
  <c r="AK13" i="2"/>
  <c r="AK14" i="2"/>
  <c r="AK15" i="2"/>
  <c r="AK16" i="2"/>
  <c r="AK17" i="2"/>
  <c r="AK18" i="2"/>
  <c r="AK19" i="2"/>
  <c r="AK20" i="2"/>
  <c r="AK21" i="2"/>
  <c r="AA31" i="2"/>
  <c r="D2" i="2"/>
  <c r="E2" i="2"/>
  <c r="G2" i="2"/>
  <c r="I2" i="2"/>
  <c r="J2" i="2"/>
  <c r="K2" i="2"/>
  <c r="L2" i="2"/>
  <c r="AE2" i="2"/>
  <c r="AH2" i="2"/>
  <c r="AK2" i="2"/>
  <c r="D3" i="2"/>
  <c r="E3" i="2"/>
  <c r="G3" i="2"/>
  <c r="I3" i="2"/>
  <c r="J3" i="2"/>
  <c r="K3" i="2"/>
  <c r="L3" i="2"/>
  <c r="AE3" i="2"/>
  <c r="AH3" i="2"/>
  <c r="AK3" i="2"/>
  <c r="D4" i="2"/>
  <c r="E4" i="2"/>
  <c r="G4" i="2"/>
  <c r="I4" i="2"/>
  <c r="J4" i="2"/>
  <c r="K4" i="2"/>
  <c r="L4" i="2"/>
  <c r="AE4" i="2"/>
  <c r="AH4" i="2"/>
  <c r="D5" i="2"/>
  <c r="E5" i="2"/>
  <c r="G5" i="2"/>
  <c r="I5" i="2"/>
  <c r="J5" i="2"/>
  <c r="K5" i="2"/>
  <c r="L5" i="2"/>
  <c r="AE5" i="2"/>
  <c r="AH5" i="2"/>
  <c r="AK5" i="2"/>
  <c r="D6" i="2"/>
  <c r="E6" i="2"/>
  <c r="G6" i="2"/>
  <c r="I6" i="2"/>
  <c r="J6" i="2"/>
  <c r="K6" i="2"/>
  <c r="L6" i="2"/>
  <c r="AE6" i="2"/>
  <c r="AH6" i="2"/>
  <c r="AK6" i="2"/>
  <c r="D29" i="2"/>
  <c r="E29" i="2"/>
  <c r="G29" i="2"/>
  <c r="I29" i="2"/>
  <c r="J29" i="2"/>
  <c r="K29" i="2"/>
  <c r="L29" i="2"/>
  <c r="AE29" i="2"/>
  <c r="AH29" i="2"/>
  <c r="AK29" i="2"/>
  <c r="D30" i="2"/>
  <c r="E30" i="2"/>
  <c r="G30" i="2"/>
  <c r="I30" i="2"/>
  <c r="J30" i="2"/>
  <c r="K30" i="2"/>
  <c r="L30" i="2"/>
  <c r="AE30" i="2"/>
  <c r="AH30" i="2"/>
  <c r="AK30"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58" i="2"/>
  <c r="E58" i="2"/>
  <c r="G58" i="2"/>
  <c r="I58" i="2"/>
  <c r="J58" i="2"/>
  <c r="K58" i="2"/>
  <c r="L58" i="2"/>
  <c r="AE58" i="2"/>
  <c r="AH58" i="2"/>
  <c r="AK58" i="2"/>
  <c r="D59" i="2"/>
  <c r="E59" i="2"/>
  <c r="G59" i="2"/>
  <c r="I59" i="2"/>
  <c r="J59" i="2"/>
  <c r="K59" i="2"/>
  <c r="L59" i="2"/>
  <c r="AA59" i="2"/>
  <c r="AE59" i="2"/>
  <c r="AH59" i="2"/>
  <c r="AK59" i="2"/>
  <c r="D60" i="2"/>
  <c r="E60" i="2"/>
  <c r="G60" i="2"/>
  <c r="I60" i="2"/>
  <c r="J60" i="2"/>
  <c r="K60" i="2"/>
  <c r="L60" i="2"/>
  <c r="AE60" i="2"/>
  <c r="AH60" i="2"/>
  <c r="AK60" i="2"/>
  <c r="D61" i="2"/>
  <c r="E61" i="2"/>
  <c r="G61" i="2"/>
  <c r="I61" i="2"/>
  <c r="J61" i="2"/>
  <c r="K61" i="2"/>
  <c r="L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87" i="2"/>
  <c r="E87" i="2"/>
  <c r="G87" i="2"/>
  <c r="I87" i="2"/>
  <c r="J87" i="2"/>
  <c r="K87" i="2"/>
  <c r="L87" i="2"/>
  <c r="AE87" i="2"/>
  <c r="AH87" i="2"/>
  <c r="AK87" i="2"/>
  <c r="D88" i="2"/>
  <c r="E88" i="2"/>
  <c r="G88" i="2"/>
  <c r="I88" i="2"/>
  <c r="J88" i="2"/>
  <c r="K88" i="2"/>
  <c r="L88" i="2"/>
  <c r="AA88" i="2"/>
  <c r="AE88" i="2"/>
  <c r="AH88" i="2"/>
  <c r="AK88" i="2"/>
  <c r="D89" i="2"/>
  <c r="E89" i="2"/>
  <c r="G89" i="2"/>
  <c r="I89" i="2"/>
  <c r="J89" i="2"/>
  <c r="K89" i="2"/>
  <c r="L89" i="2"/>
  <c r="AE89" i="2"/>
  <c r="AH89" i="2"/>
  <c r="AK89" i="2"/>
  <c r="D90" i="2"/>
  <c r="E90" i="2"/>
  <c r="G90" i="2"/>
  <c r="I90" i="2"/>
  <c r="J90" i="2"/>
  <c r="K90" i="2"/>
  <c r="L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J116" i="2"/>
  <c r="J117" i="2"/>
  <c r="J118" i="2"/>
  <c r="J119" i="2"/>
  <c r="J120" i="2"/>
  <c r="J121" i="2"/>
  <c r="J122" i="2"/>
  <c r="K116" i="2"/>
  <c r="K117" i="2"/>
  <c r="K118" i="2"/>
  <c r="K119" i="2"/>
  <c r="K120" i="2"/>
  <c r="K121" i="2"/>
  <c r="K122" i="2"/>
  <c r="L116" i="2"/>
  <c r="L117" i="2"/>
  <c r="L118" i="2"/>
  <c r="L119" i="2"/>
  <c r="L120" i="2"/>
  <c r="L121" i="2"/>
  <c r="L122" i="2"/>
  <c r="AA30" i="2"/>
  <c r="AA60" i="2"/>
  <c r="AA32" i="2"/>
  <c r="AA2" i="2"/>
  <c r="AA89" i="2"/>
  <c r="AA61" i="2"/>
  <c r="AA90" i="2"/>
  <c r="AA33" i="2"/>
  <c r="AA3" i="2"/>
  <c r="AA62" i="2"/>
  <c r="AA91" i="2"/>
  <c r="AA4" i="2"/>
  <c r="AA34" i="2"/>
  <c r="AA63" i="2"/>
  <c r="AA5" i="2"/>
  <c r="AA92" i="2"/>
  <c r="AA6" i="2"/>
  <c r="AA35" i="2"/>
  <c r="AA7" i="2"/>
  <c r="AA36" i="2"/>
  <c r="AA64" i="2"/>
  <c r="AA93" i="2"/>
  <c r="AA8" i="2"/>
  <c r="AA37" i="2"/>
  <c r="AA65" i="2"/>
  <c r="AA94" i="2"/>
  <c r="D117" i="2"/>
  <c r="E117" i="2"/>
  <c r="G117" i="2"/>
  <c r="I117" i="2"/>
  <c r="AE117" i="2"/>
  <c r="AH117" i="2"/>
  <c r="AK117" i="2"/>
  <c r="D118" i="2"/>
  <c r="E118" i="2"/>
  <c r="G118" i="2"/>
  <c r="I118" i="2"/>
  <c r="AE118" i="2"/>
  <c r="AH118" i="2"/>
  <c r="AK118"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AA9" i="2"/>
  <c r="AA38" i="2"/>
  <c r="AA66" i="2"/>
  <c r="AA95" i="2"/>
  <c r="AA10" i="2"/>
  <c r="AA39" i="2"/>
  <c r="AA67" i="2"/>
  <c r="AA96" i="2"/>
  <c r="D3" i="22"/>
  <c r="C4" i="16"/>
  <c r="K3" i="15" s="1"/>
  <c r="C5" i="16"/>
  <c r="I8" i="15" s="1"/>
  <c r="C6" i="16"/>
  <c r="C7" i="16"/>
  <c r="D7" i="21" s="1"/>
  <c r="C7" i="21" s="1"/>
  <c r="C10" i="16"/>
  <c r="C2" i="16"/>
  <c r="K11" i="15" s="1"/>
  <c r="AH116" i="2"/>
  <c r="AK116" i="2"/>
  <c r="AE116" i="2"/>
  <c r="B10" i="25"/>
  <c r="E10" i="25"/>
  <c r="F10" i="25"/>
  <c r="H10" i="25"/>
  <c r="J10" i="25"/>
  <c r="K10" i="25"/>
  <c r="L10" i="25"/>
  <c r="M10" i="25"/>
  <c r="I5" i="15"/>
  <c r="I7" i="15"/>
  <c r="I10" i="15"/>
  <c r="K6" i="15"/>
  <c r="I11" i="15"/>
  <c r="K9" i="15"/>
  <c r="K10" i="15"/>
  <c r="K8" i="15"/>
  <c r="I12" i="15"/>
  <c r="K13" i="15"/>
  <c r="AA11" i="2"/>
  <c r="AA40" i="2"/>
  <c r="AA68" i="2"/>
  <c r="AA97" i="2"/>
  <c r="K12" i="15"/>
  <c r="C25" i="33"/>
  <c r="C24" i="33"/>
  <c r="C26" i="33"/>
  <c r="C2" i="33"/>
  <c r="C23" i="33"/>
  <c r="C3" i="33"/>
  <c r="C19" i="33"/>
  <c r="C17" i="33"/>
  <c r="C22" i="33"/>
  <c r="C13" i="33"/>
  <c r="C20" i="33"/>
  <c r="C8" i="33"/>
  <c r="C9" i="33"/>
  <c r="C15" i="33"/>
  <c r="C11" i="33"/>
  <c r="C16" i="33"/>
  <c r="C14" i="33"/>
  <c r="C21" i="33"/>
  <c r="C18" i="33"/>
  <c r="C12" i="33"/>
  <c r="F8" i="27"/>
  <c r="A38" i="27" s="1"/>
  <c r="A47" i="27" s="1"/>
  <c r="A61" i="27" s="1"/>
  <c r="F9" i="27"/>
  <c r="A39" i="27" s="1"/>
  <c r="A48" i="27" s="1"/>
  <c r="A62" i="27" s="1"/>
  <c r="C5" i="33"/>
  <c r="C4" i="33"/>
  <c r="C6" i="33"/>
  <c r="AA12" i="2"/>
  <c r="AA41" i="2"/>
  <c r="AA69" i="2"/>
  <c r="AA98" i="2"/>
  <c r="I116"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A13" i="2"/>
  <c r="AA42" i="2"/>
  <c r="AA70" i="2"/>
  <c r="AD70" i="2" s="1"/>
  <c r="AA99" i="2"/>
  <c r="F4" i="21"/>
  <c r="F5" i="21"/>
  <c r="F2" i="21"/>
  <c r="F3" i="21"/>
  <c r="F6" i="21"/>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3" i="22"/>
  <c r="AA14" i="2"/>
  <c r="AA43" i="2"/>
  <c r="AA71" i="2"/>
  <c r="AA100" i="2"/>
  <c r="I10" i="25"/>
  <c r="AA15" i="2"/>
  <c r="AA44" i="2"/>
  <c r="AA72" i="2"/>
  <c r="AA101" i="2"/>
  <c r="G10" i="25"/>
  <c r="C10" i="25"/>
  <c r="AA16" i="2"/>
  <c r="AA45" i="2"/>
  <c r="AA73" i="2"/>
  <c r="AA102" i="2"/>
  <c r="AA17" i="2"/>
  <c r="AA46" i="2"/>
  <c r="AA74" i="2"/>
  <c r="AA103" i="2"/>
  <c r="AA18" i="2"/>
  <c r="AA47" i="2"/>
  <c r="AA75" i="2"/>
  <c r="AA104" i="2"/>
  <c r="C12" i="25"/>
  <c r="C3" i="25"/>
  <c r="D54" i="5"/>
  <c r="D37" i="5"/>
  <c r="D19" i="5"/>
  <c r="AL3" i="22"/>
  <c r="AD3" i="22"/>
  <c r="Z3" i="22"/>
  <c r="W3" i="22"/>
  <c r="AC3" i="22"/>
  <c r="T3" i="22"/>
  <c r="Q3" i="22"/>
  <c r="N3" i="22"/>
  <c r="M3" i="22"/>
  <c r="K3" i="22"/>
  <c r="J3" i="22"/>
  <c r="I3" i="22"/>
  <c r="H3" i="22"/>
  <c r="G3" i="22"/>
  <c r="L6" i="21"/>
  <c r="K6" i="21"/>
  <c r="J6" i="21"/>
  <c r="I6" i="21"/>
  <c r="H6" i="21"/>
  <c r="G6" i="21"/>
  <c r="D6" i="21"/>
  <c r="C6" i="21" s="1"/>
  <c r="L5" i="21"/>
  <c r="K5" i="21"/>
  <c r="J5" i="21"/>
  <c r="I5" i="21"/>
  <c r="H5" i="21"/>
  <c r="G5" i="21"/>
  <c r="L4" i="21"/>
  <c r="K4" i="21"/>
  <c r="J4" i="21"/>
  <c r="I4" i="21"/>
  <c r="H4" i="21"/>
  <c r="G4" i="21"/>
  <c r="L3" i="21"/>
  <c r="K3" i="21"/>
  <c r="J3" i="21"/>
  <c r="I3" i="21"/>
  <c r="H3" i="21"/>
  <c r="G3" i="21"/>
  <c r="L2" i="21"/>
  <c r="K2" i="21"/>
  <c r="J2" i="21"/>
  <c r="I2" i="21"/>
  <c r="H2" i="21"/>
  <c r="G2" i="2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c r="S9" i="10"/>
  <c r="T9" i="10"/>
  <c r="AI9" i="10"/>
  <c r="U9" i="10"/>
  <c r="V9" i="10"/>
  <c r="AK9" i="10"/>
  <c r="W9" i="10"/>
  <c r="X9" i="10"/>
  <c r="AM9" i="10"/>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c r="W13" i="10"/>
  <c r="X13" i="10"/>
  <c r="AM13" i="10"/>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F9" i="33"/>
  <c r="F5" i="33"/>
  <c r="F6" i="33"/>
  <c r="F4" i="33"/>
  <c r="F24" i="33"/>
  <c r="F21" i="33"/>
  <c r="F13" i="33"/>
  <c r="F15" i="33"/>
  <c r="F16" i="33"/>
  <c r="F17" i="33"/>
  <c r="F19" i="33"/>
  <c r="F23" i="33"/>
  <c r="F25" i="33"/>
  <c r="F26" i="33"/>
  <c r="F20" i="33"/>
  <c r="F8" i="33"/>
  <c r="F11" i="33"/>
  <c r="F12" i="33"/>
  <c r="F14" i="33"/>
  <c r="F18" i="33"/>
  <c r="F22" i="33"/>
  <c r="F3" i="33"/>
  <c r="F2" i="33"/>
  <c r="AA19" i="2"/>
  <c r="AA48" i="2"/>
  <c r="AA76" i="2"/>
  <c r="AA105" i="2"/>
  <c r="C9" i="25"/>
  <c r="D59" i="18"/>
  <c r="D61" i="18"/>
  <c r="D62" i="18"/>
  <c r="C62" i="18" s="1"/>
  <c r="D63" i="18"/>
  <c r="D60" i="18"/>
  <c r="D52" i="18"/>
  <c r="C52" i="18" s="1"/>
  <c r="D54" i="18"/>
  <c r="C54" i="18" s="1"/>
  <c r="D57" i="18"/>
  <c r="D53" i="18"/>
  <c r="D55" i="18"/>
  <c r="C55" i="18" s="1"/>
  <c r="D56" i="18"/>
  <c r="D58" i="18"/>
  <c r="C8" i="25"/>
  <c r="D116" i="2"/>
  <c r="E116" i="2"/>
  <c r="G116" i="2"/>
  <c r="D3" i="18"/>
  <c r="D29" i="18"/>
  <c r="D21" i="18"/>
  <c r="C21" i="18" s="1"/>
  <c r="D47" i="18"/>
  <c r="D20" i="18"/>
  <c r="D44" i="18"/>
  <c r="D17" i="18"/>
  <c r="D42" i="18"/>
  <c r="D11" i="18"/>
  <c r="D41" i="18"/>
  <c r="D9" i="18"/>
  <c r="C9" i="18" s="1"/>
  <c r="D35" i="18"/>
  <c r="D8" i="18"/>
  <c r="D33" i="18"/>
  <c r="D6" i="18"/>
  <c r="D32" i="18"/>
  <c r="D46" i="18"/>
  <c r="D34" i="18"/>
  <c r="D22" i="18"/>
  <c r="D10" i="18"/>
  <c r="D43" i="18"/>
  <c r="D31" i="18"/>
  <c r="D19" i="18"/>
  <c r="D7" i="18"/>
  <c r="D40" i="18"/>
  <c r="D28" i="18"/>
  <c r="D16" i="18"/>
  <c r="D51" i="18"/>
  <c r="D39" i="18"/>
  <c r="D27" i="18"/>
  <c r="D15" i="18"/>
  <c r="D50" i="18"/>
  <c r="D38" i="18"/>
  <c r="D26" i="18"/>
  <c r="D14" i="18"/>
  <c r="D2" i="18"/>
  <c r="D49" i="18"/>
  <c r="D37" i="18"/>
  <c r="D25" i="18"/>
  <c r="D13" i="18"/>
  <c r="C13" i="18" s="1"/>
  <c r="D48" i="18"/>
  <c r="D36" i="18"/>
  <c r="C36" i="18" s="1"/>
  <c r="D24" i="18"/>
  <c r="D12" i="18"/>
  <c r="AA20" i="2"/>
  <c r="AA49" i="2"/>
  <c r="AA77" i="2"/>
  <c r="AA106" i="2"/>
  <c r="I2" i="25"/>
  <c r="C13" i="25"/>
  <c r="G2" i="25"/>
  <c r="N4" i="16"/>
  <c r="G8" i="25"/>
  <c r="G20" i="25"/>
  <c r="G6" i="25"/>
  <c r="G21" i="25"/>
  <c r="G12" i="25"/>
  <c r="G19" i="25"/>
  <c r="G9" i="25"/>
  <c r="G11" i="25"/>
  <c r="G5" i="25"/>
  <c r="G3" i="25"/>
  <c r="I16" i="25"/>
  <c r="I12" i="25"/>
  <c r="I21" i="25"/>
  <c r="I17" i="25"/>
  <c r="I3" i="25"/>
  <c r="I8" i="25"/>
  <c r="I19" i="25"/>
  <c r="I9" i="25"/>
  <c r="I7" i="25"/>
  <c r="I18" i="25"/>
  <c r="I13" i="25"/>
  <c r="I20" i="25"/>
  <c r="G14" i="25"/>
  <c r="I15" i="25"/>
  <c r="I22" i="25"/>
  <c r="K15" i="15"/>
  <c r="I15" i="15"/>
  <c r="I25" i="25"/>
  <c r="I24" i="25"/>
  <c r="V8" i="16"/>
  <c r="AA8" i="22" s="1"/>
  <c r="T8" i="16"/>
  <c r="X8" i="22" s="1"/>
  <c r="T9" i="16"/>
  <c r="X9" i="22" s="1"/>
  <c r="V9" i="16"/>
  <c r="AA9" i="22" s="1"/>
  <c r="N8" i="16"/>
  <c r="O8" i="22" s="1"/>
  <c r="N9" i="16"/>
  <c r="O9" i="22" s="1"/>
  <c r="Z9" i="16"/>
  <c r="AI9" i="22" s="1"/>
  <c r="AJ9" i="22" s="1"/>
  <c r="AB9" i="16"/>
  <c r="AM9" i="22" s="1"/>
  <c r="AN9" i="22" s="1"/>
  <c r="P8" i="16"/>
  <c r="R8" i="22" s="1"/>
  <c r="AB8" i="16"/>
  <c r="AM8" i="22" s="1"/>
  <c r="AN8" i="22" s="1"/>
  <c r="P9" i="16"/>
  <c r="R9" i="22" s="1"/>
  <c r="R8" i="16"/>
  <c r="U8" i="22" s="1"/>
  <c r="R9" i="16"/>
  <c r="U9" i="22" s="1"/>
  <c r="V2" i="16"/>
  <c r="AA2" i="22" s="1"/>
  <c r="N5" i="16"/>
  <c r="P4" i="16"/>
  <c r="I4" i="25"/>
  <c r="G32" i="25"/>
  <c r="G41" i="25"/>
  <c r="G26" i="25"/>
  <c r="G33" i="25"/>
  <c r="I32" i="25"/>
  <c r="I35" i="25"/>
  <c r="I26" i="25"/>
  <c r="I23" i="25"/>
  <c r="I37" i="25"/>
  <c r="I34" i="25"/>
  <c r="I29" i="25"/>
  <c r="I36" i="25"/>
  <c r="I40" i="25"/>
  <c r="I28" i="25"/>
  <c r="I38" i="25"/>
  <c r="I39" i="25"/>
  <c r="I33" i="25"/>
  <c r="I31" i="25"/>
  <c r="I30" i="25"/>
  <c r="I41" i="25"/>
  <c r="I27" i="25"/>
  <c r="AA21" i="2"/>
  <c r="AA50" i="2"/>
  <c r="AA78" i="2"/>
  <c r="AD78" i="2" s="1"/>
  <c r="AA107" i="2"/>
  <c r="R3" i="16"/>
  <c r="P2" i="16"/>
  <c r="R2" i="22" s="1"/>
  <c r="R6" i="16"/>
  <c r="U6" i="22" s="1"/>
  <c r="R10" i="16"/>
  <c r="U10" i="22" s="1"/>
  <c r="V3" i="16"/>
  <c r="T2" i="16"/>
  <c r="X2" i="22" s="1"/>
  <c r="T3" i="16"/>
  <c r="X3" i="22" s="1"/>
  <c r="R7" i="16"/>
  <c r="P7" i="16"/>
  <c r="R7" i="22" s="1"/>
  <c r="R8" i="33"/>
  <c r="G30" i="25"/>
  <c r="G27" i="25"/>
  <c r="G36" i="25"/>
  <c r="G29" i="25"/>
  <c r="G22" i="25"/>
  <c r="I14" i="25"/>
  <c r="G37" i="25"/>
  <c r="C20" i="25"/>
  <c r="G24" i="25"/>
  <c r="G23" i="25"/>
  <c r="G28" i="25"/>
  <c r="G35" i="25"/>
  <c r="G34" i="25"/>
  <c r="G31" i="25"/>
  <c r="G38" i="25"/>
  <c r="G40" i="25"/>
  <c r="G39" i="25"/>
  <c r="G25" i="25"/>
  <c r="AB3" i="16"/>
  <c r="AM3" i="22" s="1"/>
  <c r="AN3" i="22" s="1"/>
  <c r="T6" i="16"/>
  <c r="X6" i="22" s="1"/>
  <c r="V10" i="16"/>
  <c r="AA10" i="22" s="1"/>
  <c r="V5" i="16"/>
  <c r="N2" i="16"/>
  <c r="O2" i="22" s="1"/>
  <c r="P10" i="16"/>
  <c r="R10" i="22" s="1"/>
  <c r="T10" i="16"/>
  <c r="X10" i="22" s="1"/>
  <c r="V6" i="16"/>
  <c r="AA6" i="22" s="1"/>
  <c r="T4" i="16"/>
  <c r="T5" i="16"/>
  <c r="P6" i="16"/>
  <c r="R6" i="22" s="1"/>
  <c r="R2" i="16"/>
  <c r="U2" i="22" s="1"/>
  <c r="V7" i="16"/>
  <c r="AB10" i="16"/>
  <c r="AM10" i="22" s="1"/>
  <c r="AN10" i="22" s="1"/>
  <c r="Z10" i="16"/>
  <c r="AI10" i="22" s="1"/>
  <c r="AJ10" i="22" s="1"/>
  <c r="AB6" i="16"/>
  <c r="AM6" i="22" s="1"/>
  <c r="AN6" i="22" s="1"/>
  <c r="R5" i="16"/>
  <c r="V4" i="16"/>
  <c r="T7" i="16"/>
  <c r="X7" i="22" s="1"/>
  <c r="X8" i="33"/>
  <c r="P5" i="16"/>
  <c r="R9" i="33" s="1"/>
  <c r="AB7" i="16"/>
  <c r="AM7" i="22" s="1"/>
  <c r="AN7" i="22" s="1"/>
  <c r="I5" i="25"/>
  <c r="C21" i="25"/>
  <c r="I6" i="25"/>
  <c r="G16" i="25"/>
  <c r="G4" i="25"/>
  <c r="C19" i="25"/>
  <c r="C18" i="25"/>
  <c r="G15" i="25"/>
  <c r="C17" i="25"/>
  <c r="C2" i="25"/>
  <c r="I11" i="25"/>
  <c r="G7" i="25"/>
  <c r="G17" i="25"/>
  <c r="G18" i="25"/>
  <c r="G13" i="25"/>
  <c r="X11" i="33"/>
  <c r="O11" i="33"/>
  <c r="AB2" i="16"/>
  <c r="AM2" i="22" s="1"/>
  <c r="AN2" i="22" s="1"/>
  <c r="AA2" i="33"/>
  <c r="AA5" i="33"/>
  <c r="X2" i="33"/>
  <c r="X3" i="33"/>
  <c r="R3" i="33"/>
  <c r="R2" i="33"/>
  <c r="X4" i="33"/>
  <c r="C34" i="25"/>
  <c r="C25" i="25"/>
  <c r="C27" i="25"/>
  <c r="C39" i="25"/>
  <c r="C32" i="25"/>
  <c r="C40" i="25"/>
  <c r="C37" i="25"/>
  <c r="C30" i="25"/>
  <c r="C35" i="25"/>
  <c r="C22" i="25"/>
  <c r="C29" i="25"/>
  <c r="C23" i="25"/>
  <c r="C31" i="25"/>
  <c r="C41" i="25"/>
  <c r="C26" i="25"/>
  <c r="C28" i="25"/>
  <c r="C38" i="25"/>
  <c r="C24" i="25"/>
  <c r="C33" i="25"/>
  <c r="C36" i="25"/>
  <c r="AA22" i="2"/>
  <c r="AA51" i="2"/>
  <c r="AA79" i="2"/>
  <c r="AA108" i="2"/>
  <c r="N10" i="16"/>
  <c r="O10" i="22" s="1"/>
  <c r="Z2" i="16"/>
  <c r="AI2" i="22" s="1"/>
  <c r="AJ2" i="22" s="1"/>
  <c r="N6" i="16"/>
  <c r="O6" i="22" s="1"/>
  <c r="R4" i="16"/>
  <c r="C14" i="25"/>
  <c r="C11" i="25"/>
  <c r="C7" i="25"/>
  <c r="N7" i="16"/>
  <c r="O7" i="22" s="1"/>
  <c r="C5" i="25"/>
  <c r="C16" i="25"/>
  <c r="C15" i="25"/>
  <c r="AB4" i="16"/>
  <c r="AM4" i="22" s="1"/>
  <c r="AN4" i="22" s="1"/>
  <c r="C6" i="25"/>
  <c r="P3" i="16"/>
  <c r="R3" i="22" s="1"/>
  <c r="C4" i="25"/>
  <c r="N3" i="16"/>
  <c r="O3" i="22" s="1"/>
  <c r="O5" i="33"/>
  <c r="AA23" i="2"/>
  <c r="AA52" i="2"/>
  <c r="AA80" i="2"/>
  <c r="AA109" i="2"/>
  <c r="AA24" i="2"/>
  <c r="AA53" i="2"/>
  <c r="AG80" i="2"/>
  <c r="AA81" i="2"/>
  <c r="AA110" i="2"/>
  <c r="AA25" i="2"/>
  <c r="AA54" i="2"/>
  <c r="AA82" i="2"/>
  <c r="AA111" i="2"/>
  <c r="AD111" i="2" s="1"/>
  <c r="AA26" i="2"/>
  <c r="AA55" i="2"/>
  <c r="AA83" i="2"/>
  <c r="AA112" i="2"/>
  <c r="AA28" i="2"/>
  <c r="AA27" i="2"/>
  <c r="AA57" i="2"/>
  <c r="AA56" i="2"/>
  <c r="AA84" i="2"/>
  <c r="AA113" i="2"/>
  <c r="AA86" i="2"/>
  <c r="AD86" i="2" s="1"/>
  <c r="AA85" i="2"/>
  <c r="AA115" i="2"/>
  <c r="AA114" i="2"/>
  <c r="AA116" i="2"/>
  <c r="AA117" i="2"/>
  <c r="AA119" i="2"/>
  <c r="AA118" i="2"/>
  <c r="AA120" i="2"/>
  <c r="AA121" i="2"/>
  <c r="AA122" i="2"/>
  <c r="AA123" i="2"/>
  <c r="AA124" i="2"/>
  <c r="AA125" i="2"/>
  <c r="AA126" i="2"/>
  <c r="AA127" i="2"/>
  <c r="R5" i="33" l="1"/>
  <c r="AA12" i="33"/>
  <c r="AA27" i="33"/>
  <c r="AA28" i="33"/>
  <c r="X29" i="33"/>
  <c r="X30" i="33"/>
  <c r="X31" i="33"/>
  <c r="R12" i="33"/>
  <c r="R27" i="33"/>
  <c r="R28" i="33"/>
  <c r="U9" i="33"/>
  <c r="U30" i="33"/>
  <c r="U31" i="33"/>
  <c r="U29" i="33"/>
  <c r="X12" i="33"/>
  <c r="X28" i="33"/>
  <c r="X27" i="33"/>
  <c r="O21" i="33"/>
  <c r="O29" i="33"/>
  <c r="O30" i="33"/>
  <c r="O31" i="33"/>
  <c r="D2" i="21"/>
  <c r="C2" i="21" s="1"/>
  <c r="R30" i="33"/>
  <c r="R31" i="33"/>
  <c r="R29" i="33"/>
  <c r="O12" i="33"/>
  <c r="O27" i="33"/>
  <c r="O28" i="33"/>
  <c r="U8" i="33"/>
  <c r="U28" i="33"/>
  <c r="U27" i="33"/>
  <c r="AA29" i="33"/>
  <c r="AA30" i="33"/>
  <c r="AA31" i="33"/>
  <c r="AG116" i="2"/>
  <c r="AJ123" i="2"/>
  <c r="AJ117" i="2"/>
  <c r="AG126" i="2"/>
  <c r="AJ118" i="2"/>
  <c r="AG117" i="2"/>
  <c r="AG115" i="2"/>
  <c r="AJ124" i="2"/>
  <c r="AG122" i="2"/>
  <c r="AG125" i="2"/>
  <c r="AJ122" i="2"/>
  <c r="AG121" i="2"/>
  <c r="AG124" i="2"/>
  <c r="AJ121" i="2"/>
  <c r="AG120" i="2"/>
  <c r="AG123" i="2"/>
  <c r="AJ120" i="2"/>
  <c r="AG119" i="2"/>
  <c r="AJ126" i="2"/>
  <c r="AD55" i="2"/>
  <c r="AJ119" i="2"/>
  <c r="AG118" i="2"/>
  <c r="AJ125" i="2"/>
  <c r="AA3" i="33"/>
  <c r="D5" i="21"/>
  <c r="C5" i="21" s="1"/>
  <c r="AA8" i="33"/>
  <c r="AA5" i="22"/>
  <c r="AA10" i="33"/>
  <c r="O3" i="33"/>
  <c r="U4" i="22"/>
  <c r="U7" i="33"/>
  <c r="AA9" i="33"/>
  <c r="R5" i="22"/>
  <c r="R10" i="33"/>
  <c r="U5" i="22"/>
  <c r="U10" i="33"/>
  <c r="X5" i="22"/>
  <c r="X10" i="33"/>
  <c r="AG41" i="2"/>
  <c r="X24" i="33"/>
  <c r="R24" i="33"/>
  <c r="AA22" i="33"/>
  <c r="U22" i="33"/>
  <c r="O22" i="33"/>
  <c r="X21" i="33"/>
  <c r="R21" i="33"/>
  <c r="AA20" i="33"/>
  <c r="U20" i="33"/>
  <c r="O20" i="33"/>
  <c r="X18" i="33"/>
  <c r="R18" i="33"/>
  <c r="AA14" i="33"/>
  <c r="U14" i="33"/>
  <c r="O14" i="33"/>
  <c r="AA4" i="33"/>
  <c r="O4" i="33"/>
  <c r="O6" i="33"/>
  <c r="O9" i="33"/>
  <c r="X9" i="33"/>
  <c r="X4" i="22"/>
  <c r="X7" i="33"/>
  <c r="R4" i="22"/>
  <c r="R7" i="33"/>
  <c r="AG72" i="2"/>
  <c r="X26" i="33"/>
  <c r="R26" i="33"/>
  <c r="AA25" i="33"/>
  <c r="U25" i="33"/>
  <c r="O25" i="33"/>
  <c r="X23" i="33"/>
  <c r="R23" i="33"/>
  <c r="AA19" i="33"/>
  <c r="U19" i="33"/>
  <c r="O19" i="33"/>
  <c r="X17" i="33"/>
  <c r="R17" i="33"/>
  <c r="AA16" i="33"/>
  <c r="U16" i="33"/>
  <c r="O16" i="33"/>
  <c r="X15" i="33"/>
  <c r="R15" i="33"/>
  <c r="AA13" i="33"/>
  <c r="U13" i="33"/>
  <c r="O13" i="33"/>
  <c r="AA24" i="33"/>
  <c r="U24" i="33"/>
  <c r="O24" i="33"/>
  <c r="X22" i="33"/>
  <c r="R22" i="33"/>
  <c r="AA21" i="33"/>
  <c r="U21" i="33"/>
  <c r="X20" i="33"/>
  <c r="R20" i="33"/>
  <c r="AA18" i="33"/>
  <c r="U18" i="33"/>
  <c r="O18" i="33"/>
  <c r="X14" i="33"/>
  <c r="R14" i="33"/>
  <c r="U12" i="33"/>
  <c r="O5" i="22"/>
  <c r="O10" i="33"/>
  <c r="O4" i="22"/>
  <c r="O7" i="33"/>
  <c r="O2" i="33"/>
  <c r="O8" i="33"/>
  <c r="AA6" i="33"/>
  <c r="AA11" i="33"/>
  <c r="U11" i="33"/>
  <c r="R11" i="33"/>
  <c r="AA4" i="22"/>
  <c r="AA7" i="33"/>
  <c r="AA26" i="33"/>
  <c r="U26" i="33"/>
  <c r="O26" i="33"/>
  <c r="X25" i="33"/>
  <c r="R25" i="33"/>
  <c r="AA23" i="33"/>
  <c r="U23" i="33"/>
  <c r="O23" i="33"/>
  <c r="X19" i="33"/>
  <c r="R19" i="33"/>
  <c r="AA17" i="33"/>
  <c r="U17" i="33"/>
  <c r="O17" i="33"/>
  <c r="X16" i="33"/>
  <c r="R16" i="33"/>
  <c r="AA15" i="33"/>
  <c r="U15" i="33"/>
  <c r="O15" i="33"/>
  <c r="X13" i="33"/>
  <c r="R13" i="33"/>
  <c r="C60" i="18"/>
  <c r="C37" i="18"/>
  <c r="C29" i="18"/>
  <c r="C63" i="18"/>
  <c r="C56" i="18"/>
  <c r="U4" i="33"/>
  <c r="R4" i="33"/>
  <c r="X5" i="33"/>
  <c r="U5" i="33"/>
  <c r="C38" i="18"/>
  <c r="C46" i="18"/>
  <c r="R6" i="33"/>
  <c r="X6" i="33"/>
  <c r="U6" i="33"/>
  <c r="C51" i="18"/>
  <c r="C35" i="18"/>
  <c r="K2" i="15"/>
  <c r="H86" i="2" s="1"/>
  <c r="U2" i="33"/>
  <c r="K14" i="15"/>
  <c r="D10" i="21"/>
  <c r="C10" i="21" s="1"/>
  <c r="U3" i="33"/>
  <c r="I16" i="15"/>
  <c r="D9" i="21"/>
  <c r="C9" i="21" s="1"/>
  <c r="AG112" i="2"/>
  <c r="H32" i="2"/>
  <c r="H41" i="2"/>
  <c r="H87" i="2"/>
  <c r="H98" i="2"/>
  <c r="H97" i="2"/>
  <c r="AG98" i="2"/>
  <c r="H71" i="2"/>
  <c r="H112" i="2"/>
  <c r="AG50" i="2"/>
  <c r="H43" i="2"/>
  <c r="H107" i="2"/>
  <c r="H46" i="2"/>
  <c r="AG113" i="2"/>
  <c r="AG57" i="2"/>
  <c r="AG49" i="2"/>
  <c r="AJ113" i="2"/>
  <c r="C15" i="15"/>
  <c r="Z6" i="16" s="1"/>
  <c r="AI6" i="22" s="1"/>
  <c r="AJ6" i="22" s="1"/>
  <c r="H104" i="2"/>
  <c r="C7" i="18"/>
  <c r="AD29" i="2"/>
  <c r="C6" i="18"/>
  <c r="C57" i="18"/>
  <c r="C14" i="18"/>
  <c r="C22" i="18"/>
  <c r="AD109" i="2"/>
  <c r="AD105" i="2"/>
  <c r="AJ83" i="2"/>
  <c r="AJ43" i="2"/>
  <c r="AD97" i="2"/>
  <c r="D5" i="18"/>
  <c r="C5" i="18" s="1"/>
  <c r="B8" i="27"/>
  <c r="A19" i="27" s="1"/>
  <c r="I6" i="15"/>
  <c r="C6" i="15" s="1"/>
  <c r="H31" i="33" s="1"/>
  <c r="K7" i="15"/>
  <c r="C7" i="15" s="1"/>
  <c r="X6" i="16" s="1"/>
  <c r="AE6" i="22" s="1"/>
  <c r="AF6" i="22" s="1"/>
  <c r="I9" i="15"/>
  <c r="C9" i="15" s="1"/>
  <c r="H29" i="33" s="1"/>
  <c r="D4" i="21"/>
  <c r="C4" i="21" s="1"/>
  <c r="AJ82" i="2"/>
  <c r="AD116" i="2"/>
  <c r="AJ47" i="2"/>
  <c r="C15" i="18"/>
  <c r="AD66" i="2"/>
  <c r="C31" i="18"/>
  <c r="AG29" i="2"/>
  <c r="C39" i="18"/>
  <c r="AJ58" i="2"/>
  <c r="C59" i="18"/>
  <c r="C47" i="18"/>
  <c r="AJ31" i="2"/>
  <c r="AJ74" i="2"/>
  <c r="AJ29" i="2"/>
  <c r="AG106" i="2"/>
  <c r="AJ99" i="2"/>
  <c r="AJ51" i="2"/>
  <c r="AJ107" i="2"/>
  <c r="AJ59" i="2"/>
  <c r="AG107" i="2"/>
  <c r="AG87" i="2"/>
  <c r="AD58" i="2"/>
  <c r="AD87" i="2"/>
  <c r="AJ87" i="2"/>
  <c r="AG58" i="2"/>
  <c r="AJ116" i="2"/>
  <c r="AD122" i="2"/>
  <c r="AD118" i="2"/>
  <c r="AJ92" i="2"/>
  <c r="AD91" i="2"/>
  <c r="AJ90" i="2"/>
  <c r="AD89" i="2"/>
  <c r="AJ35" i="2"/>
  <c r="AD34" i="2"/>
  <c r="AJ33" i="2"/>
  <c r="AD32" i="2"/>
  <c r="AD30" i="2"/>
  <c r="AG12" i="2"/>
  <c r="AJ28" i="2"/>
  <c r="AG27" i="2"/>
  <c r="AJ56" i="2"/>
  <c r="AJ48" i="2"/>
  <c r="AJ36" i="2"/>
  <c r="AG54" i="2"/>
  <c r="AG46" i="2"/>
  <c r="AG42" i="2"/>
  <c r="AG38" i="2"/>
  <c r="AD56" i="2"/>
  <c r="AD48" i="2"/>
  <c r="AD36" i="2"/>
  <c r="AJ79" i="2"/>
  <c r="AJ75" i="2"/>
  <c r="AJ71" i="2"/>
  <c r="AG85" i="2"/>
  <c r="AG77" i="2"/>
  <c r="AG73" i="2"/>
  <c r="AG69" i="2"/>
  <c r="AG65" i="2"/>
  <c r="AD83" i="2"/>
  <c r="AD79" i="2"/>
  <c r="AD75" i="2"/>
  <c r="AD71" i="2"/>
  <c r="AJ108" i="2"/>
  <c r="AJ100" i="2"/>
  <c r="AJ96" i="2"/>
  <c r="AG103" i="2"/>
  <c r="AG99" i="2"/>
  <c r="AG95" i="2"/>
  <c r="AD94" i="2"/>
  <c r="AJ52" i="2"/>
  <c r="AJ44" i="2"/>
  <c r="AJ40" i="2"/>
  <c r="AD52" i="2"/>
  <c r="AD44" i="2"/>
  <c r="AD40" i="2"/>
  <c r="AJ67" i="2"/>
  <c r="AG81" i="2"/>
  <c r="AD67" i="2"/>
  <c r="AJ104" i="2"/>
  <c r="AD106" i="2"/>
  <c r="AD102" i="2"/>
  <c r="AD98" i="2"/>
  <c r="AJ114" i="2"/>
  <c r="AJ110" i="2"/>
  <c r="AG109" i="2"/>
  <c r="AD112" i="2"/>
  <c r="AD125" i="2"/>
  <c r="AD93" i="2"/>
  <c r="AG63" i="2"/>
  <c r="AJ109" i="2"/>
  <c r="AD47" i="2"/>
  <c r="AJ66" i="2"/>
  <c r="AG61" i="2"/>
  <c r="AD124" i="2"/>
  <c r="AD121" i="2"/>
  <c r="AD117" i="2"/>
  <c r="AG92" i="2"/>
  <c r="AG90" i="2"/>
  <c r="AJ88" i="2"/>
  <c r="AJ64" i="2"/>
  <c r="AD63" i="2"/>
  <c r="AJ62" i="2"/>
  <c r="AD61" i="2"/>
  <c r="AD120" i="2"/>
  <c r="AJ93" i="2"/>
  <c r="AD92" i="2"/>
  <c r="AJ91" i="2"/>
  <c r="AD90" i="2"/>
  <c r="AJ89" i="2"/>
  <c r="AG88" i="2"/>
  <c r="AG64" i="2"/>
  <c r="AG62" i="2"/>
  <c r="AG60" i="2"/>
  <c r="AD59" i="2"/>
  <c r="AD35" i="2"/>
  <c r="AJ34" i="2"/>
  <c r="AD33" i="2"/>
  <c r="AD119" i="2"/>
  <c r="AG93" i="2"/>
  <c r="AG91" i="2"/>
  <c r="AG89" i="2"/>
  <c r="AD88" i="2"/>
  <c r="AD64" i="2"/>
  <c r="AJ63" i="2"/>
  <c r="AD62" i="2"/>
  <c r="AJ61" i="2"/>
  <c r="AD60" i="2"/>
  <c r="AG34" i="2"/>
  <c r="AG32" i="2"/>
  <c r="AG30" i="2"/>
  <c r="AJ60" i="2"/>
  <c r="AG59" i="2"/>
  <c r="AG35" i="2"/>
  <c r="AG33" i="2"/>
  <c r="AG31" i="2"/>
  <c r="AJ27" i="2"/>
  <c r="AG26" i="2"/>
  <c r="AJ55" i="2"/>
  <c r="AJ39" i="2"/>
  <c r="AG53" i="2"/>
  <c r="AG45" i="2"/>
  <c r="AG37" i="2"/>
  <c r="AD51" i="2"/>
  <c r="AD43" i="2"/>
  <c r="AD39" i="2"/>
  <c r="AJ86" i="2"/>
  <c r="AJ78" i="2"/>
  <c r="AJ70" i="2"/>
  <c r="AG84" i="2"/>
  <c r="AG76" i="2"/>
  <c r="AG68" i="2"/>
  <c r="AD82" i="2"/>
  <c r="AD74" i="2"/>
  <c r="AJ103" i="2"/>
  <c r="AJ95" i="2"/>
  <c r="AG102" i="2"/>
  <c r="AG94" i="2"/>
  <c r="AD101" i="2"/>
  <c r="AD115" i="2"/>
  <c r="AJ32" i="2"/>
  <c r="AD31" i="2"/>
  <c r="AJ30" i="2"/>
  <c r="AJ26" i="2"/>
  <c r="AD28" i="2"/>
  <c r="AJ54" i="2"/>
  <c r="AJ50" i="2"/>
  <c r="AJ46" i="2"/>
  <c r="AJ42" i="2"/>
  <c r="AJ38" i="2"/>
  <c r="AG56" i="2"/>
  <c r="AG52" i="2"/>
  <c r="AG48" i="2"/>
  <c r="AG44" i="2"/>
  <c r="AG40" i="2"/>
  <c r="AG36" i="2"/>
  <c r="AD54" i="2"/>
  <c r="AD50" i="2"/>
  <c r="AD46" i="2"/>
  <c r="AD42" i="2"/>
  <c r="AD38" i="2"/>
  <c r="AJ85" i="2"/>
  <c r="AJ81" i="2"/>
  <c r="AJ77" i="2"/>
  <c r="AJ73" i="2"/>
  <c r="AJ69" i="2"/>
  <c r="AJ65" i="2"/>
  <c r="AG83" i="2"/>
  <c r="AG79" i="2"/>
  <c r="AG75" i="2"/>
  <c r="AG71" i="2"/>
  <c r="AG67" i="2"/>
  <c r="AD85" i="2"/>
  <c r="AD81" i="2"/>
  <c r="AD77" i="2"/>
  <c r="AD73" i="2"/>
  <c r="AD69" i="2"/>
  <c r="AD65" i="2"/>
  <c r="AJ106" i="2"/>
  <c r="AJ102" i="2"/>
  <c r="AJ98" i="2"/>
  <c r="AJ94" i="2"/>
  <c r="AG105" i="2"/>
  <c r="AG101" i="2"/>
  <c r="AG97" i="2"/>
  <c r="AD108" i="2"/>
  <c r="AD104" i="2"/>
  <c r="AD100" i="2"/>
  <c r="AD96" i="2"/>
  <c r="AJ112" i="2"/>
  <c r="AG111" i="2"/>
  <c r="AD114" i="2"/>
  <c r="AD110" i="2"/>
  <c r="AD127" i="2"/>
  <c r="AD123" i="2"/>
  <c r="AG28" i="2"/>
  <c r="AD27" i="2"/>
  <c r="AJ57" i="2"/>
  <c r="AJ53" i="2"/>
  <c r="AJ49" i="2"/>
  <c r="AJ45" i="2"/>
  <c r="AJ41" i="2"/>
  <c r="AJ37" i="2"/>
  <c r="AG55" i="2"/>
  <c r="AG51" i="2"/>
  <c r="AG47" i="2"/>
  <c r="AG43" i="2"/>
  <c r="AG39" i="2"/>
  <c r="AD57" i="2"/>
  <c r="AD53" i="2"/>
  <c r="AD49" i="2"/>
  <c r="AD45" i="2"/>
  <c r="AD41" i="2"/>
  <c r="AD37" i="2"/>
  <c r="AJ84" i="2"/>
  <c r="AJ80" i="2"/>
  <c r="AJ76" i="2"/>
  <c r="AJ72" i="2"/>
  <c r="AJ68" i="2"/>
  <c r="AG86" i="2"/>
  <c r="AG82" i="2"/>
  <c r="AG78" i="2"/>
  <c r="AG74" i="2"/>
  <c r="AG70" i="2"/>
  <c r="AG66" i="2"/>
  <c r="AD84" i="2"/>
  <c r="AD80" i="2"/>
  <c r="AD76" i="2"/>
  <c r="AD72" i="2"/>
  <c r="AD68" i="2"/>
  <c r="AJ105" i="2"/>
  <c r="AJ101" i="2"/>
  <c r="AJ97" i="2"/>
  <c r="AG108" i="2"/>
  <c r="AG104" i="2"/>
  <c r="AG100" i="2"/>
  <c r="AG96" i="2"/>
  <c r="AD107" i="2"/>
  <c r="AD103" i="2"/>
  <c r="AD99" i="2"/>
  <c r="AD95" i="2"/>
  <c r="AJ115" i="2"/>
  <c r="AJ111" i="2"/>
  <c r="AG114" i="2"/>
  <c r="AG110" i="2"/>
  <c r="AD113" i="2"/>
  <c r="AD126" i="2"/>
  <c r="I3" i="15"/>
  <c r="C3" i="15" s="1"/>
  <c r="I14" i="15"/>
  <c r="I2" i="15"/>
  <c r="F21" i="2" s="1"/>
  <c r="K16" i="15"/>
  <c r="C16" i="15" s="1"/>
  <c r="K4" i="15"/>
  <c r="C4" i="15" s="1"/>
  <c r="AD24" i="2"/>
  <c r="C12" i="18"/>
  <c r="C44" i="18"/>
  <c r="C20" i="18"/>
  <c r="C28" i="18"/>
  <c r="AD8" i="2"/>
  <c r="AD26" i="2"/>
  <c r="AA3" i="22"/>
  <c r="AA7" i="22"/>
  <c r="U3" i="22"/>
  <c r="U7" i="22"/>
  <c r="AG4" i="2"/>
  <c r="AD16" i="2"/>
  <c r="AG15" i="2"/>
  <c r="C3" i="22"/>
  <c r="C2" i="22"/>
  <c r="BD6" i="33"/>
  <c r="BF6" i="33" s="1"/>
  <c r="AY4" i="33"/>
  <c r="BA4" i="33" s="1"/>
  <c r="AS4" i="33"/>
  <c r="AS6" i="33"/>
  <c r="AT5" i="33"/>
  <c r="AS9" i="33"/>
  <c r="AT9" i="33"/>
  <c r="BD16" i="33"/>
  <c r="BF16" i="33" s="1"/>
  <c r="AX23" i="33"/>
  <c r="BC18" i="33"/>
  <c r="AS14" i="33"/>
  <c r="AT14" i="33"/>
  <c r="AX12" i="33"/>
  <c r="BD12" i="33"/>
  <c r="BF12" i="33" s="1"/>
  <c r="AY22" i="33"/>
  <c r="BA22" i="33" s="1"/>
  <c r="BC11" i="33"/>
  <c r="BC14" i="33"/>
  <c r="AS26" i="33"/>
  <c r="AT25" i="33"/>
  <c r="AY23" i="33"/>
  <c r="BA23" i="33" s="1"/>
  <c r="BC5" i="33"/>
  <c r="BF7" i="33"/>
  <c r="AX24" i="33"/>
  <c r="BC22" i="33"/>
  <c r="AX5" i="33"/>
  <c r="BC3" i="33"/>
  <c r="AT26" i="33"/>
  <c r="AX25" i="33"/>
  <c r="BD11" i="33"/>
  <c r="BF11" i="33" s="1"/>
  <c r="AT4" i="33"/>
  <c r="AY6" i="33"/>
  <c r="BA6" i="33" s="1"/>
  <c r="BC26" i="33"/>
  <c r="AX4" i="33"/>
  <c r="AX6" i="33"/>
  <c r="AY24" i="33"/>
  <c r="BA24" i="33" s="1"/>
  <c r="BC4" i="33"/>
  <c r="AT6" i="33"/>
  <c r="BD8" i="33"/>
  <c r="BF8" i="33" s="1"/>
  <c r="BC6" i="33"/>
  <c r="AS19" i="33"/>
  <c r="BD5" i="33"/>
  <c r="BF5" i="33" s="1"/>
  <c r="C2" i="18"/>
  <c r="C10" i="18"/>
  <c r="C26" i="18"/>
  <c r="C45" i="18"/>
  <c r="C25" i="18"/>
  <c r="C50" i="18"/>
  <c r="C11" i="18"/>
  <c r="C34" i="18"/>
  <c r="C19" i="18"/>
  <c r="C42" i="18"/>
  <c r="C58" i="18"/>
  <c r="C41" i="18"/>
  <c r="C27" i="18"/>
  <c r="C17" i="18"/>
  <c r="C3" i="18"/>
  <c r="C49" i="18"/>
  <c r="C43" i="18"/>
  <c r="C33" i="18"/>
  <c r="C32" i="18"/>
  <c r="C30" i="18"/>
  <c r="B7" i="27"/>
  <c r="A18" i="27" s="1"/>
  <c r="I13" i="15"/>
  <c r="C13" i="15" s="1"/>
  <c r="K5" i="15"/>
  <c r="D3" i="21"/>
  <c r="C3" i="21" s="1"/>
  <c r="C23" i="18"/>
  <c r="B6" i="27"/>
  <c r="C24" i="18"/>
  <c r="C18" i="18"/>
  <c r="D4" i="18"/>
  <c r="C4" i="18" s="1"/>
  <c r="C8" i="18"/>
  <c r="C48" i="18"/>
  <c r="C16" i="18"/>
  <c r="C53" i="18"/>
  <c r="C61" i="18"/>
  <c r="BC19" i="33"/>
  <c r="B5" i="27"/>
  <c r="F7" i="27"/>
  <c r="A37" i="27" s="1"/>
  <c r="A46" i="27" s="1"/>
  <c r="A60" i="27" s="1"/>
  <c r="B9" i="27"/>
  <c r="A20" i="27" s="1"/>
  <c r="F6" i="27"/>
  <c r="A36" i="27" s="1"/>
  <c r="A45" i="27" s="1"/>
  <c r="A59" i="27" s="1"/>
  <c r="C40" i="18"/>
  <c r="F5" i="27"/>
  <c r="A35" i="27" s="1"/>
  <c r="A44" i="27" s="1"/>
  <c r="A58" i="27" s="1"/>
  <c r="AD23" i="2"/>
  <c r="H17" i="2"/>
  <c r="F2" i="2"/>
  <c r="H19" i="2"/>
  <c r="H4" i="2"/>
  <c r="AD2" i="2"/>
  <c r="H20" i="2"/>
  <c r="F16" i="2"/>
  <c r="F14" i="2"/>
  <c r="AD19" i="2"/>
  <c r="H9" i="2"/>
  <c r="H13" i="2"/>
  <c r="C8" i="15"/>
  <c r="H30" i="33" s="1"/>
  <c r="H16" i="2"/>
  <c r="H5" i="2"/>
  <c r="AD11" i="2"/>
  <c r="H11" i="2"/>
  <c r="AG21" i="2"/>
  <c r="AY18" i="33"/>
  <c r="BA18" i="33" s="1"/>
  <c r="AD25" i="2"/>
  <c r="AY8" i="33"/>
  <c r="BA8" i="33" s="1"/>
  <c r="AS22" i="33"/>
  <c r="AS3" i="33"/>
  <c r="AT13" i="33"/>
  <c r="BD17" i="33"/>
  <c r="BF17" i="33" s="1"/>
  <c r="AS20" i="33"/>
  <c r="AT18" i="33"/>
  <c r="AS18" i="33"/>
  <c r="BD21" i="33"/>
  <c r="BF21" i="33" s="1"/>
  <c r="AX20" i="33"/>
  <c r="AS11" i="33"/>
  <c r="BF10" i="33"/>
  <c r="AY3" i="33"/>
  <c r="BA3" i="33" s="1"/>
  <c r="BD15" i="33"/>
  <c r="BF15" i="33" s="1"/>
  <c r="BC16" i="33"/>
  <c r="AT17" i="33"/>
  <c r="AX16" i="33"/>
  <c r="AT24" i="33"/>
  <c r="BC15" i="33"/>
  <c r="AX22" i="33"/>
  <c r="BD9" i="33"/>
  <c r="BF9" i="33" s="1"/>
  <c r="BD2" i="33"/>
  <c r="BF2" i="33" s="1"/>
  <c r="AY12" i="33"/>
  <c r="BA12" i="33" s="1"/>
  <c r="AT12" i="33"/>
  <c r="BD19" i="33"/>
  <c r="BF19" i="33" s="1"/>
  <c r="BC23" i="33"/>
  <c r="BD24" i="33"/>
  <c r="BF24" i="33" s="1"/>
  <c r="AX11" i="33"/>
  <c r="AY17" i="33"/>
  <c r="BA17" i="33" s="1"/>
  <c r="AS23" i="33"/>
  <c r="BA7" i="33"/>
  <c r="AT15" i="33"/>
  <c r="AY20" i="33"/>
  <c r="BA20" i="33" s="1"/>
  <c r="BD25" i="33"/>
  <c r="BF25" i="33" s="1"/>
  <c r="AY15" i="33"/>
  <c r="BA15" i="33" s="1"/>
  <c r="AS12" i="33"/>
  <c r="BD22" i="33"/>
  <c r="BF22" i="33" s="1"/>
  <c r="BC12" i="33"/>
  <c r="BC17" i="33"/>
  <c r="AT23" i="33"/>
  <c r="AS8" i="33"/>
  <c r="AT11" i="33"/>
  <c r="AT16" i="33"/>
  <c r="BC25" i="33"/>
  <c r="AX2" i="33"/>
  <c r="BC20" i="33"/>
  <c r="BC8" i="33"/>
  <c r="BC21" i="33"/>
  <c r="AX14" i="33"/>
  <c r="AX3" i="33"/>
  <c r="AY9" i="33"/>
  <c r="BA9" i="33" s="1"/>
  <c r="AS15" i="33"/>
  <c r="AT20" i="33"/>
  <c r="AY25" i="33"/>
  <c r="BA25" i="33" s="1"/>
  <c r="AT21" i="33"/>
  <c r="AX21" i="33"/>
  <c r="AY26" i="33"/>
  <c r="BA26" i="33" s="1"/>
  <c r="AY2" i="33"/>
  <c r="BA2" i="33" s="1"/>
  <c r="AY16" i="33"/>
  <c r="BA16" i="33" s="1"/>
  <c r="AY5" i="33"/>
  <c r="BA5" i="33" s="1"/>
  <c r="AX19" i="33"/>
  <c r="AY14" i="33"/>
  <c r="BA14" i="33" s="1"/>
  <c r="AY19" i="33"/>
  <c r="BA19" i="33" s="1"/>
  <c r="AS25" i="33"/>
  <c r="AT2" i="33"/>
  <c r="AX26" i="33"/>
  <c r="BA10" i="33"/>
  <c r="AY21" i="33"/>
  <c r="BA21" i="33" s="1"/>
  <c r="AX9" i="33"/>
  <c r="BC24" i="33"/>
  <c r="BD3" i="33"/>
  <c r="BF3" i="33" s="1"/>
  <c r="AS16" i="33"/>
  <c r="AS21" i="33"/>
  <c r="AY13" i="33"/>
  <c r="BA13" i="33" s="1"/>
  <c r="AX8" i="33"/>
  <c r="BC13" i="33"/>
  <c r="BD13" i="33"/>
  <c r="BF13" i="33" s="1"/>
  <c r="AT22" i="33"/>
  <c r="AS2" i="33"/>
  <c r="BD23" i="33"/>
  <c r="BF23" i="33" s="1"/>
  <c r="AX15" i="33"/>
  <c r="AY11" i="33"/>
  <c r="BA11" i="33" s="1"/>
  <c r="BD18" i="33"/>
  <c r="BF18" i="33" s="1"/>
  <c r="BD20" i="33"/>
  <c r="BF20" i="33" s="1"/>
  <c r="AS24" i="33"/>
  <c r="AS17" i="33"/>
  <c r="AT3" i="33"/>
  <c r="BD26" i="33"/>
  <c r="BF26" i="33" s="1"/>
  <c r="AX17" i="33"/>
  <c r="AS5" i="33"/>
  <c r="BC9" i="33"/>
  <c r="BD14" i="33"/>
  <c r="BF14" i="33" s="1"/>
  <c r="AS13" i="33"/>
  <c r="AX18" i="33"/>
  <c r="AT19" i="33"/>
  <c r="BC2" i="33"/>
  <c r="AT8" i="33"/>
  <c r="AX13" i="33"/>
  <c r="C12" i="15"/>
  <c r="C11" i="15"/>
  <c r="C10" i="15"/>
  <c r="X7" i="16" s="1"/>
  <c r="AJ15" i="2"/>
  <c r="AG11" i="2"/>
  <c r="AG13" i="2"/>
  <c r="AJ13" i="2"/>
  <c r="AD15" i="2"/>
  <c r="AD3" i="2"/>
  <c r="AJ10" i="2"/>
  <c r="AG17" i="2"/>
  <c r="AD12" i="2"/>
  <c r="AJ12" i="2"/>
  <c r="AJ9" i="2"/>
  <c r="AJ17" i="2"/>
  <c r="AD20" i="2"/>
  <c r="AJ18" i="2"/>
  <c r="AD13" i="2"/>
  <c r="AD22" i="2"/>
  <c r="AD10" i="2"/>
  <c r="AD14" i="2"/>
  <c r="AG10" i="2"/>
  <c r="AJ19" i="2"/>
  <c r="AJ11" i="2"/>
  <c r="AG18" i="2"/>
  <c r="AG23" i="2"/>
  <c r="AD18" i="2"/>
  <c r="AG24" i="2"/>
  <c r="AJ23" i="2"/>
  <c r="AD17" i="2"/>
  <c r="AJ5" i="2"/>
  <c r="AG5" i="2"/>
  <c r="AG19" i="2"/>
  <c r="AD9" i="2"/>
  <c r="AG9" i="2"/>
  <c r="AG7" i="2"/>
  <c r="AD6" i="2"/>
  <c r="AD4" i="2"/>
  <c r="AG25" i="2"/>
  <c r="AJ24" i="2"/>
  <c r="AJ21" i="2"/>
  <c r="AG20" i="2"/>
  <c r="AJ7" i="2"/>
  <c r="AD5" i="2"/>
  <c r="AJ25" i="2"/>
  <c r="AG22" i="2"/>
  <c r="AD21" i="2"/>
  <c r="AJ20" i="2"/>
  <c r="AG14" i="2"/>
  <c r="AG8" i="2"/>
  <c r="AD7" i="2"/>
  <c r="AJ22" i="2"/>
  <c r="AJ14" i="2"/>
  <c r="AJ8" i="2"/>
  <c r="AG6" i="2"/>
  <c r="AJ6" i="2"/>
  <c r="AG3" i="2"/>
  <c r="AJ16" i="2"/>
  <c r="AG2" i="2"/>
  <c r="AG16" i="2"/>
  <c r="AJ4" i="2"/>
  <c r="AJ2" i="2"/>
  <c r="AJ3" i="2"/>
  <c r="H91" i="2" l="1"/>
  <c r="H80" i="2"/>
  <c r="H81" i="2"/>
  <c r="H37" i="2"/>
  <c r="F23" i="2"/>
  <c r="C14" i="15"/>
  <c r="H27" i="33" s="1"/>
  <c r="I30" i="33"/>
  <c r="AZ30" i="33"/>
  <c r="AK30" i="33"/>
  <c r="BE30" i="33"/>
  <c r="AU30" i="33"/>
  <c r="AP30" i="33"/>
  <c r="AF30" i="33"/>
  <c r="F25" i="2"/>
  <c r="F15" i="2"/>
  <c r="AZ31" i="33"/>
  <c r="AF31" i="33"/>
  <c r="BE31" i="33"/>
  <c r="AU31" i="33"/>
  <c r="I31" i="33"/>
  <c r="AK31" i="33"/>
  <c r="AP31" i="33"/>
  <c r="H60" i="2"/>
  <c r="H73" i="2"/>
  <c r="H96" i="2"/>
  <c r="F7" i="2"/>
  <c r="H123" i="2"/>
  <c r="H113" i="2"/>
  <c r="H93" i="2"/>
  <c r="F8" i="2"/>
  <c r="AE27" i="33"/>
  <c r="AG27" i="33" s="1"/>
  <c r="AI29" i="33"/>
  <c r="AO29" i="33"/>
  <c r="AD30" i="33"/>
  <c r="AJ30" i="33"/>
  <c r="AL30" i="33" s="1"/>
  <c r="AO28" i="33"/>
  <c r="AE28" i="33"/>
  <c r="AG28" i="33" s="1"/>
  <c r="AI30" i="33"/>
  <c r="AN27" i="33"/>
  <c r="AO30" i="33"/>
  <c r="AI27" i="33"/>
  <c r="AJ31" i="33"/>
  <c r="AL31" i="33" s="1"/>
  <c r="AE29" i="33"/>
  <c r="AG29" i="33" s="1"/>
  <c r="AI31" i="33"/>
  <c r="AN28" i="33"/>
  <c r="AO31" i="33"/>
  <c r="AD31" i="33"/>
  <c r="AD27" i="33"/>
  <c r="AE30" i="33"/>
  <c r="AG30" i="33" s="1"/>
  <c r="AJ27" i="33"/>
  <c r="AL27" i="33" s="1"/>
  <c r="AN29" i="33"/>
  <c r="AO27" i="33"/>
  <c r="AI28" i="33"/>
  <c r="AD28" i="33"/>
  <c r="AE31" i="33"/>
  <c r="AG31" i="33" s="1"/>
  <c r="AJ28" i="33"/>
  <c r="AL28" i="33" s="1"/>
  <c r="AN30" i="33"/>
  <c r="AD29" i="33"/>
  <c r="AJ29" i="33"/>
  <c r="AL29" i="33" s="1"/>
  <c r="AN31" i="33"/>
  <c r="I29" i="33"/>
  <c r="BE29" i="33"/>
  <c r="AK29" i="33"/>
  <c r="AP29" i="33"/>
  <c r="AU29" i="33"/>
  <c r="AZ29" i="33"/>
  <c r="AF29" i="33"/>
  <c r="H10" i="33"/>
  <c r="H20" i="33"/>
  <c r="H15" i="33"/>
  <c r="H25" i="33"/>
  <c r="A16" i="27"/>
  <c r="A25" i="27"/>
  <c r="H109" i="2"/>
  <c r="H58" i="2"/>
  <c r="H118" i="2"/>
  <c r="H42" i="2"/>
  <c r="H29" i="2"/>
  <c r="H68" i="2"/>
  <c r="H62" i="2"/>
  <c r="H108" i="2"/>
  <c r="H54" i="2"/>
  <c r="H121" i="2"/>
  <c r="H102" i="2"/>
  <c r="H57" i="2"/>
  <c r="H89" i="2"/>
  <c r="H92" i="2"/>
  <c r="H48" i="2"/>
  <c r="H70" i="2"/>
  <c r="H110" i="2"/>
  <c r="H59" i="2"/>
  <c r="H47" i="2"/>
  <c r="H49" i="2"/>
  <c r="H67" i="2"/>
  <c r="F24" i="2"/>
  <c r="F10" i="2"/>
  <c r="H6" i="2"/>
  <c r="F20" i="2"/>
  <c r="H24" i="2"/>
  <c r="F6" i="2"/>
  <c r="F9" i="2"/>
  <c r="H25" i="2"/>
  <c r="F5" i="2"/>
  <c r="H23" i="2"/>
  <c r="F22" i="2"/>
  <c r="H2" i="2"/>
  <c r="H2" i="33"/>
  <c r="AZ2" i="33" s="1"/>
  <c r="H12" i="33"/>
  <c r="H22" i="33"/>
  <c r="H7" i="33"/>
  <c r="H17" i="33"/>
  <c r="H122" i="2"/>
  <c r="H111" i="2"/>
  <c r="H95" i="2"/>
  <c r="H83" i="2"/>
  <c r="H45" i="2"/>
  <c r="H106" i="2"/>
  <c r="H100" i="2"/>
  <c r="H75" i="2"/>
  <c r="H114" i="2"/>
  <c r="H38" i="2"/>
  <c r="H94" i="2"/>
  <c r="H120" i="2"/>
  <c r="H50" i="2"/>
  <c r="H53" i="2"/>
  <c r="H61" i="2"/>
  <c r="H105" i="2"/>
  <c r="H39" i="2"/>
  <c r="H76" i="2"/>
  <c r="H126" i="2"/>
  <c r="H85" i="2"/>
  <c r="H51" i="2"/>
  <c r="H74" i="2"/>
  <c r="H78" i="2"/>
  <c r="F11" i="2"/>
  <c r="H12" i="2"/>
  <c r="H18" i="2"/>
  <c r="H7" i="2"/>
  <c r="F4" i="2"/>
  <c r="H22" i="2"/>
  <c r="H6" i="33"/>
  <c r="BE6" i="33" s="1"/>
  <c r="H21" i="33"/>
  <c r="H16" i="33"/>
  <c r="H26" i="33"/>
  <c r="H11" i="33"/>
  <c r="H116" i="2"/>
  <c r="H64" i="2"/>
  <c r="H125" i="2"/>
  <c r="H55" i="2"/>
  <c r="H65" i="2"/>
  <c r="H101" i="2"/>
  <c r="H77" i="2"/>
  <c r="H124" i="2"/>
  <c r="H30" i="2"/>
  <c r="H90" i="2"/>
  <c r="H103" i="2"/>
  <c r="H44" i="2"/>
  <c r="H36" i="2"/>
  <c r="H79" i="2"/>
  <c r="H69" i="2"/>
  <c r="H40" i="2"/>
  <c r="H31" i="2"/>
  <c r="H99" i="2"/>
  <c r="H72" i="2"/>
  <c r="H52" i="2"/>
  <c r="H84" i="2"/>
  <c r="H115" i="2"/>
  <c r="H27" i="2"/>
  <c r="H63" i="2"/>
  <c r="H66" i="2"/>
  <c r="H28" i="2"/>
  <c r="H34" i="2"/>
  <c r="H26" i="2"/>
  <c r="H56" i="2"/>
  <c r="H88" i="2"/>
  <c r="H33" i="2"/>
  <c r="H119" i="2"/>
  <c r="H82" i="2"/>
  <c r="H35" i="2"/>
  <c r="H117" i="2"/>
  <c r="X3" i="16"/>
  <c r="AN10" i="33"/>
  <c r="AJ10" i="33"/>
  <c r="AL10" i="33" s="1"/>
  <c r="AE7" i="33"/>
  <c r="AG7" i="33" s="1"/>
  <c r="AD7" i="33"/>
  <c r="AO10" i="33"/>
  <c r="AV10" i="33" s="1"/>
  <c r="AI7" i="33"/>
  <c r="AD10" i="33"/>
  <c r="AN7" i="33"/>
  <c r="AE10" i="33"/>
  <c r="AG10" i="33" s="1"/>
  <c r="AO7" i="33"/>
  <c r="AQ7" i="33" s="1"/>
  <c r="AJ7" i="33"/>
  <c r="AL7" i="33" s="1"/>
  <c r="AI10" i="33"/>
  <c r="AB5" i="16"/>
  <c r="AM5" i="22" s="1"/>
  <c r="AN5" i="22" s="1"/>
  <c r="H5" i="33"/>
  <c r="F12" i="2"/>
  <c r="F13" i="2"/>
  <c r="A27" i="27"/>
  <c r="AE2" i="33"/>
  <c r="AG2" i="33" s="1"/>
  <c r="AJ3" i="33"/>
  <c r="AL3" i="33" s="1"/>
  <c r="AJ16" i="33"/>
  <c r="AL16" i="33" s="1"/>
  <c r="AO25" i="33"/>
  <c r="AQ25" i="33" s="1"/>
  <c r="AE17" i="33"/>
  <c r="AG17" i="33" s="1"/>
  <c r="AD25" i="33"/>
  <c r="AN12" i="33"/>
  <c r="AJ12" i="33"/>
  <c r="AL12" i="33" s="1"/>
  <c r="AI8" i="33"/>
  <c r="AD23" i="33"/>
  <c r="A28" i="27"/>
  <c r="AJ17" i="33"/>
  <c r="AL17" i="33" s="1"/>
  <c r="AE13" i="33"/>
  <c r="AG13" i="33" s="1"/>
  <c r="AO15" i="33"/>
  <c r="AQ15" i="33" s="1"/>
  <c r="AI11" i="33"/>
  <c r="AI9" i="33"/>
  <c r="AE5" i="33"/>
  <c r="AG5" i="33" s="1"/>
  <c r="AE16" i="33"/>
  <c r="AG16" i="33" s="1"/>
  <c r="C2" i="15"/>
  <c r="B17" i="2" s="1"/>
  <c r="F65" i="2"/>
  <c r="F119" i="2"/>
  <c r="F111" i="2"/>
  <c r="F95" i="2"/>
  <c r="F67" i="2"/>
  <c r="F42" i="2"/>
  <c r="F48" i="2"/>
  <c r="F86" i="2"/>
  <c r="F124" i="2"/>
  <c r="F49" i="2"/>
  <c r="F33" i="2"/>
  <c r="F74" i="2"/>
  <c r="F96" i="2"/>
  <c r="F89" i="2"/>
  <c r="F92" i="2"/>
  <c r="F79" i="2"/>
  <c r="F78" i="2"/>
  <c r="F38" i="2"/>
  <c r="F46" i="2"/>
  <c r="F43" i="2"/>
  <c r="F100" i="2"/>
  <c r="F47" i="2"/>
  <c r="F30" i="2"/>
  <c r="F81" i="2"/>
  <c r="F98" i="2"/>
  <c r="F28" i="2"/>
  <c r="F77" i="2"/>
  <c r="F70" i="2"/>
  <c r="F57" i="2"/>
  <c r="F82" i="2"/>
  <c r="F56" i="2"/>
  <c r="F66" i="2"/>
  <c r="F93" i="2"/>
  <c r="F123" i="2"/>
  <c r="F75" i="2"/>
  <c r="F83" i="2"/>
  <c r="F121" i="2"/>
  <c r="F63" i="2"/>
  <c r="F103" i="2"/>
  <c r="F37" i="2"/>
  <c r="F52" i="2"/>
  <c r="F41" i="2"/>
  <c r="F36" i="2"/>
  <c r="F50" i="2"/>
  <c r="F64" i="2"/>
  <c r="F44" i="2"/>
  <c r="F91" i="2"/>
  <c r="F29" i="2"/>
  <c r="F60" i="2"/>
  <c r="F116" i="2"/>
  <c r="F62" i="2"/>
  <c r="F39" i="2"/>
  <c r="F73" i="2"/>
  <c r="F122" i="2"/>
  <c r="F85" i="2"/>
  <c r="F54" i="2"/>
  <c r="F35" i="2"/>
  <c r="F125" i="2"/>
  <c r="F55" i="2"/>
  <c r="F71" i="2"/>
  <c r="F102" i="2"/>
  <c r="F69" i="2"/>
  <c r="F88" i="2"/>
  <c r="F72" i="2"/>
  <c r="F80" i="2"/>
  <c r="F107" i="2"/>
  <c r="F115" i="2"/>
  <c r="F99" i="2"/>
  <c r="F90" i="2"/>
  <c r="F26" i="2"/>
  <c r="F27" i="2"/>
  <c r="F51" i="2"/>
  <c r="F61" i="2"/>
  <c r="F105" i="2"/>
  <c r="F31" i="2"/>
  <c r="F120" i="2"/>
  <c r="F58" i="2"/>
  <c r="F87" i="2"/>
  <c r="F84" i="2"/>
  <c r="F94" i="2"/>
  <c r="F97" i="2"/>
  <c r="F112" i="2"/>
  <c r="F59" i="2"/>
  <c r="F53" i="2"/>
  <c r="F34" i="2"/>
  <c r="F118" i="2"/>
  <c r="F114" i="2"/>
  <c r="F113" i="2"/>
  <c r="F40" i="2"/>
  <c r="F109" i="2"/>
  <c r="F117" i="2"/>
  <c r="F104" i="2"/>
  <c r="F126" i="2"/>
  <c r="F106" i="2"/>
  <c r="F76" i="2"/>
  <c r="F68" i="2"/>
  <c r="F110" i="2"/>
  <c r="F101" i="2"/>
  <c r="F108" i="2"/>
  <c r="F45" i="2"/>
  <c r="F32" i="2"/>
  <c r="F3" i="2"/>
  <c r="F18" i="2"/>
  <c r="F19" i="2"/>
  <c r="F17" i="2"/>
  <c r="A29" i="27"/>
  <c r="X8" i="16"/>
  <c r="AE8" i="22" s="1"/>
  <c r="AF8" i="22" s="1"/>
  <c r="Z7" i="16"/>
  <c r="AI7" i="22" s="1"/>
  <c r="AJ7" i="22" s="1"/>
  <c r="Z3" i="16"/>
  <c r="AI3" i="22" s="1"/>
  <c r="AJ3" i="22" s="1"/>
  <c r="Z8" i="16"/>
  <c r="AI8" i="22" s="1"/>
  <c r="AJ8" i="22" s="1"/>
  <c r="Z4" i="16"/>
  <c r="AI4" i="22" s="1"/>
  <c r="AJ4" i="22" s="1"/>
  <c r="X9" i="16"/>
  <c r="AE9" i="22" s="1"/>
  <c r="AF9" i="22" s="1"/>
  <c r="X10" i="16"/>
  <c r="AE10" i="22" s="1"/>
  <c r="AF10" i="22" s="1"/>
  <c r="AE20" i="33"/>
  <c r="AG20" i="33" s="1"/>
  <c r="AO8" i="33"/>
  <c r="AV8" i="33" s="1"/>
  <c r="AO23" i="33"/>
  <c r="AV23" i="33" s="1"/>
  <c r="AE26" i="33"/>
  <c r="AG26" i="33" s="1"/>
  <c r="AN16" i="33"/>
  <c r="AJ26" i="33"/>
  <c r="AL26" i="33" s="1"/>
  <c r="AE8" i="33"/>
  <c r="AG8" i="33" s="1"/>
  <c r="AN13" i="33"/>
  <c r="AD18" i="33"/>
  <c r="AO26" i="33"/>
  <c r="AQ26" i="33" s="1"/>
  <c r="AI15" i="33"/>
  <c r="AD5" i="33"/>
  <c r="AI19" i="33"/>
  <c r="AJ19" i="33"/>
  <c r="AL19" i="33" s="1"/>
  <c r="AJ20" i="33"/>
  <c r="AL20" i="33" s="1"/>
  <c r="AD3" i="33"/>
  <c r="AD13" i="33"/>
  <c r="AD24" i="33"/>
  <c r="AD19" i="33"/>
  <c r="AN6" i="33"/>
  <c r="AE18" i="33"/>
  <c r="AG18" i="33" s="1"/>
  <c r="AD9" i="33"/>
  <c r="AI21" i="33"/>
  <c r="AJ5" i="33"/>
  <c r="AL5" i="33" s="1"/>
  <c r="AJ24" i="33"/>
  <c r="AL24" i="33" s="1"/>
  <c r="AE22" i="33"/>
  <c r="AG22" i="33" s="1"/>
  <c r="AI3" i="33"/>
  <c r="AI12" i="33"/>
  <c r="AD26" i="33"/>
  <c r="AO20" i="33"/>
  <c r="AV20" i="33" s="1"/>
  <c r="AI13" i="33"/>
  <c r="AI25" i="33"/>
  <c r="AO18" i="33"/>
  <c r="AQ18" i="33" s="1"/>
  <c r="AI26" i="33"/>
  <c r="AO5" i="33"/>
  <c r="AQ5" i="33" s="1"/>
  <c r="AO19" i="33"/>
  <c r="AQ19" i="33" s="1"/>
  <c r="AE3" i="33"/>
  <c r="AG3" i="33" s="1"/>
  <c r="AN17" i="33"/>
  <c r="AJ18" i="33"/>
  <c r="AL18" i="33" s="1"/>
  <c r="AI2" i="33"/>
  <c r="AI24" i="33"/>
  <c r="AE19" i="33"/>
  <c r="AG19" i="33" s="1"/>
  <c r="AI16" i="33"/>
  <c r="AN5" i="33"/>
  <c r="AD22" i="33"/>
  <c r="AN15" i="33"/>
  <c r="AE14" i="33"/>
  <c r="AG14" i="33" s="1"/>
  <c r="AN22" i="33"/>
  <c r="AE11" i="33"/>
  <c r="AG11" i="33" s="1"/>
  <c r="AJ21" i="33"/>
  <c r="AL21" i="33" s="1"/>
  <c r="AE24" i="33"/>
  <c r="AG24" i="33" s="1"/>
  <c r="AN11" i="33"/>
  <c r="AJ9" i="33"/>
  <c r="AL9" i="33" s="1"/>
  <c r="AO12" i="33"/>
  <c r="AQ12" i="33" s="1"/>
  <c r="AN9" i="33"/>
  <c r="AJ2" i="33"/>
  <c r="AL2" i="33" s="1"/>
  <c r="AN20" i="33"/>
  <c r="AE23" i="33"/>
  <c r="AG23" i="33" s="1"/>
  <c r="AO13" i="33"/>
  <c r="AV13" i="33" s="1"/>
  <c r="AN2" i="33"/>
  <c r="AO22" i="33"/>
  <c r="AQ22" i="33" s="1"/>
  <c r="AJ8" i="33"/>
  <c r="AL8" i="33" s="1"/>
  <c r="AJ11" i="33"/>
  <c r="AL11" i="33" s="1"/>
  <c r="AD14" i="33"/>
  <c r="AN19" i="33"/>
  <c r="AJ15" i="33"/>
  <c r="AL15" i="33" s="1"/>
  <c r="AO21" i="33"/>
  <c r="AQ21" i="33" s="1"/>
  <c r="AN14" i="33"/>
  <c r="AJ14" i="33"/>
  <c r="AL14" i="33" s="1"/>
  <c r="AN24" i="33"/>
  <c r="AJ22" i="33"/>
  <c r="AL22" i="33" s="1"/>
  <c r="AI20" i="33"/>
  <c r="AI14" i="33"/>
  <c r="AI17" i="33"/>
  <c r="AN18" i="33"/>
  <c r="AD12" i="33"/>
  <c r="AJ25" i="33"/>
  <c r="AL25" i="33" s="1"/>
  <c r="AN8" i="33"/>
  <c r="AO11" i="33"/>
  <c r="AQ11" i="33" s="1"/>
  <c r="AO3" i="33"/>
  <c r="AQ3" i="33" s="1"/>
  <c r="AO2" i="33"/>
  <c r="AQ2" i="33" s="1"/>
  <c r="A17" i="27"/>
  <c r="A26" i="27"/>
  <c r="C5" i="15"/>
  <c r="H28" i="33" s="1"/>
  <c r="AE3" i="22"/>
  <c r="AF3" i="22" s="1"/>
  <c r="AE7" i="22"/>
  <c r="AF7" i="22" s="1"/>
  <c r="AD21" i="33"/>
  <c r="AE12" i="33"/>
  <c r="AG12" i="33" s="1"/>
  <c r="AD15" i="33"/>
  <c r="AE21" i="33"/>
  <c r="AG21" i="33" s="1"/>
  <c r="AJ23" i="33"/>
  <c r="AL23" i="33" s="1"/>
  <c r="AN26" i="33"/>
  <c r="AJ13" i="33"/>
  <c r="AL13" i="33" s="1"/>
  <c r="AD11" i="33"/>
  <c r="AE25" i="33"/>
  <c r="AG25" i="33" s="1"/>
  <c r="AD8" i="33"/>
  <c r="AO16" i="33"/>
  <c r="AQ16" i="33" s="1"/>
  <c r="AE15" i="33"/>
  <c r="AG15" i="33" s="1"/>
  <c r="AO14" i="33"/>
  <c r="AV14" i="33" s="1"/>
  <c r="AN3" i="33"/>
  <c r="AN21" i="33"/>
  <c r="AN25" i="33"/>
  <c r="AJ6" i="33"/>
  <c r="AL6" i="33" s="1"/>
  <c r="AO9" i="33"/>
  <c r="AO4" i="33"/>
  <c r="AJ4" i="33"/>
  <c r="AL4" i="33" s="1"/>
  <c r="AI5" i="33"/>
  <c r="AN23" i="33"/>
  <c r="AE4" i="33"/>
  <c r="AG4" i="33" s="1"/>
  <c r="AI22" i="33"/>
  <c r="AD17" i="33"/>
  <c r="AO24" i="33"/>
  <c r="AQ24" i="33" s="1"/>
  <c r="AD6" i="33"/>
  <c r="AD20" i="33"/>
  <c r="AD16" i="33"/>
  <c r="AO17" i="33"/>
  <c r="AV17" i="33" s="1"/>
  <c r="AI23" i="33"/>
  <c r="AI18" i="33"/>
  <c r="AI4" i="33"/>
  <c r="AO6" i="33"/>
  <c r="AQ6" i="33" s="1"/>
  <c r="AI6" i="33"/>
  <c r="AE9" i="33"/>
  <c r="AG9" i="33" s="1"/>
  <c r="AN4" i="33"/>
  <c r="AD4" i="33"/>
  <c r="BD4" i="33"/>
  <c r="BF4" i="33" s="1"/>
  <c r="AD2" i="33"/>
  <c r="AE6" i="33"/>
  <c r="AG6" i="33" s="1"/>
  <c r="H8" i="2"/>
  <c r="H15" i="2"/>
  <c r="H3" i="2"/>
  <c r="H14" i="2"/>
  <c r="H10" i="2"/>
  <c r="H21" i="2"/>
  <c r="B19" i="2"/>
  <c r="B22" i="2"/>
  <c r="B14" i="2"/>
  <c r="B20" i="2"/>
  <c r="B18" i="2"/>
  <c r="B5" i="2"/>
  <c r="B16" i="2"/>
  <c r="B8" i="2"/>
  <c r="B15" i="2"/>
  <c r="B23" i="2"/>
  <c r="B24" i="2"/>
  <c r="B3" i="2"/>
  <c r="B10" i="2"/>
  <c r="B4" i="2"/>
  <c r="B21" i="2"/>
  <c r="B13" i="2"/>
  <c r="B9" i="2"/>
  <c r="B25" i="2"/>
  <c r="B11" i="2"/>
  <c r="B12" i="2"/>
  <c r="AQ27" i="33" l="1"/>
  <c r="AV27" i="33"/>
  <c r="AQ28" i="33"/>
  <c r="AV28" i="33"/>
  <c r="AQ29" i="33"/>
  <c r="AV29" i="33"/>
  <c r="AV30" i="33"/>
  <c r="AQ30" i="33"/>
  <c r="AQ31" i="33"/>
  <c r="AV31" i="33"/>
  <c r="I27" i="33"/>
  <c r="AK27" i="33"/>
  <c r="AU27" i="33"/>
  <c r="AZ27" i="33"/>
  <c r="AP27" i="33"/>
  <c r="AF27" i="33"/>
  <c r="BE27" i="33"/>
  <c r="BE28" i="33"/>
  <c r="AZ28" i="33"/>
  <c r="AU28" i="33"/>
  <c r="AP28" i="33"/>
  <c r="AK28" i="33"/>
  <c r="AF28" i="33"/>
  <c r="I28" i="33"/>
  <c r="B7" i="2"/>
  <c r="B6" i="2"/>
  <c r="AZ6" i="33"/>
  <c r="AU6" i="33"/>
  <c r="AP6" i="33"/>
  <c r="AF6" i="33"/>
  <c r="I6" i="33"/>
  <c r="AK6" i="33"/>
  <c r="AZ25" i="33"/>
  <c r="I25" i="33"/>
  <c r="AF25" i="33"/>
  <c r="AU25" i="33"/>
  <c r="AK25" i="33"/>
  <c r="AP25" i="33"/>
  <c r="BE25" i="33"/>
  <c r="AF2" i="33"/>
  <c r="AU2" i="33"/>
  <c r="BE2" i="33"/>
  <c r="I21" i="33"/>
  <c r="AP21" i="33"/>
  <c r="BE21" i="33"/>
  <c r="AK21" i="33"/>
  <c r="AZ21" i="33"/>
  <c r="AF21" i="33"/>
  <c r="AU21" i="33"/>
  <c r="I7" i="33"/>
  <c r="AZ7" i="33"/>
  <c r="BE7" i="33"/>
  <c r="AU7" i="33"/>
  <c r="AP7" i="33"/>
  <c r="AK7" i="33"/>
  <c r="AF7" i="33"/>
  <c r="AZ15" i="33"/>
  <c r="AF15" i="33"/>
  <c r="AU15" i="33"/>
  <c r="BE15" i="33"/>
  <c r="I15" i="33"/>
  <c r="AK15" i="33"/>
  <c r="AP15" i="33"/>
  <c r="I16" i="33"/>
  <c r="AK16" i="33"/>
  <c r="AZ16" i="33"/>
  <c r="AP16" i="33"/>
  <c r="AF16" i="33"/>
  <c r="AU16" i="33"/>
  <c r="BE16" i="33"/>
  <c r="AK2" i="33"/>
  <c r="I11" i="33"/>
  <c r="AP11" i="33"/>
  <c r="AZ11" i="33"/>
  <c r="AK11" i="33"/>
  <c r="BE11" i="33"/>
  <c r="AF11" i="33"/>
  <c r="AU11" i="33"/>
  <c r="I22" i="33"/>
  <c r="BE22" i="33"/>
  <c r="AZ22" i="33"/>
  <c r="AU22" i="33"/>
  <c r="AK22" i="33"/>
  <c r="AF22" i="33"/>
  <c r="AP22" i="33"/>
  <c r="AK20" i="33"/>
  <c r="BE20" i="33"/>
  <c r="AF20" i="33"/>
  <c r="AZ20" i="33"/>
  <c r="I20" i="33"/>
  <c r="AU20" i="33"/>
  <c r="AP20" i="33"/>
  <c r="H8" i="33"/>
  <c r="H14" i="33"/>
  <c r="H18" i="33"/>
  <c r="H24" i="33"/>
  <c r="H9" i="33"/>
  <c r="H13" i="33"/>
  <c r="H19" i="33"/>
  <c r="H23" i="33"/>
  <c r="I17" i="33"/>
  <c r="AF17" i="33"/>
  <c r="AP17" i="33"/>
  <c r="AU17" i="33"/>
  <c r="BE17" i="33"/>
  <c r="AZ17" i="33"/>
  <c r="AK17" i="33"/>
  <c r="AP2" i="33"/>
  <c r="I2" i="33"/>
  <c r="AK26" i="33"/>
  <c r="AP26" i="33"/>
  <c r="AF26" i="33"/>
  <c r="AZ26" i="33"/>
  <c r="BE26" i="33"/>
  <c r="AU26" i="33"/>
  <c r="I26" i="33"/>
  <c r="I12" i="33"/>
  <c r="AF12" i="33"/>
  <c r="AK12" i="33"/>
  <c r="AU12" i="33"/>
  <c r="BE12" i="33"/>
  <c r="AP12" i="33"/>
  <c r="AZ12" i="33"/>
  <c r="AK10" i="33"/>
  <c r="I10" i="33"/>
  <c r="AU10" i="33"/>
  <c r="AP10" i="33"/>
  <c r="BE10" i="33"/>
  <c r="AZ10" i="33"/>
  <c r="AF10" i="33"/>
  <c r="AU5" i="33"/>
  <c r="AP5" i="33"/>
  <c r="AK5" i="33"/>
  <c r="BE5" i="33"/>
  <c r="I5" i="33"/>
  <c r="AZ5" i="33"/>
  <c r="AF5" i="33"/>
  <c r="B2" i="2"/>
  <c r="H3" i="33"/>
  <c r="H4" i="33"/>
  <c r="AV25" i="33"/>
  <c r="AV15" i="33"/>
  <c r="X2" i="16"/>
  <c r="AE2" i="22" s="1"/>
  <c r="AF2" i="22" s="1"/>
  <c r="B75" i="2"/>
  <c r="B100" i="2"/>
  <c r="B78" i="2"/>
  <c r="B69" i="2"/>
  <c r="B97" i="2"/>
  <c r="B27" i="2"/>
  <c r="B81" i="2"/>
  <c r="B99" i="2"/>
  <c r="B101" i="2"/>
  <c r="B91" i="2"/>
  <c r="B102" i="2"/>
  <c r="B121" i="2"/>
  <c r="B64" i="2"/>
  <c r="B87" i="2"/>
  <c r="B40" i="2"/>
  <c r="B114" i="2"/>
  <c r="B93" i="2"/>
  <c r="B109" i="2"/>
  <c r="B88" i="2"/>
  <c r="B113" i="2"/>
  <c r="B108" i="2"/>
  <c r="B96" i="2"/>
  <c r="B58" i="2"/>
  <c r="B111" i="2"/>
  <c r="B127" i="2"/>
  <c r="B45" i="2"/>
  <c r="B53" i="2"/>
  <c r="B31" i="2"/>
  <c r="B32" i="2"/>
  <c r="B95" i="2"/>
  <c r="B106" i="2"/>
  <c r="B94" i="2"/>
  <c r="B73" i="2"/>
  <c r="B105" i="2"/>
  <c r="B103" i="2"/>
  <c r="B110" i="2"/>
  <c r="B62" i="2"/>
  <c r="B125" i="2"/>
  <c r="B98" i="2"/>
  <c r="B61" i="2"/>
  <c r="B37" i="2"/>
  <c r="B39" i="2"/>
  <c r="B51" i="2"/>
  <c r="B42" i="2"/>
  <c r="B77" i="2"/>
  <c r="B59" i="2"/>
  <c r="B82" i="2"/>
  <c r="B124" i="2"/>
  <c r="B92" i="2"/>
  <c r="B90" i="2"/>
  <c r="B33" i="2"/>
  <c r="B52" i="2"/>
  <c r="B60" i="2"/>
  <c r="B65" i="2"/>
  <c r="B86" i="2"/>
  <c r="B67" i="2"/>
  <c r="B104" i="2"/>
  <c r="B107" i="2"/>
  <c r="B47" i="2"/>
  <c r="B44" i="2"/>
  <c r="B89" i="2"/>
  <c r="B48" i="2"/>
  <c r="B66" i="2"/>
  <c r="B70" i="2"/>
  <c r="B79" i="2"/>
  <c r="B122" i="2"/>
  <c r="B72" i="2"/>
  <c r="B123" i="2"/>
  <c r="B119" i="2"/>
  <c r="B84" i="2"/>
  <c r="B36" i="2"/>
  <c r="B54" i="2"/>
  <c r="B112" i="2"/>
  <c r="B80" i="2"/>
  <c r="B57" i="2"/>
  <c r="B41" i="2"/>
  <c r="B116" i="2"/>
  <c r="B76" i="2"/>
  <c r="B26" i="2"/>
  <c r="B55" i="2"/>
  <c r="B35" i="2"/>
  <c r="B85" i="2"/>
  <c r="B56" i="2"/>
  <c r="B74" i="2"/>
  <c r="B43" i="2"/>
  <c r="B117" i="2"/>
  <c r="B63" i="2"/>
  <c r="B46" i="2"/>
  <c r="B126" i="2"/>
  <c r="B83" i="2"/>
  <c r="B115" i="2"/>
  <c r="B120" i="2"/>
  <c r="B28" i="2"/>
  <c r="B30" i="2"/>
  <c r="B34" i="2"/>
  <c r="B29" i="2"/>
  <c r="B49" i="2"/>
  <c r="B71" i="2"/>
  <c r="B38" i="2"/>
  <c r="B68" i="2"/>
  <c r="B118" i="2"/>
  <c r="B50" i="2"/>
  <c r="AV5" i="33"/>
  <c r="AV11" i="33"/>
  <c r="AQ20" i="33"/>
  <c r="AV12" i="33"/>
  <c r="AV19" i="33"/>
  <c r="AV3" i="33"/>
  <c r="AV18" i="33"/>
  <c r="X5" i="16"/>
  <c r="AE5" i="22" s="1"/>
  <c r="AF5" i="22" s="1"/>
  <c r="AV2" i="33"/>
  <c r="AQ8" i="33"/>
  <c r="AQ23" i="33"/>
  <c r="AV21" i="33"/>
  <c r="AV22" i="33"/>
  <c r="Z5" i="16"/>
  <c r="AI5" i="22" s="1"/>
  <c r="AJ5" i="22" s="1"/>
  <c r="AV26" i="33"/>
  <c r="X4" i="16"/>
  <c r="AE4" i="22" s="1"/>
  <c r="AF4" i="22" s="1"/>
  <c r="AQ13" i="33"/>
  <c r="AQ14" i="33"/>
  <c r="AQ10" i="33"/>
  <c r="AV6" i="33"/>
  <c r="AV16" i="33"/>
  <c r="AV7" i="33"/>
  <c r="AQ17" i="33"/>
  <c r="AV4" i="33"/>
  <c r="AQ4" i="33"/>
  <c r="AV24" i="33"/>
  <c r="AQ9" i="33"/>
  <c r="AV9" i="33"/>
  <c r="I19" i="33" l="1"/>
  <c r="AF19" i="33"/>
  <c r="AP19" i="33"/>
  <c r="BE19" i="33"/>
  <c r="AU19" i="33"/>
  <c r="AK19" i="33"/>
  <c r="AZ19" i="33"/>
  <c r="AP18" i="33"/>
  <c r="I18" i="33"/>
  <c r="AF18" i="33"/>
  <c r="AZ18" i="33"/>
  <c r="AU18" i="33"/>
  <c r="BE18" i="33"/>
  <c r="AK18" i="33"/>
  <c r="I23" i="33"/>
  <c r="AU23" i="33"/>
  <c r="AZ23" i="33"/>
  <c r="AK23" i="33"/>
  <c r="BE23" i="33"/>
  <c r="AF23" i="33"/>
  <c r="AP23" i="33"/>
  <c r="I24" i="33"/>
  <c r="AZ24" i="33"/>
  <c r="AU24" i="33"/>
  <c r="AF24" i="33"/>
  <c r="AK24" i="33"/>
  <c r="BE24" i="33"/>
  <c r="AP24" i="33"/>
  <c r="I13" i="33"/>
  <c r="BE13" i="33"/>
  <c r="AF13" i="33"/>
  <c r="AK13" i="33"/>
  <c r="AU13" i="33"/>
  <c r="AP13" i="33"/>
  <c r="AZ13" i="33"/>
  <c r="AF14" i="33"/>
  <c r="AP14" i="33"/>
  <c r="AU14" i="33"/>
  <c r="I14" i="33"/>
  <c r="AK14" i="33"/>
  <c r="BE14" i="33"/>
  <c r="AZ14" i="33"/>
  <c r="I9" i="33"/>
  <c r="AZ9" i="33"/>
  <c r="AK9" i="33"/>
  <c r="AU9" i="33"/>
  <c r="AP9" i="33"/>
  <c r="BE9" i="33"/>
  <c r="AF9" i="33"/>
  <c r="AP8" i="33"/>
  <c r="AK8" i="33"/>
  <c r="AU8" i="33"/>
  <c r="BE8" i="33"/>
  <c r="I8" i="33"/>
  <c r="AF8" i="33"/>
  <c r="AZ8" i="33"/>
  <c r="I4" i="33"/>
  <c r="AF4" i="33"/>
  <c r="AZ4" i="33"/>
  <c r="AU4" i="33"/>
  <c r="BE4" i="33"/>
  <c r="AK4" i="33"/>
  <c r="AP4" i="33"/>
  <c r="AF3" i="33"/>
  <c r="AK3" i="33"/>
  <c r="AU3" i="33"/>
  <c r="I3" i="33"/>
  <c r="AP3" i="33"/>
  <c r="BE3" i="33"/>
  <c r="AZ3"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<sst xmlns="http://schemas.openxmlformats.org/spreadsheetml/2006/main" count="2358" uniqueCount="535">
  <si>
    <t>Title:</t>
  </si>
  <si>
    <t xml:space="preserve">Der angehängte Datensatz beinhalten Informationen über Materialflüsse, Prozesse sowie Lager in der Region Brandenburg. Der Datensatz bezieht sich dabei auf verschiedene Quellen und Dokumente. </t>
  </si>
  <si>
    <t xml:space="preserve">Definition der Systemgrenzen: </t>
  </si>
  <si>
    <t xml:space="preserve">Beobachtungszeitraum: </t>
  </si>
  <si>
    <t>2010 - 2020</t>
  </si>
  <si>
    <t xml:space="preserve">Beobachtungsgebiet: </t>
  </si>
  <si>
    <t>Berlin</t>
  </si>
  <si>
    <t>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</si>
  <si>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</si>
  <si>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</si>
  <si>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Flüsse:</t>
  </si>
  <si>
    <t>Flüsse müssen in Mg umgerechnet werden</t>
  </si>
  <si>
    <t>Prozesse:</t>
  </si>
  <si>
    <t>Lager</t>
  </si>
  <si>
    <t>Transferkoeffizienten</t>
  </si>
  <si>
    <t>Umrechnungsfaktoren:</t>
  </si>
  <si>
    <t>Codelisten:</t>
  </si>
  <si>
    <t xml:space="preserve">Autoren: </t>
  </si>
  <si>
    <t>Johannes Roland Scholz</t>
  </si>
  <si>
    <t>Lukas Hoppe</t>
  </si>
  <si>
    <t>Complete?</t>
  </si>
  <si>
    <t>ID</t>
  </si>
  <si>
    <t>Flow_ID</t>
  </si>
  <si>
    <t>Name(EN)</t>
  </si>
  <si>
    <t>Region</t>
  </si>
  <si>
    <t>Type_Biomass</t>
  </si>
  <si>
    <t>Comment</t>
  </si>
  <si>
    <t>Output_Process</t>
  </si>
  <si>
    <t>Process_ID_O</t>
  </si>
  <si>
    <t>Input_Process</t>
  </si>
  <si>
    <t>Process_ID_I</t>
  </si>
  <si>
    <t>Value_Source</t>
  </si>
  <si>
    <t>WC?</t>
  </si>
  <si>
    <t>DM?</t>
  </si>
  <si>
    <t>CC?</t>
  </si>
  <si>
    <t>WC</t>
  </si>
  <si>
    <t>WC_source</t>
  </si>
  <si>
    <t>DM</t>
  </si>
  <si>
    <t>DM_source</t>
  </si>
  <si>
    <t>CC_DM[%]</t>
  </si>
  <si>
    <t>CC_DM_source</t>
  </si>
  <si>
    <t>CC</t>
  </si>
  <si>
    <t>CC_FM_source</t>
  </si>
  <si>
    <t>Atmosphere</t>
  </si>
  <si>
    <t>Yes</t>
  </si>
  <si>
    <t>Assumption</t>
  </si>
  <si>
    <t>Caclualtion</t>
  </si>
  <si>
    <t>01</t>
  </si>
  <si>
    <t>02</t>
  </si>
  <si>
    <t>03</t>
  </si>
  <si>
    <t>04</t>
  </si>
  <si>
    <t>05</t>
  </si>
  <si>
    <t>06</t>
  </si>
  <si>
    <t>07</t>
  </si>
  <si>
    <t>08</t>
  </si>
  <si>
    <t>N.A.</t>
  </si>
  <si>
    <t>TC?</t>
  </si>
  <si>
    <t>Year_Flow</t>
  </si>
  <si>
    <t>Region_Flow</t>
  </si>
  <si>
    <t>Flow_Source</t>
  </si>
  <si>
    <t>UoM_Source</t>
  </si>
  <si>
    <t>Name_Source</t>
  </si>
  <si>
    <t>AVV</t>
  </si>
  <si>
    <t>Titel_Source</t>
  </si>
  <si>
    <t>Year_Source</t>
  </si>
  <si>
    <t>Author_Source</t>
  </si>
  <si>
    <t>Type_Source</t>
  </si>
  <si>
    <t>URL</t>
  </si>
  <si>
    <t>CF_required?</t>
  </si>
  <si>
    <t>CF</t>
  </si>
  <si>
    <t>Name_CF</t>
  </si>
  <si>
    <t>Flow_Py</t>
  </si>
  <si>
    <t>UoM_Flow_Py</t>
  </si>
  <si>
    <t>WC_[%]</t>
  </si>
  <si>
    <t>WC_Flow_Py</t>
  </si>
  <si>
    <t>UoM_WC_Flow_Py</t>
  </si>
  <si>
    <t>DM_[%]</t>
  </si>
  <si>
    <t>DM_Flow_Py2</t>
  </si>
  <si>
    <t>UoM_DM_Flow_Py</t>
  </si>
  <si>
    <t>CC_[%]</t>
  </si>
  <si>
    <t>CC_Flow_Py</t>
  </si>
  <si>
    <t>UoM_CC_Flow_Py</t>
  </si>
  <si>
    <t>BB</t>
  </si>
  <si>
    <t>Stramento</t>
  </si>
  <si>
    <t>No</t>
  </si>
  <si>
    <t>Mg</t>
  </si>
  <si>
    <t>Process_ID</t>
  </si>
  <si>
    <t>Carbon_Stock</t>
  </si>
  <si>
    <t>Life_Phase</t>
  </si>
  <si>
    <t>Description</t>
  </si>
  <si>
    <t>Process_Type</t>
  </si>
  <si>
    <t>Stock?</t>
  </si>
  <si>
    <t>Input_Flow_I_1</t>
  </si>
  <si>
    <t>Flow_ID_I_1</t>
  </si>
  <si>
    <t>Input_Flow_I_2</t>
  </si>
  <si>
    <t>Flow_ID_I_2</t>
  </si>
  <si>
    <t>Output_Flow_O_1</t>
  </si>
  <si>
    <t>Flow_ID_O_1</t>
  </si>
  <si>
    <t>Output_Flow_O_2</t>
  </si>
  <si>
    <t>Flow_ID_O_2</t>
  </si>
  <si>
    <t>Output_Flow_O_3</t>
  </si>
  <si>
    <t>Flow_ID_O_3</t>
  </si>
  <si>
    <t>00</t>
  </si>
  <si>
    <t>Raw Material Extraction</t>
  </si>
  <si>
    <t>Biosphere</t>
  </si>
  <si>
    <t>Raw material production (processing)</t>
  </si>
  <si>
    <t>Process</t>
  </si>
  <si>
    <t>Wood</t>
  </si>
  <si>
    <t>Processing</t>
  </si>
  <si>
    <t>Anthroposphere</t>
  </si>
  <si>
    <t>Product manufacturing</t>
  </si>
  <si>
    <t>Timber Truss</t>
  </si>
  <si>
    <t>Use</t>
  </si>
  <si>
    <t>Use (Re-use)</t>
  </si>
  <si>
    <t>Wood Beam for Reuse</t>
  </si>
  <si>
    <t>Refurbishment</t>
  </si>
  <si>
    <t>Recycling/disposal</t>
  </si>
  <si>
    <t>Incineration</t>
  </si>
  <si>
    <t>Athmosphere</t>
  </si>
  <si>
    <t>Degredation</t>
  </si>
  <si>
    <t>Dyn_TC?</t>
  </si>
  <si>
    <t>Input_Flow_I_3</t>
  </si>
  <si>
    <t>Flow_ID_I_3</t>
  </si>
  <si>
    <t>Input_Flow_I_4</t>
  </si>
  <si>
    <t>Flow_ID_I_4</t>
  </si>
  <si>
    <t>Input_Flow_I_5</t>
  </si>
  <si>
    <t>Flow_ID_I_5</t>
  </si>
  <si>
    <t>Output_Flow_O_4</t>
  </si>
  <si>
    <t>Flow_ID_O_4</t>
  </si>
  <si>
    <t>Output_Flow_O_5</t>
  </si>
  <si>
    <t>Flow_ID_O_5</t>
  </si>
  <si>
    <t>Output_Flow_O_6</t>
  </si>
  <si>
    <t>Flow_ID_O_6</t>
  </si>
  <si>
    <t>Input</t>
  </si>
  <si>
    <t>Spalte1</t>
  </si>
  <si>
    <t>TC_ID</t>
  </si>
  <si>
    <t>Data?</t>
  </si>
  <si>
    <t>Flow_TC_I_1_[%]</t>
  </si>
  <si>
    <t>Flow_TC_I_2_[%]</t>
  </si>
  <si>
    <t>Flow ID I_3</t>
  </si>
  <si>
    <t>Flow_TC_I_3_[%]</t>
  </si>
  <si>
    <t>Flow ID I_4</t>
  </si>
  <si>
    <t>Flow_TC_I_4_[%]</t>
  </si>
  <si>
    <t>Flow ID I_5</t>
  </si>
  <si>
    <t>Flow_TC_I_5_[%]</t>
  </si>
  <si>
    <t>Sum_TC_I</t>
  </si>
  <si>
    <t>TC_ID_O_1</t>
  </si>
  <si>
    <t>TC_O_1_[%]</t>
  </si>
  <si>
    <t>TC_ID_O_2</t>
  </si>
  <si>
    <t>TC_O_2_[%]</t>
  </si>
  <si>
    <t>TC_ID_O_3</t>
  </si>
  <si>
    <t>TC_O_3_[%]</t>
  </si>
  <si>
    <t>TC_ID_O_4</t>
  </si>
  <si>
    <t>TC_O_4_[%]</t>
  </si>
  <si>
    <t>TC_ID_O_5</t>
  </si>
  <si>
    <t>TC O_5_[%]</t>
  </si>
  <si>
    <t>TC_ID_O_6</t>
  </si>
  <si>
    <t>Sum_TC_O</t>
  </si>
  <si>
    <t>Titel</t>
  </si>
  <si>
    <t>Year publication</t>
  </si>
  <si>
    <t>Author</t>
  </si>
  <si>
    <t>Type of the Study</t>
  </si>
  <si>
    <t>Output_Flow</t>
  </si>
  <si>
    <t>DynTC?</t>
  </si>
  <si>
    <t>Year</t>
  </si>
  <si>
    <t>Value</t>
  </si>
  <si>
    <t>Column1</t>
  </si>
  <si>
    <t>TC_ID_O_1_Year</t>
  </si>
  <si>
    <t>TC_ID_O_2_Year</t>
  </si>
  <si>
    <t>TC_ID_O_3_Year</t>
  </si>
  <si>
    <t>TC_ID_O_4_Year</t>
  </si>
  <si>
    <t>TC_ID_O_5_Year</t>
  </si>
  <si>
    <t>TC_ID_O_6_Year</t>
  </si>
  <si>
    <t>TC O_6_[%]</t>
  </si>
  <si>
    <t>Process Titel:</t>
  </si>
  <si>
    <t>Process Number:</t>
  </si>
  <si>
    <t>02_Foo_</t>
  </si>
  <si>
    <t>Process Description and Assumptions</t>
  </si>
  <si>
    <t>Process Input:</t>
  </si>
  <si>
    <t>Process Output:</t>
  </si>
  <si>
    <t>1.</t>
  </si>
  <si>
    <t>2.</t>
  </si>
  <si>
    <t>3.</t>
  </si>
  <si>
    <t>4.</t>
  </si>
  <si>
    <t>5.</t>
  </si>
  <si>
    <t>6.</t>
  </si>
  <si>
    <t>Troughput</t>
  </si>
  <si>
    <t>Mg/h</t>
  </si>
  <si>
    <t>Process Input</t>
  </si>
  <si>
    <t>Substance</t>
  </si>
  <si>
    <t>Fresh mass</t>
  </si>
  <si>
    <t>Dry mass</t>
  </si>
  <si>
    <t>Water content</t>
  </si>
  <si>
    <t>FM [mass/ time]</t>
  </si>
  <si>
    <t>FM [%] (mass balance check)</t>
  </si>
  <si>
    <t>Source/ Explaination</t>
  </si>
  <si>
    <t>DM_FM [%]</t>
  </si>
  <si>
    <t>DM [Mg]</t>
  </si>
  <si>
    <t>DM [%] (mass balance check)</t>
  </si>
  <si>
    <t>WC_FM [%]</t>
  </si>
  <si>
    <t>WC [Mg]</t>
  </si>
  <si>
    <t>WC [%] (mass balance check)</t>
  </si>
  <si>
    <t>[1]</t>
  </si>
  <si>
    <t>Summe</t>
  </si>
  <si>
    <t>Carbon Content</t>
  </si>
  <si>
    <t>Flow Parameter</t>
  </si>
  <si>
    <t>TC [%_DM] (Enter Values)</t>
  </si>
  <si>
    <t>TC [Mg]</t>
  </si>
  <si>
    <t>TC [%] (mass balance check)</t>
  </si>
  <si>
    <t>TC Source/ Explaination</t>
  </si>
  <si>
    <t>TC_FM [%_FM]</t>
  </si>
  <si>
    <t>TC-Flow_FM [mass]</t>
  </si>
  <si>
    <t>TC_FM [%] (mass balance check)</t>
  </si>
  <si>
    <t>FM [mass]</t>
  </si>
  <si>
    <t>Dry mass [mass]</t>
  </si>
  <si>
    <t>Water [mass]</t>
  </si>
  <si>
    <t>WC+ DM [mass]</t>
  </si>
  <si>
    <t>Carbon [mass]</t>
  </si>
  <si>
    <t>Process Output</t>
  </si>
  <si>
    <t>Input vs Output (Mass balance check)</t>
  </si>
  <si>
    <t>Process - Description</t>
  </si>
  <si>
    <t>Parameter</t>
  </si>
  <si>
    <t>FM []</t>
  </si>
  <si>
    <t>TC</t>
  </si>
  <si>
    <t>Output</t>
  </si>
  <si>
    <t>DIfference</t>
  </si>
  <si>
    <t>Difference</t>
  </si>
  <si>
    <t>Transfer coefficients</t>
  </si>
  <si>
    <t>Sources</t>
  </si>
  <si>
    <t>Laboratory Research</t>
  </si>
  <si>
    <t>[8]</t>
  </si>
  <si>
    <t>[2]</t>
  </si>
  <si>
    <t>[9]</t>
  </si>
  <si>
    <t>[3]</t>
  </si>
  <si>
    <t>[10]</t>
  </si>
  <si>
    <t>[4]</t>
  </si>
  <si>
    <t>[11]</t>
  </si>
  <si>
    <t>[5]</t>
  </si>
  <si>
    <t>[12]</t>
  </si>
  <si>
    <t>[6]</t>
  </si>
  <si>
    <t>[13]</t>
  </si>
  <si>
    <t>[7]</t>
  </si>
  <si>
    <t>[14]</t>
  </si>
  <si>
    <t>Spalte2</t>
  </si>
  <si>
    <t>Stock_ID</t>
  </si>
  <si>
    <t>Region2</t>
  </si>
  <si>
    <t>Stock2</t>
  </si>
  <si>
    <t>UoM</t>
  </si>
  <si>
    <t>Period of change in Stock</t>
  </si>
  <si>
    <t xml:space="preserve">Change in Stock </t>
  </si>
  <si>
    <t>UoM3</t>
  </si>
  <si>
    <t>Name4</t>
  </si>
  <si>
    <t>Year5</t>
  </si>
  <si>
    <t>Waste composition MSW Berlin</t>
  </si>
  <si>
    <t>Year: 2019</t>
  </si>
  <si>
    <t>Bulkey Waste Wood Masshare</t>
  </si>
  <si>
    <t>Abfallfraktion</t>
  </si>
  <si>
    <t>Waste fraction</t>
  </si>
  <si>
    <t>Massenanteil</t>
  </si>
  <si>
    <t>%</t>
  </si>
  <si>
    <t>Papier/ Pappe</t>
  </si>
  <si>
    <t>Glas</t>
  </si>
  <si>
    <t>Kunststoffe</t>
  </si>
  <si>
    <t>Metalle</t>
  </si>
  <si>
    <t>Nativ Organik</t>
  </si>
  <si>
    <t>sonstige Organik</t>
  </si>
  <si>
    <t>Holz</t>
  </si>
  <si>
    <t>Textilien</t>
  </si>
  <si>
    <t>Inertes</t>
  </si>
  <si>
    <t>Verbunde</t>
  </si>
  <si>
    <t>Problemabfälle</t>
  </si>
  <si>
    <t>sonstige Stoffe</t>
  </si>
  <si>
    <t>Feinmüll &lt;10mm</t>
  </si>
  <si>
    <t>Ergebnis</t>
  </si>
  <si>
    <t>Source</t>
  </si>
  <si>
    <t>SKU Bilanz Berlin 2022</t>
  </si>
  <si>
    <t>https://www.berlin.de/sen/uvk/umwelt/kreislaufwirtschaft/abfallbehoerde/abfallbilanzen/</t>
  </si>
  <si>
    <t>Source:</t>
  </si>
  <si>
    <t>Abfallbilanz Berlin 2021</t>
  </si>
  <si>
    <t xml:space="preserve"> </t>
  </si>
  <si>
    <t>Abfallbilanz Berlin 2019</t>
  </si>
  <si>
    <t>Year: 2017</t>
  </si>
  <si>
    <t>Abfallbilanz Berlin 2017</t>
  </si>
  <si>
    <t>Mantau, U.; Döring, P.; Weimar, Holger; Glasenapp, Sebastian; Jochem, Dominik; Zimmermann, Klaus (2018): Rohstoffmonitoring Holz: Erwartungen und Möglichkeiten</t>
  </si>
  <si>
    <t>S. 20</t>
  </si>
  <si>
    <t>erf. Einheit</t>
  </si>
  <si>
    <t>in tatro</t>
  </si>
  <si>
    <t>in m³</t>
  </si>
  <si>
    <t>tatro in m³</t>
  </si>
  <si>
    <t>m³ in tatro</t>
  </si>
  <si>
    <t>Stammholz</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</si>
  <si>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</si>
  <si>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</si>
  <si>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</si>
  <si>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</si>
  <si>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</si>
  <si>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</si>
  <si>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</si>
  <si>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</si>
  <si>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</si>
  <si>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</si>
  <si>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</si>
  <si>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</si>
  <si>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</si>
  <si>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</si>
  <si>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</si>
  <si>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</si>
  <si>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</si>
  <si>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</si>
  <si>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Fm / t 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</si>
  <si>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</si>
  <si>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</si>
  <si>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</si>
  <si>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</si>
  <si>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</si>
  <si>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</si>
  <si>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</si>
  <si>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</si>
  <si>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</si>
  <si>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</si>
  <si>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</si>
  <si>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</si>
  <si>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</si>
  <si>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</si>
  <si>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</si>
  <si>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</si>
  <si>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</si>
  <si>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Process types</t>
  </si>
  <si>
    <t>Short</t>
  </si>
  <si>
    <t>Logisch</t>
  </si>
  <si>
    <t>Agriculture</t>
  </si>
  <si>
    <t>Forestry</t>
  </si>
  <si>
    <t>Lithosphere</t>
  </si>
  <si>
    <t>Hydrosphere</t>
  </si>
  <si>
    <t>Waste treatment</t>
  </si>
  <si>
    <t>Process Type</t>
  </si>
  <si>
    <t>Data_Literature</t>
  </si>
  <si>
    <t>The value is based on literature</t>
  </si>
  <si>
    <t>Data_experiment</t>
  </si>
  <si>
    <t>The value is based on experiments</t>
  </si>
  <si>
    <t>Data_assumption</t>
  </si>
  <si>
    <t>The value is based on assumptions</t>
  </si>
  <si>
    <t>Calculation_TC</t>
  </si>
  <si>
    <t>The value is based on the calculation with transfer coefficients</t>
  </si>
  <si>
    <t>Data_ID</t>
  </si>
  <si>
    <t>Type</t>
  </si>
  <si>
    <t>Descriptive Parameters</t>
  </si>
  <si>
    <t>Id</t>
  </si>
  <si>
    <t>Process Id</t>
  </si>
  <si>
    <t>Name</t>
  </si>
  <si>
    <t>Area</t>
  </si>
  <si>
    <t>Type Biomass</t>
  </si>
  <si>
    <t>Life phase</t>
  </si>
  <si>
    <t>Input Flow I_1</t>
  </si>
  <si>
    <t>Flow ID I_1</t>
  </si>
  <si>
    <t>Input Flow I_2</t>
  </si>
  <si>
    <t>Flow ID I_2</t>
  </si>
  <si>
    <t>Input Flow I_3</t>
  </si>
  <si>
    <t>Input Flow I_4</t>
  </si>
  <si>
    <t>Input Flow I_5</t>
  </si>
  <si>
    <t>Output Flow O_1</t>
  </si>
  <si>
    <t>Flow ID O_2</t>
  </si>
  <si>
    <t>Output Flow O_2</t>
  </si>
  <si>
    <t>Flow ID O_3</t>
  </si>
  <si>
    <t>Output Flow O_3</t>
  </si>
  <si>
    <t>Flow ID O_4</t>
  </si>
  <si>
    <t>Output Flow O_4</t>
  </si>
  <si>
    <t>Flow ID O_5</t>
  </si>
  <si>
    <t>Output Flow O_5</t>
  </si>
  <si>
    <t>Flow ID O_6</t>
  </si>
  <si>
    <t>Output Flow O_6</t>
  </si>
  <si>
    <t>Flow ID O_62</t>
  </si>
  <si>
    <t>Stock (Yes/No)</t>
  </si>
  <si>
    <t>Transfercoefficient (Yes/No)</t>
  </si>
  <si>
    <t>Forest</t>
  </si>
  <si>
    <t xml:space="preserve">Atmosphere </t>
  </si>
  <si>
    <t>unused Wood</t>
  </si>
  <si>
    <t>n.a.</t>
  </si>
  <si>
    <t>Brandenburg + Berlin</t>
  </si>
  <si>
    <t>Raw material production</t>
  </si>
  <si>
    <t>Stemwood</t>
  </si>
  <si>
    <t>Industry Wood</t>
  </si>
  <si>
    <t>Energy wood</t>
  </si>
  <si>
    <t>Sawmill industry</t>
  </si>
  <si>
    <t>Roundwood</t>
  </si>
  <si>
    <t>Sawn timber</t>
  </si>
  <si>
    <t>Wood chips</t>
  </si>
  <si>
    <t>Sawdust</t>
  </si>
  <si>
    <t>Bark</t>
  </si>
  <si>
    <t>Wood shavings</t>
  </si>
  <si>
    <t>Residues</t>
  </si>
  <si>
    <t>Wood-based materials industry</t>
  </si>
  <si>
    <t>Industry wood</t>
  </si>
  <si>
    <t>Sägespäne aus SI in BB</t>
  </si>
  <si>
    <t>Hackschnitzel aus SI in BB</t>
  </si>
  <si>
    <t>Sägenebenprodukte aus NBB</t>
  </si>
  <si>
    <t>Holzwerkstoffe (BB)</t>
  </si>
  <si>
    <t>Holzwerkstoffe (Export)</t>
  </si>
  <si>
    <t>Pellet and briquette industry</t>
  </si>
  <si>
    <t>Use-Phase -industry wood</t>
  </si>
  <si>
    <t>Industrial wood</t>
  </si>
  <si>
    <t>Waste Wood</t>
  </si>
  <si>
    <t>Use-Phase -Construction wood</t>
  </si>
  <si>
    <t>Construction wood</t>
  </si>
  <si>
    <t>Waste wood processing plant</t>
  </si>
  <si>
    <t>Recycl﻿ing / disposal</t>
  </si>
  <si>
    <t>Garten und Strauch</t>
  </si>
  <si>
    <t>energetische Verwertung</t>
  </si>
  <si>
    <t>Kompostierung</t>
  </si>
  <si>
    <t>stoffliche Verwertung</t>
  </si>
  <si>
    <t>n.b.</t>
  </si>
  <si>
    <t>Biomass power plant</t>
  </si>
  <si>
    <t>Waste Wood A1</t>
  </si>
  <si>
    <t>Waste Wood A2</t>
  </si>
  <si>
    <t>Waste Wood A3</t>
  </si>
  <si>
    <t>Waste Wood A4</t>
  </si>
  <si>
    <t>CO2</t>
  </si>
  <si>
    <t>Ash</t>
  </si>
  <si>
    <t>Data_Source</t>
  </si>
  <si>
    <t>CC_source</t>
  </si>
  <si>
    <t>Rye</t>
  </si>
  <si>
    <t>Rye grain</t>
  </si>
  <si>
    <t>Technical usable rye straw</t>
  </si>
  <si>
    <t>Non technical usable Rye straw</t>
  </si>
  <si>
    <t>Cow Manure</t>
  </si>
  <si>
    <t>Biogas</t>
  </si>
  <si>
    <t>Rye straw digestate</t>
  </si>
  <si>
    <t>MBC (new)</t>
  </si>
  <si>
    <t>MBC (used)</t>
  </si>
  <si>
    <t>MBC production waste</t>
  </si>
  <si>
    <t>Millet grain</t>
  </si>
  <si>
    <t>EoL-MBC</t>
  </si>
  <si>
    <t>Water Input MBC Production</t>
  </si>
  <si>
    <t>Water Output MBC Production</t>
  </si>
  <si>
    <t>Mass Delta MBC production</t>
  </si>
  <si>
    <t>EoL-MBC (Pyro)</t>
  </si>
  <si>
    <t>EoL-MBC (Inci)</t>
  </si>
  <si>
    <t>Pyrolisis Char</t>
  </si>
  <si>
    <t>A review of pyrolysis technologies and feedstock: A blending approach for plastic and biomass towards optimum biochar yield</t>
  </si>
  <si>
    <t>Flue Gas</t>
  </si>
  <si>
    <t xml:space="preserve">Transfer coefficients </t>
  </si>
  <si>
    <t>Input Flow 1</t>
  </si>
  <si>
    <t>Flow ID 1</t>
  </si>
  <si>
    <t>Input Flow 2</t>
  </si>
  <si>
    <t>Flow ID 2</t>
  </si>
  <si>
    <t>Input Flow 3</t>
  </si>
  <si>
    <t>Flow ID 3</t>
  </si>
  <si>
    <t>Input Flow 4</t>
  </si>
  <si>
    <t>Flow ID 4</t>
  </si>
  <si>
    <t>Input Flow 5</t>
  </si>
  <si>
    <t>Flow ID 5</t>
  </si>
  <si>
    <t>Output Flow 1</t>
  </si>
  <si>
    <t>Flow ID 12</t>
  </si>
  <si>
    <t>Output Flow 2</t>
  </si>
  <si>
    <t>Flow ID 23</t>
  </si>
  <si>
    <t>Output Flow 3</t>
  </si>
  <si>
    <t>Flow ID 34</t>
  </si>
  <si>
    <t>Output Flow 4</t>
  </si>
  <si>
    <t>Flow ID 45</t>
  </si>
  <si>
    <t>Output Flow 5</t>
  </si>
  <si>
    <t>Flow ID 56</t>
  </si>
  <si>
    <t>Output Flow 6</t>
  </si>
  <si>
    <t>Flow ID 6</t>
  </si>
  <si>
    <t>Output 1</t>
  </si>
  <si>
    <t>TC 1</t>
  </si>
  <si>
    <t>Output 2</t>
  </si>
  <si>
    <t>TC 2</t>
  </si>
  <si>
    <t>Output 3</t>
  </si>
  <si>
    <t>TC 3</t>
  </si>
  <si>
    <t>Output 4</t>
  </si>
  <si>
    <t>TC 4</t>
  </si>
  <si>
    <t>Output 5</t>
  </si>
  <si>
    <t>TC 5</t>
  </si>
  <si>
    <t>Output 6</t>
  </si>
  <si>
    <t>TC 6</t>
  </si>
  <si>
    <t>Sum TCs</t>
  </si>
  <si>
    <t>Name7</t>
  </si>
  <si>
    <t>Year8</t>
  </si>
  <si>
    <t>Anfertigung einer Materialflussanalyse über Hauptprodukte, Ne-benprodukte und Reststoffe in der holzverarbeitenden Industrie: Eine interviewgestützte Untersuchung in Brandenburg</t>
  </si>
  <si>
    <t>Irina Wähning</t>
  </si>
  <si>
    <t>Mastherthesis</t>
  </si>
  <si>
    <t>Stocks</t>
  </si>
  <si>
    <t>Description Stock</t>
  </si>
  <si>
    <t>Stock</t>
  </si>
  <si>
    <t>1000 m³</t>
  </si>
  <si>
    <t>2012 - 2022</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</si>
  <si>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</si>
  <si>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</si>
  <si>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</si>
  <si>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</si>
  <si>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</si>
  <si>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2002-2012</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</si>
  <si>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</si>
  <si>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</si>
  <si>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Year2</t>
  </si>
  <si>
    <t>Bestimmung des Potenzials von Biomasse in Berlin Ein Projekt der Senatsverwaltung für Mobilität, Verkehr, Klimaschutz und Umwelt Berlin (SenMVKU)</t>
  </si>
  <si>
    <t>Vogt, Jeremias, Buschow</t>
  </si>
  <si>
    <t>Project Report</t>
  </si>
  <si>
    <t>https://www.berlin.de/sen/uvk/klimaschutz/waermewende/gesamtstaedtische-waermeplanung/potenzialanalysen/biomasse/</t>
  </si>
  <si>
    <t>Python Description</t>
  </si>
  <si>
    <t>Input Flow</t>
  </si>
  <si>
    <t>Flow ID</t>
  </si>
  <si>
    <t>Output Flow</t>
  </si>
  <si>
    <t>Flow ID2</t>
  </si>
  <si>
    <t>Flow</t>
  </si>
  <si>
    <t>Uncertain</t>
  </si>
  <si>
    <t>Refurbished wood</t>
  </si>
  <si>
    <t>Logs</t>
  </si>
  <si>
    <t>10</t>
  </si>
  <si>
    <t>11</t>
  </si>
  <si>
    <t>12</t>
  </si>
  <si>
    <t>13</t>
  </si>
  <si>
    <t>14</t>
  </si>
  <si>
    <t>0</t>
  </si>
  <si>
    <t>1</t>
  </si>
  <si>
    <t>2</t>
  </si>
  <si>
    <t>3</t>
  </si>
  <si>
    <t>4</t>
  </si>
  <si>
    <t>5</t>
  </si>
  <si>
    <t>6</t>
  </si>
  <si>
    <t>7</t>
  </si>
  <si>
    <t>8</t>
  </si>
  <si>
    <t>9</t>
  </si>
  <si>
    <t>Forestry Resiudes</t>
  </si>
  <si>
    <t>Deg_Atm_Carbon</t>
  </si>
  <si>
    <t>Deg_Bio</t>
  </si>
  <si>
    <t>Inc_Carbon_Atm</t>
  </si>
  <si>
    <t>Inc_Ash_Ant</t>
  </si>
  <si>
    <t>Proc_Wood Cuttings</t>
  </si>
  <si>
    <t>Atm_Bio</t>
  </si>
  <si>
    <t>SecMaterial</t>
  </si>
  <si>
    <t>Inc_Timber Truss</t>
  </si>
  <si>
    <t>Zeilenbeschriftungen</t>
  </si>
  <si>
    <t>Summe von Value</t>
  </si>
  <si>
    <t>Spaltenbeschriftungen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</si>
</sst>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8">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solid">
        <fgColor rgb="FFFFFF00"/>
        <bgColor indexed="64"/>
      </patternFill>
    </fill>
  </fills>
  <borders count="56">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right/>
      <top style="dotted">
        <color auto="1"/>
      </top>
      <bottom style="thin">
        <color rgb="FF000000"/>
      </bottom>
      <diagonal/>
    </border>
    <border>
      <left/>
      <right/>
      <top style="dotted">
        <color auto="1"/>
      </top>
      <bottom/>
      <diagonal/>
    </border>
    <border>
      <left style="medium">
        <color indexed="64"/>
      </left>
      <right/>
      <top style="dotted">
        <color auto="1"/>
      </top>
      <bottom/>
      <diagonal/>
    </border>
    <border>
      <left/>
      <right style="medium">
        <color indexed="64"/>
      </right>
      <top style="dotted">
        <color auto="1"/>
      </top>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25">
    <xf numFmtId="0" fontId="0" fillId="0" borderId="0" xfId="0"/>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7" xfId="6" applyBorder="1"/>
    <xf numFmtId="0" fontId="4" fillId="0" borderId="2" xfId="0" applyFont="1" applyBorder="1"/>
    <xf numFmtId="0" fontId="4" fillId="0" borderId="28" xfId="0" applyFont="1" applyBorder="1"/>
    <xf numFmtId="0" fontId="8" fillId="7" borderId="21" xfId="7" applyAlignment="1">
      <alignment wrapText="1"/>
    </xf>
    <xf numFmtId="0" fontId="4" fillId="9" borderId="29" xfId="0" applyFont="1" applyFill="1" applyBorder="1"/>
    <xf numFmtId="0" fontId="4" fillId="5" borderId="29" xfId="6" applyFont="1" applyFill="1" applyBorder="1"/>
    <xf numFmtId="0" fontId="4" fillId="8" borderId="29" xfId="0" applyFont="1" applyFill="1" applyBorder="1"/>
    <xf numFmtId="0" fontId="4" fillId="9" borderId="30" xfId="0" applyFont="1" applyFill="1" applyBorder="1"/>
    <xf numFmtId="0" fontId="4" fillId="9" borderId="31" xfId="0" applyFont="1" applyFill="1" applyBorder="1"/>
    <xf numFmtId="0" fontId="4" fillId="9" borderId="32" xfId="0" applyFont="1" applyFill="1" applyBorder="1"/>
    <xf numFmtId="0" fontId="8" fillId="6" borderId="33" xfId="6" applyBorder="1"/>
    <xf numFmtId="0" fontId="4" fillId="5" borderId="31" xfId="6" applyFont="1" applyFill="1" applyBorder="1"/>
    <xf numFmtId="9" fontId="8" fillId="6" borderId="23"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8" fillId="7" borderId="21" xfId="7">
      <extLst>
        <ext xmlns:xfpb="http://schemas.microsoft.com/office/spreadsheetml/2022/featurepropertybag" uri="{C7286773-470A-42A8-94C5-96B5CB345126}">
          <xfpb:xfComplement i="0"/>
        </ext>
      </extLst>
    </xf>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4"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5"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5"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29" xfId="0" applyNumberFormat="1" applyFont="1" applyFill="1" applyBorder="1"/>
    <xf numFmtId="164" fontId="4" fillId="8" borderId="30" xfId="0" applyNumberFormat="1" applyFont="1" applyFill="1" applyBorder="1"/>
    <xf numFmtId="164" fontId="8" fillId="6" borderId="23" xfId="3" applyNumberFormat="1" applyFont="1" applyFill="1" applyBorder="1"/>
    <xf numFmtId="164" fontId="8" fillId="6" borderId="21" xfId="6" applyNumberFormat="1"/>
    <xf numFmtId="164" fontId="0" fillId="0" borderId="0" xfId="0" applyNumberFormat="1"/>
    <xf numFmtId="0" fontId="4" fillId="0" borderId="1" xfId="0" applyFont="1" applyBorder="1" applyAlignment="1">
      <alignment horizontal="right"/>
    </xf>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6" xfId="3" applyFont="1" applyFill="1" applyBorder="1" applyAlignment="1">
      <alignment vertical="center" wrapText="1"/>
    </xf>
    <xf numFmtId="9" fontId="13" fillId="14" borderId="37" xfId="3" applyFont="1" applyFill="1" applyBorder="1" applyAlignment="1">
      <alignment vertical="center" wrapText="1"/>
    </xf>
    <xf numFmtId="9" fontId="13" fillId="15" borderId="37" xfId="3" applyFont="1" applyFill="1" applyBorder="1" applyAlignment="1">
      <alignment vertical="center" wrapText="1"/>
    </xf>
    <xf numFmtId="9" fontId="13" fillId="16" borderId="37" xfId="3" applyFont="1" applyFill="1" applyBorder="1" applyAlignment="1">
      <alignment vertical="center" wrapText="1"/>
    </xf>
    <xf numFmtId="0" fontId="0" fillId="0" borderId="38"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7" xfId="0" applyNumberFormat="1" applyFont="1" applyFill="1" applyBorder="1" applyAlignment="1">
      <alignment vertical="center" wrapText="1"/>
    </xf>
    <xf numFmtId="0" fontId="13" fillId="20" borderId="37" xfId="0" applyFont="1" applyFill="1" applyBorder="1" applyAlignment="1">
      <alignment vertical="center" wrapText="1"/>
    </xf>
    <xf numFmtId="0" fontId="13" fillId="21" borderId="38" xfId="0" applyFont="1" applyFill="1" applyBorder="1" applyAlignment="1">
      <alignment vertical="center" wrapText="1"/>
    </xf>
    <xf numFmtId="165" fontId="0" fillId="22" borderId="36" xfId="0" applyNumberFormat="1" applyFill="1" applyBorder="1" applyAlignment="1">
      <alignment wrapText="1"/>
    </xf>
    <xf numFmtId="165" fontId="0" fillId="22" borderId="37" xfId="0" applyNumberFormat="1" applyFill="1" applyBorder="1" applyAlignment="1">
      <alignment wrapText="1"/>
    </xf>
    <xf numFmtId="165" fontId="0" fillId="22" borderId="38" xfId="0" applyNumberFormat="1" applyFill="1" applyBorder="1" applyAlignment="1">
      <alignment wrapText="1"/>
    </xf>
    <xf numFmtId="9" fontId="13" fillId="23" borderId="36" xfId="3" applyFont="1" applyFill="1" applyBorder="1" applyAlignment="1">
      <alignment vertical="center" wrapText="1"/>
    </xf>
    <xf numFmtId="165" fontId="13" fillId="24" borderId="37" xfId="0" applyNumberFormat="1" applyFont="1" applyFill="1" applyBorder="1" applyAlignment="1">
      <alignment vertical="center" wrapText="1"/>
    </xf>
    <xf numFmtId="164" fontId="0" fillId="13" borderId="38" xfId="3" applyNumberFormat="1" applyFont="1" applyFill="1" applyBorder="1" applyAlignment="1">
      <alignment wrapText="1"/>
    </xf>
    <xf numFmtId="0" fontId="13" fillId="13" borderId="37" xfId="0" applyFont="1" applyFill="1" applyBorder="1" applyAlignment="1">
      <alignment vertical="center" wrapText="1"/>
    </xf>
    <xf numFmtId="9" fontId="13" fillId="23" borderId="37" xfId="3" applyFont="1" applyFill="1" applyBorder="1" applyAlignment="1">
      <alignment vertical="center" wrapText="1"/>
    </xf>
    <xf numFmtId="9" fontId="13" fillId="13" borderId="38" xfId="3" applyFont="1" applyFill="1" applyBorder="1" applyAlignment="1">
      <alignment vertical="center" wrapText="1"/>
    </xf>
    <xf numFmtId="0" fontId="13" fillId="25" borderId="38"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6" xfId="0" applyFont="1" applyFill="1" applyBorder="1" applyAlignment="1">
      <alignment vertical="center" wrapText="1"/>
    </xf>
    <xf numFmtId="9" fontId="13" fillId="14" borderId="37" xfId="0" applyNumberFormat="1" applyFont="1" applyFill="1" applyBorder="1" applyAlignment="1">
      <alignment vertical="center" wrapText="1"/>
    </xf>
    <xf numFmtId="9" fontId="13" fillId="29" borderId="37" xfId="0" applyNumberFormat="1" applyFont="1" applyFill="1" applyBorder="1" applyAlignment="1">
      <alignment vertical="center" wrapText="1"/>
    </xf>
    <xf numFmtId="0" fontId="13" fillId="14" borderId="37" xfId="0" applyFont="1" applyFill="1" applyBorder="1" applyAlignment="1">
      <alignment vertical="center" wrapText="1"/>
    </xf>
    <xf numFmtId="9" fontId="13" fillId="14" borderId="38" xfId="3" applyFont="1" applyFill="1" applyBorder="1" applyAlignment="1">
      <alignment vertical="center" wrapText="1"/>
    </xf>
    <xf numFmtId="0" fontId="13" fillId="15" borderId="36" xfId="0" applyFont="1" applyFill="1" applyBorder="1" applyAlignment="1">
      <alignment vertical="center" wrapText="1"/>
    </xf>
    <xf numFmtId="9" fontId="13" fillId="30" borderId="37" xfId="3" applyFont="1" applyFill="1" applyBorder="1" applyAlignment="1">
      <alignment vertical="center" wrapText="1"/>
    </xf>
    <xf numFmtId="0" fontId="13" fillId="15" borderId="37" xfId="0" applyFont="1" applyFill="1" applyBorder="1" applyAlignment="1">
      <alignment vertical="center" wrapText="1"/>
    </xf>
    <xf numFmtId="9" fontId="13" fillId="15" borderId="38" xfId="3" applyFont="1" applyFill="1" applyBorder="1" applyAlignment="1">
      <alignment vertical="center" wrapText="1"/>
    </xf>
    <xf numFmtId="0" fontId="13" fillId="16" borderId="36" xfId="0" applyFont="1" applyFill="1" applyBorder="1" applyAlignment="1">
      <alignment vertical="center" wrapText="1"/>
    </xf>
    <xf numFmtId="9" fontId="13" fillId="31" borderId="37" xfId="0" applyNumberFormat="1" applyFont="1" applyFill="1" applyBorder="1" applyAlignment="1">
      <alignment vertical="center" wrapText="1"/>
    </xf>
    <xf numFmtId="0" fontId="13" fillId="16" borderId="38"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6" xfId="0" applyNumberFormat="1" applyFont="1" applyFill="1" applyBorder="1" applyAlignment="1">
      <alignment vertical="center" wrapText="1"/>
    </xf>
    <xf numFmtId="9" fontId="13" fillId="19" borderId="38" xfId="0" applyNumberFormat="1" applyFont="1" applyFill="1" applyBorder="1" applyAlignment="1">
      <alignment vertical="center" wrapText="1"/>
    </xf>
    <xf numFmtId="0" fontId="13" fillId="20" borderId="36" xfId="0" applyFont="1" applyFill="1" applyBorder="1" applyAlignment="1">
      <alignment vertical="center" wrapText="1"/>
    </xf>
    <xf numFmtId="0" fontId="13" fillId="20" borderId="38" xfId="0" applyFont="1" applyFill="1" applyBorder="1" applyAlignment="1">
      <alignment vertical="center" wrapText="1"/>
    </xf>
    <xf numFmtId="0" fontId="13" fillId="21" borderId="36" xfId="0" applyFont="1" applyFill="1" applyBorder="1" applyAlignment="1">
      <alignment vertical="center" wrapText="1"/>
    </xf>
    <xf numFmtId="0" fontId="13" fillId="21" borderId="37" xfId="0" applyFont="1" applyFill="1" applyBorder="1" applyAlignment="1">
      <alignment vertical="center" wrapText="1"/>
    </xf>
    <xf numFmtId="9" fontId="0" fillId="13" borderId="38" xfId="3" applyFont="1" applyFill="1" applyBorder="1" applyAlignment="1">
      <alignment wrapText="1"/>
    </xf>
    <xf numFmtId="0" fontId="13" fillId="23" borderId="37"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7" xfId="0" applyNumberFormat="1" applyFont="1" applyFill="1" applyBorder="1" applyAlignment="1">
      <alignment vertical="center" wrapText="1"/>
    </xf>
    <xf numFmtId="0" fontId="13" fillId="30" borderId="37" xfId="0" applyFont="1" applyFill="1" applyBorder="1" applyAlignment="1">
      <alignment vertical="center" wrapText="1"/>
    </xf>
    <xf numFmtId="0" fontId="13" fillId="16" borderId="37"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0" borderId="39" xfId="0" applyFont="1" applyBorder="1" applyAlignment="1">
      <alignment horizontal="left" vertical="center" wrapText="1"/>
    </xf>
    <xf numFmtId="0" fontId="13" fillId="0" borderId="40" xfId="0" applyFont="1" applyBorder="1" applyAlignment="1">
      <alignment horizontal="left" vertical="center" wrapText="1"/>
    </xf>
    <xf numFmtId="0" fontId="13" fillId="0" borderId="41" xfId="0" applyFont="1" applyBorder="1" applyAlignment="1">
      <alignment horizontal="left" vertical="center" wrapText="1"/>
    </xf>
    <xf numFmtId="0" fontId="0" fillId="0" borderId="40" xfId="0" applyBorder="1" applyAlignment="1">
      <alignment horizontal="left" wrapText="1"/>
    </xf>
    <xf numFmtId="0" fontId="13" fillId="12" borderId="7" xfId="0" applyFont="1" applyFill="1" applyBorder="1" applyAlignment="1">
      <alignment vertical="center" wrapText="1"/>
    </xf>
    <xf numFmtId="0" fontId="12" fillId="12" borderId="45" xfId="0" applyFont="1" applyFill="1" applyBorder="1" applyAlignment="1">
      <alignment vertical="center" wrapText="1"/>
    </xf>
    <xf numFmtId="0" fontId="13" fillId="0" borderId="46" xfId="0" applyFont="1" applyBorder="1" applyAlignment="1">
      <alignment vertical="center" wrapText="1"/>
    </xf>
    <xf numFmtId="0" fontId="15" fillId="0" borderId="41" xfId="0" applyFont="1" applyBorder="1" applyAlignment="1">
      <alignment horizontal="left"/>
    </xf>
    <xf numFmtId="0" fontId="0" fillId="0" borderId="47" xfId="0" applyBorder="1" applyAlignment="1">
      <alignment horizontal="left" wrapText="1"/>
    </xf>
    <xf numFmtId="0" fontId="13" fillId="0" borderId="47" xfId="0" applyFont="1" applyBorder="1" applyAlignment="1">
      <alignment horizontal="left" vertical="center" wrapText="1"/>
    </xf>
    <xf numFmtId="0" fontId="12" fillId="12" borderId="5" xfId="0" applyFont="1" applyFill="1" applyBorder="1" applyAlignment="1">
      <alignment vertical="center" wrapText="1"/>
    </xf>
    <xf numFmtId="0" fontId="13" fillId="0" borderId="48"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38" xfId="0" applyFont="1" applyFill="1" applyBorder="1" applyAlignment="1">
      <alignment vertical="center" wrapText="1"/>
    </xf>
    <xf numFmtId="164" fontId="8" fillId="7" borderId="51" xfId="3" applyNumberFormat="1" applyFont="1" applyFill="1" applyBorder="1"/>
    <xf numFmtId="164" fontId="8" fillId="7" borderId="23" xfId="3" applyNumberFormat="1" applyFont="1" applyFill="1" applyBorder="1"/>
    <xf numFmtId="164" fontId="8" fillId="6" borderId="49" xfId="6" applyNumberFormat="1" applyBorder="1"/>
    <xf numFmtId="164" fontId="8" fillId="6" borderId="50" xfId="6" applyNumberFormat="1" applyBorder="1"/>
    <xf numFmtId="164" fontId="8" fillId="6" borderId="22" xfId="6" applyNumberFormat="1" applyBorder="1"/>
    <xf numFmtId="0" fontId="4" fillId="10" borderId="29" xfId="0" applyFont="1" applyFill="1" applyBorder="1"/>
    <xf numFmtId="0" fontId="4" fillId="10" borderId="52" xfId="7" applyFont="1" applyFill="1" applyBorder="1"/>
    <xf numFmtId="0" fontId="8" fillId="6" borderId="34" xfId="6" applyBorder="1"/>
    <xf numFmtId="164" fontId="8" fillId="7" borderId="27" xfId="3" applyNumberFormat="1" applyFont="1" applyFill="1" applyBorder="1"/>
    <xf numFmtId="0" fontId="4" fillId="8" borderId="0" xfId="0" applyFont="1" applyFill="1"/>
    <xf numFmtId="164" fontId="4" fillId="8" borderId="0" xfId="3" applyNumberFormat="1" applyFont="1" applyFill="1" applyBorder="1"/>
    <xf numFmtId="164" fontId="4" fillId="8" borderId="0" xfId="0" applyNumberFormat="1" applyFont="1" applyFill="1"/>
    <xf numFmtId="0" fontId="4" fillId="9" borderId="0" xfId="0" applyFont="1" applyFill="1"/>
    <xf numFmtId="0" fontId="4" fillId="5" borderId="0" xfId="6" applyFont="1" applyFill="1" applyBorder="1"/>
    <xf numFmtId="0" fontId="4" fillId="9" borderId="23" xfId="0" applyFont="1" applyFill="1" applyBorder="1"/>
    <xf numFmtId="10" fontId="8" fillId="7" borderId="21" xfId="7" applyNumberFormat="1"/>
    <xf numFmtId="0" fontId="13" fillId="36" borderId="38" xfId="0" applyFont="1" applyFill="1" applyBorder="1" applyAlignment="1">
      <alignment horizontal="center" vertical="center" wrapText="1"/>
    </xf>
    <xf numFmtId="0" fontId="13" fillId="36" borderId="36" xfId="0" applyFont="1" applyFill="1" applyBorder="1" applyAlignment="1">
      <alignment horizontal="center" vertical="center" wrapText="1"/>
    </xf>
    <xf numFmtId="0" fontId="0" fillId="0" borderId="0" xfId="0" applyAlignment="1">
      <alignment horizontal="center"/>
    </xf>
    <xf numFmtId="0" fontId="4" fillId="37" borderId="13" xfId="0" applyFont="1" applyFill="1" applyBorder="1"/>
    <xf numFmtId="0" fontId="4" fillId="37" borderId="12" xfId="0" applyFont="1" applyFill="1" applyBorder="1"/>
    <xf numFmtId="10" fontId="8" fillId="37" borderId="21" xfId="7" applyNumberFormat="1" applyFill="1"/>
    <xf numFmtId="0" fontId="8" fillId="6" borderId="53" xfId="6" applyBorder="1">
      <extLst>
        <ext xmlns:xfpb="http://schemas.microsoft.com/office/spreadsheetml/2022/featurepropertybag" uri="{C7286773-470A-42A8-94C5-96B5CB345126}">
          <xfpb:xfComplement i="0"/>
        </ext>
      </extLst>
    </xf>
    <xf numFmtId="0" fontId="8" fillId="6" borderId="53" xfId="6" applyBorder="1"/>
    <xf numFmtId="0" fontId="8" fillId="7" borderId="53" xfId="7" applyBorder="1"/>
    <xf numFmtId="0" fontId="9" fillId="9" borderId="53" xfId="8" applyBorder="1"/>
    <xf numFmtId="0" fontId="8" fillId="7" borderId="54" xfId="7" applyBorder="1"/>
    <xf numFmtId="0" fontId="8" fillId="6" borderId="55" xfId="6" applyBorder="1"/>
    <xf numFmtId="0" fontId="0" fillId="0" borderId="0" xfId="0" applyAlignment="1">
      <alignment horizontal="left"/>
    </xf>
    <xf numFmtId="0" fontId="0" fillId="0" borderId="0" xfId="0" pivotButton="1"/>
    <xf numFmtId="0" fontId="0" fillId="0" borderId="0" xfId="0" applyAlignment="1">
      <alignment horizontal="left" indent="1"/>
    </xf>
    <xf numFmtId="164" fontId="8" fillId="6" borderId="23" xfId="6" applyNumberFormat="1" applyBorder="1"/>
    <xf numFmtId="0" fontId="0" fillId="0" borderId="23" xfId="0" applyBorder="1"/>
    <xf numFmtId="164" fontId="0" fillId="0" borderId="7" xfId="0" applyNumberFormat="1" applyBorder="1"/>
    <xf numFmtId="164" fontId="8" fillId="7" borderId="23" xfId="0" applyNumberFormat="1" applyFont="1" applyFill="1" applyBorder="1"/>
    <xf numFmtId="164" fontId="8" fillId="7" borderId="21" xfId="0" applyNumberFormat="1" applyFont="1" applyFill="1" applyBorder="1"/>
    <xf numFmtId="164" fontId="8" fillId="6" borderId="23" xfId="0" applyNumberFormat="1" applyFont="1" applyFill="1" applyBorder="1"/>
    <xf numFmtId="0" fontId="0" fillId="0" borderId="0" xfId="0" applyAlignment="1">
      <alignment horizontal="left" wrapText="1"/>
    </xf>
    <xf numFmtId="0" fontId="0" fillId="0" borderId="0" xfId="0" applyAlignment="1">
      <alignment horizontal="center" wrapText="1"/>
    </xf>
    <xf numFmtId="0" fontId="13" fillId="28" borderId="38" xfId="0" applyFont="1" applyFill="1" applyBorder="1" applyAlignment="1">
      <alignment horizontal="center" vertical="top" wrapText="1"/>
    </xf>
    <xf numFmtId="0" fontId="13" fillId="28" borderId="37" xfId="0" applyFont="1" applyFill="1" applyBorder="1" applyAlignment="1">
      <alignment horizontal="center" vertical="top" wrapText="1"/>
    </xf>
    <xf numFmtId="0" fontId="13" fillId="28" borderId="36"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13" fillId="27" borderId="37" xfId="0" applyFont="1" applyFill="1" applyBorder="1" applyAlignment="1">
      <alignment horizontal="center" vertical="top" wrapText="1"/>
    </xf>
    <xf numFmtId="0" fontId="13" fillId="27" borderId="36" xfId="0" applyFont="1" applyFill="1" applyBorder="1" applyAlignment="1">
      <alignment horizontal="center" vertical="top" wrapText="1"/>
    </xf>
    <xf numFmtId="0" fontId="0" fillId="17" borderId="38" xfId="0" applyFill="1" applyBorder="1" applyAlignment="1">
      <alignment horizontal="center"/>
    </xf>
    <xf numFmtId="0" fontId="0" fillId="17" borderId="37" xfId="0" applyFill="1" applyBorder="1" applyAlignment="1">
      <alignment horizontal="center"/>
    </xf>
    <xf numFmtId="0" fontId="0" fillId="17" borderId="36"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12" fillId="12" borderId="38" xfId="0" applyFont="1" applyFill="1" applyBorder="1" applyAlignment="1">
      <alignment horizontal="center" vertical="center" wrapText="1"/>
    </xf>
    <xf numFmtId="0" fontId="12" fillId="12" borderId="37" xfId="0" applyFont="1" applyFill="1" applyBorder="1" applyAlignment="1">
      <alignment horizontal="center" vertical="center" wrapText="1"/>
    </xf>
    <xf numFmtId="0" fontId="12" fillId="12" borderId="36" xfId="0" applyFont="1" applyFill="1" applyBorder="1" applyAlignment="1">
      <alignment horizontal="center" vertical="center" wrapText="1"/>
    </xf>
    <xf numFmtId="0" fontId="0" fillId="0" borderId="4" xfId="0" applyBorder="1" applyAlignment="1">
      <alignment horizont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37" xfId="0" applyFont="1" applyFill="1" applyBorder="1" applyAlignment="1">
      <alignment horizontal="center" vertical="center" wrapText="1"/>
    </xf>
    <xf numFmtId="0" fontId="13" fillId="36" borderId="36"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38" xfId="0" applyFont="1" applyFill="1" applyBorder="1" applyAlignment="1">
      <alignment horizontal="left" vertical="center" wrapText="1"/>
    </xf>
    <xf numFmtId="0" fontId="13" fillId="36" borderId="37" xfId="0" applyFont="1" applyFill="1" applyBorder="1" applyAlignment="1">
      <alignment horizontal="left" vertical="center" wrapText="1"/>
    </xf>
    <xf numFmtId="0" fontId="13" fillId="36" borderId="36" xfId="0" applyFont="1" applyFill="1" applyBorder="1" applyAlignment="1">
      <alignment horizontal="left" vertical="center" wrapText="1"/>
    </xf>
    <xf numFmtId="0" fontId="12" fillId="12" borderId="44" xfId="0" applyFont="1" applyFill="1" applyBorder="1" applyAlignment="1">
      <alignment horizontal="center" vertical="center" wrapText="1"/>
    </xf>
    <xf numFmtId="0" fontId="12" fillId="12" borderId="43" xfId="0" applyFont="1" applyFill="1" applyBorder="1" applyAlignment="1">
      <alignment horizontal="center" vertical="center" wrapText="1"/>
    </xf>
    <xf numFmtId="0" fontId="12" fillId="12" borderId="42"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cellXfs>
  <cellStyles count="10">
    <cellStyle name="Ausfüllen" xfId="7" xr:uid="{E9E98A7B-8A03-49A2-9E6D-8E4EB6C80788}"/>
    <cellStyle name="Automatisch" xfId="6" xr:uid="{E2BB7D89-37D5-475E-8A0E-D41B5DBDA562}"/>
    <cellStyle name="Comments" xfId="8" xr:uid="{C2C744ED-72C3-456C-92F3-EAECE13F28FE}"/>
    <cellStyle name="Gut" xfId="4" builtinId="26"/>
    <cellStyle name="Komma" xfId="2" builtinId="3"/>
    <cellStyle name="Link" xfId="1" builtinId="8"/>
    <cellStyle name="Neutral" xfId="5" builtinId="28" customBuiltin="1"/>
    <cellStyle name="Prozent" xfId="3" builtinId="5"/>
    <cellStyle name="Result" xfId="9" xr:uid="{27C05C50-1692-41BD-902E-FB699DD63B0D}"/>
    <cellStyle name="Standard" xfId="0" builtinId="0"/>
  </cellStyles>
  <dxfs count="215">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[Eichkamp_250708_V4.xlsx]Tabelle1!PivotTable1</c:name>
    <c:fmtId val="0"/>
  </c:pivotSource>
  <c:chart>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Tabelle1!$B$1:$B$2</c:f>
              <c:strCache>
                <c:ptCount val="1"/>
                <c:pt idx="0">
                  <c:v>Inc_Timber Truss</c:v>
                </c:pt>
              </c:strCache>
            </c:strRef>
          </c:tx>
          <c:spPr>
            <a:ln w="28575" cap="rnd">
              <a:solidFill>
                <a:schemeClr val="accent2"/>
              </a:solidFill>
              <a:round/>
            </a:ln>
            <a:effectLst/>
          </c:spPr>
          <c:marker>
            <c:symbol val="none"/>
          </c:marker>
          <c:cat>
            <c:multiLvlStrRef>
              <c:f>Tabelle1!$A$3:$A$16</c:f>
              <c:multiLvlStrCache>
                <c:ptCount val="12"/>
                <c:lvl>
                  <c:pt idx="0">
                    <c:v>1920</c:v>
                  </c:pt>
                  <c:pt idx="1">
                    <c:v>1945</c:v>
                  </c:pt>
                  <c:pt idx="2">
                    <c:v>1970</c:v>
                  </c:pt>
                  <c:pt idx="3">
                    <c:v>1995</c:v>
                  </c:pt>
                  <c:pt idx="4">
                    <c:v>2020</c:v>
                  </c:pt>
                  <c:pt idx="5">
                    <c:v>2045</c:v>
                  </c:pt>
                  <c:pt idx="6">
                    <c:v>1920</c:v>
                  </c:pt>
                  <c:pt idx="7">
                    <c:v>1945</c:v>
                  </c:pt>
                  <c:pt idx="8">
                    <c:v>1970</c:v>
                  </c:pt>
                  <c:pt idx="9">
                    <c:v>1995</c:v>
                  </c:pt>
                  <c:pt idx="10">
                    <c:v>2020</c:v>
                  </c:pt>
                  <c:pt idx="11">
                    <c:v>2045</c:v>
                  </c:pt>
                </c:lvl>
                <c:lvl>
                  <c:pt idx="0">
                    <c:v>Processing</c:v>
                  </c:pt>
                  <c:pt idx="6">
                    <c:v>Use</c:v>
                  </c:pt>
                </c:lvl>
              </c:multiLvlStrCache>
            </c:multiLvlStrRef>
          </c:cat>
          <c:val>
            <c:numRef>
              <c:f>Tabelle1!$B$3:$B$16</c:f>
              <c:numCache>
                <c:formatCode>0.00%</c:formatCode>
                <c:ptCount val="12"/>
                <c:pt idx="6">
                  <c:v>0.7</c:v>
                </c:pt>
                <c:pt idx="7">
                  <c:v>0.75</c:v>
                </c:pt>
                <c:pt idx="8">
                  <c:v>0.8</c:v>
                </c:pt>
                <c:pt idx="9">
                  <c:v>0.85</c:v>
                </c:pt>
                <c:pt idx="10">
                  <c:v>0.78</c:v>
                </c:pt>
                <c:pt idx="11">
                  <c:v>0.78</c:v>
                </c:pt>
              </c:numCache>
            </c:numRef>
          </c:val>
          <c:smooth val="1"/>
          <c:extLst>
            <c:ext xmlns:c16="http://schemas.microsoft.com/office/drawing/2014/chart" uri="{C3380CC4-5D6E-409C-BE32-E72D297353CC}">
              <c16:uniqueId val="{00000000-CF73-4C91-8696-00E419A5D700}"/>
            </c:ext>
          </c:extLst>
        </c:ser>
        <c:ser>
          <c:idx val="1"/>
          <c:order val="1"/>
          <c:tx>
            <c:strRef>
              <c:f>Tabelle1!$C$1:$C$2</c:f>
              <c:strCache>
                <c:ptCount val="1"/>
                <c:pt idx="0">
                  <c:v>Proc_Wood Cuttings</c:v>
                </c:pt>
              </c:strCache>
            </c:strRef>
          </c:tx>
          <c:spPr>
            <a:ln w="28575" cap="rnd">
              <a:solidFill>
                <a:schemeClr val="accent4"/>
              </a:solidFill>
              <a:round/>
            </a:ln>
            <a:effectLst/>
          </c:spPr>
          <c:marker>
            <c:symbol val="none"/>
          </c:marker>
          <c:cat>
            <c:multiLvlStrRef>
              <c:f>Tabelle1!$A$3:$A$16</c:f>
              <c:multiLvlStrCache>
                <c:ptCount val="12"/>
                <c:lvl>
                  <c:pt idx="0">
                    <c:v>1920</c:v>
                  </c:pt>
                  <c:pt idx="1">
                    <c:v>1945</c:v>
                  </c:pt>
                  <c:pt idx="2">
                    <c:v>1970</c:v>
                  </c:pt>
                  <c:pt idx="3">
                    <c:v>1995</c:v>
                  </c:pt>
                  <c:pt idx="4">
                    <c:v>2020</c:v>
                  </c:pt>
                  <c:pt idx="5">
                    <c:v>2045</c:v>
                  </c:pt>
                  <c:pt idx="6">
                    <c:v>1920</c:v>
                  </c:pt>
                  <c:pt idx="7">
                    <c:v>1945</c:v>
                  </c:pt>
                  <c:pt idx="8">
                    <c:v>1970</c:v>
                  </c:pt>
                  <c:pt idx="9">
                    <c:v>1995</c:v>
                  </c:pt>
                  <c:pt idx="10">
                    <c:v>2020</c:v>
                  </c:pt>
                  <c:pt idx="11">
                    <c:v>2045</c:v>
                  </c:pt>
                </c:lvl>
                <c:lvl>
                  <c:pt idx="0">
                    <c:v>Processing</c:v>
                  </c:pt>
                  <c:pt idx="6">
                    <c:v>Use</c:v>
                  </c:pt>
                </c:lvl>
              </c:multiLvlStrCache>
            </c:multiLvlStrRef>
          </c:cat>
          <c:val>
            <c:numRef>
              <c:f>Tabelle1!$C$3:$C$16</c:f>
              <c:numCache>
                <c:formatCode>0.00%</c:formatCode>
                <c:ptCount val="12"/>
                <c:pt idx="0">
                  <c:v>0.55000000000000004</c:v>
                </c:pt>
                <c:pt idx="1">
                  <c:v>0.45</c:v>
                </c:pt>
                <c:pt idx="2">
                  <c:v>0.4</c:v>
                </c:pt>
                <c:pt idx="3">
                  <c:v>0.3</c:v>
                </c:pt>
                <c:pt idx="4">
                  <c:v>0.25</c:v>
                </c:pt>
                <c:pt idx="5">
                  <c:v>0.25</c:v>
                </c:pt>
              </c:numCache>
            </c:numRef>
          </c:val>
          <c:smooth val="1"/>
          <c:extLst>
            <c:ext xmlns:c16="http://schemas.microsoft.com/office/drawing/2014/chart" uri="{C3380CC4-5D6E-409C-BE32-E72D297353CC}">
              <c16:uniqueId val="{00000001-CF73-4C91-8696-00E419A5D700}"/>
            </c:ext>
          </c:extLst>
        </c:ser>
        <c:ser>
          <c:idx val="2"/>
          <c:order val="2"/>
          <c:tx>
            <c:strRef>
              <c:f>Tabelle1!$D$1:$D$2</c:f>
              <c:strCache>
                <c:ptCount val="1"/>
                <c:pt idx="0">
                  <c:v>Timber Truss</c:v>
                </c:pt>
              </c:strCache>
            </c:strRef>
          </c:tx>
          <c:spPr>
            <a:ln w="28575" cap="rnd">
              <a:solidFill>
                <a:schemeClr val="accent6"/>
              </a:solidFill>
              <a:round/>
            </a:ln>
            <a:effectLst/>
          </c:spPr>
          <c:marker>
            <c:symbol val="none"/>
          </c:marker>
          <c:cat>
            <c:multiLvlStrRef>
              <c:f>Tabelle1!$A$3:$A$16</c:f>
              <c:multiLvlStrCache>
                <c:ptCount val="12"/>
                <c:lvl>
                  <c:pt idx="0">
                    <c:v>1920</c:v>
                  </c:pt>
                  <c:pt idx="1">
                    <c:v>1945</c:v>
                  </c:pt>
                  <c:pt idx="2">
                    <c:v>1970</c:v>
                  </c:pt>
                  <c:pt idx="3">
                    <c:v>1995</c:v>
                  </c:pt>
                  <c:pt idx="4">
                    <c:v>2020</c:v>
                  </c:pt>
                  <c:pt idx="5">
                    <c:v>2045</c:v>
                  </c:pt>
                  <c:pt idx="6">
                    <c:v>1920</c:v>
                  </c:pt>
                  <c:pt idx="7">
                    <c:v>1945</c:v>
                  </c:pt>
                  <c:pt idx="8">
                    <c:v>1970</c:v>
                  </c:pt>
                  <c:pt idx="9">
                    <c:v>1995</c:v>
                  </c:pt>
                  <c:pt idx="10">
                    <c:v>2020</c:v>
                  </c:pt>
                  <c:pt idx="11">
                    <c:v>2045</c:v>
                  </c:pt>
                </c:lvl>
                <c:lvl>
                  <c:pt idx="0">
                    <c:v>Processing</c:v>
                  </c:pt>
                  <c:pt idx="6">
                    <c:v>Use</c:v>
                  </c:pt>
                </c:lvl>
              </c:multiLvlStrCache>
            </c:multiLvlStrRef>
          </c:cat>
          <c:val>
            <c:numRef>
              <c:f>Tabelle1!$D$3:$D$16</c:f>
              <c:numCache>
                <c:formatCode>0.00%</c:formatCode>
                <c:ptCount val="12"/>
                <c:pt idx="0">
                  <c:v>0.45</c:v>
                </c:pt>
                <c:pt idx="1">
                  <c:v>0.55000000000000004</c:v>
                </c:pt>
                <c:pt idx="2">
                  <c:v>0.6</c:v>
                </c:pt>
                <c:pt idx="3">
                  <c:v>0.7</c:v>
                </c:pt>
                <c:pt idx="4">
                  <c:v>0.75</c:v>
                </c:pt>
                <c:pt idx="5">
                  <c:v>0.75</c:v>
                </c:pt>
              </c:numCache>
            </c:numRef>
          </c:val>
          <c:smooth val="1"/>
          <c:extLst>
            <c:ext xmlns:c16="http://schemas.microsoft.com/office/drawing/2014/chart" uri="{C3380CC4-5D6E-409C-BE32-E72D297353CC}">
              <c16:uniqueId val="{00000006-CF73-4C91-8696-00E419A5D700}"/>
            </c:ext>
          </c:extLst>
        </c:ser>
        <c:ser>
          <c:idx val="3"/>
          <c:order val="3"/>
          <c:tx>
            <c:strRef>
              <c:f>Tabelle1!$E$1:$E$2</c:f>
              <c:strCache>
                <c:ptCount val="1"/>
                <c:pt idx="0">
                  <c:v>Waste Wood</c:v>
                </c:pt>
              </c:strCache>
            </c:strRef>
          </c:tx>
          <c:spPr>
            <a:ln w="28575" cap="rnd">
              <a:solidFill>
                <a:schemeClr val="accent1">
                  <a:lumMod val="75000"/>
                </a:schemeClr>
              </a:solidFill>
              <a:round/>
            </a:ln>
            <a:effectLst/>
          </c:spPr>
          <c:marker>
            <c:symbol val="none"/>
          </c:marker>
          <c:cat>
            <c:multiLvlStrRef>
              <c:f>Tabelle1!$A$3:$A$16</c:f>
              <c:multiLvlStrCache>
                <c:ptCount val="12"/>
                <c:lvl>
                  <c:pt idx="0">
                    <c:v>1920</c:v>
                  </c:pt>
                  <c:pt idx="1">
                    <c:v>1945</c:v>
                  </c:pt>
                  <c:pt idx="2">
                    <c:v>1970</c:v>
                  </c:pt>
                  <c:pt idx="3">
                    <c:v>1995</c:v>
                  </c:pt>
                  <c:pt idx="4">
                    <c:v>2020</c:v>
                  </c:pt>
                  <c:pt idx="5">
                    <c:v>2045</c:v>
                  </c:pt>
                  <c:pt idx="6">
                    <c:v>1920</c:v>
                  </c:pt>
                  <c:pt idx="7">
                    <c:v>1945</c:v>
                  </c:pt>
                  <c:pt idx="8">
                    <c:v>1970</c:v>
                  </c:pt>
                  <c:pt idx="9">
                    <c:v>1995</c:v>
                  </c:pt>
                  <c:pt idx="10">
                    <c:v>2020</c:v>
                  </c:pt>
                  <c:pt idx="11">
                    <c:v>2045</c:v>
                  </c:pt>
                </c:lvl>
                <c:lvl>
                  <c:pt idx="0">
                    <c:v>Processing</c:v>
                  </c:pt>
                  <c:pt idx="6">
                    <c:v>Use</c:v>
                  </c:pt>
                </c:lvl>
              </c:multiLvlStrCache>
            </c:multiLvlStrRef>
          </c:cat>
          <c:val>
            <c:numRef>
              <c:f>Tabelle1!$E$3:$E$16</c:f>
              <c:numCache>
                <c:formatCode>0.00%</c:formatCode>
                <c:ptCount val="12"/>
                <c:pt idx="6">
                  <c:v>0.25</c:v>
                </c:pt>
                <c:pt idx="7">
                  <c:v>0.19</c:v>
                </c:pt>
                <c:pt idx="8">
                  <c:v>0.12</c:v>
                </c:pt>
                <c:pt idx="9">
                  <c:v>0.05</c:v>
                </c:pt>
                <c:pt idx="10">
                  <c:v>0.02</c:v>
                </c:pt>
                <c:pt idx="11">
                  <c:v>0.02</c:v>
                </c:pt>
              </c:numCache>
            </c:numRef>
          </c:val>
          <c:smooth val="1"/>
          <c:extLst>
            <c:ext xmlns:c16="http://schemas.microsoft.com/office/drawing/2014/chart" uri="{C3380CC4-5D6E-409C-BE32-E72D297353CC}">
              <c16:uniqueId val="{00000007-CF73-4C91-8696-00E419A5D700}"/>
            </c:ext>
          </c:extLst>
        </c:ser>
        <c:ser>
          <c:idx val="4"/>
          <c:order val="4"/>
          <c:tx>
            <c:strRef>
              <c:f>Tabelle1!$F$1:$F$2</c:f>
              <c:strCache>
                <c:ptCount val="1"/>
                <c:pt idx="0">
                  <c:v>Wood Beam for Reuse</c:v>
                </c:pt>
              </c:strCache>
            </c:strRef>
          </c:tx>
          <c:spPr>
            <a:ln w="28575" cap="rnd">
              <a:solidFill>
                <a:srgbClr val="7030A0"/>
              </a:solidFill>
              <a:round/>
            </a:ln>
            <a:effectLst/>
          </c:spPr>
          <c:marker>
            <c:symbol val="none"/>
          </c:marker>
          <c:cat>
            <c:multiLvlStrRef>
              <c:f>Tabelle1!$A$3:$A$16</c:f>
              <c:multiLvlStrCache>
                <c:ptCount val="12"/>
                <c:lvl>
                  <c:pt idx="0">
                    <c:v>1920</c:v>
                  </c:pt>
                  <c:pt idx="1">
                    <c:v>1945</c:v>
                  </c:pt>
                  <c:pt idx="2">
                    <c:v>1970</c:v>
                  </c:pt>
                  <c:pt idx="3">
                    <c:v>1995</c:v>
                  </c:pt>
                  <c:pt idx="4">
                    <c:v>2020</c:v>
                  </c:pt>
                  <c:pt idx="5">
                    <c:v>2045</c:v>
                  </c:pt>
                  <c:pt idx="6">
                    <c:v>1920</c:v>
                  </c:pt>
                  <c:pt idx="7">
                    <c:v>1945</c:v>
                  </c:pt>
                  <c:pt idx="8">
                    <c:v>1970</c:v>
                  </c:pt>
                  <c:pt idx="9">
                    <c:v>1995</c:v>
                  </c:pt>
                  <c:pt idx="10">
                    <c:v>2020</c:v>
                  </c:pt>
                  <c:pt idx="11">
                    <c:v>2045</c:v>
                  </c:pt>
                </c:lvl>
                <c:lvl>
                  <c:pt idx="0">
                    <c:v>Processing</c:v>
                  </c:pt>
                  <c:pt idx="6">
                    <c:v>Use</c:v>
                  </c:pt>
                </c:lvl>
              </c:multiLvlStrCache>
            </c:multiLvlStrRef>
          </c:cat>
          <c:val>
            <c:numRef>
              <c:f>Tabelle1!$F$3:$F$16</c:f>
              <c:numCache>
                <c:formatCode>0.00%</c:formatCode>
                <c:ptCount val="12"/>
                <c:pt idx="6">
                  <c:v>0.05</c:v>
                </c:pt>
                <c:pt idx="7">
                  <c:v>0.06</c:v>
                </c:pt>
                <c:pt idx="8">
                  <c:v>0.08</c:v>
                </c:pt>
                <c:pt idx="9">
                  <c:v>0.1</c:v>
                </c:pt>
                <c:pt idx="10">
                  <c:v>0.2</c:v>
                </c:pt>
                <c:pt idx="11">
                  <c:v>0.2</c:v>
                </c:pt>
              </c:numCache>
            </c:numRef>
          </c:val>
          <c:smooth val="1"/>
          <c:extLst>
            <c:ext xmlns:c16="http://schemas.microsoft.com/office/drawing/2014/chart" uri="{C3380CC4-5D6E-409C-BE32-E72D297353CC}">
              <c16:uniqueId val="{00000008-CF73-4C91-8696-00E419A5D700}"/>
            </c:ext>
          </c:extLst>
        </c:ser>
        <c:dLbls>
          <c:showLegendKey val="0"/>
          <c:showVal val="0"/>
          <c:showCatName val="0"/>
          <c:showSerName val="0"/>
          <c:showPercent val="0"/>
          <c:showBubbleSize val="0"/>
        </c:dLbls>
        <c:smooth val="0"/>
        <c:axId val="644809007"/>
        <c:axId val="644805647"/>
      </c:lineChart>
      <c:catAx>
        <c:axId val="64480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805647"/>
        <c:crosses val="autoZero"/>
        <c:auto val="1"/>
        <c:lblAlgn val="ctr"/>
        <c:lblOffset val="100"/>
        <c:noMultiLvlLbl val="0"/>
      </c:catAx>
      <c:valAx>
        <c:axId val="644805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80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144780</xdr:colOff>
      <xdr:row>18</xdr:row>
      <xdr:rowOff>114300</xdr:rowOff>
    </xdr:from>
    <xdr:to>
      <xdr:col>8</xdr:col>
      <xdr:colOff>45720</xdr:colOff>
      <xdr:row>30</xdr:row>
      <xdr:rowOff>53340</xdr:rowOff>
    </xdr:to>
    <xdr:graphicFrame macro="">
      <xdr:nvGraphicFramePr>
        <xdr:cNvPr id="2" name="Diagramm 1">
          <a:extLst>
            <a:ext uri="{FF2B5EF4-FFF2-40B4-BE49-F238E27FC236}">
              <a16:creationId xmlns:a16="http://schemas.microsoft.com/office/drawing/2014/main" id="{5A37AD4B-2512-AB0B-CB97-184603119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bias" refreshedDate="45846.715685416668" createdVersion="8" refreshedVersion="8" minRefreshableVersion="3" recordCount="30" xr:uid="{9C501E81-5ADC-4495-98A6-C2C619E7664B}">
  <cacheSource type="worksheet">
    <worksheetSource name="Tab_Process_TCs2527"/>
  </cacheSource>
  <cacheFields count="65">
    <cacheField name="Spalte1" numFmtId="0">
      <sharedItems/>
    </cacheField>
    <cacheField name="ID" numFmtId="0">
      <sharedItems containsSemiMixedTypes="0" containsString="0" containsNumber="1" containsInteger="1" minValue="1" maxValue="30"/>
    </cacheField>
    <cacheField name="Process_ID" numFmtId="0">
      <sharedItems/>
    </cacheField>
    <cacheField name="Name(EN)" numFmtId="0">
      <sharedItems count="2">
        <s v="Processing"/>
        <s v="Use"/>
      </sharedItems>
    </cacheField>
    <cacheField name="Output_Flow" numFmtId="0">
      <sharedItems count="5">
        <s v="Proc_Wood Cuttings"/>
        <s v="Timber Truss"/>
        <s v="Inc_Timber Truss"/>
        <s v="Waste Wood"/>
        <s v="Wood Beam for Reuse"/>
      </sharedItems>
    </cacheField>
    <cacheField name="TC?" numFmtId="0">
      <sharedItems/>
    </cacheField>
    <cacheField name="DynTC?" numFmtId="0">
      <sharedItems/>
    </cacheField>
    <cacheField name="Flow_ID" numFmtId="0">
      <sharedItems/>
    </cacheField>
    <cacheField name="TC_ID" numFmtId="0">
      <sharedItems/>
    </cacheField>
    <cacheField name="Year" numFmtId="0">
      <sharedItems containsSemiMixedTypes="0" containsString="0" containsNumber="1" containsInteger="1" minValue="1920" maxValue="2045" count="6">
        <n v="1920"/>
        <n v="1945"/>
        <n v="1970"/>
        <n v="1995"/>
        <n v="2020"/>
        <n v="2045"/>
      </sharedItems>
    </cacheField>
    <cacheField name="Value" numFmtId="10">
      <sharedItems containsSemiMixedTypes="0" containsString="0" containsNumber="1" minValue="0.02" maxValue="0.85"/>
    </cacheField>
    <cacheField name="Stock?" numFmtId="0">
      <sharedItems/>
    </cacheField>
    <cacheField name="Column1" numFmtId="0">
      <sharedItems containsNonDate="0" containsString="0" containsBlank="1"/>
    </cacheField>
    <cacheField name="Input_Flow_I_1" numFmtId="0">
      <sharedItems/>
    </cacheField>
    <cacheField name="Flow_ID_I_1" numFmtId="0">
      <sharedItems/>
    </cacheField>
    <cacheField name="Flow_TC_I_1_[%]" numFmtId="0">
      <sharedItems containsNonDate="0" containsString="0" containsBlank="1"/>
    </cacheField>
    <cacheField name="Input_Flow_I_2" numFmtId="0">
      <sharedItems/>
    </cacheField>
    <cacheField name="Flow_ID_I_3" numFmtId="0">
      <sharedItems/>
    </cacheField>
    <cacheField name="Flow_TC_I_2_[%]" numFmtId="0">
      <sharedItems containsNonDate="0" containsString="0" containsBlank="1"/>
    </cacheField>
    <cacheField name="Input_Flow_I_3" numFmtId="0">
      <sharedItems/>
    </cacheField>
    <cacheField name="Flow ID I_3" numFmtId="0">
      <sharedItems/>
    </cacheField>
    <cacheField name="Flow_TC_I_3_[%]" numFmtId="0">
      <sharedItems containsNonDate="0" containsString="0" containsBlank="1"/>
    </cacheField>
    <cacheField name="Input_Flow_I_4" numFmtId="0">
      <sharedItems/>
    </cacheField>
    <cacheField name="Flow ID I_4" numFmtId="0">
      <sharedItems/>
    </cacheField>
    <cacheField name="Flow_TC_I_4_[%]" numFmtId="0">
      <sharedItems containsNonDate="0" containsString="0" containsBlank="1"/>
    </cacheField>
    <cacheField name="Input_Flow_I_5" numFmtId="0">
      <sharedItems/>
    </cacheField>
    <cacheField name="Flow ID I_5" numFmtId="0">
      <sharedItems/>
    </cacheField>
    <cacheField name="Flow_TC_I_5_[%]" numFmtId="0">
      <sharedItems containsNonDate="0" containsString="0" containsBlank="1"/>
    </cacheField>
    <cacheField name="Sum_TC_I" numFmtId="0">
      <sharedItems containsSemiMixedTypes="0" containsString="0" containsNumber="1" containsInteger="1" minValue="0" maxValue="0"/>
    </cacheField>
    <cacheField name="Output_Flow_O_1" numFmtId="0">
      <sharedItems/>
    </cacheField>
    <cacheField name="Flow_ID_O_1" numFmtId="0">
      <sharedItems/>
    </cacheField>
    <cacheField name="TC_ID_O_1_Year" numFmtId="0">
      <sharedItems/>
    </cacheField>
    <cacheField name="TC_ID_O_1" numFmtId="0">
      <sharedItems/>
    </cacheField>
    <cacheField name="TC_O_1_[%]" numFmtId="164">
      <sharedItems containsString="0" containsBlank="1" containsNumber="1" minValue="0.2" maxValue="1"/>
    </cacheField>
    <cacheField name="Output_Flow_O_2" numFmtId="0">
      <sharedItems/>
    </cacheField>
    <cacheField name="Flow_ID_O_2" numFmtId="0">
      <sharedItems/>
    </cacheField>
    <cacheField name="TC_ID_O_2_Year" numFmtId="0">
      <sharedItems/>
    </cacheField>
    <cacheField name="TC_ID_O_2" numFmtId="0">
      <sharedItems/>
    </cacheField>
    <cacheField name="TC_O_2_[%]" numFmtId="164">
      <sharedItems containsString="0" containsBlank="1" containsNumber="1" minValue="0.2" maxValue="0.8"/>
    </cacheField>
    <cacheField name="Output_Flow_O_3" numFmtId="0">
      <sharedItems/>
    </cacheField>
    <cacheField name="Flow_ID_O_3" numFmtId="0">
      <sharedItems/>
    </cacheField>
    <cacheField name="TC_ID_O_3_Year" numFmtId="0">
      <sharedItems/>
    </cacheField>
    <cacheField name="TC_ID_O_3" numFmtId="0">
      <sharedItems/>
    </cacheField>
    <cacheField name="TC_O_3_[%]" numFmtId="164">
      <sharedItems containsString="0" containsBlank="1" containsNumber="1" minValue="0.3" maxValue="0.3"/>
    </cacheField>
    <cacheField name="Output_Flow_O_4" numFmtId="0">
      <sharedItems/>
    </cacheField>
    <cacheField name="Flow_ID_O_4" numFmtId="0">
      <sharedItems/>
    </cacheField>
    <cacheField name="TC_ID_O_4_Year" numFmtId="0">
      <sharedItems/>
    </cacheField>
    <cacheField name="TC_ID_O_4" numFmtId="0">
      <sharedItems/>
    </cacheField>
    <cacheField name="TC_O_4_[%]" numFmtId="164">
      <sharedItems containsNonDate="0" containsString="0" containsBlank="1"/>
    </cacheField>
    <cacheField name="Output_Flow_O_5" numFmtId="0">
      <sharedItems/>
    </cacheField>
    <cacheField name="Flow_ID_O_5" numFmtId="0">
      <sharedItems/>
    </cacheField>
    <cacheField name="TC_ID_O_5_Year" numFmtId="0">
      <sharedItems/>
    </cacheField>
    <cacheField name="TC_ID_O_5" numFmtId="0">
      <sharedItems/>
    </cacheField>
    <cacheField name="TC O_5_[%]" numFmtId="164">
      <sharedItems containsNonDate="0" containsString="0" containsBlank="1"/>
    </cacheField>
    <cacheField name="Output_Flow_O_6" numFmtId="0">
      <sharedItems/>
    </cacheField>
    <cacheField name="Flow_ID_O_6" numFmtId="0">
      <sharedItems/>
    </cacheField>
    <cacheField name="TC_ID_O_6_Year" numFmtId="0">
      <sharedItems/>
    </cacheField>
    <cacheField name="TC_ID_O_6" numFmtId="0">
      <sharedItems/>
    </cacheField>
    <cacheField name="TC O_6_[%]" numFmtId="164">
      <sharedItems containsNonDate="0" containsString="0" containsBlank="1"/>
    </cacheField>
    <cacheField name="Sum_TC_O" numFmtId="164">
      <sharedItems containsSemiMixedTypes="0" containsString="0" containsNumber="1" containsInteger="1" minValue="0" maxValue="1"/>
    </cacheField>
    <cacheField name="Titel" numFmtId="0">
      <sharedItems containsNonDate="0" containsString="0" containsBlank="1"/>
    </cacheField>
    <cacheField name="Year publication" numFmtId="0">
      <sharedItems containsNonDate="0" containsString="0" containsBlank="1"/>
    </cacheField>
    <cacheField name="Author" numFmtId="0">
      <sharedItems containsNonDate="0" containsString="0" containsBlank="1"/>
    </cacheField>
    <cacheField name="Type of the Study" numFmtId="0">
      <sharedItems containsNonDate="0" containsString="0" containsBlank="1"/>
    </cacheField>
    <cacheField name="UR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b v="0"/>
    <n v="1"/>
    <s v="02"/>
    <x v="0"/>
    <x v="0"/>
    <s v="Yes"/>
    <s v="Yes"/>
    <s v="F_02_08"/>
    <s v="TC_02_08"/>
    <x v="0"/>
    <n v="0.55000000000000004"/>
    <s v="Yes"/>
    <m/>
    <s v="N.A."/>
    <e v="#N/A"/>
    <m/>
    <s v="N.A."/>
    <e v="#N/A"/>
    <m/>
    <s v="N.A."/>
    <e v="#N/A"/>
    <m/>
    <s v="N.A."/>
    <e v="#N/A"/>
    <m/>
    <s v="N.A."/>
    <e v="#N/A"/>
    <m/>
    <n v="0"/>
    <e v="#N/A"/>
    <e v="#N/A"/>
    <s v="F_02_08"/>
    <e v="#N/A"/>
    <n v="0.2"/>
    <e v="#N/A"/>
    <e v="#N/A"/>
    <s v="F_02_08"/>
    <e v="#N/A"/>
    <n v="0.8"/>
    <e v="#N/A"/>
    <e v="#N/A"/>
    <s v="F_02_08"/>
    <e v="#N/A"/>
    <m/>
    <e v="#REF!"/>
    <e v="#REF!"/>
    <s v="F_02_08"/>
    <e v="#N/A"/>
    <m/>
    <e v="#REF!"/>
    <e v="#REF!"/>
    <s v="F_02_08"/>
    <e v="#REF!"/>
    <m/>
    <e v="#REF!"/>
    <e v="#REF!"/>
    <s v="F_02_08"/>
    <e v="#REF!"/>
    <m/>
    <n v="1"/>
    <m/>
    <m/>
    <m/>
    <m/>
    <m/>
  </r>
  <r>
    <b v="0"/>
    <n v="2"/>
    <s v="02"/>
    <x v="0"/>
    <x v="1"/>
    <s v="Yes"/>
    <s v="Yes"/>
    <s v="F_02_03"/>
    <s v="TC_02_03"/>
    <x v="0"/>
    <n v="0.45"/>
    <s v="Yes"/>
    <m/>
    <s v="N.A."/>
    <e v="#N/A"/>
    <m/>
    <s v="N.A."/>
    <e v="#N/A"/>
    <m/>
    <s v="N.A."/>
    <e v="#N/A"/>
    <m/>
    <s v="N.A."/>
    <e v="#N/A"/>
    <m/>
    <s v="N.A."/>
    <e v="#N/A"/>
    <m/>
    <n v="0"/>
    <e v="#N/A"/>
    <e v="#N/A"/>
    <s v="F_02_03"/>
    <e v="#N/A"/>
    <n v="0.2"/>
    <e v="#N/A"/>
    <e v="#N/A"/>
    <s v="F_02_03"/>
    <e v="#N/A"/>
    <n v="0.8"/>
    <e v="#N/A"/>
    <e v="#N/A"/>
    <s v="F_02_03"/>
    <e v="#N/A"/>
    <m/>
    <e v="#REF!"/>
    <e v="#REF!"/>
    <s v="F_02_03"/>
    <e v="#N/A"/>
    <m/>
    <e v="#REF!"/>
    <e v="#REF!"/>
    <s v="F_02_03"/>
    <e v="#REF!"/>
    <m/>
    <e v="#REF!"/>
    <e v="#REF!"/>
    <s v="F_02_03"/>
    <e v="#REF!"/>
    <m/>
    <n v="1"/>
    <m/>
    <m/>
    <m/>
    <m/>
    <m/>
  </r>
  <r>
    <b v="0"/>
    <n v="3"/>
    <s v="03"/>
    <x v="1"/>
    <x v="2"/>
    <s v="Yes"/>
    <s v="Yes"/>
    <s v="F_03_06"/>
    <s v="TC_03_06"/>
    <x v="0"/>
    <n v="0.7"/>
    <s v="Yes"/>
    <m/>
    <s v="N.A."/>
    <e v="#N/A"/>
    <m/>
    <s v="N.A."/>
    <e v="#N/A"/>
    <m/>
    <s v="N.A."/>
    <e v="#N/A"/>
    <m/>
    <s v="N.A."/>
    <e v="#N/A"/>
    <m/>
    <s v="N.A."/>
    <e v="#N/A"/>
    <m/>
    <n v="0"/>
    <e v="#N/A"/>
    <e v="#N/A"/>
    <s v="F_03_06"/>
    <e v="#N/A"/>
    <n v="0.2"/>
    <e v="#N/A"/>
    <e v="#N/A"/>
    <s v="F_03_06"/>
    <e v="#N/A"/>
    <n v="0.8"/>
    <e v="#N/A"/>
    <e v="#N/A"/>
    <s v="F_03_06"/>
    <e v="#N/A"/>
    <m/>
    <e v="#REF!"/>
    <e v="#REF!"/>
    <s v="F_03_06"/>
    <e v="#N/A"/>
    <m/>
    <e v="#REF!"/>
    <e v="#REF!"/>
    <s v="F_03_06"/>
    <e v="#REF!"/>
    <m/>
    <e v="#REF!"/>
    <e v="#REF!"/>
    <s v="F_03_06"/>
    <e v="#REF!"/>
    <m/>
    <n v="1"/>
    <m/>
    <m/>
    <m/>
    <m/>
    <m/>
  </r>
  <r>
    <b v="0"/>
    <n v="4"/>
    <s v="03"/>
    <x v="1"/>
    <x v="3"/>
    <s v="Yes"/>
    <s v="Yes"/>
    <s v="F_03_05"/>
    <s v="TC_03_05"/>
    <x v="0"/>
    <n v="0.25"/>
    <s v="Yes"/>
    <m/>
    <s v="N.A."/>
    <e v="#N/A"/>
    <m/>
    <s v="N.A."/>
    <e v="#N/A"/>
    <m/>
    <s v="N.A."/>
    <e v="#N/A"/>
    <m/>
    <s v="N.A."/>
    <e v="#N/A"/>
    <m/>
    <s v="N.A."/>
    <e v="#N/A"/>
    <m/>
    <n v="0"/>
    <e v="#N/A"/>
    <e v="#N/A"/>
    <s v="F_03_05"/>
    <e v="#N/A"/>
    <n v="0.2"/>
    <e v="#N/A"/>
    <e v="#N/A"/>
    <s v="F_03_05"/>
    <e v="#N/A"/>
    <n v="0.8"/>
    <e v="#N/A"/>
    <e v="#N/A"/>
    <s v="F_03_05"/>
    <e v="#N/A"/>
    <m/>
    <e v="#REF!"/>
    <e v="#REF!"/>
    <s v="F_03_05"/>
    <e v="#N/A"/>
    <m/>
    <e v="#REF!"/>
    <e v="#REF!"/>
    <s v="F_03_05"/>
    <e v="#REF!"/>
    <m/>
    <e v="#REF!"/>
    <e v="#REF!"/>
    <s v="F_03_05"/>
    <e v="#REF!"/>
    <m/>
    <n v="1"/>
    <m/>
    <m/>
    <m/>
    <m/>
    <m/>
  </r>
  <r>
    <b v="0"/>
    <n v="5"/>
    <s v="03"/>
    <x v="1"/>
    <x v="4"/>
    <s v="Yes"/>
    <s v="Yes"/>
    <s v="F_03_04"/>
    <s v="TC_03_04"/>
    <x v="0"/>
    <n v="0.05"/>
    <s v="Yes"/>
    <m/>
    <s v="N.A."/>
    <e v="#N/A"/>
    <m/>
    <s v="N.A."/>
    <e v="#N/A"/>
    <m/>
    <s v="N.A."/>
    <e v="#N/A"/>
    <m/>
    <s v="N.A."/>
    <e v="#N/A"/>
    <m/>
    <s v="N.A."/>
    <e v="#N/A"/>
    <m/>
    <n v="0"/>
    <e v="#N/A"/>
    <e v="#N/A"/>
    <s v="F_03_04"/>
    <e v="#N/A"/>
    <n v="0.2"/>
    <e v="#N/A"/>
    <e v="#N/A"/>
    <s v="F_03_04"/>
    <e v="#N/A"/>
    <n v="0.8"/>
    <e v="#N/A"/>
    <e v="#N/A"/>
    <s v="F_03_04"/>
    <e v="#N/A"/>
    <m/>
    <e v="#REF!"/>
    <e v="#REF!"/>
    <s v="F_03_04"/>
    <e v="#N/A"/>
    <m/>
    <e v="#REF!"/>
    <e v="#REF!"/>
    <s v="F_03_04"/>
    <e v="#REF!"/>
    <m/>
    <e v="#REF!"/>
    <e v="#REF!"/>
    <s v="F_03_04"/>
    <e v="#REF!"/>
    <m/>
    <n v="1"/>
    <m/>
    <m/>
    <m/>
    <m/>
    <m/>
  </r>
  <r>
    <b v="0"/>
    <n v="6"/>
    <s v="02"/>
    <x v="0"/>
    <x v="0"/>
    <s v="Yes"/>
    <s v="Yes"/>
    <s v="F_02_08"/>
    <s v="TC_02_08"/>
    <x v="1"/>
    <n v="0.45"/>
    <s v="Yes"/>
    <m/>
    <s v="N.A."/>
    <e v="#N/A"/>
    <m/>
    <s v="N.A."/>
    <e v="#N/A"/>
    <m/>
    <s v="N.A."/>
    <e v="#N/A"/>
    <m/>
    <s v="N.A."/>
    <e v="#N/A"/>
    <m/>
    <s v="N.A."/>
    <e v="#N/A"/>
    <m/>
    <n v="0"/>
    <e v="#N/A"/>
    <e v="#N/A"/>
    <s v="F_02_08"/>
    <e v="#N/A"/>
    <n v="0.5"/>
    <e v="#N/A"/>
    <e v="#N/A"/>
    <s v="F_02_08"/>
    <e v="#N/A"/>
    <n v="0.2"/>
    <e v="#N/A"/>
    <e v="#N/A"/>
    <s v="F_02_08"/>
    <e v="#N/A"/>
    <n v="0.3"/>
    <e v="#REF!"/>
    <e v="#REF!"/>
    <s v="F_02_08"/>
    <e v="#N/A"/>
    <m/>
    <e v="#REF!"/>
    <e v="#REF!"/>
    <s v="F_02_08"/>
    <e v="#REF!"/>
    <m/>
    <e v="#REF!"/>
    <e v="#REF!"/>
    <s v="F_02_08"/>
    <e v="#REF!"/>
    <m/>
    <n v="1"/>
    <m/>
    <m/>
    <m/>
    <m/>
    <m/>
  </r>
  <r>
    <b v="0"/>
    <n v="7"/>
    <s v="02"/>
    <x v="0"/>
    <x v="1"/>
    <s v="Yes"/>
    <s v="Yes"/>
    <s v="F_02_03"/>
    <s v="TC_02_03"/>
    <x v="1"/>
    <n v="0.55000000000000004"/>
    <s v="Yes"/>
    <m/>
    <s v="N.A."/>
    <e v="#N/A"/>
    <m/>
    <s v="N.A."/>
    <e v="#N/A"/>
    <m/>
    <s v="N.A."/>
    <e v="#N/A"/>
    <m/>
    <s v="N.A."/>
    <e v="#N/A"/>
    <m/>
    <s v="N.A."/>
    <e v="#N/A"/>
    <m/>
    <n v="0"/>
    <e v="#N/A"/>
    <e v="#N/A"/>
    <s v="F_02_03"/>
    <e v="#N/A"/>
    <n v="0.5"/>
    <e v="#N/A"/>
    <e v="#N/A"/>
    <s v="F_02_03"/>
    <e v="#N/A"/>
    <n v="0.2"/>
    <e v="#N/A"/>
    <e v="#N/A"/>
    <s v="F_02_03"/>
    <e v="#N/A"/>
    <n v="0.3"/>
    <e v="#REF!"/>
    <e v="#REF!"/>
    <s v="F_02_03"/>
    <e v="#N/A"/>
    <m/>
    <e v="#REF!"/>
    <e v="#REF!"/>
    <s v="F_02_03"/>
    <e v="#REF!"/>
    <m/>
    <e v="#REF!"/>
    <e v="#REF!"/>
    <s v="F_02_03"/>
    <e v="#REF!"/>
    <m/>
    <n v="1"/>
    <m/>
    <m/>
    <m/>
    <m/>
    <m/>
  </r>
  <r>
    <b v="0"/>
    <n v="8"/>
    <s v="03"/>
    <x v="1"/>
    <x v="2"/>
    <s v="Yes"/>
    <s v="Yes"/>
    <s v="F_03_06"/>
    <s v="TC_03_06"/>
    <x v="1"/>
    <n v="0.75"/>
    <s v="Yes"/>
    <m/>
    <s v="N.A."/>
    <e v="#N/A"/>
    <m/>
    <s v="N.A."/>
    <e v="#N/A"/>
    <m/>
    <s v="N.A."/>
    <e v="#N/A"/>
    <m/>
    <s v="N.A."/>
    <e v="#N/A"/>
    <m/>
    <s v="N.A."/>
    <e v="#N/A"/>
    <m/>
    <n v="0"/>
    <e v="#N/A"/>
    <e v="#N/A"/>
    <s v="F_03_06"/>
    <e v="#N/A"/>
    <n v="0.5"/>
    <e v="#N/A"/>
    <e v="#N/A"/>
    <s v="F_03_06"/>
    <e v="#N/A"/>
    <n v="0.2"/>
    <e v="#N/A"/>
    <e v="#N/A"/>
    <s v="F_03_06"/>
    <e v="#N/A"/>
    <n v="0.3"/>
    <e v="#REF!"/>
    <e v="#REF!"/>
    <s v="F_03_06"/>
    <e v="#N/A"/>
    <m/>
    <e v="#REF!"/>
    <e v="#REF!"/>
    <s v="F_03_06"/>
    <e v="#REF!"/>
    <m/>
    <e v="#REF!"/>
    <e v="#REF!"/>
    <s v="F_03_06"/>
    <e v="#REF!"/>
    <m/>
    <n v="1"/>
    <m/>
    <m/>
    <m/>
    <m/>
    <m/>
  </r>
  <r>
    <b v="0"/>
    <n v="9"/>
    <s v="03"/>
    <x v="1"/>
    <x v="3"/>
    <s v="Yes"/>
    <s v="Yes"/>
    <s v="F_03_05"/>
    <s v="TC_03_05"/>
    <x v="1"/>
    <n v="0.19"/>
    <s v="Yes"/>
    <m/>
    <s v="N.A."/>
    <e v="#N/A"/>
    <m/>
    <s v="N.A."/>
    <e v="#N/A"/>
    <m/>
    <s v="N.A."/>
    <e v="#N/A"/>
    <m/>
    <s v="N.A."/>
    <e v="#N/A"/>
    <m/>
    <s v="N.A."/>
    <e v="#N/A"/>
    <m/>
    <n v="0"/>
    <e v="#N/A"/>
    <e v="#N/A"/>
    <s v="F_03_05"/>
    <e v="#N/A"/>
    <n v="0.5"/>
    <e v="#N/A"/>
    <e v="#N/A"/>
    <s v="F_03_05"/>
    <e v="#N/A"/>
    <n v="0.2"/>
    <e v="#N/A"/>
    <e v="#N/A"/>
    <s v="F_03_05"/>
    <e v="#N/A"/>
    <n v="0.3"/>
    <e v="#REF!"/>
    <e v="#REF!"/>
    <s v="F_03_05"/>
    <e v="#N/A"/>
    <m/>
    <e v="#REF!"/>
    <e v="#REF!"/>
    <s v="F_03_05"/>
    <e v="#REF!"/>
    <m/>
    <e v="#REF!"/>
    <e v="#REF!"/>
    <s v="F_03_05"/>
    <e v="#REF!"/>
    <m/>
    <n v="1"/>
    <m/>
    <m/>
    <m/>
    <m/>
    <m/>
  </r>
  <r>
    <b v="0"/>
    <n v="10"/>
    <s v="03"/>
    <x v="1"/>
    <x v="4"/>
    <s v="Yes"/>
    <s v="Yes"/>
    <s v="F_03_04"/>
    <s v="TC_03_04"/>
    <x v="1"/>
    <n v="0.06"/>
    <s v="Yes"/>
    <m/>
    <s v="N.A."/>
    <e v="#N/A"/>
    <m/>
    <s v="N.A."/>
    <e v="#N/A"/>
    <m/>
    <s v="N.A."/>
    <e v="#N/A"/>
    <m/>
    <s v="N.A."/>
    <e v="#N/A"/>
    <m/>
    <s v="N.A."/>
    <e v="#N/A"/>
    <m/>
    <n v="0"/>
    <e v="#N/A"/>
    <e v="#N/A"/>
    <s v="F_03_04"/>
    <e v="#N/A"/>
    <n v="0.5"/>
    <e v="#N/A"/>
    <e v="#N/A"/>
    <s v="F_03_04"/>
    <e v="#N/A"/>
    <n v="0.2"/>
    <e v="#N/A"/>
    <e v="#N/A"/>
    <s v="F_03_04"/>
    <e v="#N/A"/>
    <n v="0.3"/>
    <e v="#REF!"/>
    <e v="#REF!"/>
    <s v="F_03_04"/>
    <e v="#N/A"/>
    <m/>
    <e v="#REF!"/>
    <e v="#REF!"/>
    <s v="F_03_04"/>
    <e v="#REF!"/>
    <m/>
    <e v="#REF!"/>
    <e v="#REF!"/>
    <s v="F_03_04"/>
    <e v="#REF!"/>
    <m/>
    <n v="1"/>
    <m/>
    <m/>
    <m/>
    <m/>
    <m/>
  </r>
  <r>
    <b v="0"/>
    <n v="11"/>
    <s v="02"/>
    <x v="0"/>
    <x v="0"/>
    <s v="Yes"/>
    <s v="Yes"/>
    <s v="F_02_08"/>
    <s v="TC_02_08"/>
    <x v="2"/>
    <n v="0.4"/>
    <s v="Yes"/>
    <m/>
    <s v="N.A."/>
    <e v="#N/A"/>
    <m/>
    <s v="N.A."/>
    <e v="#N/A"/>
    <m/>
    <s v="N.A."/>
    <e v="#N/A"/>
    <m/>
    <s v="N.A."/>
    <e v="#N/A"/>
    <m/>
    <s v="N.A."/>
    <e v="#N/A"/>
    <m/>
    <n v="0"/>
    <e v="#N/A"/>
    <e v="#N/A"/>
    <s v="F_02_08"/>
    <e v="#N/A"/>
    <n v="0.5"/>
    <e v="#N/A"/>
    <e v="#N/A"/>
    <s v="F_02_08"/>
    <e v="#N/A"/>
    <n v="0.2"/>
    <e v="#N/A"/>
    <e v="#N/A"/>
    <s v="F_02_08"/>
    <e v="#N/A"/>
    <n v="0.3"/>
    <e v="#REF!"/>
    <e v="#REF!"/>
    <s v="F_02_08"/>
    <e v="#N/A"/>
    <m/>
    <e v="#REF!"/>
    <e v="#REF!"/>
    <s v="F_02_08"/>
    <e v="#REF!"/>
    <m/>
    <e v="#REF!"/>
    <e v="#REF!"/>
    <s v="F_02_08"/>
    <e v="#REF!"/>
    <m/>
    <n v="1"/>
    <m/>
    <m/>
    <m/>
    <m/>
    <m/>
  </r>
  <r>
    <b v="0"/>
    <n v="12"/>
    <s v="02"/>
    <x v="0"/>
    <x v="1"/>
    <s v="Yes"/>
    <s v="Yes"/>
    <s v="F_02_03"/>
    <s v="TC_02_03"/>
    <x v="2"/>
    <n v="0.6"/>
    <s v="Yes"/>
    <m/>
    <s v="N.A."/>
    <e v="#N/A"/>
    <m/>
    <s v="N.A."/>
    <e v="#N/A"/>
    <m/>
    <s v="N.A."/>
    <e v="#N/A"/>
    <m/>
    <s v="N.A."/>
    <e v="#N/A"/>
    <m/>
    <s v="N.A."/>
    <e v="#N/A"/>
    <m/>
    <n v="0"/>
    <e v="#N/A"/>
    <e v="#N/A"/>
    <s v="F_02_03"/>
    <e v="#N/A"/>
    <n v="0.5"/>
    <e v="#N/A"/>
    <e v="#N/A"/>
    <s v="F_02_03"/>
    <e v="#N/A"/>
    <n v="0.2"/>
    <e v="#N/A"/>
    <e v="#N/A"/>
    <s v="F_02_03"/>
    <e v="#N/A"/>
    <n v="0.3"/>
    <e v="#REF!"/>
    <e v="#REF!"/>
    <s v="F_02_03"/>
    <e v="#N/A"/>
    <m/>
    <e v="#REF!"/>
    <e v="#REF!"/>
    <s v="F_02_03"/>
    <e v="#REF!"/>
    <m/>
    <e v="#REF!"/>
    <e v="#REF!"/>
    <s v="F_02_03"/>
    <e v="#REF!"/>
    <m/>
    <n v="1"/>
    <m/>
    <m/>
    <m/>
    <m/>
    <m/>
  </r>
  <r>
    <b v="0"/>
    <n v="13"/>
    <s v="03"/>
    <x v="1"/>
    <x v="2"/>
    <s v="Yes"/>
    <s v="Yes"/>
    <s v="F_03_06"/>
    <s v="TC_03_06"/>
    <x v="2"/>
    <n v="0.8"/>
    <s v="Yes"/>
    <m/>
    <s v="N.A."/>
    <e v="#N/A"/>
    <m/>
    <s v="N.A."/>
    <e v="#N/A"/>
    <m/>
    <s v="N.A."/>
    <e v="#N/A"/>
    <m/>
    <s v="N.A."/>
    <e v="#N/A"/>
    <m/>
    <s v="N.A."/>
    <e v="#N/A"/>
    <m/>
    <n v="0"/>
    <e v="#N/A"/>
    <e v="#N/A"/>
    <s v="F_03_06"/>
    <e v="#N/A"/>
    <n v="0.5"/>
    <e v="#N/A"/>
    <e v="#N/A"/>
    <s v="F_03_06"/>
    <e v="#N/A"/>
    <n v="0.2"/>
    <e v="#N/A"/>
    <e v="#N/A"/>
    <s v="F_03_06"/>
    <e v="#N/A"/>
    <n v="0.3"/>
    <e v="#REF!"/>
    <e v="#REF!"/>
    <s v="F_03_06"/>
    <e v="#N/A"/>
    <m/>
    <e v="#REF!"/>
    <e v="#REF!"/>
    <s v="F_03_06"/>
    <e v="#REF!"/>
    <m/>
    <e v="#REF!"/>
    <e v="#REF!"/>
    <s v="F_03_06"/>
    <e v="#REF!"/>
    <m/>
    <n v="1"/>
    <m/>
    <m/>
    <m/>
    <m/>
    <m/>
  </r>
  <r>
    <b v="0"/>
    <n v="14"/>
    <s v="03"/>
    <x v="1"/>
    <x v="3"/>
    <s v="Yes"/>
    <s v="Yes"/>
    <s v="F_03_05"/>
    <s v="TC_03_05"/>
    <x v="2"/>
    <n v="0.12"/>
    <s v="Yes"/>
    <m/>
    <s v="N.A."/>
    <e v="#N/A"/>
    <m/>
    <s v="N.A."/>
    <e v="#N/A"/>
    <m/>
    <s v="N.A."/>
    <e v="#N/A"/>
    <m/>
    <s v="N.A."/>
    <e v="#N/A"/>
    <m/>
    <s v="N.A."/>
    <e v="#N/A"/>
    <m/>
    <n v="0"/>
    <e v="#N/A"/>
    <e v="#N/A"/>
    <s v="F_03_05"/>
    <e v="#N/A"/>
    <n v="0.5"/>
    <e v="#N/A"/>
    <e v="#N/A"/>
    <s v="F_03_05"/>
    <e v="#N/A"/>
    <n v="0.2"/>
    <e v="#N/A"/>
    <e v="#N/A"/>
    <s v="F_03_05"/>
    <e v="#N/A"/>
    <n v="0.3"/>
    <e v="#REF!"/>
    <e v="#REF!"/>
    <s v="F_03_05"/>
    <e v="#N/A"/>
    <m/>
    <e v="#REF!"/>
    <e v="#REF!"/>
    <s v="F_03_05"/>
    <e v="#REF!"/>
    <m/>
    <e v="#REF!"/>
    <e v="#REF!"/>
    <s v="F_03_05"/>
    <e v="#REF!"/>
    <m/>
    <n v="1"/>
    <m/>
    <m/>
    <m/>
    <m/>
    <m/>
  </r>
  <r>
    <b v="0"/>
    <n v="15"/>
    <s v="03"/>
    <x v="1"/>
    <x v="4"/>
    <s v="Yes"/>
    <s v="Yes"/>
    <s v="F_03_04"/>
    <s v="TC_03_04"/>
    <x v="2"/>
    <n v="0.08"/>
    <s v="Yes"/>
    <m/>
    <s v="N.A."/>
    <e v="#N/A"/>
    <m/>
    <s v="N.A."/>
    <e v="#N/A"/>
    <m/>
    <s v="N.A."/>
    <e v="#N/A"/>
    <m/>
    <s v="N.A."/>
    <e v="#N/A"/>
    <m/>
    <s v="N.A."/>
    <e v="#N/A"/>
    <m/>
    <n v="0"/>
    <e v="#N/A"/>
    <e v="#N/A"/>
    <s v="F_03_04"/>
    <e v="#N/A"/>
    <n v="0.5"/>
    <e v="#N/A"/>
    <e v="#N/A"/>
    <s v="F_03_04"/>
    <e v="#N/A"/>
    <n v="0.2"/>
    <e v="#N/A"/>
    <e v="#N/A"/>
    <s v="F_03_04"/>
    <e v="#N/A"/>
    <n v="0.3"/>
    <e v="#REF!"/>
    <e v="#REF!"/>
    <s v="F_03_04"/>
    <e v="#N/A"/>
    <m/>
    <e v="#REF!"/>
    <e v="#REF!"/>
    <s v="F_03_04"/>
    <e v="#REF!"/>
    <m/>
    <e v="#REF!"/>
    <e v="#REF!"/>
    <s v="F_03_04"/>
    <e v="#REF!"/>
    <m/>
    <n v="1"/>
    <m/>
    <m/>
    <m/>
    <m/>
    <m/>
  </r>
  <r>
    <b v="0"/>
    <n v="16"/>
    <s v="02"/>
    <x v="0"/>
    <x v="0"/>
    <s v="Yes"/>
    <s v="Yes"/>
    <s v="F_02_08"/>
    <s v="TC_02_08"/>
    <x v="3"/>
    <n v="0.3"/>
    <s v="Yes"/>
    <m/>
    <s v="N.A."/>
    <e v="#N/A"/>
    <m/>
    <s v="N.A."/>
    <e v="#N/A"/>
    <m/>
    <s v="N.A."/>
    <e v="#N/A"/>
    <m/>
    <s v="N.A."/>
    <e v="#N/A"/>
    <m/>
    <s v="N.A."/>
    <e v="#N/A"/>
    <m/>
    <n v="0"/>
    <e v="#N/A"/>
    <e v="#N/A"/>
    <s v="F_02_08"/>
    <e v="#N/A"/>
    <n v="0.5"/>
    <e v="#N/A"/>
    <e v="#N/A"/>
    <s v="F_02_08"/>
    <e v="#N/A"/>
    <n v="0.2"/>
    <e v="#N/A"/>
    <e v="#N/A"/>
    <s v="F_02_08"/>
    <e v="#N/A"/>
    <n v="0.3"/>
    <e v="#REF!"/>
    <e v="#REF!"/>
    <s v="F_02_08"/>
    <e v="#N/A"/>
    <m/>
    <e v="#REF!"/>
    <e v="#REF!"/>
    <s v="F_02_08"/>
    <e v="#REF!"/>
    <m/>
    <e v="#REF!"/>
    <e v="#REF!"/>
    <s v="F_02_08"/>
    <e v="#REF!"/>
    <m/>
    <n v="1"/>
    <m/>
    <m/>
    <m/>
    <m/>
    <m/>
  </r>
  <r>
    <b v="0"/>
    <n v="17"/>
    <s v="02"/>
    <x v="0"/>
    <x v="1"/>
    <s v="Yes"/>
    <s v="Yes"/>
    <s v="F_02_03"/>
    <s v="TC_02_03"/>
    <x v="3"/>
    <n v="0.7"/>
    <s v="Yes"/>
    <m/>
    <s v="N.A."/>
    <e v="#N/A"/>
    <m/>
    <s v="N.A."/>
    <e v="#N/A"/>
    <m/>
    <s v="N.A."/>
    <e v="#N/A"/>
    <m/>
    <s v="N.A."/>
    <e v="#N/A"/>
    <m/>
    <s v="N.A."/>
    <e v="#N/A"/>
    <m/>
    <n v="0"/>
    <e v="#N/A"/>
    <e v="#N/A"/>
    <s v="F_02_03"/>
    <e v="#N/A"/>
    <n v="0.5"/>
    <e v="#N/A"/>
    <e v="#N/A"/>
    <s v="F_02_03"/>
    <e v="#N/A"/>
    <n v="0.2"/>
    <e v="#N/A"/>
    <e v="#N/A"/>
    <s v="F_02_03"/>
    <e v="#N/A"/>
    <n v="0.3"/>
    <e v="#REF!"/>
    <e v="#REF!"/>
    <s v="F_02_03"/>
    <e v="#N/A"/>
    <m/>
    <e v="#REF!"/>
    <e v="#REF!"/>
    <s v="F_02_03"/>
    <e v="#REF!"/>
    <m/>
    <e v="#REF!"/>
    <e v="#REF!"/>
    <s v="F_02_03"/>
    <e v="#REF!"/>
    <m/>
    <n v="1"/>
    <m/>
    <m/>
    <m/>
    <m/>
    <m/>
  </r>
  <r>
    <b v="0"/>
    <n v="18"/>
    <s v="03"/>
    <x v="1"/>
    <x v="2"/>
    <s v="Yes"/>
    <s v="Yes"/>
    <s v="F_03_06"/>
    <s v="TC_03_06"/>
    <x v="3"/>
    <n v="0.85"/>
    <s v="Yes"/>
    <m/>
    <s v="N.A."/>
    <e v="#N/A"/>
    <m/>
    <s v="N.A."/>
    <e v="#N/A"/>
    <m/>
    <s v="N.A."/>
    <e v="#N/A"/>
    <m/>
    <s v="N.A."/>
    <e v="#N/A"/>
    <m/>
    <s v="N.A."/>
    <e v="#N/A"/>
    <m/>
    <n v="0"/>
    <e v="#N/A"/>
    <e v="#N/A"/>
    <s v="F_03_06"/>
    <e v="#N/A"/>
    <n v="0.5"/>
    <e v="#N/A"/>
    <e v="#N/A"/>
    <s v="F_03_06"/>
    <e v="#N/A"/>
    <n v="0.2"/>
    <e v="#N/A"/>
    <e v="#N/A"/>
    <s v="F_03_06"/>
    <e v="#N/A"/>
    <n v="0.3"/>
    <e v="#REF!"/>
    <e v="#REF!"/>
    <s v="F_03_06"/>
    <e v="#N/A"/>
    <m/>
    <e v="#REF!"/>
    <e v="#REF!"/>
    <s v="F_03_06"/>
    <e v="#REF!"/>
    <m/>
    <e v="#REF!"/>
    <e v="#REF!"/>
    <s v="F_03_06"/>
    <e v="#REF!"/>
    <m/>
    <n v="1"/>
    <m/>
    <m/>
    <m/>
    <m/>
    <m/>
  </r>
  <r>
    <b v="0"/>
    <n v="19"/>
    <s v="03"/>
    <x v="1"/>
    <x v="3"/>
    <s v="Yes"/>
    <s v="Yes"/>
    <s v="F_03_05"/>
    <s v="TC_03_05"/>
    <x v="3"/>
    <n v="0.05"/>
    <s v="Yes"/>
    <m/>
    <s v="N.A."/>
    <e v="#N/A"/>
    <m/>
    <s v="N.A."/>
    <e v="#N/A"/>
    <m/>
    <s v="N.A."/>
    <e v="#N/A"/>
    <m/>
    <s v="N.A."/>
    <e v="#N/A"/>
    <m/>
    <s v="N.A."/>
    <e v="#N/A"/>
    <m/>
    <n v="0"/>
    <e v="#N/A"/>
    <e v="#N/A"/>
    <s v="F_03_05"/>
    <e v="#N/A"/>
    <n v="0.5"/>
    <e v="#N/A"/>
    <e v="#N/A"/>
    <s v="F_03_05"/>
    <e v="#N/A"/>
    <n v="0.2"/>
    <e v="#N/A"/>
    <e v="#N/A"/>
    <s v="F_03_05"/>
    <e v="#N/A"/>
    <n v="0.3"/>
    <e v="#REF!"/>
    <e v="#REF!"/>
    <s v="F_03_05"/>
    <e v="#N/A"/>
    <m/>
    <e v="#REF!"/>
    <e v="#REF!"/>
    <s v="F_03_05"/>
    <e v="#REF!"/>
    <m/>
    <e v="#REF!"/>
    <e v="#REF!"/>
    <s v="F_03_05"/>
    <e v="#REF!"/>
    <m/>
    <n v="1"/>
    <m/>
    <m/>
    <m/>
    <m/>
    <m/>
  </r>
  <r>
    <b v="0"/>
    <n v="20"/>
    <s v="03"/>
    <x v="1"/>
    <x v="4"/>
    <s v="Yes"/>
    <s v="Yes"/>
    <s v="F_03_04"/>
    <s v="TC_03_04"/>
    <x v="3"/>
    <n v="0.1"/>
    <s v="Yes"/>
    <m/>
    <s v="N.A."/>
    <e v="#N/A"/>
    <m/>
    <s v="N.A."/>
    <e v="#N/A"/>
    <m/>
    <s v="N.A."/>
    <e v="#N/A"/>
    <m/>
    <s v="N.A."/>
    <e v="#N/A"/>
    <m/>
    <s v="N.A."/>
    <e v="#N/A"/>
    <m/>
    <n v="0"/>
    <e v="#N/A"/>
    <e v="#N/A"/>
    <s v="F_03_04"/>
    <e v="#N/A"/>
    <n v="0.5"/>
    <e v="#N/A"/>
    <e v="#N/A"/>
    <s v="F_03_04"/>
    <e v="#N/A"/>
    <n v="0.2"/>
    <e v="#N/A"/>
    <e v="#N/A"/>
    <s v="F_03_04"/>
    <e v="#N/A"/>
    <n v="0.3"/>
    <e v="#REF!"/>
    <e v="#REF!"/>
    <s v="F_03_04"/>
    <e v="#N/A"/>
    <m/>
    <e v="#REF!"/>
    <e v="#REF!"/>
    <s v="F_03_04"/>
    <e v="#REF!"/>
    <m/>
    <e v="#REF!"/>
    <e v="#REF!"/>
    <s v="F_03_04"/>
    <e v="#REF!"/>
    <m/>
    <n v="1"/>
    <m/>
    <m/>
    <m/>
    <m/>
    <m/>
  </r>
  <r>
    <b v="0"/>
    <n v="21"/>
    <s v="02"/>
    <x v="0"/>
    <x v="0"/>
    <s v="Yes"/>
    <s v="Yes"/>
    <s v="F_02_08"/>
    <s v="TC_02_08"/>
    <x v="4"/>
    <n v="0.25"/>
    <s v="Yes"/>
    <m/>
    <s v="N.A."/>
    <e v="#N/A"/>
    <m/>
    <s v="N.A."/>
    <e v="#N/A"/>
    <m/>
    <s v="N.A."/>
    <e v="#N/A"/>
    <m/>
    <s v="N.A."/>
    <e v="#N/A"/>
    <m/>
    <s v="N.A."/>
    <e v="#N/A"/>
    <m/>
    <n v="0"/>
    <e v="#N/A"/>
    <e v="#N/A"/>
    <s v="F_02_08"/>
    <e v="#N/A"/>
    <n v="0.5"/>
    <e v="#N/A"/>
    <e v="#N/A"/>
    <s v="F_02_08"/>
    <e v="#N/A"/>
    <n v="0.2"/>
    <e v="#N/A"/>
    <e v="#N/A"/>
    <s v="F_02_08"/>
    <e v="#N/A"/>
    <n v="0.3"/>
    <e v="#REF!"/>
    <e v="#REF!"/>
    <s v="F_02_08"/>
    <e v="#N/A"/>
    <m/>
    <e v="#REF!"/>
    <e v="#REF!"/>
    <s v="F_02_08"/>
    <e v="#REF!"/>
    <m/>
    <e v="#REF!"/>
    <e v="#REF!"/>
    <s v="F_02_08"/>
    <e v="#REF!"/>
    <m/>
    <n v="1"/>
    <m/>
    <m/>
    <m/>
    <m/>
    <m/>
  </r>
  <r>
    <b v="0"/>
    <n v="22"/>
    <s v="02"/>
    <x v="0"/>
    <x v="1"/>
    <s v="Yes"/>
    <s v="Yes"/>
    <s v="F_02_03"/>
    <s v="TC_02_03"/>
    <x v="4"/>
    <n v="0.75"/>
    <s v="Yes"/>
    <m/>
    <s v="N.A."/>
    <e v="#N/A"/>
    <m/>
    <s v="N.A."/>
    <e v="#N/A"/>
    <m/>
    <s v="N.A."/>
    <e v="#N/A"/>
    <m/>
    <s v="N.A."/>
    <e v="#N/A"/>
    <m/>
    <s v="N.A."/>
    <e v="#N/A"/>
    <m/>
    <n v="0"/>
    <e v="#N/A"/>
    <e v="#N/A"/>
    <s v="F_02_03"/>
    <e v="#N/A"/>
    <n v="0.5"/>
    <e v="#N/A"/>
    <e v="#N/A"/>
    <s v="F_02_03"/>
    <e v="#N/A"/>
    <n v="0.2"/>
    <e v="#N/A"/>
    <e v="#N/A"/>
    <s v="F_02_03"/>
    <e v="#N/A"/>
    <n v="0.3"/>
    <e v="#REF!"/>
    <e v="#REF!"/>
    <s v="F_02_03"/>
    <e v="#N/A"/>
    <m/>
    <e v="#REF!"/>
    <e v="#REF!"/>
    <s v="F_02_03"/>
    <e v="#REF!"/>
    <m/>
    <e v="#REF!"/>
    <e v="#REF!"/>
    <s v="F_02_03"/>
    <e v="#REF!"/>
    <m/>
    <n v="1"/>
    <m/>
    <m/>
    <m/>
    <m/>
    <m/>
  </r>
  <r>
    <b v="0"/>
    <n v="23"/>
    <s v="03"/>
    <x v="1"/>
    <x v="2"/>
    <s v="Yes"/>
    <s v="Yes"/>
    <s v="F_03_06"/>
    <s v="TC_03_06"/>
    <x v="4"/>
    <n v="0.78"/>
    <s v="Yes"/>
    <m/>
    <s v="N.A."/>
    <e v="#N/A"/>
    <m/>
    <s v="N.A."/>
    <e v="#N/A"/>
    <m/>
    <s v="N.A."/>
    <e v="#N/A"/>
    <m/>
    <s v="N.A."/>
    <e v="#N/A"/>
    <m/>
    <s v="N.A."/>
    <e v="#N/A"/>
    <m/>
    <n v="0"/>
    <e v="#N/A"/>
    <e v="#N/A"/>
    <s v="F_03_06"/>
    <e v="#N/A"/>
    <n v="1"/>
    <e v="#N/A"/>
    <e v="#N/A"/>
    <s v="F_03_06"/>
    <e v="#N/A"/>
    <m/>
    <e v="#N/A"/>
    <e v="#N/A"/>
    <s v="F_03_06"/>
    <e v="#N/A"/>
    <m/>
    <e v="#REF!"/>
    <e v="#REF!"/>
    <s v="F_03_06"/>
    <e v="#N/A"/>
    <m/>
    <e v="#REF!"/>
    <e v="#REF!"/>
    <s v="F_03_06"/>
    <e v="#REF!"/>
    <m/>
    <e v="#REF!"/>
    <e v="#REF!"/>
    <s v="F_03_06"/>
    <e v="#REF!"/>
    <m/>
    <n v="1"/>
    <m/>
    <m/>
    <m/>
    <m/>
    <m/>
  </r>
  <r>
    <b v="0"/>
    <n v="24"/>
    <s v="03"/>
    <x v="1"/>
    <x v="3"/>
    <s v="Yes"/>
    <s v="Yes"/>
    <s v="F_03_05"/>
    <s v="TC_03_05"/>
    <x v="4"/>
    <n v="0.02"/>
    <s v="Yes"/>
    <m/>
    <s v="N.A."/>
    <e v="#N/A"/>
    <m/>
    <s v="N.A."/>
    <e v="#N/A"/>
    <m/>
    <s v="N.A."/>
    <e v="#N/A"/>
    <m/>
    <s v="N.A."/>
    <e v="#N/A"/>
    <m/>
    <s v="N.A."/>
    <e v="#N/A"/>
    <m/>
    <n v="0"/>
    <e v="#N/A"/>
    <e v="#N/A"/>
    <s v="F_03_05"/>
    <e v="#N/A"/>
    <n v="1"/>
    <e v="#N/A"/>
    <e v="#N/A"/>
    <s v="F_03_05"/>
    <e v="#N/A"/>
    <m/>
    <e v="#N/A"/>
    <e v="#N/A"/>
    <s v="F_03_05"/>
    <e v="#N/A"/>
    <m/>
    <e v="#REF!"/>
    <e v="#REF!"/>
    <s v="F_03_05"/>
    <e v="#N/A"/>
    <m/>
    <e v="#REF!"/>
    <e v="#REF!"/>
    <s v="F_03_05"/>
    <e v="#REF!"/>
    <m/>
    <e v="#REF!"/>
    <e v="#REF!"/>
    <s v="F_03_05"/>
    <e v="#REF!"/>
    <m/>
    <n v="1"/>
    <m/>
    <m/>
    <m/>
    <m/>
    <m/>
  </r>
  <r>
    <b v="0"/>
    <n v="25"/>
    <s v="03"/>
    <x v="1"/>
    <x v="4"/>
    <s v="Yes"/>
    <s v="Yes"/>
    <s v="F_03_04"/>
    <s v="TC_03_04"/>
    <x v="4"/>
    <n v="0.2"/>
    <s v="Yes"/>
    <m/>
    <s v="N.A."/>
    <e v="#N/A"/>
    <m/>
    <s v="N.A."/>
    <e v="#N/A"/>
    <m/>
    <s v="N.A."/>
    <e v="#N/A"/>
    <m/>
    <s v="N.A."/>
    <e v="#N/A"/>
    <m/>
    <s v="N.A."/>
    <e v="#N/A"/>
    <m/>
    <n v="0"/>
    <e v="#N/A"/>
    <e v="#N/A"/>
    <s v="F_03_04"/>
    <e v="#N/A"/>
    <n v="1"/>
    <e v="#N/A"/>
    <e v="#N/A"/>
    <s v="F_03_04"/>
    <e v="#N/A"/>
    <m/>
    <e v="#N/A"/>
    <e v="#N/A"/>
    <s v="F_03_04"/>
    <e v="#N/A"/>
    <m/>
    <e v="#REF!"/>
    <e v="#REF!"/>
    <s v="F_03_04"/>
    <e v="#N/A"/>
    <m/>
    <e v="#REF!"/>
    <e v="#REF!"/>
    <s v="F_03_04"/>
    <e v="#REF!"/>
    <m/>
    <e v="#REF!"/>
    <e v="#REF!"/>
    <s v="F_03_04"/>
    <e v="#REF!"/>
    <m/>
    <n v="1"/>
    <m/>
    <m/>
    <m/>
    <m/>
    <m/>
  </r>
  <r>
    <b v="0"/>
    <n v="26"/>
    <s v="02"/>
    <x v="0"/>
    <x v="0"/>
    <s v="Yes"/>
    <s v="Yes"/>
    <s v="F_02_08"/>
    <s v="TC_02_08"/>
    <x v="5"/>
    <n v="0.25"/>
    <s v="Yes"/>
    <m/>
    <s v="N.A."/>
    <e v="#N/A"/>
    <m/>
    <s v="N.A."/>
    <e v="#N/A"/>
    <m/>
    <s v="N.A."/>
    <e v="#N/A"/>
    <m/>
    <s v="N.A."/>
    <e v="#N/A"/>
    <m/>
    <s v="N.A."/>
    <e v="#N/A"/>
    <m/>
    <n v="0"/>
    <e v="#N/A"/>
    <e v="#N/A"/>
    <s v="F_02_08"/>
    <e v="#N/A"/>
    <m/>
    <e v="#N/A"/>
    <e v="#N/A"/>
    <s v="F_02_08"/>
    <e v="#N/A"/>
    <m/>
    <e v="#N/A"/>
    <e v="#N/A"/>
    <s v="F_02_08"/>
    <e v="#N/A"/>
    <m/>
    <e v="#REF!"/>
    <e v="#REF!"/>
    <s v="F_02_08"/>
    <e v="#N/A"/>
    <m/>
    <e v="#REF!"/>
    <e v="#REF!"/>
    <s v="F_02_08"/>
    <e v="#REF!"/>
    <m/>
    <e v="#REF!"/>
    <e v="#REF!"/>
    <s v="F_02_08"/>
    <e v="#REF!"/>
    <m/>
    <n v="0"/>
    <m/>
    <m/>
    <m/>
    <m/>
    <m/>
  </r>
  <r>
    <b v="0"/>
    <n v="27"/>
    <s v="02"/>
    <x v="0"/>
    <x v="1"/>
    <s v="Yes"/>
    <s v="Yes"/>
    <s v="F_02_03"/>
    <s v="TC_02_03"/>
    <x v="5"/>
    <n v="0.75"/>
    <s v="Yes"/>
    <m/>
    <s v="N.A."/>
    <e v="#N/A"/>
    <m/>
    <s v="N.A."/>
    <e v="#N/A"/>
    <m/>
    <s v="N.A."/>
    <e v="#N/A"/>
    <m/>
    <s v="N.A."/>
    <e v="#N/A"/>
    <m/>
    <s v="N.A."/>
    <e v="#N/A"/>
    <m/>
    <n v="0"/>
    <e v="#N/A"/>
    <e v="#N/A"/>
    <s v="F_02_03"/>
    <e v="#N/A"/>
    <m/>
    <e v="#N/A"/>
    <e v="#N/A"/>
    <s v="F_02_03"/>
    <e v="#N/A"/>
    <m/>
    <e v="#N/A"/>
    <e v="#N/A"/>
    <s v="F_02_03"/>
    <e v="#N/A"/>
    <m/>
    <e v="#REF!"/>
    <e v="#REF!"/>
    <s v="F_02_03"/>
    <e v="#N/A"/>
    <m/>
    <e v="#REF!"/>
    <e v="#REF!"/>
    <s v="F_02_03"/>
    <e v="#REF!"/>
    <m/>
    <e v="#REF!"/>
    <e v="#REF!"/>
    <s v="F_02_03"/>
    <e v="#REF!"/>
    <m/>
    <n v="0"/>
    <m/>
    <m/>
    <m/>
    <m/>
    <m/>
  </r>
  <r>
    <b v="0"/>
    <n v="28"/>
    <s v="03"/>
    <x v="1"/>
    <x v="2"/>
    <s v="Yes"/>
    <s v="Yes"/>
    <s v="F_03_06"/>
    <s v="TC_03_06"/>
    <x v="5"/>
    <n v="0.78"/>
    <s v="Yes"/>
    <m/>
    <s v="N.A."/>
    <e v="#N/A"/>
    <m/>
    <s v="N.A."/>
    <e v="#N/A"/>
    <m/>
    <s v="N.A."/>
    <e v="#N/A"/>
    <m/>
    <s v="N.A."/>
    <e v="#N/A"/>
    <m/>
    <s v="N.A."/>
    <e v="#N/A"/>
    <m/>
    <n v="0"/>
    <e v="#N/A"/>
    <e v="#N/A"/>
    <s v="F_03_06"/>
    <e v="#N/A"/>
    <m/>
    <e v="#N/A"/>
    <e v="#N/A"/>
    <s v="F_03_06"/>
    <e v="#N/A"/>
    <m/>
    <e v="#N/A"/>
    <e v="#N/A"/>
    <s v="F_03_06"/>
    <e v="#N/A"/>
    <m/>
    <e v="#REF!"/>
    <e v="#REF!"/>
    <s v="F_03_06"/>
    <e v="#N/A"/>
    <m/>
    <e v="#REF!"/>
    <e v="#REF!"/>
    <s v="F_03_06"/>
    <e v="#REF!"/>
    <m/>
    <e v="#REF!"/>
    <e v="#REF!"/>
    <s v="F_03_06"/>
    <e v="#REF!"/>
    <m/>
    <n v="0"/>
    <m/>
    <m/>
    <m/>
    <m/>
    <m/>
  </r>
  <r>
    <b v="0"/>
    <n v="29"/>
    <s v="03"/>
    <x v="1"/>
    <x v="3"/>
    <s v="Yes"/>
    <s v="Yes"/>
    <s v="F_03_05"/>
    <s v="TC_03_05"/>
    <x v="5"/>
    <n v="0.02"/>
    <s v="Yes"/>
    <m/>
    <s v="N.A."/>
    <e v="#N/A"/>
    <m/>
    <s v="N.A."/>
    <e v="#N/A"/>
    <m/>
    <s v="N.A."/>
    <e v="#N/A"/>
    <m/>
    <s v="N.A."/>
    <e v="#N/A"/>
    <m/>
    <s v="N.A."/>
    <e v="#N/A"/>
    <m/>
    <n v="0"/>
    <e v="#N/A"/>
    <e v="#N/A"/>
    <s v="F_03_05"/>
    <e v="#N/A"/>
    <m/>
    <e v="#N/A"/>
    <e v="#N/A"/>
    <s v="F_03_05"/>
    <e v="#N/A"/>
    <m/>
    <e v="#N/A"/>
    <e v="#N/A"/>
    <s v="F_03_05"/>
    <e v="#N/A"/>
    <m/>
    <e v="#REF!"/>
    <e v="#REF!"/>
    <s v="F_03_05"/>
    <e v="#N/A"/>
    <m/>
    <e v="#REF!"/>
    <e v="#REF!"/>
    <s v="F_03_05"/>
    <e v="#REF!"/>
    <m/>
    <e v="#REF!"/>
    <e v="#REF!"/>
    <s v="F_03_05"/>
    <e v="#REF!"/>
    <m/>
    <n v="0"/>
    <m/>
    <m/>
    <m/>
    <m/>
    <m/>
  </r>
  <r>
    <b v="0"/>
    <n v="30"/>
    <s v="03"/>
    <x v="1"/>
    <x v="4"/>
    <s v="Yes"/>
    <s v="Yes"/>
    <s v="F_03_04"/>
    <s v="TC_03_04"/>
    <x v="5"/>
    <n v="0.2"/>
    <s v="Yes"/>
    <m/>
    <s v="N.A."/>
    <e v="#N/A"/>
    <m/>
    <s v="N.A."/>
    <e v="#N/A"/>
    <m/>
    <s v="N.A."/>
    <e v="#N/A"/>
    <m/>
    <s v="N.A."/>
    <e v="#N/A"/>
    <m/>
    <s v="N.A."/>
    <e v="#N/A"/>
    <m/>
    <n v="0"/>
    <e v="#N/A"/>
    <e v="#N/A"/>
    <s v="F_03_04"/>
    <e v="#N/A"/>
    <m/>
    <e v="#N/A"/>
    <e v="#N/A"/>
    <s v="F_03_04"/>
    <e v="#N/A"/>
    <m/>
    <e v="#N/A"/>
    <e v="#N/A"/>
    <s v="F_03_04"/>
    <e v="#N/A"/>
    <m/>
    <e v="#REF!"/>
    <e v="#REF!"/>
    <s v="F_03_04"/>
    <e v="#N/A"/>
    <m/>
    <e v="#REF!"/>
    <e v="#REF!"/>
    <s v="F_03_04"/>
    <e v="#REF!"/>
    <m/>
    <e v="#REF!"/>
    <e v="#REF!"/>
    <s v="F_03_04"/>
    <e v="#REF!"/>
    <m/>
    <n v="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1F79DF-70FD-40C4-AAE3-9F8A0E0542D3}" name="PivotTable1" cacheId="0" applyNumberFormats="0" applyBorderFormats="0" applyFontFormats="0" applyPatternFormats="0" applyAlignmentFormats="0" applyWidthHeightFormats="1" dataCaption="Werte" updatedVersion="8" minRefreshableVersion="3" useAutoFormatting="1" rowGrandTotals="0" colGrandTotals="0" itemPrintTitles="1" createdVersion="8" indent="0" outline="1" outlineData="1" multipleFieldFilters="0" chartFormat="13">
  <location ref="A1:F16" firstHeaderRow="1" firstDataRow="2" firstDataCol="1"/>
  <pivotFields count="65">
    <pivotField showAll="0" defaultSubtotal="0"/>
    <pivotField showAll="0" defaultSubtotal="0"/>
    <pivotField showAll="0" defaultSubtotal="0"/>
    <pivotField axis="axisRow" showAll="0" defaultSubtotal="0">
      <items count="2">
        <item x="0"/>
        <item x="1"/>
      </items>
    </pivotField>
    <pivotField axis="axisCol" showAll="0" defaultSubtotal="0">
      <items count="5">
        <item x="2"/>
        <item x="0"/>
        <item x="1"/>
        <item x="3"/>
        <item x="4"/>
      </items>
    </pivotField>
    <pivotField showAll="0" defaultSubtotal="0"/>
    <pivotField showAll="0" defaultSubtotal="0"/>
    <pivotField showAll="0" defaultSubtotal="0"/>
    <pivotField showAll="0" defaultSubtotal="0"/>
    <pivotField axis="axisRow" showAll="0" defaultSubtotal="0">
      <items count="6">
        <item x="0"/>
        <item x="1"/>
        <item x="2"/>
        <item x="3"/>
        <item x="4"/>
        <item x="5"/>
      </items>
    </pivotField>
    <pivotField dataField="1" numFmtId="10"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9"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64" showAll="0" defaultSubtotal="0"/>
    <pivotField showAll="0" defaultSubtotal="0"/>
    <pivotField showAll="0" defaultSubtotal="0"/>
    <pivotField showAll="0" defaultSubtotal="0"/>
    <pivotField showAll="0" defaultSubtotal="0"/>
    <pivotField showAll="0" defaultSubtotal="0"/>
  </pivotFields>
  <rowFields count="2">
    <field x="3"/>
    <field x="9"/>
  </rowFields>
  <rowItems count="14">
    <i>
      <x/>
    </i>
    <i r="1">
      <x/>
    </i>
    <i r="1">
      <x v="1"/>
    </i>
    <i r="1">
      <x v="2"/>
    </i>
    <i r="1">
      <x v="3"/>
    </i>
    <i r="1">
      <x v="4"/>
    </i>
    <i r="1">
      <x v="5"/>
    </i>
    <i>
      <x v="1"/>
    </i>
    <i r="1">
      <x/>
    </i>
    <i r="1">
      <x v="1"/>
    </i>
    <i r="1">
      <x v="2"/>
    </i>
    <i r="1">
      <x v="3"/>
    </i>
    <i r="1">
      <x v="4"/>
    </i>
    <i r="1">
      <x v="5"/>
    </i>
  </rowItems>
  <colFields count="1">
    <field x="4"/>
  </colFields>
  <colItems count="5">
    <i>
      <x/>
    </i>
    <i>
      <x v="1"/>
    </i>
    <i>
      <x v="2"/>
    </i>
    <i>
      <x v="3"/>
    </i>
    <i>
      <x v="4"/>
    </i>
  </colItems>
  <dataFields count="1">
    <dataField name="Summe von Value" fld="10" baseField="0" baseItem="0" numFmtId="10"/>
  </dataFields>
  <chartFormats count="1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3" count="1" selected="0">
            <x v="0"/>
          </reference>
        </references>
      </pivotArea>
    </chartFormat>
    <chartFormat chart="0" format="6" series="1">
      <pivotArea type="data" outline="0" fieldPosition="0">
        <references count="2">
          <reference field="4294967294" count="1" selected="0">
            <x v="0"/>
          </reference>
          <reference field="3" count="1" selected="0">
            <x v="1"/>
          </reference>
        </references>
      </pivotArea>
    </chartFormat>
    <chartFormat chart="0" format="7" series="1">
      <pivotArea type="data" outline="0" fieldPosition="0">
        <references count="3">
          <reference field="4294967294" count="1" selected="0">
            <x v="0"/>
          </reference>
          <reference field="3" count="1" selected="0">
            <x v="1"/>
          </reference>
          <reference field="4" count="1" selected="0">
            <x v="0"/>
          </reference>
        </references>
      </pivotArea>
    </chartFormat>
    <chartFormat chart="0" format="8" series="1">
      <pivotArea type="data" outline="0" fieldPosition="0">
        <references count="3">
          <reference field="4294967294" count="1" selected="0">
            <x v="0"/>
          </reference>
          <reference field="3" count="1" selected="0">
            <x v="1"/>
          </reference>
          <reference field="4" count="1" selected="0">
            <x v="3"/>
          </reference>
        </references>
      </pivotArea>
    </chartFormat>
    <chartFormat chart="0" format="9" series="1">
      <pivotArea type="data" outline="0" fieldPosition="0">
        <references count="3">
          <reference field="4294967294" count="1" selected="0">
            <x v="0"/>
          </reference>
          <reference field="3" count="1" selected="0">
            <x v="1"/>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16" totalsRowShown="0" headerRowDxfId="214">
  <autoFilter ref="A1:W16" xr:uid="{DA5E02B4-C3D5-4EC6-A468-E6098B9805CF}"/>
  <tableColumns count="23">
    <tableColumn id="13" xr3:uid="{660990D7-F8E8-451E-A19A-9F23873E1903}" name="Complete?" dataDxfId="213" dataCellStyle="Automatisch"/>
    <tableColumn id="1" xr3:uid="{23E8F131-81B2-4705-927A-A42C393BEDCE}" name="ID" dataDxfId="212" dataCellStyle="Automatisch">
      <calculatedColumnFormula>ROW()-1</calculatedColumnFormula>
    </tableColumn>
    <tableColumn id="2" xr3:uid="{D694ED25-71D4-4BD1-B627-FBE0FAE9FC8B}" name="Flow_ID" dataDxfId="211" dataCellStyle="Automatisch">
      <calculatedColumnFormula>"F_"&amp;LEFT(I2,2)&amp;"_"&amp;LEFT(K2,2)</calculatedColumnFormula>
    </tableColumn>
    <tableColumn id="3" xr3:uid="{CA1C6FA9-65CA-47E1-94EA-BBB750256C84}" name="Name(EN)" dataDxfId="210"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09"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08"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07" dataCellStyle="Ausfüllen"/>
    <tableColumn id="15" xr3:uid="{6E0C6841-1496-4DDD-9174-61F6DC51267E}" name="DM?" dataCellStyle="Ausfüllen"/>
    <tableColumn id="16" xr3:uid="{D89EDA50-0A29-4075-BBFF-DF622660740A}" name="CC?" dataCellStyle="Ausfüllen"/>
    <tableColumn id="18" xr3:uid="{AFBC221B-4B6A-49DF-8BB0-8E40EB019E1C}" name="WC" dataDxfId="206" dataCellStyle="Ausfüllen"/>
    <tableColumn id="22" xr3:uid="{ABA27704-56CF-4C30-88CB-BB6E944F7F08}" name="WC_source" dataDxfId="205" dataCellStyle="Ausfüllen"/>
    <tableColumn id="23" xr3:uid="{5CA0D08F-32C9-451C-A223-78F9E163EE87}" name="DM" dataDxfId="204" dataCellStyle="Ausfüllen"/>
    <tableColumn id="19" xr3:uid="{B3649430-F3A4-4F10-84D0-61D5F3B7C06D}" name="DM_source" dataCellStyle="Ausfüllen"/>
    <tableColumn id="20" xr3:uid="{826B197D-7E74-49DB-8367-DD0E48B963C3}" name="CC_DM[%]" dataDxfId="203" dataCellStyle="Ausfüllen"/>
    <tableColumn id="21" xr3:uid="{D903DE25-FD16-43E6-ADC2-67C346513E4D}" name="CC_DM_source" dataCellStyle="Ausfüllen"/>
    <tableColumn id="24" xr3:uid="{97A60092-8CFB-4931-B347-B7F41423089C}" name="CC" dataDxfId="202" dataCellStyle="Ausfüllen"/>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B10" totalsRowShown="0" headerRowDxfId="183">
  <autoFilter ref="A1:AB10" xr:uid="{CEDB6F7C-CFD3-4534-80A6-FB20E3898B22}"/>
  <tableColumns count="28">
    <tableColumn id="39" xr3:uid="{488AB972-9613-4DA9-9600-5BFBE3896251}" name="Complete?" dataDxfId="182" dataCellStyle="Ausfüllen"/>
    <tableColumn id="1" xr3:uid="{A63F92FA-2376-4B5A-A2DF-588878E604E1}" name="ID" dataDxfId="181" dataCellStyle="Automatisch">
      <calculatedColumnFormula>ROW()-1</calculatedColumnFormula>
    </tableColumn>
    <tableColumn id="2" xr3:uid="{6D346BEA-29CA-401C-8ABB-6C62791A731A}" name="Process_ID" dataDxfId="180" dataCellStyle="Automatisch">
      <calculatedColumnFormula>LEFT(B2,2)&amp;"_"&amp;LEFT(D2,3)&amp;"_"&amp;LEFT(E2,3)</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79" dataCellStyle="Ausfüllen"/>
    <tableColumn id="36" xr3:uid="{0AFFEA74-933D-4970-BF8A-28076123C1C8}" name="TC?" dataCellStyle="Ausfüllen"/>
    <tableColumn id="4" xr3:uid="{205F98D5-C655-4D0C-945F-288EE31DD8D8}" name="Dyn_TC?" dataCellStyle="Ausfüllen"/>
    <tableColumn id="37" xr3:uid="{891365CA-9AE8-450C-981B-51AB3AAC0B42}" name="Stock?" dataDxfId="178" dataCellStyle="Ausfüllen"/>
    <tableColumn id="14" xr3:uid="{334FD543-CE98-4427-87D5-A79F68872B3C}" name="Input_Flow_I_1" dataDxfId="177"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76"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127" totalsRowShown="0">
  <autoFilter ref="A1:AK127" xr:uid="{323CB71B-2A7B-4CEF-9473-A7F5A1E6FAAA}"/>
  <tableColumns count="37">
    <tableColumn id="1" xr3:uid="{4E4AA63C-992A-498F-9D6C-B8B8E27D6E01}" name="ID" dataDxfId="201"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00" dataCellStyle="Automatisch">
      <calculatedColumnFormula>_xlfn.XLOOKUP(C2,Tab_Def_Flows[Name(EN)],Tab_Def_Flows[Process_ID_I],,0,)</calculatedColumnFormula>
    </tableColumn>
    <tableColumn id="34" xr3:uid="{1EF5EFE9-B149-4960-A691-8F1B8725DE37}" name="TC?" dataDxfId="199" dataCellStyle="Automatisch">
      <calculatedColumnFormula>_xlfn.XLOOKUP(C2,Tab_Def_Flows[Name(EN)],Tab_Def_Flows[Value_Source],,0,)</calculatedColumnFormula>
    </tableColumn>
    <tableColumn id="30" xr3:uid="{F13B49C3-7111-4C57-A913-01AB03549B56}" name="WC?" dataDxfId="198" dataCellStyle="Automatisch">
      <calculatedColumnFormula>_xlfn.XLOOKUP(C2,Tab_Def_Flows[Name(EN)],Tab_Def_Flows[WC?],,0,)</calculatedColumnFormula>
    </tableColumn>
    <tableColumn id="31" xr3:uid="{24B36152-385D-4D3C-A274-72EA56B6819A}" name="DM?" dataDxfId="197" dataCellStyle="Automatisch">
      <calculatedColumnFormula>_xlfn.XLOOKUP(C2,Tab_Def_Flows[Name(EN)],Tab_Def_Flows[DM?],,0,)</calculatedColumnFormula>
    </tableColumn>
    <tableColumn id="32" xr3:uid="{A086924B-597B-4B7A-B9B2-8397025FD97B}" name="CC?" dataDxfId="196"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95"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94" dataCellStyle="Ausfüllen">
      <calculatedColumnFormula>INDEX(Tab_WC_DM_CC[[Flow_ID]:[CC_source]],MATCH(Tab_Data_Flows[[#This Row],[Name(EN)]],Tab_WC_DM_CC[Name(EN)],0),12)</calculatedColumnFormula>
    </tableColumn>
    <tableColumn id="27" xr3:uid="{0FD99FBB-FEDB-4B73-A541-FB8A676D64E7}" name="Titel_Source" dataDxfId="193"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92" dataCellStyle="Ausfüllen"/>
    <tableColumn id="25" xr3:uid="{94996270-9A62-4B8C-B04B-D56A7F9FDE30}" name="Name_CF" dataDxfId="191" dataCellStyle="Ausfüllen">
      <calculatedColumnFormula>'3_1_Calculation_factors (Wood)'!$A$14</calculatedColumnFormula>
    </tableColumn>
    <tableColumn id="17" xr3:uid="{E761CF85-B508-4386-AFDF-6ABE121824EE}" name="Flow_Py" dataDxfId="190" dataCellStyle="Automatisch"/>
    <tableColumn id="18" xr3:uid="{9637D90E-56CA-40AA-A989-2B3406B7446B}" name="UoM_Flow_Py" dataCellStyle="Ausfüllen"/>
    <tableColumn id="35" xr3:uid="{D533411F-8317-4C7A-82C5-6CC35DCA0045}" name="WC_[%]" dataDxfId="189">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88" dataCellStyle="Automatisch">
      <calculatedColumnFormula>Tab_Data_Flows[[#This Row],[UoM_Flow_Py]]</calculatedColumnFormula>
    </tableColumn>
    <tableColumn id="36" xr3:uid="{B0BEC211-F9B4-42EF-AC89-C039D617733A}" name="DM_[%]" dataDxfId="187">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86" dataCellStyle="Automatisch">
      <calculatedColumnFormula>Tab_Data_Flows[[#This Row],[UoM_Flow_Py]]</calculatedColumnFormula>
    </tableColumn>
    <tableColumn id="37" xr3:uid="{7058A0AA-4684-4D9A-936D-EC68E6F28D3A}" name="CC_[%]" dataDxfId="185">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84" dataCellStyle="Automatisch">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75" headerRowBorderDxfId="174" tableBorderDxfId="173">
  <autoFilter ref="A1:M63" xr:uid="{7602A998-85E6-499A-B1A3-C584F22BB41F}"/>
  <tableColumns count="13">
    <tableColumn id="11" xr3:uid="{E17133D8-BCD0-4262-A9A3-E1A6A3CE59CB}" name="Spalte1" dataDxfId="172" dataCellStyle="Ausfüllen"/>
    <tableColumn id="1" xr3:uid="{AA6B88AC-CE31-4D38-A4D4-836CD0229002}" name="ID" dataDxfId="171" dataCellStyle="Automatisch">
      <calculatedColumnFormula>ROW()-1</calculatedColumnFormula>
    </tableColumn>
    <tableColumn id="13" xr3:uid="{39E45E7F-D8FF-4AC5-AC0A-E69207429159}" name="Data_ID" dataDxfId="170"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U10" totalsRowShown="0" headerRowDxfId="169" headerRowBorderDxfId="168" tableBorderDxfId="167">
  <autoFilter ref="A1:AU10" xr:uid="{7602A998-85E6-499A-B1A3-C584F22BB41F}">
    <filterColumn colId="10">
      <filters>
        <filter val="Yes"/>
      </filters>
    </filterColumn>
  </autoFilter>
  <tableColumns count="47">
    <tableColumn id="33" xr3:uid="{2E42D0C1-7FF5-458C-AABB-EC4821727C76}" name="Spalte1" dataDxfId="166" dataCellStyle="Ausfüllen"/>
    <tableColumn id="1" xr3:uid="{50777A4F-600F-43DA-AECB-19F4017C77C8}" name="ID" dataDxfId="165" dataCellStyle="Automatisch">
      <calculatedColumnFormula>ROW()-1</calculatedColumnFormula>
    </tableColumn>
    <tableColumn id="53" xr3:uid="{461E9AFE-A4B9-41F4-A2C5-D26B0479899D}" name="TC_ID" dataDxfId="164" dataCellStyle="Automatisch">
      <calculatedColumnFormula>"TC"&amp;LEFT(B2,2)&amp;"_"&amp;LEFT(D2,3)&amp;"_"&amp;LEFT(E2,3)</calculatedColumnFormula>
    </tableColumn>
    <tableColumn id="2" xr3:uid="{B009CEDB-A0BA-4BFE-9656-4F45ABD775FF}" name="Process_ID" dataDxfId="163"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62" dataCellStyle="Automatisch">
      <calculatedColumnFormula>_xlfn.XLOOKUP($E2,Tab_Def_Processes[Name(EN)],Tab_Def_Processes[Input_Flow_I_1],,0,)</calculatedColumnFormula>
    </tableColumn>
    <tableColumn id="12" xr3:uid="{90818226-A0A4-4F57-9BA1-6A637D778FA7}" name="Flow_ID_I_1" dataDxfId="161"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60" dataCellStyle="Automatisch">
      <calculatedColumnFormula>_xlfn.XLOOKUP($E2,Tab_Def_Processes[Name(EN)],Tab_Def_Processes[Input_Flow_I_2],,0,)</calculatedColumnFormula>
    </tableColumn>
    <tableColumn id="14" xr3:uid="{79B6519E-CED2-4996-8413-8ED818FBA67B}" name="Flow_ID_I_3" dataDxfId="159"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58" dataCellStyle="Automatisch">
      <calculatedColumnFormula>_xlfn.XLOOKUP($E2,Tab_Def_Processes[Name(EN)],Tab_Def_Processes[Input_Flow_I_3],,0,)</calculatedColumnFormula>
    </tableColumn>
    <tableColumn id="16" xr3:uid="{A81E0966-45DB-4BF2-8519-54AB06D35821}" name="Flow ID I_3" dataDxfId="157"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56" dataCellStyle="Automatisch">
      <calculatedColumnFormula>_xlfn.XLOOKUP($E2,Tab_Def_Processes[Name(EN)],Tab_Def_Processes[Input_Flow_I_4],,0,)</calculatedColumnFormula>
    </tableColumn>
    <tableColumn id="18" xr3:uid="{8462671B-87DF-487F-932D-125BE07DD6C5}" name="Flow ID I_4" dataDxfId="155"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54" dataCellStyle="Automatisch">
      <calculatedColumnFormula>_xlfn.XLOOKUP($E2,Tab_Def_Processes[Name(EN)],Tab_Def_Processes[Input_Flow_I_5],,0,)</calculatedColumnFormula>
    </tableColumn>
    <tableColumn id="20" xr3:uid="{CF2F8133-A62C-4899-B489-92524730DAD8}" name="Flow ID I_5" dataDxfId="153"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52">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51" dataCellStyle="Automatisch">
      <calculatedColumnFormula>_xlfn.XLOOKUP($E2,Tab_Def_Processes[Name(EN)],Tab_Def_Processes[Output_Flow_O_1],,0,)</calculatedColumnFormula>
    </tableColumn>
    <tableColumn id="22" xr3:uid="{858063F1-EC66-43D6-9A80-961AA2AEACA8}" name="Flow_ID_O_1" dataDxfId="150" dataCellStyle="Automatisch">
      <calculatedColumnFormula>_xlfn.XLOOKUP($E2,Tab_Def_Processes[Name(EN)],Tab_Def_Processes[Flow_ID_O_1],,0,)</calculatedColumnFormula>
    </tableColumn>
    <tableColumn id="3" xr3:uid="{63BEB8C0-33D0-467D-AA61-AFE719F176CA}" name="TC_ID_O_1" dataCellStyle="Automatisch">
      <calculatedColumnFormula>"TC"&amp;"_"&amp;RIGHT(AE2,5)</calculatedColumnFormula>
    </tableColumn>
    <tableColumn id="40" xr3:uid="{89332A06-704C-427B-926D-A4F2CD46D116}" name="TC_O_1_[%]" dataDxfId="149"/>
    <tableColumn id="23" xr3:uid="{8F186982-6AEE-48FE-A3E8-23DE9BA9203B}" name="Output_Flow_O_2" dataDxfId="148" dataCellStyle="Automatisch">
      <calculatedColumnFormula>_xlfn.XLOOKUP($E2,Tab_Def_Processes[Name(EN)],Tab_Def_Processes[Output_Flow_O_2],,0,)</calculatedColumnFormula>
    </tableColumn>
    <tableColumn id="24" xr3:uid="{A690522C-9F92-493F-BD4E-C5851A505DC4}" name="Flow_ID_O_2" dataDxfId="147" dataCellStyle="Automatisch">
      <calculatedColumnFormula>_xlfn.XLOOKUP($E2,Tab_Def_Processes[Name(EN)],Tab_Def_Processes[Flow_ID_O_2],,0,)</calculatedColumnFormula>
    </tableColumn>
    <tableColumn id="54" xr3:uid="{BA849848-5D65-4A75-806A-2B78AD9690F7}" name="TC_ID_O_2" dataDxfId="146" dataCellStyle="Automatisch">
      <calculatedColumnFormula>"TC"&amp;"_"&amp;RIGHT(AI2,5)</calculatedColumnFormula>
    </tableColumn>
    <tableColumn id="41" xr3:uid="{BBDD1124-B4C9-48C4-95C4-ED06DAD4697D}" name="TC_O_2_[%]" dataDxfId="145"/>
    <tableColumn id="25" xr3:uid="{46987B53-D7D9-4621-B8D7-B8DC7F6BB65B}" name="Output_Flow_O_3" dataDxfId="144" dataCellStyle="Automatisch">
      <calculatedColumnFormula>_xlfn.XLOOKUP($E2,Tab_Def_Processes[Name(EN)],Tab_Def_Processes[Output_Flow_O_3],,0,)</calculatedColumnFormula>
    </tableColumn>
    <tableColumn id="26" xr3:uid="{B1F55BB4-B5DF-4809-9841-CE667A275BBB}" name="Flow_ID_O_3" dataDxfId="143" dataCellStyle="Automatisch">
      <calculatedColumnFormula>_xlfn.XLOOKUP($E2,Tab_Def_Processes[Name(EN)],Tab_Def_Processes[Flow_ID_O_3],,0,)</calculatedColumnFormula>
    </tableColumn>
    <tableColumn id="56" xr3:uid="{77439361-9107-465F-B6A6-6BDB4E4EEC92}" name="TC_ID_O_3" dataDxfId="142" dataCellStyle="Automatisch">
      <calculatedColumnFormula>"TC"&amp;"_"&amp;RIGHT(AM2,5)</calculatedColumnFormula>
    </tableColumn>
    <tableColumn id="42" xr3:uid="{837386A2-5F76-437C-AB05-32F4D8FD5400}" name="TC_O_3_[%]" dataDxfId="141"/>
    <tableColumn id="32" xr3:uid="{CE273725-6F44-4E0B-BE1F-68D405E37E69}" name="Sum_TC_O" dataDxfId="140">
      <calculatedColumnFormula>SUM(#REF!,#REF!,#REF!,Tab_Process_TCs[[#This Row],[TC_O_3_'[%']]],,Tab_Process_TCs[[#This Row],[TC_O_2_'[%']]],Tab_Process_TCs[[#This Row],[TC_O_1_'[%']]])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10" totalsRowShown="0" headerRowDxfId="139" headerRowBorderDxfId="138" tableBorderDxfId="137">
  <autoFilter ref="A1:X10" xr:uid="{7602A998-85E6-499A-B1A3-C584F22BB41F}"/>
  <tableColumns count="24">
    <tableColumn id="24" xr3:uid="{799CF049-9A74-47E4-BCE6-68EB92DFEDD4}" name="Spalte2" dataDxfId="136" dataCellStyle="Ausfüllen"/>
    <tableColumn id="1" xr3:uid="{75AB9428-C675-46D8-B904-74A952E29611}" name="ID" dataDxfId="135" dataCellStyle="Automatisch">
      <calculatedColumnFormula>ROW()-1</calculatedColumnFormula>
    </tableColumn>
    <tableColumn id="22" xr3:uid="{055CB3E4-C1DF-486D-9F8E-E65039E95278}" name="Stock_ID" dataDxfId="134"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33"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M31" totalsRowShown="0" headerRowDxfId="132" headerRowBorderDxfId="131" tableBorderDxfId="130">
  <autoFilter ref="A1:BM31" xr:uid="{7602A998-85E6-499A-B1A3-C584F22BB41F}"/>
  <sortState xmlns:xlrd2="http://schemas.microsoft.com/office/spreadsheetml/2017/richdata2" ref="A2:BM26">
    <sortCondition ref="J1:J26"/>
  </sortState>
  <tableColumns count="65">
    <tableColumn id="33" xr3:uid="{8D32234C-9537-417C-B55D-065038402726}" name="Spalte1" dataDxfId="129" dataCellStyle="Ausfüllen"/>
    <tableColumn id="1" xr3:uid="{CE7CE076-C32F-4791-85A9-C6321A66E672}" name="ID" dataDxfId="128" dataCellStyle="Automatisch">
      <calculatedColumnFormula>ROW()-1</calculatedColumnFormula>
    </tableColumn>
    <tableColumn id="2" xr3:uid="{F7259AFD-9D16-4ACC-BDB2-8D0DCC203B92}" name="Process_ID" dataDxfId="127" dataCellStyle="Automatisch">
      <calculatedColumnFormula>_xlfn.XLOOKUP($D2,Tab_Process_TCs[Name(EN)],Tab_Process_TCs[Process_ID],,0,)</calculatedColumnFormula>
    </tableColumn>
    <tableColumn id="4" xr3:uid="{D62568B9-C7FB-4148-A9E6-4408BD54F6DD}" name="Name(EN)" dataCellStyle="Ausfüllen"/>
    <tableColumn id="53" xr3:uid="{B30EC7AB-C9CF-48B9-9C18-4DC70FA64675}" name="Output_Flow" dataCellStyle="Ausfüllen">
      <calculatedColumnFormula>"TC"&amp;LEFT(B2,2)&amp;"_"&amp;LEFT(C2,3)&amp;"_"&amp;LEFT(D2,3)&amp;"_"&amp;LEFT(I2,3)&amp;"_"&amp;LEFT(#REF!,3)</calculatedColumnFormula>
    </tableColumn>
    <tableColumn id="70" xr3:uid="{CF9C5752-D3E5-488D-9743-5AD65E5C60A8}" name="TC?" dataCellStyle="Ausfüllen">
      <calculatedColumnFormula>_xlfn.XLOOKUP($D2,Tab_Process_TCs[Name(EN)],Tab_Process_TCs[TC?],,0,)</calculatedColumnFormula>
    </tableColumn>
    <tableColumn id="71" xr3:uid="{1A915599-95E7-42ED-96FF-6B72A882182B}" name="DynTC?" dataCellStyle="Ausfüllen"/>
    <tableColumn id="58" xr3:uid="{30CA6363-44CF-47BB-852F-FC99B7871DBF}" name="Flow_ID" dataCellStyle="Automatisch"/>
    <tableColumn id="47" xr3:uid="{216BDA3B-897B-4778-B689-9FC4086F4AC2}" name="TC_ID" dataCellStyle="Ausfüllen">
      <calculatedColumnFormula>IF(Tab_Process_TCs2527[[#This Row],[Name(EN)]]="N.A.","N.A.","TC"&amp;"_"&amp;RIGHT(H2,5))</calculatedColumnFormula>
    </tableColumn>
    <tableColumn id="69" xr3:uid="{ACF35715-C21D-4626-9A0E-30F39A47E107}" name="Year" dataCellStyle="Ausfüllen"/>
    <tableColumn id="55" xr3:uid="{E5F42C86-08B1-49A0-B8F6-EC11540860E2}" name="Value" dataDxfId="126" dataCellStyle="Ausfüllen"/>
    <tableColumn id="10" xr3:uid="{A51082C1-2C3C-4396-B9E6-3C46640E6FC8}" name="Stock?" dataCellStyle="Ausfüllen">
      <calculatedColumnFormula>_xlfn.XLOOKUP($D2,Tab_Def_Processes[Name(EN)],Tab_Def_Processes[Stock?],,0,)</calculatedColumnFormula>
    </tableColumn>
    <tableColumn id="57" xr3:uid="{D3D78B03-02F6-42CA-BD33-6A54DF04FE86}" name="Column1" dataCellStyle="Automatisch"/>
    <tableColumn id="11" xr3:uid="{D4C9F650-44B6-4DD5-875E-10DEE39F6D03}" name="Input_Flow_I_1" dataDxfId="125" dataCellStyle="Automatisch">
      <calculatedColumnFormula>_xlfn.XLOOKUP($D2,Tab_Def_Processes[Name(EN)],Tab_Def_Processes[Input_Flow_I_1],,0,)</calculatedColumnFormula>
    </tableColumn>
    <tableColumn id="12" xr3:uid="{5D9673E4-4F5C-4A02-8FE3-DAF7E360A271}" name="Flow_ID_I_1" dataDxfId="124" dataCellStyle="Automatisch">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123" dataCellStyle="Automatisch">
      <calculatedColumnFormula>_xlfn.XLOOKUP($D2,Tab_Def_Processes[Name(EN)],Tab_Def_Processes[Input_Flow_I_2],,0,)</calculatedColumnFormula>
    </tableColumn>
    <tableColumn id="14" xr3:uid="{39DCAF4C-C94E-4F6B-9473-486EB368D1A4}" name="Flow_ID_I_3" dataDxfId="122" dataCellStyle="Automatisch">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121" dataCellStyle="Automatisch">
      <calculatedColumnFormula>_xlfn.XLOOKUP($D2,Tab_Def_Processes[Name(EN)],Tab_Def_Processes[Input_Flow_I_3],,0,)</calculatedColumnFormula>
    </tableColumn>
    <tableColumn id="16" xr3:uid="{59EB2AB7-4406-48E2-A12E-175CA457D434}" name="Flow ID I_3" dataDxfId="120" dataCellStyle="Automatisch">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119" dataCellStyle="Automatisch">
      <calculatedColumnFormula>_xlfn.XLOOKUP($D2,Tab_Def_Processes[Name(EN)],Tab_Def_Processes[Input_Flow_I_4],,0,)</calculatedColumnFormula>
    </tableColumn>
    <tableColumn id="18" xr3:uid="{6B6A8FB7-CFFD-4E02-B4C2-DA33227D2D15}" name="Flow ID I_4" dataDxfId="118" dataCellStyle="Automatisch">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117" dataCellStyle="Automatisch">
      <calculatedColumnFormula>_xlfn.XLOOKUP($D2,Tab_Def_Processes[Name(EN)],Tab_Def_Processes[Input_Flow_I_5],,0,)</calculatedColumnFormula>
    </tableColumn>
    <tableColumn id="20" xr3:uid="{4DEF4D28-396A-452E-A2BA-F6E3F074F47C}" name="Flow ID I_5" dataDxfId="116" dataCellStyle="Automatisch">
      <calculatedColumnFormula>_xlfn.XLOOKUP($D2,Tab_Def_Processes[Name(EN)],Tab_Def_Processes[Flow_ID_I_5],,0,)</calculatedColumnFormula>
    </tableColumn>
    <tableColumn id="39" xr3:uid="{31A505D2-1052-4114-89A3-0125D2AEA2C0}" name="Flow_TC_I_5_[%]"/>
    <tableColumn id="34" xr3:uid="{87220065-CDDC-4D7C-BE11-D9EA0B3FF3E5}" name="Sum_TC_I" dataDxfId="115">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114" dataCellStyle="Automatisch">
      <calculatedColumnFormula>_xlfn.XLOOKUP($D2,Tab_Process_TCs[TC_ID],Tab_Process_TCs[Output_Flow_O_1],,0,)</calculatedColumnFormula>
    </tableColumn>
    <tableColumn id="22" xr3:uid="{B381C1D4-C8F7-4BE4-A024-4BBD1B417D36}" name="Flow_ID_O_1" dataDxfId="113" dataCellStyle="Automatisch">
      <calculatedColumnFormula>_xlfn.XLOOKUP($D2,Tab_Process_TCs[TC_ID],Tab_Process_TCs[Flow_ID_O_1],,0,)</calculatedColumnFormula>
    </tableColumn>
    <tableColumn id="63" xr3:uid="{C44CA027-9688-45B0-88EB-F14F3A7BECB8}" name="TC_ID_O_1_Year" dataDxfId="112" dataCellStyle="Automatisch">
      <calculatedColumnFormula>Tab_Process_TCs2527[[#This Row],[Flow_ID]]</calculatedColumnFormula>
    </tableColumn>
    <tableColumn id="3" xr3:uid="{3B3FB01E-22BA-4965-98E0-7B9A1A2A428E}" name="TC_ID_O_1" dataCellStyle="Automatisch">
      <calculatedColumnFormula>"TC"&amp;"_"&amp;RIGHT(AE2,5)</calculatedColumnFormula>
    </tableColumn>
    <tableColumn id="40" xr3:uid="{D214AA34-C258-4A64-8059-AA5D7BA9EDB4}" name="TC_O_1_[%]" dataDxfId="111"/>
    <tableColumn id="23" xr3:uid="{B25FB2F6-238F-410A-AF2E-782A213D011A}" name="Output_Flow_O_2" dataDxfId="110" dataCellStyle="Automatisch">
      <calculatedColumnFormula>_xlfn.XLOOKUP($D2,Tab_Process_TCs[TC_ID],Tab_Process_TCs[Output_Flow_O_2],,0,)</calculatedColumnFormula>
    </tableColumn>
    <tableColumn id="24" xr3:uid="{97798FE5-868B-45C0-AE3B-C29AF4C86E8E}" name="Flow_ID_O_2" dataDxfId="109" dataCellStyle="Automatisch">
      <calculatedColumnFormula>_xlfn.XLOOKUP($D2,Tab_Process_TCs[TC_ID],Tab_Process_TCs[Flow_ID_O_2],,0,)</calculatedColumnFormula>
    </tableColumn>
    <tableColumn id="64" xr3:uid="{3679F173-262B-4D42-9125-71B27049FF31}" name="TC_ID_O_2_Year" dataDxfId="108" dataCellStyle="Automatisch">
      <calculatedColumnFormula>Tab_Process_TCs2527[[#This Row],[Flow_ID]]</calculatedColumnFormula>
    </tableColumn>
    <tableColumn id="54" xr3:uid="{59052527-1CA5-4A17-978F-E10A4CF13AAE}" name="TC_ID_O_2" dataDxfId="107" dataCellStyle="Automatisch">
      <calculatedColumnFormula>"TC"&amp;"_"&amp;RIGHT(AJ2,5)</calculatedColumnFormula>
    </tableColumn>
    <tableColumn id="41" xr3:uid="{7F915D49-034F-4E82-9BAA-B8ED5CA4F335}" name="TC_O_2_[%]" dataDxfId="106"/>
    <tableColumn id="25" xr3:uid="{5714904F-F57E-48CA-BFAA-826C1CEFD309}" name="Output_Flow_O_3" dataDxfId="105" dataCellStyle="Automatisch">
      <calculatedColumnFormula>_xlfn.XLOOKUP($D2,Tab_Process_TCs[TC_ID],Tab_Process_TCs[Output_Flow_O_3],,0,)</calculatedColumnFormula>
    </tableColumn>
    <tableColumn id="26" xr3:uid="{BF841E8C-9EB2-40B0-BD1F-8C768DE188AD}" name="Flow_ID_O_3" dataDxfId="104" dataCellStyle="Automatisch">
      <calculatedColumnFormula>_xlfn.XLOOKUP($D2,Tab_Process_TCs[TC_ID],Tab_Process_TCs[Flow_ID_O_3],,0,)</calculatedColumnFormula>
    </tableColumn>
    <tableColumn id="65" xr3:uid="{40F24D12-78F3-4E2A-85F5-F634958096FD}" name="TC_ID_O_3_Year" dataDxfId="103" dataCellStyle="Automatisch">
      <calculatedColumnFormula>Tab_Process_TCs2527[[#This Row],[Flow_ID]]</calculatedColumnFormula>
    </tableColumn>
    <tableColumn id="42" xr3:uid="{231A0501-9932-43B0-A3F9-EB8BB036203D}" name="TC_ID_O_3" dataDxfId="102" dataCellStyle="Automatisch">
      <calculatedColumnFormula>"TC"&amp;"_"&amp;RIGHT(AO2,5)</calculatedColumnFormula>
    </tableColumn>
    <tableColumn id="27" xr3:uid="{25A11679-9BF9-4DEC-B798-B8A275D3B8AC}" name="TC_O_3_[%]" dataDxfId="101"/>
    <tableColumn id="28" xr3:uid="{67E45B1E-4E5D-4D83-A664-45983FD6F9D1}" name="Output_Flow_O_4" dataDxfId="100" dataCellStyle="Automatisch">
      <calculatedColumnFormula>_xlfn.XLOOKUP($D2,Tab_Process_TCs[TC_ID],#REF!,,0,)</calculatedColumnFormula>
    </tableColumn>
    <tableColumn id="43" xr3:uid="{C5680328-8545-431B-B943-966088B5B85B}" name="Flow_ID_O_4" dataDxfId="99" dataCellStyle="Automatisch">
      <calculatedColumnFormula>_xlfn.XLOOKUP($D2,Tab_Process_TCs[TC_ID],#REF!,,0,)</calculatedColumnFormula>
    </tableColumn>
    <tableColumn id="66" xr3:uid="{3C939FEA-060E-42BF-AC8F-37677818A9F4}" name="TC_ID_O_4_Year" dataDxfId="98" dataCellStyle="Automatisch">
      <calculatedColumnFormula>Tab_Process_TCs2527[[#This Row],[Flow_ID]]</calculatedColumnFormula>
    </tableColumn>
    <tableColumn id="29" xr3:uid="{5B8610D8-109C-4CC7-9DE9-5EF61CC39BD7}" name="TC_ID_O_4" dataDxfId="97" dataCellStyle="Automatisch">
      <calculatedColumnFormula>"TC"&amp;"_"&amp;RIGHT(AO2,5)</calculatedColumnFormula>
    </tableColumn>
    <tableColumn id="30" xr3:uid="{8DFBA5BB-ECEC-455D-9C69-3FF71622F2AC}" name="TC_O_4_[%]" dataDxfId="96"/>
    <tableColumn id="44" xr3:uid="{5785B5EE-01FF-44CB-9D74-9D2780652646}" name="Output_Flow_O_5" dataDxfId="95" dataCellStyle="Automatisch">
      <calculatedColumnFormula>_xlfn.XLOOKUP($D2,Tab_Process_TCs[TC_ID],#REF!,,0,)</calculatedColumnFormula>
    </tableColumn>
    <tableColumn id="31" xr3:uid="{54C02504-99D3-419C-9253-1DA532111E60}" name="Flow_ID_O_5" dataDxfId="94" dataCellStyle="Automatisch">
      <calculatedColumnFormula>_xlfn.XLOOKUP($D2,Tab_Process_TCs[TC_ID],#REF!,,0,)</calculatedColumnFormula>
    </tableColumn>
    <tableColumn id="67" xr3:uid="{770D2E29-F077-423A-9DDE-B86470FADA38}" name="TC_ID_O_5_Year" dataDxfId="93" dataCellStyle="Automatisch">
      <calculatedColumnFormula>Tab_Process_TCs2527[[#This Row],[Flow_ID]]</calculatedColumnFormula>
    </tableColumn>
    <tableColumn id="46" xr3:uid="{CBB535D2-9A64-4C2F-AF19-4CF0A79C6798}" name="TC_ID_O_5" dataDxfId="92" dataCellStyle="Automatisch">
      <calculatedColumnFormula>"TC"&amp;"_"&amp;RIGHT(AY2,5)</calculatedColumnFormula>
    </tableColumn>
    <tableColumn id="45" xr3:uid="{43E42E8C-202D-4522-9E50-CB3B80F8EE29}" name="TC O_5_[%]" dataDxfId="91"/>
    <tableColumn id="32" xr3:uid="{FD3810B5-3F37-4777-8ACB-D2CAAFA5C5EB}" name="Output_Flow_O_6" dataDxfId="90" dataCellStyle="Automatisch">
      <calculatedColumnFormula>_xlfn.XLOOKUP($D2,Tab_Process_TCs[TC_ID],#REF!,,0,)</calculatedColumnFormula>
    </tableColumn>
    <tableColumn id="48" xr3:uid="{EF811571-9CC9-41DC-BFA4-320CD8D9C0C6}" name="Flow_ID_O_6" dataDxfId="89" dataCellStyle="Automatisch">
      <calculatedColumnFormula>_xlfn.XLOOKUP($D2,Tab_Process_TCs[TC_ID],#REF!,,0,)</calculatedColumnFormula>
    </tableColumn>
    <tableColumn id="68" xr3:uid="{47AAC068-4EF3-4C98-9280-D2A7307C37EC}" name="TC_ID_O_6_Year" dataCellStyle="Automatisch">
      <calculatedColumnFormula>Tab_Process_TCs2527[[#This Row],[Flow_ID]]</calculatedColumnFormula>
    </tableColumn>
    <tableColumn id="49" xr3:uid="{EB015B2A-5436-4495-BE61-64D7E453F18D}" name="TC_ID_O_6" dataDxfId="88" dataCellStyle="Automatisch">
      <calculatedColumnFormula>"TC"&amp;"_"&amp;RIGHT(BD2,5)</calculatedColumnFormula>
    </tableColumn>
    <tableColumn id="50" xr3:uid="{5AF5E9BC-3B3E-4244-A22E-AC3284E0E97C}" name="TC O_6_[%]" dataDxfId="87"/>
    <tableColumn id="51" xr3:uid="{B76A3DEE-BBAC-4CE1-BE1D-2941B928DB78}" name="Sum_TC_O" dataDxfId="86">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dataCellStyle="Ausfüllen"/>
    <tableColumn id="56" xr3:uid="{8A9A92CB-143A-4805-9B5B-6D25EEEC49C2}" name="Year publication" dataCellStyle="Ausfüllen"/>
    <tableColumn id="59" xr3:uid="{A857CB38-C9EE-481E-A97C-5F2071751D5E}" name="Author" dataCellStyle="Ausfüllen"/>
    <tableColumn id="60" xr3:uid="{7465FD7F-6423-401D-AF4C-BCEC14683B6D}" name="Type of the Study" dataCellStyle="Ausfüllen"/>
    <tableColumn id="61" xr3:uid="{BCB5EC77-CA8B-477E-B43F-230AA651D082}" name="URL" dataCellStyle="Ausfülle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85" totalsRowDxfId="84"/>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3"/>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2"/>
    <tableColumn id="3" xr3:uid="{07EB5A7F-8E53-4B91-8FFE-03ADCC7BBCF0}" name="Spalte1"/>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1"/>
    <tableColumn id="2" xr3:uid="{125253E5-1E3C-43B9-807B-7FEAC0D1326B}" name="Waste fraction" totalsRowDxfId="80">
      <calculatedColumnFormula>_xlfn.TRANSLATE(B42,"DE","EN")</calculatedColumnFormula>
    </tableColumn>
    <tableColumn id="3" xr3:uid="{2608A7DF-F112-4041-A198-C9942CFF9C38}" name="Massenanteil" totalsRowFunction="sum" dataDxfId="79" totalsRowDxfId="78"/>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77" headerRowBorderDxfId="76" tableBorderDxfId="75">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74" headerRowBorderDxfId="73" tableBorderDxfId="72">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10.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D19" sqref="D19"/>
    </sheetView>
  </sheetViews>
  <sheetFormatPr baseColWidth="10" defaultColWidth="9.109375" defaultRowHeight="14.4" x14ac:dyDescent="0.3"/>
  <sheetData>
    <row r="2" spans="2:20" x14ac:dyDescent="0.3">
      <c r="B2" t="s">
        <v>0</v>
      </c>
    </row>
    <row r="4" spans="2:20" x14ac:dyDescent="0.3">
      <c r="B4" t="s">
        <v>1</v>
      </c>
    </row>
    <row r="6" spans="2:20" x14ac:dyDescent="0.3">
      <c r="B6" t="s">
        <v>2</v>
      </c>
      <c r="T6" cm="1">
        <f t="array" ref="T6:T31">_xlfn.SEQUENCE(I7-H7+1,1,H7,1)</f>
        <v>2025</v>
      </c>
    </row>
    <row r="7" spans="2:20" x14ac:dyDescent="0.3">
      <c r="C7" t="s">
        <v>3</v>
      </c>
      <c r="F7" t="s">
        <v>4</v>
      </c>
      <c r="H7">
        <v>2025</v>
      </c>
      <c r="I7">
        <v>2050</v>
      </c>
      <c r="T7">
        <v>2026</v>
      </c>
    </row>
    <row r="8" spans="2:20" x14ac:dyDescent="0.3">
      <c r="C8" t="s">
        <v>5</v>
      </c>
      <c r="F8" t="s">
        <v>6</v>
      </c>
      <c r="T8">
        <v>2027</v>
      </c>
    </row>
    <row r="9" spans="2:20" x14ac:dyDescent="0.3">
      <c r="F9" t="s">
        <v>7</v>
      </c>
      <c r="T9">
        <v>2028</v>
      </c>
    </row>
    <row r="10" spans="2:20" x14ac:dyDescent="0.3">
      <c r="T10">
        <v>2029</v>
      </c>
    </row>
    <row r="11" spans="2:20" x14ac:dyDescent="0.3">
      <c r="T11">
        <v>2030</v>
      </c>
    </row>
    <row r="12" spans="2:20" x14ac:dyDescent="0.3">
      <c r="B12" s="260" t="s">
        <v>8</v>
      </c>
      <c r="C12" s="260"/>
      <c r="D12" s="260"/>
      <c r="E12" s="260"/>
      <c r="F12" s="260"/>
      <c r="G12" s="260"/>
      <c r="H12" s="260"/>
      <c r="I12" s="260"/>
      <c r="J12" s="260"/>
      <c r="K12" s="260"/>
      <c r="L12" s="260"/>
      <c r="M12" s="260"/>
      <c r="T12">
        <v>2031</v>
      </c>
    </row>
    <row r="13" spans="2:20" x14ac:dyDescent="0.3">
      <c r="B13" s="260"/>
      <c r="C13" s="260"/>
      <c r="D13" s="260"/>
      <c r="E13" s="260"/>
      <c r="F13" s="260"/>
      <c r="G13" s="260"/>
      <c r="H13" s="260"/>
      <c r="I13" s="260"/>
      <c r="J13" s="260"/>
      <c r="K13" s="260"/>
      <c r="L13" s="260"/>
      <c r="M13" s="260"/>
      <c r="T13">
        <v>2032</v>
      </c>
    </row>
    <row r="14" spans="2:20" x14ac:dyDescent="0.3">
      <c r="B14" s="260"/>
      <c r="C14" s="260"/>
      <c r="D14" s="260"/>
      <c r="E14" s="260"/>
      <c r="F14" s="260"/>
      <c r="G14" s="260"/>
      <c r="H14" s="260"/>
      <c r="I14" s="260"/>
      <c r="J14" s="260"/>
      <c r="K14" s="260"/>
      <c r="L14" s="260"/>
      <c r="M14" s="260"/>
      <c r="T14">
        <v>2033</v>
      </c>
    </row>
    <row r="15" spans="2:20" x14ac:dyDescent="0.3">
      <c r="B15" s="261" t="s">
        <v>9</v>
      </c>
      <c r="C15" s="261"/>
      <c r="D15" s="261"/>
      <c r="E15" s="261"/>
      <c r="F15" s="261"/>
      <c r="G15" s="261"/>
      <c r="H15" s="261"/>
      <c r="I15" s="261"/>
      <c r="J15" s="261"/>
      <c r="K15" s="261"/>
      <c r="L15" s="261"/>
      <c r="T15">
        <v>2034</v>
      </c>
    </row>
    <row r="16" spans="2:20" x14ac:dyDescent="0.3">
      <c r="B16" s="261"/>
      <c r="C16" s="261"/>
      <c r="D16" s="261"/>
      <c r="E16" s="261"/>
      <c r="F16" s="261"/>
      <c r="G16" s="261"/>
      <c r="H16" s="261"/>
      <c r="I16" s="261"/>
      <c r="J16" s="261"/>
      <c r="K16" s="261"/>
      <c r="L16" s="261"/>
      <c r="T16">
        <v>2035</v>
      </c>
    </row>
    <row r="17" spans="2:20" x14ac:dyDescent="0.3">
      <c r="B17" s="261"/>
      <c r="C17" s="261"/>
      <c r="D17" s="261"/>
      <c r="E17" s="261"/>
      <c r="F17" s="261"/>
      <c r="G17" s="261"/>
      <c r="H17" s="261"/>
      <c r="I17" s="261"/>
      <c r="J17" s="261"/>
      <c r="K17" s="261"/>
      <c r="L17" s="261"/>
      <c r="T17">
        <v>2036</v>
      </c>
    </row>
    <row r="18" spans="2:20" x14ac:dyDescent="0.3">
      <c r="B18" s="261"/>
      <c r="C18" s="261"/>
      <c r="D18" s="261"/>
      <c r="E18" s="261"/>
      <c r="F18" s="261"/>
      <c r="G18" s="261"/>
      <c r="H18" s="261"/>
      <c r="I18" s="261"/>
      <c r="J18" s="261"/>
      <c r="K18" s="261"/>
      <c r="L18" s="261"/>
      <c r="T18">
        <v>2037</v>
      </c>
    </row>
    <row r="19" spans="2:20" x14ac:dyDescent="0.3">
      <c r="T19">
        <v>2038</v>
      </c>
    </row>
    <row r="20" spans="2:20" x14ac:dyDescent="0.3">
      <c r="T20">
        <v>2039</v>
      </c>
    </row>
    <row r="21" spans="2:20" x14ac:dyDescent="0.3">
      <c r="T21">
        <v>2040</v>
      </c>
    </row>
    <row r="22" spans="2:20" x14ac:dyDescent="0.3">
      <c r="B22" t="s">
        <v>10</v>
      </c>
      <c r="T22">
        <v>2041</v>
      </c>
    </row>
    <row r="23" spans="2:20" x14ac:dyDescent="0.3">
      <c r="T23">
        <v>2042</v>
      </c>
    </row>
    <row r="24" spans="2:20" x14ac:dyDescent="0.3">
      <c r="C24" t="s">
        <v>11</v>
      </c>
      <c r="T24">
        <v>2043</v>
      </c>
    </row>
    <row r="25" spans="2:20" x14ac:dyDescent="0.3">
      <c r="T25">
        <v>2044</v>
      </c>
    </row>
    <row r="26" spans="2:20" x14ac:dyDescent="0.3">
      <c r="T26">
        <v>2045</v>
      </c>
    </row>
    <row r="27" spans="2:20" x14ac:dyDescent="0.3">
      <c r="T27">
        <v>2046</v>
      </c>
    </row>
    <row r="28" spans="2:20" x14ac:dyDescent="0.3">
      <c r="T28">
        <v>2047</v>
      </c>
    </row>
    <row r="29" spans="2:20" x14ac:dyDescent="0.3">
      <c r="T29">
        <v>2048</v>
      </c>
    </row>
    <row r="30" spans="2:20" x14ac:dyDescent="0.3">
      <c r="T30">
        <v>2049</v>
      </c>
    </row>
    <row r="31" spans="2:20" x14ac:dyDescent="0.3">
      <c r="T31">
        <v>2050</v>
      </c>
    </row>
    <row r="33" spans="2:3" x14ac:dyDescent="0.3">
      <c r="B33" t="s">
        <v>12</v>
      </c>
    </row>
    <row r="34" spans="2:3" x14ac:dyDescent="0.3">
      <c r="B34" t="s">
        <v>13</v>
      </c>
    </row>
    <row r="35" spans="2:3" x14ac:dyDescent="0.3">
      <c r="B35" t="s">
        <v>14</v>
      </c>
    </row>
    <row r="36" spans="2:3" x14ac:dyDescent="0.3">
      <c r="B36" t="s">
        <v>15</v>
      </c>
    </row>
    <row r="37" spans="2:3" x14ac:dyDescent="0.3">
      <c r="B37" t="s">
        <v>16</v>
      </c>
    </row>
    <row r="40" spans="2:3" x14ac:dyDescent="0.3">
      <c r="B40" t="s">
        <v>17</v>
      </c>
      <c r="C40" t="s">
        <v>18</v>
      </c>
    </row>
    <row r="41" spans="2:3" x14ac:dyDescent="0.3">
      <c r="C41" t="s">
        <v>19</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16"/>
  <sheetViews>
    <sheetView topLeftCell="K1" zoomScaleNormal="100" workbookViewId="0">
      <selection activeCell="D9" sqref="D9"/>
    </sheetView>
  </sheetViews>
  <sheetFormatPr baseColWidth="10" defaultColWidth="10.77734375" defaultRowHeight="14.4" x14ac:dyDescent="0.3"/>
  <cols>
    <col min="1" max="1" width="14.44140625" customWidth="1"/>
    <col min="2" max="2" width="5.44140625" style="102" customWidth="1"/>
    <col min="3" max="3" width="10.77734375" customWidth="1"/>
    <col min="4" max="4" width="17.44140625" customWidth="1"/>
    <col min="5" max="6" width="16.44140625" hidden="1" customWidth="1"/>
    <col min="7" max="7" width="40.109375" hidden="1" customWidth="1"/>
    <col min="8" max="8" width="22.44140625" customWidth="1"/>
    <col min="9" max="9" width="32.44140625" customWidth="1"/>
    <col min="10" max="10" width="23.109375" customWidth="1"/>
    <col min="11" max="12" width="20.44140625" customWidth="1"/>
    <col min="20" max="21" width="15.44140625" customWidth="1"/>
    <col min="22" max="22" width="13" customWidth="1"/>
    <col min="23" max="23" width="15.44140625" customWidth="1"/>
  </cols>
  <sheetData>
    <row r="1" spans="1:23" x14ac:dyDescent="0.3">
      <c r="A1" s="47" t="s">
        <v>20</v>
      </c>
      <c r="B1" s="111" t="s">
        <v>21</v>
      </c>
      <c r="C1" t="s">
        <v>22</v>
      </c>
      <c r="D1" t="s">
        <v>23</v>
      </c>
      <c r="E1" t="s">
        <v>24</v>
      </c>
      <c r="F1" t="s">
        <v>25</v>
      </c>
      <c r="G1" t="s">
        <v>26</v>
      </c>
      <c r="H1" s="24" t="s">
        <v>27</v>
      </c>
      <c r="I1" s="25" t="s">
        <v>28</v>
      </c>
      <c r="J1" s="25" t="s">
        <v>29</v>
      </c>
      <c r="K1" s="31" t="s">
        <v>30</v>
      </c>
      <c r="L1" s="25" t="s">
        <v>31</v>
      </c>
      <c r="M1" s="24" t="s">
        <v>32</v>
      </c>
      <c r="N1" s="25" t="s">
        <v>33</v>
      </c>
      <c r="O1" s="31" t="s">
        <v>34</v>
      </c>
      <c r="P1" s="242" t="s">
        <v>35</v>
      </c>
      <c r="Q1" s="243" t="s">
        <v>36</v>
      </c>
      <c r="R1" s="244" t="s">
        <v>37</v>
      </c>
      <c r="S1" s="243" t="s">
        <v>38</v>
      </c>
      <c r="T1" s="242" t="s">
        <v>39</v>
      </c>
      <c r="U1" s="243" t="s">
        <v>40</v>
      </c>
      <c r="V1" s="242" t="s">
        <v>41</v>
      </c>
      <c r="W1" s="243" t="s">
        <v>42</v>
      </c>
    </row>
    <row r="2" spans="1:23" x14ac:dyDescent="0.3">
      <c r="A2" s="81" t="b">
        <v>1</v>
      </c>
      <c r="B2" s="99" t="s">
        <v>513</v>
      </c>
      <c r="C2" s="48" t="str">
        <f t="shared" ref="C2:C15" si="0">"F_"&amp;LEFT(I2,2)&amp;"_"&amp;LEFT(K2,2)</f>
        <v>F_00_01</v>
      </c>
      <c r="D2" s="50" t="s">
        <v>107</v>
      </c>
      <c r="E2" s="80"/>
      <c r="F2" s="80"/>
      <c r="G2" s="80"/>
      <c r="H2" s="83" t="s">
        <v>104</v>
      </c>
      <c r="I2" s="48" t="str">
        <f>_xlfn.XLOOKUP(H2,Tab_Def_Processes[Name(EN)],Tab_Def_Processes[Process_ID],,0,)</f>
        <v>00_Bio_</v>
      </c>
      <c r="J2" s="50" t="s">
        <v>103</v>
      </c>
      <c r="K2" s="58" t="str">
        <f>_xlfn.XLOOKUP(J2,Tab_Def_Processes[Name(EN)],Tab_Def_Processes[Process_ID],,0,)</f>
        <v>01_Raw_</v>
      </c>
      <c r="L2" s="50"/>
      <c r="M2" s="83" t="s">
        <v>44</v>
      </c>
      <c r="N2" s="50" t="s">
        <v>44</v>
      </c>
      <c r="O2" s="85" t="s">
        <v>44</v>
      </c>
      <c r="P2" s="238">
        <v>0</v>
      </c>
      <c r="Q2" s="112" t="s">
        <v>45</v>
      </c>
      <c r="R2" s="238">
        <v>1</v>
      </c>
      <c r="S2" s="112" t="s">
        <v>45</v>
      </c>
      <c r="T2" s="238">
        <v>0.5</v>
      </c>
      <c r="U2" s="112" t="s">
        <v>45</v>
      </c>
      <c r="V2" s="238">
        <f>Tab_Def_Flows[[#This Row],[CC_DM'[%']]]*Tab_Def_Flows[[#This Row],[DM]]</f>
        <v>0.5</v>
      </c>
      <c r="W2" s="50" t="s">
        <v>46</v>
      </c>
    </row>
    <row r="3" spans="1:23" x14ac:dyDescent="0.3">
      <c r="A3" s="81" t="b">
        <v>1</v>
      </c>
      <c r="B3" s="99" t="s">
        <v>514</v>
      </c>
      <c r="C3" s="48" t="str">
        <f t="shared" si="0"/>
        <v>F_01_02</v>
      </c>
      <c r="D3" s="50" t="s">
        <v>507</v>
      </c>
      <c r="E3" s="80"/>
      <c r="F3" s="80"/>
      <c r="G3" s="80"/>
      <c r="H3" s="83" t="s">
        <v>103</v>
      </c>
      <c r="I3" s="48" t="str">
        <f>_xlfn.XLOOKUP(H3,Tab_Def_Processes[Name(EN)],Tab_Def_Processes[Process_ID],,0,)</f>
        <v>01_Raw_</v>
      </c>
      <c r="J3" s="50" t="s">
        <v>108</v>
      </c>
      <c r="K3" s="58" t="str">
        <f>_xlfn.XLOOKUP(J3,Tab_Def_Processes[Name(EN)],Tab_Def_Processes[Process_ID],,0,)</f>
        <v>02_Pro_</v>
      </c>
      <c r="L3" s="50"/>
      <c r="M3" s="83" t="s">
        <v>44</v>
      </c>
      <c r="N3" s="50" t="s">
        <v>44</v>
      </c>
      <c r="O3" s="85" t="s">
        <v>44</v>
      </c>
      <c r="P3" s="238">
        <v>0</v>
      </c>
      <c r="Q3" s="112" t="s">
        <v>45</v>
      </c>
      <c r="R3" s="238">
        <v>1</v>
      </c>
      <c r="S3" s="112" t="s">
        <v>45</v>
      </c>
      <c r="T3" s="238">
        <v>0.5</v>
      </c>
      <c r="U3" s="112" t="s">
        <v>45</v>
      </c>
      <c r="V3" s="238">
        <f>Tab_Def_Flows[[#This Row],[CC_DM'[%']]]*Tab_Def_Flows[[#This Row],[DM]]</f>
        <v>0.5</v>
      </c>
      <c r="W3" s="50" t="s">
        <v>46</v>
      </c>
    </row>
    <row r="4" spans="1:23" x14ac:dyDescent="0.3">
      <c r="A4" s="81" t="b">
        <v>1</v>
      </c>
      <c r="B4" s="99" t="s">
        <v>515</v>
      </c>
      <c r="C4" s="48" t="str">
        <f>"F_"&amp;LEFT(I4,2)&amp;"_"&amp;LEFT(K4,2)</f>
        <v>F_01_00</v>
      </c>
      <c r="D4" s="50" t="s">
        <v>523</v>
      </c>
      <c r="E4" s="80"/>
      <c r="F4" s="80"/>
      <c r="G4" s="80"/>
      <c r="H4" s="83" t="s">
        <v>103</v>
      </c>
      <c r="I4" s="48" t="str">
        <f>_xlfn.XLOOKUP(H4,Tab_Def_Processes[Name(EN)],Tab_Def_Processes[Process_ID],,0,)</f>
        <v>01_Raw_</v>
      </c>
      <c r="J4" s="50" t="s">
        <v>104</v>
      </c>
      <c r="K4" s="58" t="str">
        <f>_xlfn.XLOOKUP(J4,Tab_Def_Processes[Name(EN)],Tab_Def_Processes[Process_ID],,0,)</f>
        <v>00_Bio_</v>
      </c>
      <c r="L4" s="50"/>
      <c r="M4" s="83" t="s">
        <v>44</v>
      </c>
      <c r="N4" s="50" t="s">
        <v>44</v>
      </c>
      <c r="O4" s="85" t="s">
        <v>44</v>
      </c>
      <c r="P4" s="238">
        <v>0</v>
      </c>
      <c r="Q4" s="50" t="s">
        <v>45</v>
      </c>
      <c r="R4" s="238">
        <v>1</v>
      </c>
      <c r="S4" s="50" t="s">
        <v>45</v>
      </c>
      <c r="T4" s="238">
        <v>0.5</v>
      </c>
      <c r="U4" s="50" t="s">
        <v>45</v>
      </c>
      <c r="V4" s="238">
        <v>0.5</v>
      </c>
      <c r="W4" s="50" t="s">
        <v>46</v>
      </c>
    </row>
    <row r="5" spans="1:23" x14ac:dyDescent="0.3">
      <c r="A5" s="81" t="b">
        <v>1</v>
      </c>
      <c r="B5" s="99" t="s">
        <v>516</v>
      </c>
      <c r="C5" s="48" t="str">
        <f t="shared" si="0"/>
        <v>F_02_03</v>
      </c>
      <c r="D5" s="50" t="s">
        <v>111</v>
      </c>
      <c r="E5" s="80"/>
      <c r="F5" s="80"/>
      <c r="G5" s="80"/>
      <c r="H5" s="83" t="s">
        <v>108</v>
      </c>
      <c r="I5" s="48" t="str">
        <f>_xlfn.XLOOKUP(H5,Tab_Def_Processes[Name(EN)],Tab_Def_Processes[Process_ID],,0,)</f>
        <v>02_Pro_</v>
      </c>
      <c r="J5" s="50" t="s">
        <v>112</v>
      </c>
      <c r="K5" s="58" t="str">
        <f>_xlfn.XLOOKUP(J5,Tab_Def_Processes[Name(EN)],Tab_Def_Processes[Process_ID],,0,)</f>
        <v>03_Use_</v>
      </c>
      <c r="L5" s="50"/>
      <c r="M5" s="83" t="s">
        <v>44</v>
      </c>
      <c r="N5" s="50" t="s">
        <v>44</v>
      </c>
      <c r="O5" s="85" t="s">
        <v>44</v>
      </c>
      <c r="P5" s="238">
        <v>0</v>
      </c>
      <c r="Q5" s="112" t="s">
        <v>45</v>
      </c>
      <c r="R5" s="238">
        <v>1</v>
      </c>
      <c r="S5" s="112" t="s">
        <v>45</v>
      </c>
      <c r="T5" s="238">
        <v>0.5</v>
      </c>
      <c r="U5" s="112" t="s">
        <v>45</v>
      </c>
      <c r="V5" s="238">
        <f>Tab_Def_Flows[[#This Row],[CC_DM'[%']]]*Tab_Def_Flows[[#This Row],[DM]]</f>
        <v>0.5</v>
      </c>
      <c r="W5" s="50" t="s">
        <v>46</v>
      </c>
    </row>
    <row r="6" spans="1:23" x14ac:dyDescent="0.3">
      <c r="A6" s="81" t="b">
        <v>1</v>
      </c>
      <c r="B6" s="99" t="s">
        <v>517</v>
      </c>
      <c r="C6" s="48" t="str">
        <f t="shared" si="0"/>
        <v>F_03_04</v>
      </c>
      <c r="D6" s="50" t="s">
        <v>114</v>
      </c>
      <c r="E6" s="80"/>
      <c r="F6" s="80"/>
      <c r="G6" s="80"/>
      <c r="H6" s="83" t="s">
        <v>112</v>
      </c>
      <c r="I6" s="48" t="str">
        <f>_xlfn.XLOOKUP(H6,Tab_Def_Processes[Name(EN)],Tab_Def_Processes[Process_ID],,0,)</f>
        <v>03_Use_</v>
      </c>
      <c r="J6" s="50" t="s">
        <v>115</v>
      </c>
      <c r="K6" s="58" t="str">
        <f>_xlfn.XLOOKUP(J6,Tab_Def_Processes[Name(EN)],Tab_Def_Processes[Process_ID],,0,)</f>
        <v>04_Ref_</v>
      </c>
      <c r="L6" s="50"/>
      <c r="M6" s="83" t="s">
        <v>44</v>
      </c>
      <c r="N6" s="50" t="s">
        <v>44</v>
      </c>
      <c r="O6" s="85" t="s">
        <v>44</v>
      </c>
      <c r="P6" s="238">
        <v>0</v>
      </c>
      <c r="Q6" s="112" t="s">
        <v>45</v>
      </c>
      <c r="R6" s="238">
        <v>1</v>
      </c>
      <c r="S6" s="112" t="s">
        <v>45</v>
      </c>
      <c r="T6" s="238">
        <v>0.5</v>
      </c>
      <c r="U6" s="112" t="s">
        <v>45</v>
      </c>
      <c r="V6" s="238">
        <f>Tab_Def_Flows[[#This Row],[CC_DM'[%']]]*Tab_Def_Flows[[#This Row],[DM]]</f>
        <v>0.5</v>
      </c>
      <c r="W6" s="50" t="s">
        <v>46</v>
      </c>
    </row>
    <row r="7" spans="1:23" x14ac:dyDescent="0.3">
      <c r="A7" s="81" t="b">
        <v>1</v>
      </c>
      <c r="B7" s="99" t="s">
        <v>518</v>
      </c>
      <c r="C7" s="48" t="str">
        <f t="shared" si="0"/>
        <v>F_04_03</v>
      </c>
      <c r="D7" s="50" t="s">
        <v>506</v>
      </c>
      <c r="E7" s="80"/>
      <c r="F7" s="80"/>
      <c r="G7" s="80"/>
      <c r="H7" s="83" t="s">
        <v>115</v>
      </c>
      <c r="I7" s="48" t="str">
        <f>_xlfn.XLOOKUP(H7,Tab_Def_Processes[Name(EN)],Tab_Def_Processes[Process_ID],,0,)</f>
        <v>04_Ref_</v>
      </c>
      <c r="J7" s="50" t="s">
        <v>112</v>
      </c>
      <c r="K7" s="58" t="str">
        <f>_xlfn.XLOOKUP(J7,Tab_Def_Processes[Name(EN)],Tab_Def_Processes[Process_ID],,0,)</f>
        <v>03_Use_</v>
      </c>
      <c r="L7" s="50"/>
      <c r="M7" s="83" t="s">
        <v>44</v>
      </c>
      <c r="N7" s="50" t="s">
        <v>44</v>
      </c>
      <c r="O7" s="85" t="s">
        <v>44</v>
      </c>
      <c r="P7" s="238">
        <v>0</v>
      </c>
      <c r="Q7" s="112" t="s">
        <v>45</v>
      </c>
      <c r="R7" s="238">
        <v>1</v>
      </c>
      <c r="S7" s="112" t="s">
        <v>45</v>
      </c>
      <c r="T7" s="238">
        <v>0.5</v>
      </c>
      <c r="U7" s="112" t="s">
        <v>45</v>
      </c>
      <c r="V7" s="238">
        <f>Tab_Def_Flows[[#This Row],[CC_DM'[%']]]*Tab_Def_Flows[[#This Row],[DM]]</f>
        <v>0.5</v>
      </c>
      <c r="W7" s="50" t="s">
        <v>46</v>
      </c>
    </row>
    <row r="8" spans="1:23" x14ac:dyDescent="0.3">
      <c r="A8" s="81" t="b">
        <v>1</v>
      </c>
      <c r="B8" s="99" t="s">
        <v>519</v>
      </c>
      <c r="C8" s="48" t="str">
        <f t="shared" si="0"/>
        <v>F_03_05</v>
      </c>
      <c r="D8" s="50" t="s">
        <v>401</v>
      </c>
      <c r="E8" s="80"/>
      <c r="F8" s="80"/>
      <c r="G8" s="80"/>
      <c r="H8" s="83" t="s">
        <v>112</v>
      </c>
      <c r="I8" s="48" t="str">
        <f>_xlfn.XLOOKUP(H8,Tab_Def_Processes[Name(EN)],Tab_Def_Processes[Process_ID],,0,)</f>
        <v>03_Use_</v>
      </c>
      <c r="J8" s="50" t="s">
        <v>119</v>
      </c>
      <c r="K8" s="58" t="str">
        <f>_xlfn.XLOOKUP(J8,Tab_Def_Processes[Name(EN)],Tab_Def_Processes[Process_ID],,0,)</f>
        <v>05_Deg_</v>
      </c>
      <c r="L8" s="50"/>
      <c r="M8" s="83" t="s">
        <v>44</v>
      </c>
      <c r="N8" s="50" t="s">
        <v>44</v>
      </c>
      <c r="O8" s="85" t="s">
        <v>44</v>
      </c>
      <c r="P8" s="238">
        <v>0</v>
      </c>
      <c r="Q8" s="112" t="s">
        <v>45</v>
      </c>
      <c r="R8" s="238">
        <v>1</v>
      </c>
      <c r="S8" s="112" t="s">
        <v>45</v>
      </c>
      <c r="T8" s="238">
        <v>0.5</v>
      </c>
      <c r="U8" s="112" t="s">
        <v>45</v>
      </c>
      <c r="V8" s="238">
        <f>Tab_Def_Flows[[#This Row],[CC_DM'[%']]]*Tab_Def_Flows[[#This Row],[DM]]</f>
        <v>0.5</v>
      </c>
      <c r="W8" s="50" t="s">
        <v>46</v>
      </c>
    </row>
    <row r="9" spans="1:23" x14ac:dyDescent="0.3">
      <c r="A9" s="81" t="b">
        <v>1</v>
      </c>
      <c r="B9" s="99" t="s">
        <v>520</v>
      </c>
      <c r="C9" s="48" t="str">
        <f t="shared" si="0"/>
        <v>F_03_06</v>
      </c>
      <c r="D9" s="50" t="s">
        <v>531</v>
      </c>
      <c r="E9" s="80"/>
      <c r="F9" s="80"/>
      <c r="G9" s="80"/>
      <c r="H9" s="83" t="s">
        <v>112</v>
      </c>
      <c r="I9" s="48" t="str">
        <f>_xlfn.XLOOKUP(H9,Tab_Def_Processes[Name(EN)],Tab_Def_Processes[Process_ID],,0,)</f>
        <v>03_Use_</v>
      </c>
      <c r="J9" s="50" t="s">
        <v>117</v>
      </c>
      <c r="K9" s="58" t="str">
        <f>_xlfn.XLOOKUP(J9,Tab_Def_Processes[Name(EN)],Tab_Def_Processes[Process_ID],,0,)</f>
        <v>06_Inc_</v>
      </c>
      <c r="L9" s="50"/>
      <c r="M9" s="83" t="s">
        <v>44</v>
      </c>
      <c r="N9" s="50" t="s">
        <v>44</v>
      </c>
      <c r="O9" s="85" t="s">
        <v>44</v>
      </c>
      <c r="P9" s="238">
        <v>0</v>
      </c>
      <c r="Q9" s="112" t="s">
        <v>45</v>
      </c>
      <c r="R9" s="238">
        <v>1</v>
      </c>
      <c r="S9" s="112" t="s">
        <v>45</v>
      </c>
      <c r="T9" s="238">
        <v>0.5</v>
      </c>
      <c r="U9" s="112" t="s">
        <v>45</v>
      </c>
      <c r="V9" s="238">
        <f>Tab_Def_Flows[[#This Row],[CC_DM'[%']]]*Tab_Def_Flows[[#This Row],[DM]]</f>
        <v>0.5</v>
      </c>
      <c r="W9" s="50" t="s">
        <v>46</v>
      </c>
    </row>
    <row r="10" spans="1:23" x14ac:dyDescent="0.3">
      <c r="A10" s="81" t="b">
        <v>1</v>
      </c>
      <c r="B10" s="99" t="s">
        <v>521</v>
      </c>
      <c r="C10" s="48" t="str">
        <f t="shared" si="0"/>
        <v>F_05_07</v>
      </c>
      <c r="D10" s="50" t="s">
        <v>524</v>
      </c>
      <c r="E10" s="80"/>
      <c r="F10" s="80"/>
      <c r="G10" s="80"/>
      <c r="H10" s="83" t="s">
        <v>119</v>
      </c>
      <c r="I10" s="48" t="str">
        <f>_xlfn.XLOOKUP(H10,Tab_Def_Processes[Name(EN)],Tab_Def_Processes[Process_ID],,0,)</f>
        <v>05_Deg_</v>
      </c>
      <c r="J10" s="50" t="s">
        <v>43</v>
      </c>
      <c r="K10" s="58" t="str">
        <f>_xlfn.XLOOKUP(J10,Tab_Def_Processes[Name(EN)],Tab_Def_Processes[Process_ID],,0,)</f>
        <v>07_Atm_</v>
      </c>
      <c r="L10" s="50"/>
      <c r="M10" s="83" t="s">
        <v>44</v>
      </c>
      <c r="N10" s="50" t="s">
        <v>44</v>
      </c>
      <c r="O10" s="85" t="s">
        <v>44</v>
      </c>
      <c r="P10" s="238">
        <v>0</v>
      </c>
      <c r="Q10" s="112" t="s">
        <v>45</v>
      </c>
      <c r="R10" s="238">
        <v>1</v>
      </c>
      <c r="S10" s="112" t="s">
        <v>45</v>
      </c>
      <c r="T10" s="238">
        <v>0.5</v>
      </c>
      <c r="U10" s="112" t="s">
        <v>45</v>
      </c>
      <c r="V10" s="238">
        <f>Tab_Def_Flows[[#This Row],[CC_DM'[%']]]*Tab_Def_Flows[[#This Row],[DM]]</f>
        <v>0.5</v>
      </c>
      <c r="W10" s="50" t="s">
        <v>46</v>
      </c>
    </row>
    <row r="11" spans="1:23" x14ac:dyDescent="0.3">
      <c r="A11" s="81" t="b">
        <v>1</v>
      </c>
      <c r="B11" s="99" t="s">
        <v>522</v>
      </c>
      <c r="C11" s="48" t="str">
        <f t="shared" si="0"/>
        <v>F_05_00</v>
      </c>
      <c r="D11" s="50" t="s">
        <v>525</v>
      </c>
      <c r="E11" s="80"/>
      <c r="F11" s="80"/>
      <c r="G11" s="80"/>
      <c r="H11" s="83" t="s">
        <v>119</v>
      </c>
      <c r="I11" s="48" t="str">
        <f>_xlfn.XLOOKUP(H11,Tab_Def_Processes[Name(EN)],Tab_Def_Processes[Process_ID],,0,)</f>
        <v>05_Deg_</v>
      </c>
      <c r="J11" s="50" t="s">
        <v>104</v>
      </c>
      <c r="K11" s="58" t="str">
        <f>_xlfn.XLOOKUP(J11,Tab_Def_Processes[Name(EN)],Tab_Def_Processes[Process_ID],,0,)</f>
        <v>00_Bio_</v>
      </c>
      <c r="L11" s="50"/>
      <c r="M11" s="83" t="s">
        <v>44</v>
      </c>
      <c r="N11" s="50" t="s">
        <v>44</v>
      </c>
      <c r="O11" s="85" t="s">
        <v>44</v>
      </c>
      <c r="P11" s="238">
        <v>0</v>
      </c>
      <c r="Q11" s="112" t="s">
        <v>45</v>
      </c>
      <c r="R11" s="238">
        <v>1</v>
      </c>
      <c r="S11" s="112" t="s">
        <v>45</v>
      </c>
      <c r="T11" s="238">
        <v>0.5</v>
      </c>
      <c r="U11" s="112" t="s">
        <v>45</v>
      </c>
      <c r="V11" s="238">
        <f>Tab_Def_Flows[[#This Row],[CC_DM'[%']]]*Tab_Def_Flows[[#This Row],[DM]]</f>
        <v>0.5</v>
      </c>
      <c r="W11" s="50" t="s">
        <v>46</v>
      </c>
    </row>
    <row r="12" spans="1:23" x14ac:dyDescent="0.3">
      <c r="A12" s="81" t="b">
        <v>1</v>
      </c>
      <c r="B12" s="99" t="s">
        <v>508</v>
      </c>
      <c r="C12" s="48" t="str">
        <f t="shared" si="0"/>
        <v>F_06_07</v>
      </c>
      <c r="D12" s="50" t="s">
        <v>526</v>
      </c>
      <c r="E12" s="80"/>
      <c r="F12" s="80"/>
      <c r="G12" s="80"/>
      <c r="H12" s="83" t="s">
        <v>117</v>
      </c>
      <c r="I12" s="48" t="str">
        <f>_xlfn.XLOOKUP(H12,Tab_Def_Processes[Name(EN)],Tab_Def_Processes[Process_ID],,0,)</f>
        <v>06_Inc_</v>
      </c>
      <c r="J12" s="50" t="s">
        <v>43</v>
      </c>
      <c r="K12" s="58" t="str">
        <f>_xlfn.XLOOKUP(J12,Tab_Def_Processes[Name(EN)],Tab_Def_Processes[Process_ID],,0,)</f>
        <v>07_Atm_</v>
      </c>
      <c r="L12" s="50"/>
      <c r="M12" s="83" t="s">
        <v>44</v>
      </c>
      <c r="N12" s="50" t="s">
        <v>44</v>
      </c>
      <c r="O12" s="85" t="s">
        <v>44</v>
      </c>
      <c r="P12" s="238">
        <v>0</v>
      </c>
      <c r="Q12" s="112" t="s">
        <v>45</v>
      </c>
      <c r="R12" s="238">
        <v>1</v>
      </c>
      <c r="S12" s="112" t="s">
        <v>45</v>
      </c>
      <c r="T12" s="238">
        <v>0.5</v>
      </c>
      <c r="U12" s="112" t="s">
        <v>45</v>
      </c>
      <c r="V12" s="238">
        <f>Tab_Def_Flows[[#This Row],[CC_DM'[%']]]*Tab_Def_Flows[[#This Row],[DM]]</f>
        <v>0.5</v>
      </c>
      <c r="W12" s="50" t="s">
        <v>46</v>
      </c>
    </row>
    <row r="13" spans="1:23" x14ac:dyDescent="0.3">
      <c r="A13" s="81" t="b">
        <v>1</v>
      </c>
      <c r="B13" s="99" t="s">
        <v>509</v>
      </c>
      <c r="C13" s="48" t="str">
        <f t="shared" si="0"/>
        <v>F_06_08</v>
      </c>
      <c r="D13" s="50" t="s">
        <v>527</v>
      </c>
      <c r="E13" s="80"/>
      <c r="F13" s="80"/>
      <c r="G13" s="80"/>
      <c r="H13" s="83" t="s">
        <v>117</v>
      </c>
      <c r="I13" s="48" t="str">
        <f>_xlfn.XLOOKUP(H13,Tab_Def_Processes[Name(EN)],Tab_Def_Processes[Process_ID],,0,)</f>
        <v>06_Inc_</v>
      </c>
      <c r="J13" s="50" t="s">
        <v>109</v>
      </c>
      <c r="K13" s="58" t="str">
        <f>_xlfn.XLOOKUP(J13,Tab_Def_Processes[Name(EN)],Tab_Def_Processes[Process_ID],,0,)</f>
        <v>08_Ant_</v>
      </c>
      <c r="L13" s="50"/>
      <c r="M13" s="83" t="s">
        <v>44</v>
      </c>
      <c r="N13" s="50" t="s">
        <v>44</v>
      </c>
      <c r="O13" s="85" t="s">
        <v>44</v>
      </c>
      <c r="P13" s="238">
        <v>0</v>
      </c>
      <c r="Q13" s="112" t="s">
        <v>45</v>
      </c>
      <c r="R13" s="238">
        <v>1</v>
      </c>
      <c r="S13" s="112" t="s">
        <v>45</v>
      </c>
      <c r="T13" s="238">
        <v>0.5</v>
      </c>
      <c r="U13" s="112" t="s">
        <v>45</v>
      </c>
      <c r="V13" s="238">
        <f>Tab_Def_Flows[[#This Row],[CC_DM'[%']]]*Tab_Def_Flows[[#This Row],[DM]]</f>
        <v>0.5</v>
      </c>
      <c r="W13" s="50" t="s">
        <v>46</v>
      </c>
    </row>
    <row r="14" spans="1:23" x14ac:dyDescent="0.3">
      <c r="A14" s="81" t="b">
        <v>1</v>
      </c>
      <c r="B14" s="99" t="s">
        <v>510</v>
      </c>
      <c r="C14" s="48" t="str">
        <f>"F_"&amp;LEFT(I14,2)&amp;"_"&amp;LEFT(K14,2)</f>
        <v>F_02_08</v>
      </c>
      <c r="D14" s="50" t="s">
        <v>528</v>
      </c>
      <c r="E14" s="80"/>
      <c r="F14" s="80"/>
      <c r="G14" s="80"/>
      <c r="H14" s="83" t="s">
        <v>108</v>
      </c>
      <c r="I14" s="48" t="str">
        <f>_xlfn.XLOOKUP(H14,Tab_Def_Processes[Name(EN)],Tab_Def_Processes[Process_ID],,0,)</f>
        <v>02_Pro_</v>
      </c>
      <c r="J14" s="50" t="s">
        <v>109</v>
      </c>
      <c r="K14" s="58" t="str">
        <f>_xlfn.XLOOKUP(J14,Tab_Def_Processes[Name(EN)],Tab_Def_Processes[Process_ID],,0,)</f>
        <v>08_Ant_</v>
      </c>
      <c r="L14" s="50"/>
      <c r="M14" s="83" t="s">
        <v>44</v>
      </c>
      <c r="N14" s="50" t="s">
        <v>44</v>
      </c>
      <c r="O14" s="85" t="s">
        <v>44</v>
      </c>
      <c r="P14" s="238">
        <v>0</v>
      </c>
      <c r="Q14" s="112" t="s">
        <v>45</v>
      </c>
      <c r="R14" s="238">
        <v>1</v>
      </c>
      <c r="S14" s="112" t="s">
        <v>45</v>
      </c>
      <c r="T14" s="238">
        <v>0.5</v>
      </c>
      <c r="U14" s="112" t="s">
        <v>45</v>
      </c>
      <c r="V14" s="238">
        <f>Tab_Def_Flows[[#This Row],[CC_DM'[%']]]*Tab_Def_Flows[[#This Row],[DM]]</f>
        <v>0.5</v>
      </c>
      <c r="W14" s="50" t="s">
        <v>46</v>
      </c>
    </row>
    <row r="15" spans="1:23" x14ac:dyDescent="0.3">
      <c r="A15" s="81" t="b">
        <v>1</v>
      </c>
      <c r="B15" s="99" t="s">
        <v>511</v>
      </c>
      <c r="C15" s="48" t="str">
        <f t="shared" si="0"/>
        <v>F_04_08</v>
      </c>
      <c r="D15" s="50" t="s">
        <v>530</v>
      </c>
      <c r="E15" s="80"/>
      <c r="F15" s="80"/>
      <c r="G15" s="80"/>
      <c r="H15" s="83" t="s">
        <v>115</v>
      </c>
      <c r="I15" s="48" t="str">
        <f>_xlfn.XLOOKUP(H15,Tab_Def_Processes[Name(EN)],Tab_Def_Processes[Process_ID],,0,)</f>
        <v>04_Ref_</v>
      </c>
      <c r="J15" s="50" t="s">
        <v>109</v>
      </c>
      <c r="K15" s="58" t="str">
        <f>_xlfn.XLOOKUP(J15,Tab_Def_Processes[Name(EN)],Tab_Def_Processes[Process_ID],,0,)</f>
        <v>08_Ant_</v>
      </c>
      <c r="L15" s="50"/>
      <c r="M15" s="83" t="s">
        <v>44</v>
      </c>
      <c r="N15" s="50" t="s">
        <v>44</v>
      </c>
      <c r="O15" s="85" t="s">
        <v>44</v>
      </c>
      <c r="P15" s="238">
        <v>0</v>
      </c>
      <c r="Q15" s="112" t="s">
        <v>45</v>
      </c>
      <c r="R15" s="238">
        <v>1</v>
      </c>
      <c r="S15" s="112" t="s">
        <v>45</v>
      </c>
      <c r="T15" s="238">
        <v>0.5</v>
      </c>
      <c r="U15" s="112" t="s">
        <v>45</v>
      </c>
      <c r="V15" s="238">
        <f>Tab_Def_Flows[[#This Row],[CC_DM'[%']]]*Tab_Def_Flows[[#This Row],[DM]]</f>
        <v>0.5</v>
      </c>
      <c r="W15" s="50" t="s">
        <v>46</v>
      </c>
    </row>
    <row r="16" spans="1:23" x14ac:dyDescent="0.3">
      <c r="A16" s="245" t="b">
        <v>1</v>
      </c>
      <c r="B16" s="99" t="s">
        <v>512</v>
      </c>
      <c r="C16" s="246" t="str">
        <f>"F_"&amp;LEFT(I16,2)&amp;"_"&amp;LEFT(K16,2)</f>
        <v>F_07_00</v>
      </c>
      <c r="D16" s="247" t="s">
        <v>529</v>
      </c>
      <c r="E16" s="248"/>
      <c r="F16" s="248"/>
      <c r="G16" s="248"/>
      <c r="H16" s="249" t="s">
        <v>43</v>
      </c>
      <c r="I16" s="246" t="str">
        <f>_xlfn.XLOOKUP(H16,Tab_Def_Processes[Name(EN)],Tab_Def_Processes[Process_ID],,0,)</f>
        <v>07_Atm_</v>
      </c>
      <c r="J16" s="247" t="s">
        <v>104</v>
      </c>
      <c r="K16" s="250" t="str">
        <f>_xlfn.XLOOKUP(J16,Tab_Def_Processes[Name(EN)],Tab_Def_Processes[Process_ID],,0,)</f>
        <v>00_Bio_</v>
      </c>
      <c r="L16" s="247"/>
      <c r="M16" s="249" t="s">
        <v>44</v>
      </c>
      <c r="N16" s="247" t="s">
        <v>44</v>
      </c>
      <c r="O16" s="247" t="s">
        <v>44</v>
      </c>
      <c r="P16" s="238">
        <v>0</v>
      </c>
      <c r="Q16" s="112" t="s">
        <v>45</v>
      </c>
      <c r="R16" s="238">
        <v>1</v>
      </c>
      <c r="S16" s="112" t="s">
        <v>45</v>
      </c>
      <c r="T16" s="238">
        <v>0.5</v>
      </c>
      <c r="U16" s="112" t="s">
        <v>45</v>
      </c>
      <c r="V16" s="238">
        <f>Tab_Def_Flows[[#This Row],[CC_DM'[%']]]*Tab_Def_Flows[[#This Row],[DM]]</f>
        <v>0.5</v>
      </c>
      <c r="W16" s="50" t="s">
        <v>46</v>
      </c>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M2:O16</xm:sqref>
        </x14:dataValidation>
        <x14:dataValidation type="list" allowBlank="1" showInputMessage="1" showErrorMessage="1" xr:uid="{8E2A383A-BFF3-42AA-912B-482C6C1A2DAB}">
          <x14:formula1>
            <xm:f>'4_1 Codelists'!$G$16:$G$19</xm:f>
          </x14:formula1>
          <xm:sqref>L12:L15</xm:sqref>
        </x14:dataValidation>
        <x14:dataValidation type="list" allowBlank="1" showInputMessage="1" showErrorMessage="1" xr:uid="{4802C009-D5CD-4ED0-AC7A-55F162A86DD7}">
          <x14:formula1>
            <xm:f>'2_1_Definition_Processes'!$D$2:$D$10</xm:f>
          </x14:formula1>
          <xm:sqref>H2:H16 J2:J16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B10"/>
  <sheetViews>
    <sheetView zoomScaleNormal="115" workbookViewId="0">
      <pane xSplit="4" topLeftCell="I1" activePane="topRight" state="frozen"/>
      <selection pane="topRight" activeCell="K4" sqref="K4"/>
    </sheetView>
  </sheetViews>
  <sheetFormatPr baseColWidth="10" defaultColWidth="10.77734375" defaultRowHeight="14.4" x14ac:dyDescent="0.3"/>
  <cols>
    <col min="2" max="2" width="6.77734375" customWidth="1"/>
    <col min="3" max="3" width="12" bestFit="1" customWidth="1"/>
    <col min="4" max="4" width="22.44140625" customWidth="1"/>
    <col min="5" max="5" width="33.109375" hidden="1" customWidth="1"/>
    <col min="6" max="6" width="32.44140625" hidden="1" customWidth="1"/>
    <col min="7" max="7" width="33.44140625" hidden="1" customWidth="1"/>
    <col min="8" max="8" width="16.44140625" hidden="1" customWidth="1"/>
    <col min="9" max="9" width="21.44140625" customWidth="1"/>
    <col min="10" max="10" width="9.44140625" customWidth="1"/>
    <col min="11" max="12" width="15.44140625" customWidth="1"/>
    <col min="13" max="13" width="26.77734375" hidden="1" customWidth="1"/>
    <col min="14" max="14" width="15.44140625" hidden="1" customWidth="1"/>
    <col min="15" max="15" width="21" hidden="1" customWidth="1"/>
    <col min="16" max="22" width="15.44140625" hidden="1" customWidth="1"/>
    <col min="23" max="23" width="27.77734375" customWidth="1"/>
    <col min="24" max="24" width="15.44140625" customWidth="1"/>
    <col min="25" max="25" width="26.44140625" customWidth="1"/>
    <col min="26" max="26" width="15.44140625" customWidth="1"/>
    <col min="27" max="27" width="31.44140625" customWidth="1"/>
    <col min="28" max="28" width="14.77734375" bestFit="1" customWidth="1"/>
  </cols>
  <sheetData>
    <row r="1" spans="1:28" ht="15" thickBot="1" x14ac:dyDescent="0.35">
      <c r="A1" s="8" t="s">
        <v>20</v>
      </c>
      <c r="B1" s="8" t="s">
        <v>21</v>
      </c>
      <c r="C1" t="s">
        <v>86</v>
      </c>
      <c r="D1" t="s">
        <v>23</v>
      </c>
      <c r="E1" t="s">
        <v>24</v>
      </c>
      <c r="F1" t="s">
        <v>87</v>
      </c>
      <c r="G1" t="s">
        <v>88</v>
      </c>
      <c r="H1" s="47" t="s">
        <v>89</v>
      </c>
      <c r="I1" s="24" t="s">
        <v>90</v>
      </c>
      <c r="J1" s="25" t="s">
        <v>56</v>
      </c>
      <c r="K1" s="25" t="s">
        <v>120</v>
      </c>
      <c r="L1" s="31" t="s">
        <v>91</v>
      </c>
      <c r="M1" s="54" t="s">
        <v>92</v>
      </c>
      <c r="N1" s="54" t="s">
        <v>93</v>
      </c>
      <c r="O1" s="54" t="s">
        <v>94</v>
      </c>
      <c r="P1" s="54" t="s">
        <v>95</v>
      </c>
      <c r="Q1" s="54" t="s">
        <v>121</v>
      </c>
      <c r="R1" s="55" t="s">
        <v>122</v>
      </c>
      <c r="S1" s="54" t="s">
        <v>123</v>
      </c>
      <c r="T1" s="54" t="s">
        <v>124</v>
      </c>
      <c r="U1" s="54" t="s">
        <v>125</v>
      </c>
      <c r="V1" s="82" t="s">
        <v>126</v>
      </c>
      <c r="W1" s="65" t="s">
        <v>96</v>
      </c>
      <c r="X1" s="65" t="s">
        <v>97</v>
      </c>
      <c r="Y1" s="53" t="s">
        <v>98</v>
      </c>
      <c r="Z1" s="53" t="s">
        <v>99</v>
      </c>
      <c r="AA1" s="53" t="s">
        <v>100</v>
      </c>
      <c r="AB1" s="53" t="s">
        <v>101</v>
      </c>
    </row>
    <row r="2" spans="1:28" x14ac:dyDescent="0.3">
      <c r="A2" s="84" t="b">
        <v>1</v>
      </c>
      <c r="B2" s="99" t="s">
        <v>102</v>
      </c>
      <c r="C2" s="48" t="str">
        <f>LEFT(B2,2)&amp;"_"&amp;LEFT(D2,3)&amp;"_"&amp;LEFT(E2,3)</f>
        <v>00_Bio_</v>
      </c>
      <c r="D2" s="50" t="s">
        <v>104</v>
      </c>
      <c r="E2" s="50"/>
      <c r="F2" s="50"/>
      <c r="G2" s="50"/>
      <c r="H2" s="80"/>
      <c r="I2" s="83" t="s">
        <v>106</v>
      </c>
      <c r="J2" s="50" t="s">
        <v>44</v>
      </c>
      <c r="K2" s="50" t="s">
        <v>44</v>
      </c>
      <c r="L2" s="85" t="s">
        <v>44</v>
      </c>
      <c r="M2" s="50" t="s">
        <v>55</v>
      </c>
      <c r="N2" s="49" t="e">
        <f>_xlfn.XLOOKUP(M2,Tab_Def_Flows[Name(EN)],Tab_Def_Flows[Flow_ID],,0,)</f>
        <v>#N/A</v>
      </c>
      <c r="O2" s="50" t="s">
        <v>55</v>
      </c>
      <c r="P2" s="49" t="e">
        <f>_xlfn.XLOOKUP(O2,Tab_Def_Flows[Name(EN)],Tab_Def_Flows[Flow_ID],,0,)</f>
        <v>#N/A</v>
      </c>
      <c r="Q2" s="50" t="s">
        <v>55</v>
      </c>
      <c r="R2" s="49" t="e">
        <f>_xlfn.XLOOKUP(Q2,Tab_Def_Flows[Name(EN)],Tab_Def_Flows[Flow_ID],,0,)</f>
        <v>#N/A</v>
      </c>
      <c r="S2" s="50" t="s">
        <v>55</v>
      </c>
      <c r="T2" s="49" t="e">
        <f>_xlfn.XLOOKUP(S2,Tab_Def_Flows[Name(EN)],Tab_Def_Flows[Flow_ID],,0,)</f>
        <v>#N/A</v>
      </c>
      <c r="U2" s="50" t="s">
        <v>55</v>
      </c>
      <c r="V2" s="56" t="e">
        <f>_xlfn.XLOOKUP(U2,Tab_Def_Flows[Name(EN)],Tab_Def_Flows[Flow_ID],,0,)</f>
        <v>#N/A</v>
      </c>
      <c r="W2" s="50" t="s">
        <v>107</v>
      </c>
      <c r="X2" s="51" t="str">
        <f>_xlfn.XLOOKUP(W2,Tab_Def_Flows[Name(EN)],Tab_Def_Flows[Flow_ID],,0,)</f>
        <v>F_00_01</v>
      </c>
      <c r="Y2" s="50"/>
      <c r="Z2" s="51" t="e">
        <f>_xlfn.XLOOKUP(Y2,Tab_Def_Flows[Name(EN)],Tab_Def_Flows[Flow_ID],,0,)</f>
        <v>#N/A</v>
      </c>
      <c r="AA2" s="50"/>
      <c r="AB2" s="51" t="e">
        <f>_xlfn.XLOOKUP(AA2,Tab_Def_Flows[Name(EN)],Tab_Def_Flows[Flow_ID],,0,)</f>
        <v>#N/A</v>
      </c>
    </row>
    <row r="3" spans="1:28" x14ac:dyDescent="0.3">
      <c r="A3" s="84" t="b">
        <v>1</v>
      </c>
      <c r="B3" s="99" t="s">
        <v>47</v>
      </c>
      <c r="C3" s="48" t="str">
        <f>LEFT(B3,2)&amp;"_"&amp;LEFT(D3,3)&amp;"_"&amp;LEFT(E3,3)</f>
        <v>01_Raw_</v>
      </c>
      <c r="D3" s="50" t="s">
        <v>103</v>
      </c>
      <c r="E3" s="50"/>
      <c r="F3" s="50"/>
      <c r="G3" s="50"/>
      <c r="H3" s="80"/>
      <c r="I3" s="83" t="s">
        <v>106</v>
      </c>
      <c r="J3" s="50" t="s">
        <v>44</v>
      </c>
      <c r="K3" s="50" t="s">
        <v>44</v>
      </c>
      <c r="L3" s="85" t="s">
        <v>84</v>
      </c>
      <c r="M3" s="50" t="s">
        <v>55</v>
      </c>
      <c r="N3" s="48" t="e">
        <f>_xlfn.XLOOKUP(M3,Tab_Def_Flows[Name(EN)],Tab_Def_Flows[Flow_ID],,0,)</f>
        <v>#N/A</v>
      </c>
      <c r="O3" s="50" t="s">
        <v>55</v>
      </c>
      <c r="P3" s="48" t="e">
        <f>_xlfn.XLOOKUP(O3,Tab_Def_Flows[Name(EN)],Tab_Def_Flows[Flow_ID],,0,)</f>
        <v>#N/A</v>
      </c>
      <c r="Q3" s="50" t="s">
        <v>55</v>
      </c>
      <c r="R3" s="48" t="e">
        <f>_xlfn.XLOOKUP(Q3,Tab_Def_Flows[Name(EN)],Tab_Def_Flows[Flow_ID],,0,)</f>
        <v>#N/A</v>
      </c>
      <c r="S3" s="50" t="s">
        <v>55</v>
      </c>
      <c r="T3" s="48" t="e">
        <f>_xlfn.XLOOKUP(S3,Tab_Def_Flows[Name(EN)],Tab_Def_Flows[Flow_ID],,0,)</f>
        <v>#N/A</v>
      </c>
      <c r="U3" s="50" t="s">
        <v>55</v>
      </c>
      <c r="V3" s="52" t="e">
        <f>_xlfn.XLOOKUP(U3,Tab_Def_Flows[Name(EN)],Tab_Def_Flows[Flow_ID],,0,)</f>
        <v>#N/A</v>
      </c>
      <c r="W3" s="50" t="s">
        <v>507</v>
      </c>
      <c r="X3" s="48" t="str">
        <f>_xlfn.XLOOKUP(W3,Tab_Def_Flows[Name(EN)],Tab_Def_Flows[Flow_ID],,0,)</f>
        <v>F_01_02</v>
      </c>
      <c r="Y3" s="50" t="s">
        <v>523</v>
      </c>
      <c r="Z3" s="48" t="str">
        <f>_xlfn.XLOOKUP(Y3,Tab_Def_Flows[Name(EN)],Tab_Def_Flows[Flow_ID],,0,)</f>
        <v>F_01_00</v>
      </c>
      <c r="AA3" s="50"/>
      <c r="AB3" s="48" t="e">
        <f>_xlfn.XLOOKUP(AA3,Tab_Def_Flows[Name(EN)],Tab_Def_Flows[Flow_ID],,0,)</f>
        <v>#N/A</v>
      </c>
    </row>
    <row r="4" spans="1:28" x14ac:dyDescent="0.3">
      <c r="A4" s="84" t="b">
        <v>1</v>
      </c>
      <c r="B4" s="99" t="s">
        <v>48</v>
      </c>
      <c r="C4" s="48" t="str">
        <f t="shared" ref="C4:C10" si="0">LEFT(B4,2)&amp;"_"&amp;LEFT(D4,3)&amp;"_"&amp;LEFT(E4,3)</f>
        <v>02_Pro_</v>
      </c>
      <c r="D4" s="50" t="s">
        <v>108</v>
      </c>
      <c r="E4" s="50"/>
      <c r="F4" s="50"/>
      <c r="G4" s="50"/>
      <c r="H4" s="80"/>
      <c r="I4" s="83" t="s">
        <v>106</v>
      </c>
      <c r="J4" s="50" t="s">
        <v>44</v>
      </c>
      <c r="K4" s="50" t="s">
        <v>44</v>
      </c>
      <c r="L4" s="85" t="s">
        <v>44</v>
      </c>
      <c r="M4" s="50" t="s">
        <v>55</v>
      </c>
      <c r="N4" s="48" t="e">
        <f>_xlfn.XLOOKUP(M4,Tab_Def_Flows[Name(EN)],Tab_Def_Flows[Flow_ID],,0,)</f>
        <v>#N/A</v>
      </c>
      <c r="O4" s="50" t="s">
        <v>55</v>
      </c>
      <c r="P4" s="48" t="e">
        <f>_xlfn.XLOOKUP(O4,Tab_Def_Flows[Name(EN)],Tab_Def_Flows[Flow_ID],,0,)</f>
        <v>#N/A</v>
      </c>
      <c r="Q4" s="50" t="s">
        <v>55</v>
      </c>
      <c r="R4" s="48" t="e">
        <f>_xlfn.XLOOKUP(Q4,Tab_Def_Flows[Name(EN)],Tab_Def_Flows[Flow_ID],,0,)</f>
        <v>#N/A</v>
      </c>
      <c r="S4" s="50" t="s">
        <v>55</v>
      </c>
      <c r="T4" s="48" t="e">
        <f>_xlfn.XLOOKUP(S4,Tab_Def_Flows[Name(EN)],Tab_Def_Flows[Flow_ID],,0,)</f>
        <v>#N/A</v>
      </c>
      <c r="U4" s="50" t="s">
        <v>55</v>
      </c>
      <c r="V4" s="52" t="e">
        <f>_xlfn.XLOOKUP(U4,Tab_Def_Flows[Name(EN)],Tab_Def_Flows[Flow_ID],,0,)</f>
        <v>#N/A</v>
      </c>
      <c r="W4" s="50" t="s">
        <v>111</v>
      </c>
      <c r="X4" s="48" t="str">
        <f>_xlfn.XLOOKUP(W4,Tab_Def_Flows[Name(EN)],Tab_Def_Flows[Flow_ID],,0,)</f>
        <v>F_02_03</v>
      </c>
      <c r="Y4" s="50" t="s">
        <v>528</v>
      </c>
      <c r="Z4" s="48" t="str">
        <f>_xlfn.XLOOKUP(Y4,Tab_Def_Flows[Name(EN)],Tab_Def_Flows[Flow_ID],,0,)</f>
        <v>F_02_08</v>
      </c>
      <c r="AA4" s="50"/>
      <c r="AB4" s="48" t="e">
        <f>_xlfn.XLOOKUP(AA4,Tab_Def_Flows[Name(EN)],Tab_Def_Flows[Flow_ID],,0,)</f>
        <v>#N/A</v>
      </c>
    </row>
    <row r="5" spans="1:28" x14ac:dyDescent="0.3">
      <c r="A5" s="84" t="b">
        <v>1</v>
      </c>
      <c r="B5" s="99" t="s">
        <v>49</v>
      </c>
      <c r="C5" s="48" t="str">
        <f t="shared" si="0"/>
        <v>03_Use_</v>
      </c>
      <c r="D5" s="50" t="s">
        <v>112</v>
      </c>
      <c r="E5" s="50"/>
      <c r="F5" s="50"/>
      <c r="G5" s="50"/>
      <c r="H5" s="80"/>
      <c r="I5" s="83" t="s">
        <v>106</v>
      </c>
      <c r="J5" s="50" t="s">
        <v>44</v>
      </c>
      <c r="K5" s="50" t="s">
        <v>44</v>
      </c>
      <c r="L5" s="85" t="s">
        <v>44</v>
      </c>
      <c r="M5" s="50" t="s">
        <v>55</v>
      </c>
      <c r="N5" s="51" t="e">
        <f>_xlfn.XLOOKUP(M5,Tab_Def_Flows[Name(EN)],Tab_Def_Flows[Flow_ID],,0,)</f>
        <v>#N/A</v>
      </c>
      <c r="O5" s="50" t="s">
        <v>55</v>
      </c>
      <c r="P5" s="51" t="e">
        <f>_xlfn.XLOOKUP(O5,Tab_Def_Flows[Name(EN)],Tab_Def_Flows[Flow_ID],,0,)</f>
        <v>#N/A</v>
      </c>
      <c r="Q5" s="50" t="s">
        <v>55</v>
      </c>
      <c r="R5" s="51" t="e">
        <f>_xlfn.XLOOKUP(Q5,Tab_Def_Flows[Name(EN)],Tab_Def_Flows[Flow_ID],,0,)</f>
        <v>#N/A</v>
      </c>
      <c r="S5" s="50" t="s">
        <v>55</v>
      </c>
      <c r="T5" s="51" t="e">
        <f>_xlfn.XLOOKUP(S5,Tab_Def_Flows[Name(EN)],Tab_Def_Flows[Flow_ID],,0,)</f>
        <v>#N/A</v>
      </c>
      <c r="U5" s="50" t="s">
        <v>55</v>
      </c>
      <c r="V5" s="52" t="e">
        <f>_xlfn.XLOOKUP(U5,Tab_Def_Flows[Name(EN)],Tab_Def_Flows[Flow_ID],,0,)</f>
        <v>#N/A</v>
      </c>
      <c r="W5" s="50" t="s">
        <v>531</v>
      </c>
      <c r="X5" s="51" t="str">
        <f>_xlfn.XLOOKUP(W5,Tab_Def_Flows[Name(EN)],Tab_Def_Flows[Flow_ID],,0,)</f>
        <v>F_03_06</v>
      </c>
      <c r="Y5" s="50" t="s">
        <v>114</v>
      </c>
      <c r="Z5" s="51" t="str">
        <f>_xlfn.XLOOKUP(Y5,Tab_Def_Flows[Name(EN)],Tab_Def_Flows[Flow_ID],,0,)</f>
        <v>F_03_04</v>
      </c>
      <c r="AA5" s="50" t="s">
        <v>401</v>
      </c>
      <c r="AB5" s="51" t="str">
        <f>_xlfn.XLOOKUP(AA5,Tab_Def_Flows[Name(EN)],Tab_Def_Flows[Flow_ID],,0,)</f>
        <v>F_03_05</v>
      </c>
    </row>
    <row r="6" spans="1:28" x14ac:dyDescent="0.3">
      <c r="A6" s="84" t="b">
        <v>1</v>
      </c>
      <c r="B6" s="99" t="s">
        <v>50</v>
      </c>
      <c r="C6" s="48" t="str">
        <f t="shared" si="0"/>
        <v>04_Ref_</v>
      </c>
      <c r="D6" s="50" t="s">
        <v>115</v>
      </c>
      <c r="E6" s="50"/>
      <c r="F6" s="50"/>
      <c r="G6" s="50"/>
      <c r="H6" s="80"/>
      <c r="I6" s="83" t="s">
        <v>106</v>
      </c>
      <c r="J6" s="50" t="s">
        <v>44</v>
      </c>
      <c r="K6" s="50" t="s">
        <v>84</v>
      </c>
      <c r="L6" s="85" t="s">
        <v>84</v>
      </c>
      <c r="M6" s="50" t="s">
        <v>55</v>
      </c>
      <c r="N6" s="51" t="e">
        <f>_xlfn.XLOOKUP(M6,Tab_Def_Flows[Name(EN)],Tab_Def_Flows[Flow_ID],,0,)</f>
        <v>#N/A</v>
      </c>
      <c r="O6" s="50" t="s">
        <v>55</v>
      </c>
      <c r="P6" s="51" t="e">
        <f>_xlfn.XLOOKUP(O6,Tab_Def_Flows[Name(EN)],Tab_Def_Flows[Flow_ID],,0,)</f>
        <v>#N/A</v>
      </c>
      <c r="Q6" s="50" t="s">
        <v>55</v>
      </c>
      <c r="R6" s="51" t="e">
        <f>_xlfn.XLOOKUP(Q6,Tab_Def_Flows[Name(EN)],Tab_Def_Flows[Flow_ID],,0,)</f>
        <v>#N/A</v>
      </c>
      <c r="S6" s="50" t="s">
        <v>55</v>
      </c>
      <c r="T6" s="51" t="e">
        <f>_xlfn.XLOOKUP(S6,Tab_Def_Flows[Name(EN)],Tab_Def_Flows[Flow_ID],,0,)</f>
        <v>#N/A</v>
      </c>
      <c r="U6" s="50" t="s">
        <v>55</v>
      </c>
      <c r="V6" s="52" t="e">
        <f>_xlfn.XLOOKUP(U6,Tab_Def_Flows[Name(EN)],Tab_Def_Flows[Flow_ID],,0,)</f>
        <v>#N/A</v>
      </c>
      <c r="W6" s="50" t="s">
        <v>506</v>
      </c>
      <c r="X6" s="51" t="str">
        <f>_xlfn.XLOOKUP(W6,Tab_Def_Flows[Name(EN)],Tab_Def_Flows[Flow_ID],,0,)</f>
        <v>F_04_03</v>
      </c>
      <c r="Y6" s="50" t="s">
        <v>530</v>
      </c>
      <c r="Z6" s="51" t="str">
        <f>_xlfn.XLOOKUP(Y6,Tab_Def_Flows[Name(EN)],Tab_Def_Flows[Flow_ID],,0,)</f>
        <v>F_04_08</v>
      </c>
      <c r="AA6" s="50"/>
      <c r="AB6" s="51" t="e">
        <f>_xlfn.XLOOKUP(AA6,Tab_Def_Flows[Name(EN)],Tab_Def_Flows[Flow_ID],,0,)</f>
        <v>#N/A</v>
      </c>
    </row>
    <row r="7" spans="1:28" x14ac:dyDescent="0.3">
      <c r="A7" s="84" t="b">
        <v>1</v>
      </c>
      <c r="B7" s="99" t="s">
        <v>51</v>
      </c>
      <c r="C7" s="48" t="str">
        <f t="shared" si="0"/>
        <v>05_Deg_</v>
      </c>
      <c r="D7" s="50" t="s">
        <v>119</v>
      </c>
      <c r="E7" s="50"/>
      <c r="F7" s="50"/>
      <c r="G7" s="50"/>
      <c r="H7" s="80"/>
      <c r="I7" s="83" t="s">
        <v>106</v>
      </c>
      <c r="J7" s="50" t="s">
        <v>44</v>
      </c>
      <c r="K7" s="50" t="s">
        <v>84</v>
      </c>
      <c r="L7" s="85" t="s">
        <v>84</v>
      </c>
      <c r="M7" s="50" t="s">
        <v>55</v>
      </c>
      <c r="N7" s="48" t="e">
        <f>_xlfn.XLOOKUP(M7,Tab_Def_Flows[Name(EN)],Tab_Def_Flows[Flow_ID],,0,)</f>
        <v>#N/A</v>
      </c>
      <c r="O7" s="50" t="s">
        <v>55</v>
      </c>
      <c r="P7" s="48" t="e">
        <f>_xlfn.XLOOKUP(O7,Tab_Def_Flows[Name(EN)],Tab_Def_Flows[Flow_ID],,0,)</f>
        <v>#N/A</v>
      </c>
      <c r="Q7" s="50" t="s">
        <v>55</v>
      </c>
      <c r="R7" s="48" t="e">
        <f>_xlfn.XLOOKUP(Q7,Tab_Def_Flows[Name(EN)],Tab_Def_Flows[Flow_ID],,0,)</f>
        <v>#N/A</v>
      </c>
      <c r="S7" s="50" t="s">
        <v>55</v>
      </c>
      <c r="T7" s="48" t="e">
        <f>_xlfn.XLOOKUP(S7,Tab_Def_Flows[Name(EN)],Tab_Def_Flows[Flow_ID],,0,)</f>
        <v>#N/A</v>
      </c>
      <c r="U7" s="50" t="s">
        <v>55</v>
      </c>
      <c r="V7" s="59" t="e">
        <f>_xlfn.XLOOKUP(U7,Tab_Def_Flows[Name(EN)],Tab_Def_Flows[Flow_ID],,0,)</f>
        <v>#N/A</v>
      </c>
      <c r="W7" s="50" t="s">
        <v>524</v>
      </c>
      <c r="X7" s="48" t="str">
        <f>_xlfn.XLOOKUP(W7,Tab_Def_Flows[Name(EN)],Tab_Def_Flows[Flow_ID],,0,)</f>
        <v>F_05_07</v>
      </c>
      <c r="Y7" s="50" t="s">
        <v>525</v>
      </c>
      <c r="Z7" s="48" t="str">
        <f>_xlfn.XLOOKUP(Y7,Tab_Def_Flows[Name(EN)],Tab_Def_Flows[Flow_ID],,0,)</f>
        <v>F_05_00</v>
      </c>
      <c r="AA7" s="50"/>
      <c r="AB7" s="48" t="e">
        <f>_xlfn.XLOOKUP(AA7,Tab_Def_Flows[Name(EN)],Tab_Def_Flows[Flow_ID],,0,)</f>
        <v>#N/A</v>
      </c>
    </row>
    <row r="8" spans="1:28" x14ac:dyDescent="0.3">
      <c r="A8" s="84" t="b">
        <v>1</v>
      </c>
      <c r="B8" s="99" t="s">
        <v>52</v>
      </c>
      <c r="C8" s="48" t="str">
        <f t="shared" ref="C8:C9" si="1">LEFT(B8,2)&amp;"_"&amp;LEFT(D8,3)&amp;"_"&amp;LEFT(E8,3)</f>
        <v>06_Inc_</v>
      </c>
      <c r="D8" s="50" t="s">
        <v>117</v>
      </c>
      <c r="E8" s="50"/>
      <c r="F8" s="50"/>
      <c r="G8" s="50"/>
      <c r="H8" s="80"/>
      <c r="I8" s="83" t="s">
        <v>106</v>
      </c>
      <c r="J8" s="50" t="s">
        <v>44</v>
      </c>
      <c r="K8" s="50" t="s">
        <v>84</v>
      </c>
      <c r="L8" s="85" t="s">
        <v>84</v>
      </c>
      <c r="M8" s="50" t="s">
        <v>55</v>
      </c>
      <c r="N8" s="48" t="e">
        <f>_xlfn.XLOOKUP(M8,Tab_Def_Flows[Name(EN)],Tab_Def_Flows[Flow_ID],,0,)</f>
        <v>#N/A</v>
      </c>
      <c r="O8" s="50" t="s">
        <v>55</v>
      </c>
      <c r="P8" s="48" t="e">
        <f>_xlfn.XLOOKUP(O8,Tab_Def_Flows[Name(EN)],Tab_Def_Flows[Flow_ID],,0,)</f>
        <v>#N/A</v>
      </c>
      <c r="Q8" s="50" t="s">
        <v>55</v>
      </c>
      <c r="R8" s="48" t="e">
        <f>_xlfn.XLOOKUP(Q8,Tab_Def_Flows[Name(EN)],Tab_Def_Flows[Flow_ID],,0,)</f>
        <v>#N/A</v>
      </c>
      <c r="S8" s="50" t="s">
        <v>55</v>
      </c>
      <c r="T8" s="48" t="e">
        <f>_xlfn.XLOOKUP(S8,Tab_Def_Flows[Name(EN)],Tab_Def_Flows[Flow_ID],,0,)</f>
        <v>#N/A</v>
      </c>
      <c r="U8" s="50" t="s">
        <v>55</v>
      </c>
      <c r="V8" s="52" t="e">
        <f>_xlfn.XLOOKUP(U8,Tab_Def_Flows[Name(EN)],Tab_Def_Flows[Flow_ID],,0,)</f>
        <v>#N/A</v>
      </c>
      <c r="W8" s="50" t="s">
        <v>527</v>
      </c>
      <c r="X8" s="48" t="str">
        <f>_xlfn.XLOOKUP(W8,Tab_Def_Flows[Name(EN)],Tab_Def_Flows[Flow_ID],,0,)</f>
        <v>F_06_08</v>
      </c>
      <c r="Y8" s="50" t="s">
        <v>526</v>
      </c>
      <c r="Z8" s="48" t="str">
        <f>_xlfn.XLOOKUP(Y8,Tab_Def_Flows[Name(EN)],Tab_Def_Flows[Flow_ID],,0,)</f>
        <v>F_06_07</v>
      </c>
      <c r="AA8" s="50"/>
      <c r="AB8" s="48" t="e">
        <f>_xlfn.XLOOKUP(AA8,Tab_Def_Flows[Name(EN)],Tab_Def_Flows[Flow_ID],,0,)</f>
        <v>#N/A</v>
      </c>
    </row>
    <row r="9" spans="1:28" x14ac:dyDescent="0.3">
      <c r="A9" s="84" t="b">
        <v>1</v>
      </c>
      <c r="B9" s="99" t="s">
        <v>53</v>
      </c>
      <c r="C9" s="48" t="str">
        <f t="shared" si="1"/>
        <v>07_Atm_</v>
      </c>
      <c r="D9" s="50" t="s">
        <v>43</v>
      </c>
      <c r="E9" s="50"/>
      <c r="F9" s="50"/>
      <c r="G9" s="50"/>
      <c r="H9" s="80"/>
      <c r="I9" s="83" t="s">
        <v>106</v>
      </c>
      <c r="J9" s="50" t="s">
        <v>84</v>
      </c>
      <c r="K9" s="50" t="s">
        <v>84</v>
      </c>
      <c r="L9" s="85" t="s">
        <v>44</v>
      </c>
      <c r="M9" s="50" t="s">
        <v>55</v>
      </c>
      <c r="N9" s="48" t="e">
        <f>_xlfn.XLOOKUP(M9,Tab_Def_Flows[Name(EN)],Tab_Def_Flows[Flow_ID],,0,)</f>
        <v>#N/A</v>
      </c>
      <c r="O9" s="50" t="s">
        <v>55</v>
      </c>
      <c r="P9" s="48" t="e">
        <f>_xlfn.XLOOKUP(O9,Tab_Def_Flows[Name(EN)],Tab_Def_Flows[Flow_ID],,0,)</f>
        <v>#N/A</v>
      </c>
      <c r="Q9" s="50" t="s">
        <v>55</v>
      </c>
      <c r="R9" s="48" t="e">
        <f>_xlfn.XLOOKUP(Q9,Tab_Def_Flows[Name(EN)],Tab_Def_Flows[Flow_ID],,0,)</f>
        <v>#N/A</v>
      </c>
      <c r="S9" s="50" t="s">
        <v>55</v>
      </c>
      <c r="T9" s="48" t="e">
        <f>_xlfn.XLOOKUP(S9,Tab_Def_Flows[Name(EN)],Tab_Def_Flows[Flow_ID],,0,)</f>
        <v>#N/A</v>
      </c>
      <c r="U9" s="50" t="s">
        <v>55</v>
      </c>
      <c r="V9" s="52" t="e">
        <f>_xlfn.XLOOKUP(U9,Tab_Def_Flows[Name(EN)],Tab_Def_Flows[Flow_ID],,0,)</f>
        <v>#N/A</v>
      </c>
      <c r="W9" s="50" t="s">
        <v>529</v>
      </c>
      <c r="X9" s="48" t="str">
        <f>_xlfn.XLOOKUP(W9,Tab_Def_Flows[Name(EN)],Tab_Def_Flows[Flow_ID],,0,)</f>
        <v>F_07_00</v>
      </c>
      <c r="Y9" s="50"/>
      <c r="Z9" s="48" t="e">
        <f>_xlfn.XLOOKUP(Y9,Tab_Def_Flows[Name(EN)],Tab_Def_Flows[Flow_ID],,0,)</f>
        <v>#N/A</v>
      </c>
      <c r="AA9" s="50"/>
      <c r="AB9" s="48" t="e">
        <f>_xlfn.XLOOKUP(AA9,Tab_Def_Flows[Name(EN)],Tab_Def_Flows[Flow_ID],,0,)</f>
        <v>#N/A</v>
      </c>
    </row>
    <row r="10" spans="1:28" x14ac:dyDescent="0.3">
      <c r="A10" s="84" t="b">
        <v>1</v>
      </c>
      <c r="B10" s="99" t="s">
        <v>54</v>
      </c>
      <c r="C10" s="48" t="str">
        <f t="shared" si="0"/>
        <v>08_Ant_</v>
      </c>
      <c r="D10" s="50" t="s">
        <v>109</v>
      </c>
      <c r="E10" s="50"/>
      <c r="F10" s="50"/>
      <c r="G10" s="50"/>
      <c r="H10" s="80"/>
      <c r="I10" s="83" t="s">
        <v>106</v>
      </c>
      <c r="J10" s="50" t="s">
        <v>84</v>
      </c>
      <c r="K10" s="50" t="s">
        <v>84</v>
      </c>
      <c r="L10" s="85" t="s">
        <v>44</v>
      </c>
      <c r="M10" s="50" t="s">
        <v>55</v>
      </c>
      <c r="N10" s="48" t="e">
        <f>_xlfn.XLOOKUP(M10,Tab_Def_Flows[Name(EN)],Tab_Def_Flows[Flow_ID],,0,)</f>
        <v>#N/A</v>
      </c>
      <c r="O10" s="50" t="s">
        <v>55</v>
      </c>
      <c r="P10" s="48" t="e">
        <f>_xlfn.XLOOKUP(O10,Tab_Def_Flows[Name(EN)],Tab_Def_Flows[Flow_ID],,0,)</f>
        <v>#N/A</v>
      </c>
      <c r="Q10" s="50" t="s">
        <v>55</v>
      </c>
      <c r="R10" s="48" t="e">
        <f>_xlfn.XLOOKUP(Q10,Tab_Def_Flows[Name(EN)],Tab_Def_Flows[Flow_ID],,0,)</f>
        <v>#N/A</v>
      </c>
      <c r="S10" s="50" t="s">
        <v>55</v>
      </c>
      <c r="T10" s="48" t="e">
        <f>_xlfn.XLOOKUP(S10,Tab_Def_Flows[Name(EN)],Tab_Def_Flows[Flow_ID],,0,)</f>
        <v>#N/A</v>
      </c>
      <c r="U10" s="50" t="s">
        <v>55</v>
      </c>
      <c r="V10" s="58" t="e">
        <f>_xlfn.XLOOKUP(U10,Tab_Def_Flows[Name(EN)],Tab_Def_Flows[Flow_ID],,0,)</f>
        <v>#N/A</v>
      </c>
      <c r="W10" s="50"/>
      <c r="X10" s="48" t="e">
        <f>_xlfn.XLOOKUP(W10,Tab_Def_Flows[Name(EN)],Tab_Def_Flows[Flow_ID],,0,)</f>
        <v>#N/A</v>
      </c>
      <c r="Y10" s="50"/>
      <c r="Z10" s="48" t="e">
        <f>_xlfn.XLOOKUP(Y10,Tab_Def_Flows[Name(EN)],Tab_Def_Flows[Flow_ID],,0,)</f>
        <v>#N/A</v>
      </c>
      <c r="AA10" s="50"/>
      <c r="AB10" s="48" t="e">
        <f>_xlfn.XLOOKUP(AA10,Tab_Def_Flows[Name(EN)],Tab_Def_Flows[Flow_ID],,0,)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2C5B0F1E-89DB-490F-A576-ABEBF4D98051}">
          <x14:formula1>
            <xm:f>'4_1 Codelists'!$O$4:$O$5</xm:f>
          </x14:formula1>
          <xm:sqref>J2:L10</xm:sqref>
        </x14:dataValidation>
        <x14:dataValidation type="list" allowBlank="1" showInputMessage="1" showErrorMessage="1" xr:uid="{56152067-6CEA-441E-B290-B5CA24D3608F}">
          <x14:formula1>
            <xm:f>'4_1 Codelists'!$K$4:$K$9</xm:f>
          </x14:formula1>
          <xm:sqref>F2:F10</xm:sqref>
        </x14:dataValidation>
        <x14:dataValidation type="list" allowBlank="1" showInputMessage="1" showErrorMessage="1" xr:uid="{0B6559FC-6BA5-474A-9290-C66996DA9F0D}">
          <x14:formula1>
            <xm:f>'4_1 Codelists'!$G$4:$G$8</xm:f>
          </x14:formula1>
          <xm:sqref>G2:G10</xm:sqref>
        </x14:dataValidation>
        <x14:dataValidation type="list" allowBlank="1" showInputMessage="1" showErrorMessage="1" xr:uid="{352DC256-B5CA-4775-B41E-D06A6C1541F5}">
          <x14:formula1>
            <xm:f>'4_1 Codelists'!$C$16:$C$18</xm:f>
          </x14:formula1>
          <xm:sqref>I2:I10</xm:sqref>
        </x14:dataValidation>
        <x14:dataValidation type="list" allowBlank="1" showInputMessage="1" showErrorMessage="1" xr:uid="{291A32E8-7F61-4A8B-A05D-9A0A09455503}">
          <x14:formula1>
            <xm:f>'1_1_Definition_Flows'!$D$12:$D$15</xm:f>
          </x14:formula1>
          <xm:sqref>Y1 M2:M10 O1:O1048576 Q1:Q1048576 U1:U1048576 S1:S1048576</xm:sqref>
        </x14:dataValidation>
        <x14:dataValidation type="list" allowBlank="1" showInputMessage="1" showErrorMessage="1" xr:uid="{8DF3ECE9-D30E-4FE2-972E-2E3AB2A320AE}">
          <x14:formula1>
            <xm:f>'1_1_Definition_Flows'!$D$2:$D$15</xm:f>
          </x14:formula1>
          <xm:sqref>Y2:Y10 AA2:AA10</xm:sqref>
        </x14:dataValidation>
        <x14:dataValidation type="list" allowBlank="1" showInputMessage="1" showErrorMessage="1" xr:uid="{A39CB916-FBC1-4098-9A3A-58152EE429B6}">
          <x14:formula1>
            <xm:f>'1_1_Definition_Flows'!$D$2:$D$16</xm:f>
          </x14:formula1>
          <xm:sqref>W2:W10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128"/>
  <sheetViews>
    <sheetView zoomScale="81" zoomScaleNormal="100" workbookViewId="0">
      <selection activeCell="X11" sqref="X11"/>
    </sheetView>
  </sheetViews>
  <sheetFormatPr baseColWidth="10" defaultColWidth="10.77734375" defaultRowHeight="14.4" x14ac:dyDescent="0.3"/>
  <cols>
    <col min="2" max="2" width="9.77734375" bestFit="1" customWidth="1"/>
    <col min="3" max="3" width="11.109375" bestFit="1" customWidth="1"/>
    <col min="4" max="4" width="15.44140625" hidden="1" customWidth="1"/>
    <col min="5" max="5" width="14.44140625" hidden="1" customWidth="1"/>
    <col min="6" max="6" width="16" hidden="1" customWidth="1"/>
    <col min="7" max="7" width="26.44140625" hidden="1" customWidth="1"/>
    <col min="8" max="9" width="18.109375" hidden="1" customWidth="1"/>
    <col min="10" max="12" width="6.44140625" hidden="1" customWidth="1"/>
    <col min="13" max="13" width="11.44140625" bestFit="1" customWidth="1"/>
    <col min="14" max="14" width="17" hidden="1" customWidth="1"/>
    <col min="15" max="15" width="16.44140625" customWidth="1"/>
    <col min="16" max="16" width="17.44140625" customWidth="1"/>
    <col min="17" max="17" width="28.109375" hidden="1" customWidth="1"/>
    <col min="18" max="18" width="0" hidden="1" customWidth="1"/>
    <col min="19" max="19" width="50.44140625" hidden="1" customWidth="1"/>
    <col min="20" max="20" width="22.77734375" hidden="1" customWidth="1"/>
    <col min="21" max="21" width="16.44140625" hidden="1" customWidth="1"/>
    <col min="22" max="22" width="15.77734375" hidden="1" customWidth="1"/>
    <col min="23" max="23" width="8.77734375" hidden="1" customWidth="1"/>
    <col min="24" max="24" width="14.109375" customWidth="1"/>
    <col min="25" max="25" width="6.44140625" customWidth="1"/>
    <col min="26" max="26" width="19.109375" customWidth="1"/>
    <col min="27" max="27" width="15.44140625" customWidth="1"/>
    <col min="28" max="29" width="15.109375" customWidth="1"/>
    <col min="30" max="30" width="14.109375" customWidth="1"/>
    <col min="31" max="31" width="19.77734375" customWidth="1"/>
    <col min="32" max="32" width="19.77734375" style="101" customWidth="1"/>
    <col min="33" max="33" width="16.44140625" customWidth="1"/>
    <col min="34" max="35" width="19.77734375" customWidth="1"/>
    <col min="36" max="36" width="15.44140625" customWidth="1"/>
    <col min="37" max="37" width="19" style="48" customWidth="1"/>
  </cols>
  <sheetData>
    <row r="1" spans="1:37" x14ac:dyDescent="0.3">
      <c r="A1" s="11" t="s">
        <v>21</v>
      </c>
      <c r="B1" s="12" t="s">
        <v>22</v>
      </c>
      <c r="C1" t="s">
        <v>23</v>
      </c>
      <c r="D1" s="12" t="s">
        <v>25</v>
      </c>
      <c r="E1" s="47" t="s">
        <v>27</v>
      </c>
      <c r="F1" s="47" t="s">
        <v>28</v>
      </c>
      <c r="G1" s="47" t="s">
        <v>29</v>
      </c>
      <c r="H1" s="47" t="s">
        <v>30</v>
      </c>
      <c r="I1" s="47" t="s">
        <v>56</v>
      </c>
      <c r="J1" s="20" t="s">
        <v>32</v>
      </c>
      <c r="K1" s="21" t="s">
        <v>33</v>
      </c>
      <c r="L1" s="22" t="s">
        <v>34</v>
      </c>
      <c r="M1" t="s">
        <v>57</v>
      </c>
      <c r="N1" t="s">
        <v>58</v>
      </c>
      <c r="O1" t="s">
        <v>59</v>
      </c>
      <c r="P1" t="s">
        <v>60</v>
      </c>
      <c r="Q1" t="s">
        <v>61</v>
      </c>
      <c r="R1" t="s">
        <v>62</v>
      </c>
      <c r="S1" t="s">
        <v>63</v>
      </c>
      <c r="T1" t="s">
        <v>64</v>
      </c>
      <c r="U1" t="s">
        <v>65</v>
      </c>
      <c r="V1" t="s">
        <v>66</v>
      </c>
      <c r="W1" t="s">
        <v>67</v>
      </c>
      <c r="X1" t="s">
        <v>68</v>
      </c>
      <c r="Y1" t="s">
        <v>69</v>
      </c>
      <c r="Z1" t="s">
        <v>70</v>
      </c>
      <c r="AA1" t="s">
        <v>71</v>
      </c>
      <c r="AB1" t="s">
        <v>72</v>
      </c>
      <c r="AC1" t="s">
        <v>73</v>
      </c>
      <c r="AD1" t="s">
        <v>74</v>
      </c>
      <c r="AE1" t="s">
        <v>75</v>
      </c>
      <c r="AF1" s="73" t="s">
        <v>76</v>
      </c>
      <c r="AG1" t="s">
        <v>77</v>
      </c>
      <c r="AH1" t="s">
        <v>78</v>
      </c>
      <c r="AI1" t="s">
        <v>79</v>
      </c>
      <c r="AJ1" t="s">
        <v>80</v>
      </c>
      <c r="AK1" t="s">
        <v>81</v>
      </c>
    </row>
    <row r="2" spans="1:37" x14ac:dyDescent="0.3">
      <c r="A2" s="57">
        <f t="shared" ref="A2:A64" si="0">ROW()-1</f>
        <v>1</v>
      </c>
      <c r="B2" s="48" t="str">
        <f>_xlfn.XLOOKUP(C2,Tab_Def_Flows[Name(EN)],Tab_Def_Flows[Flow_ID],,0,)</f>
        <v>F_00_01</v>
      </c>
      <c r="C2" s="50" t="s">
        <v>107</v>
      </c>
      <c r="D2" s="48">
        <f>_xlfn.XLOOKUP(C2,Tab_Def_Flows[Name(EN)],Tab_Def_Flows[Type_Biomass],,0,)</f>
        <v>0</v>
      </c>
      <c r="E2" s="48" t="str">
        <f>_xlfn.XLOOKUP(C2,Tab_Def_Flows[Name(EN)],Tab_Def_Flows[Output_Process],,0,)</f>
        <v>Biosphere</v>
      </c>
      <c r="F2" s="48" t="str">
        <f>_xlfn.XLOOKUP(C2,Tab_Def_Flows[Name(EN)],Tab_Def_Flows[Process_ID_O],,0,)</f>
        <v>00_Bio_</v>
      </c>
      <c r="G2" s="48" t="str">
        <f>_xlfn.XLOOKUP(C2,Tab_Def_Flows[Name(EN)],Tab_Def_Flows[Input_Process],,0,)</f>
        <v>Raw Material Extraction</v>
      </c>
      <c r="H2" s="58" t="str">
        <f>_xlfn.XLOOKUP(C2,Tab_Def_Flows[Name(EN)],Tab_Def_Flows[Process_ID_I],,0,)</f>
        <v>01_Raw_</v>
      </c>
      <c r="I2" s="58">
        <f>_xlfn.XLOOKUP(C2,Tab_Def_Flows[Name(EN)],Tab_Def_Flows[Value_Source],,0,)</f>
        <v>0</v>
      </c>
      <c r="J2" s="58" t="str">
        <f>_xlfn.XLOOKUP(C2,Tab_Def_Flows[Name(EN)],Tab_Def_Flows[WC?],,0,)</f>
        <v>Yes</v>
      </c>
      <c r="K2" s="58" t="str">
        <f>_xlfn.XLOOKUP(C2,Tab_Def_Flows[Name(EN)],Tab_Def_Flows[DM?],,0,)</f>
        <v>Yes</v>
      </c>
      <c r="L2" s="58" t="str">
        <f>_xlfn.XLOOKUP(C2,Tab_Def_Flows[Name(EN)],Tab_Def_Flows[CC?],,0,)</f>
        <v>Yes</v>
      </c>
      <c r="M2" s="50">
        <v>1920</v>
      </c>
      <c r="N2" s="50" t="s">
        <v>82</v>
      </c>
      <c r="O2" s="104">
        <v>1857.6</v>
      </c>
      <c r="P2" s="50" t="s">
        <v>85</v>
      </c>
      <c r="Q2" s="50" t="s">
        <v>83</v>
      </c>
      <c r="R2" s="50"/>
      <c r="S2" s="50"/>
      <c r="T2" s="50"/>
      <c r="U2" s="50"/>
      <c r="V2" s="50"/>
      <c r="W2" s="50"/>
      <c r="X2" s="50" t="s">
        <v>84</v>
      </c>
      <c r="Y2" s="94"/>
      <c r="Z2" s="50"/>
      <c r="AA2" s="77">
        <f t="shared" ref="AA2:AA25" si="1">IF(X2="no",O2,O2*Y2)</f>
        <v>1857.6</v>
      </c>
      <c r="AB2" s="50" t="s">
        <v>85</v>
      </c>
      <c r="AC2" s="97">
        <f>INDEX(Tab_Def_Flows[[Flow_ID]:[CC_DM_source]],MATCH(Tab_Data_Flows[[#This Row],[Name(EN)]],Tab_Def_Flows[Name(EN)],0),14)</f>
        <v>0</v>
      </c>
      <c r="AD2" s="98">
        <f>IF(J2="Yes",AA2*Tab_Data_Flows[[#This Row],[WC_'[%']]],"N.A.")</f>
        <v>0</v>
      </c>
      <c r="AE2" s="58" t="str">
        <f>Tab_Data_Flows[[#This Row],[UoM_Flow_Py]]</f>
        <v>Mg</v>
      </c>
      <c r="AF2" s="97">
        <f>INDEX(Tab_Def_Flows[[Flow_ID]:[CC_DM_source]],MATCH(Tab_Data_Flows[[#This Row],[Name(EN)]],Tab_Def_Flows[Name(EN)],0),16)</f>
        <v>1</v>
      </c>
      <c r="AG2" s="98">
        <f>IF(K2="Yes",AF2*Tab_Data_Flows[[#This Row],[Flow_Py]],"N.A.")</f>
        <v>1857.6</v>
      </c>
      <c r="AH2" s="58" t="str">
        <f>Tab_Data_Flows[[#This Row],[UoM_Flow_Py]]</f>
        <v>Mg</v>
      </c>
      <c r="AI2" s="97">
        <f>INDEX(Tab_Def_Flows[[Flow_ID]:[CC_DM_source]],MATCH(Tab_Data_Flows[[#This Row],[Name(EN)]],Tab_Def_Flows[Name(EN)],0),18)</f>
        <v>0.5</v>
      </c>
      <c r="AJ2" s="98">
        <f>IF(L2="Yes",AI2*Tab_Data_Flows[[#This Row],[Flow_Py]]*Tab_Data_Flows[[#This Row],[DM_'[%']]],"N.A.")</f>
        <v>928.8</v>
      </c>
      <c r="AK2" s="58" t="str">
        <f>Tab_Data_Flows[[#This Row],[UoM_Flow_Py]]</f>
        <v>Mg</v>
      </c>
    </row>
    <row r="3" spans="1:37" x14ac:dyDescent="0.3">
      <c r="A3" s="57">
        <f t="shared" si="0"/>
        <v>2</v>
      </c>
      <c r="B3" s="48" t="str">
        <f>_xlfn.XLOOKUP(C3,Tab_Def_Flows[Name(EN)],Tab_Def_Flows[Flow_ID],,0,)</f>
        <v>F_00_01</v>
      </c>
      <c r="C3" s="50" t="s">
        <v>107</v>
      </c>
      <c r="D3" s="48">
        <f>_xlfn.XLOOKUP(C3,Tab_Def_Flows[Name(EN)],Tab_Def_Flows[Type_Biomass],,0,)</f>
        <v>0</v>
      </c>
      <c r="E3" s="48" t="str">
        <f>_xlfn.XLOOKUP(C3,Tab_Def_Flows[Name(EN)],Tab_Def_Flows[Output_Process],,0,)</f>
        <v>Biosphere</v>
      </c>
      <c r="F3" s="48" t="str">
        <f>_xlfn.XLOOKUP(C3,Tab_Def_Flows[Name(EN)],Tab_Def_Flows[Process_ID_O],,0,)</f>
        <v>00_Bio_</v>
      </c>
      <c r="G3" s="48" t="str">
        <f>_xlfn.XLOOKUP(C3,Tab_Def_Flows[Name(EN)],Tab_Def_Flows[Input_Process],,0,)</f>
        <v>Raw Material Extraction</v>
      </c>
      <c r="H3" s="58" t="str">
        <f>_xlfn.XLOOKUP(C3,Tab_Def_Flows[Name(EN)],Tab_Def_Flows[Process_ID_I],,0,)</f>
        <v>01_Raw_</v>
      </c>
      <c r="I3" s="58">
        <f>_xlfn.XLOOKUP(C3,Tab_Def_Flows[Name(EN)],Tab_Def_Flows[Value_Source],,0,)</f>
        <v>0</v>
      </c>
      <c r="J3" s="58" t="str">
        <f>_xlfn.XLOOKUP(C3,Tab_Def_Flows[Name(EN)],Tab_Def_Flows[WC?],,0,)</f>
        <v>Yes</v>
      </c>
      <c r="K3" s="58" t="str">
        <f>_xlfn.XLOOKUP(C3,Tab_Def_Flows[Name(EN)],Tab_Def_Flows[DM?],,0,)</f>
        <v>Yes</v>
      </c>
      <c r="L3" s="58" t="str">
        <f>_xlfn.XLOOKUP(C3,Tab_Def_Flows[Name(EN)],Tab_Def_Flows[CC?],,0,)</f>
        <v>Yes</v>
      </c>
      <c r="M3" s="50">
        <v>1921</v>
      </c>
      <c r="N3" s="50"/>
      <c r="O3" s="104">
        <v>173.6</v>
      </c>
      <c r="P3" s="50" t="s">
        <v>85</v>
      </c>
      <c r="Q3" s="50" t="s">
        <v>83</v>
      </c>
      <c r="R3" s="50"/>
      <c r="S3" s="50"/>
      <c r="T3" s="50"/>
      <c r="U3" s="50"/>
      <c r="V3" s="50"/>
      <c r="W3" s="50"/>
      <c r="X3" s="50" t="s">
        <v>84</v>
      </c>
      <c r="Y3" s="94"/>
      <c r="Z3" s="50"/>
      <c r="AA3" s="77">
        <f t="shared" si="1"/>
        <v>173.6</v>
      </c>
      <c r="AB3" s="50" t="s">
        <v>85</v>
      </c>
      <c r="AC3" s="97">
        <f>INDEX(Tab_Def_Flows[[Flow_ID]:[CC_DM_source]],MATCH(Tab_Data_Flows[[#This Row],[Name(EN)]],Tab_Def_Flows[Name(EN)],0),14)</f>
        <v>0</v>
      </c>
      <c r="AD3" s="98">
        <f>IF(J3="Yes",AA3*Tab_Data_Flows[[#This Row],[WC_'[%']]],"N.A.")</f>
        <v>0</v>
      </c>
      <c r="AE3" s="58" t="str">
        <f>Tab_Data_Flows[[#This Row],[UoM_Flow_Py]]</f>
        <v>Mg</v>
      </c>
      <c r="AF3" s="97">
        <f>INDEX(Tab_Def_Flows[[Flow_ID]:[CC_DM_source]],MATCH(Tab_Data_Flows[[#This Row],[Name(EN)]],Tab_Def_Flows[Name(EN)],0),16)</f>
        <v>1</v>
      </c>
      <c r="AG3" s="98">
        <f>IF(K3="Yes",AF3*Tab_Data_Flows[[#This Row],[Flow_Py]],"N.A.")</f>
        <v>173.6</v>
      </c>
      <c r="AH3" s="58" t="str">
        <f>Tab_Data_Flows[[#This Row],[UoM_Flow_Py]]</f>
        <v>Mg</v>
      </c>
      <c r="AI3" s="97">
        <f>INDEX(Tab_Def_Flows[[Flow_ID]:[CC_DM_source]],MATCH(Tab_Data_Flows[[#This Row],[Name(EN)]],Tab_Def_Flows[Name(EN)],0),18)</f>
        <v>0.5</v>
      </c>
      <c r="AJ3" s="98">
        <f>IF(L3="Yes",AI3*Tab_Data_Flows[[#This Row],[Flow_Py]]*Tab_Data_Flows[[#This Row],[DM_'[%']]],"N.A.")</f>
        <v>86.8</v>
      </c>
      <c r="AK3" s="58" t="str">
        <f>Tab_Data_Flows[[#This Row],[UoM_Flow_Py]]</f>
        <v>Mg</v>
      </c>
    </row>
    <row r="4" spans="1:37" x14ac:dyDescent="0.3">
      <c r="A4" s="57">
        <f t="shared" si="0"/>
        <v>3</v>
      </c>
      <c r="B4" s="48" t="str">
        <f>_xlfn.XLOOKUP(C4,Tab_Def_Flows[Name(EN)],Tab_Def_Flows[Flow_ID],,0,)</f>
        <v>F_00_01</v>
      </c>
      <c r="C4" s="50" t="s">
        <v>107</v>
      </c>
      <c r="D4" s="48">
        <f>_xlfn.XLOOKUP(C4,Tab_Def_Flows[Name(EN)],Tab_Def_Flows[Type_Biomass],,0,)</f>
        <v>0</v>
      </c>
      <c r="E4" s="48" t="str">
        <f>_xlfn.XLOOKUP(C4,Tab_Def_Flows[Name(EN)],Tab_Def_Flows[Output_Process],,0,)</f>
        <v>Biosphere</v>
      </c>
      <c r="F4" s="48" t="str">
        <f>_xlfn.XLOOKUP(C4,Tab_Def_Flows[Name(EN)],Tab_Def_Flows[Process_ID_O],,0,)</f>
        <v>00_Bio_</v>
      </c>
      <c r="G4" s="48" t="str">
        <f>_xlfn.XLOOKUP(C4,Tab_Def_Flows[Name(EN)],Tab_Def_Flows[Input_Process],,0,)</f>
        <v>Raw Material Extraction</v>
      </c>
      <c r="H4" s="58" t="str">
        <f>_xlfn.XLOOKUP(C4,Tab_Def_Flows[Name(EN)],Tab_Def_Flows[Process_ID_I],,0,)</f>
        <v>01_Raw_</v>
      </c>
      <c r="I4" s="58">
        <f>_xlfn.XLOOKUP(C4,Tab_Def_Flows[Name(EN)],Tab_Def_Flows[Value_Source],,0,)</f>
        <v>0</v>
      </c>
      <c r="J4" s="58" t="str">
        <f>_xlfn.XLOOKUP(C4,Tab_Def_Flows[Name(EN)],Tab_Def_Flows[WC?],,0,)</f>
        <v>Yes</v>
      </c>
      <c r="K4" s="58" t="str">
        <f>_xlfn.XLOOKUP(C4,Tab_Def_Flows[Name(EN)],Tab_Def_Flows[DM?],,0,)</f>
        <v>Yes</v>
      </c>
      <c r="L4" s="58" t="str">
        <f>_xlfn.XLOOKUP(C4,Tab_Def_Flows[Name(EN)],Tab_Def_Flows[CC?],,0,)</f>
        <v>Yes</v>
      </c>
      <c r="M4" s="50">
        <v>1922</v>
      </c>
      <c r="N4" s="50"/>
      <c r="O4" s="104">
        <v>186.4</v>
      </c>
      <c r="P4" s="50" t="s">
        <v>85</v>
      </c>
      <c r="Q4" s="50" t="s">
        <v>83</v>
      </c>
      <c r="R4" s="50"/>
      <c r="S4" s="50"/>
      <c r="T4" s="50"/>
      <c r="U4" s="50"/>
      <c r="V4" s="50"/>
      <c r="W4" s="50"/>
      <c r="X4" s="50" t="s">
        <v>84</v>
      </c>
      <c r="Y4" s="94"/>
      <c r="Z4" s="50"/>
      <c r="AA4" s="77">
        <f t="shared" si="1"/>
        <v>186.4</v>
      </c>
      <c r="AB4" s="50" t="s">
        <v>85</v>
      </c>
      <c r="AC4" s="97">
        <f>INDEX(Tab_Def_Flows[[Flow_ID]:[CC_DM_source]],MATCH(Tab_Data_Flows[[#This Row],[Name(EN)]],Tab_Def_Flows[Name(EN)],0),14)</f>
        <v>0</v>
      </c>
      <c r="AD4" s="98">
        <f>IF(J4="Yes",AA4*Tab_Data_Flows[[#This Row],[WC_'[%']]],"N.A.")</f>
        <v>0</v>
      </c>
      <c r="AE4" s="58" t="str">
        <f>Tab_Data_Flows[[#This Row],[UoM_Flow_Py]]</f>
        <v>Mg</v>
      </c>
      <c r="AF4" s="97">
        <f>INDEX(Tab_Def_Flows[[Flow_ID]:[CC_DM_source]],MATCH(Tab_Data_Flows[[#This Row],[Name(EN)]],Tab_Def_Flows[Name(EN)],0),16)</f>
        <v>1</v>
      </c>
      <c r="AG4" s="98">
        <f>IF(K4="Yes",AF4*Tab_Data_Flows[[#This Row],[Flow_Py]],"N.A.")</f>
        <v>186.4</v>
      </c>
      <c r="AH4" s="58" t="str">
        <f>Tab_Data_Flows[[#This Row],[UoM_Flow_Py]]</f>
        <v>Mg</v>
      </c>
      <c r="AI4" s="97">
        <f>INDEX(Tab_Def_Flows[[Flow_ID]:[CC_DM_source]],MATCH(Tab_Data_Flows[[#This Row],[Name(EN)]],Tab_Def_Flows[Name(EN)],0),18)</f>
        <v>0.5</v>
      </c>
      <c r="AJ4" s="98">
        <f>IF(L4="Yes",AI4*Tab_Data_Flows[[#This Row],[Flow_Py]]*Tab_Data_Flows[[#This Row],[DM_'[%']]],"N.A.")</f>
        <v>93.2</v>
      </c>
      <c r="AK4" s="58" t="str">
        <f>Tab_Data_Flows[[#This Row],[UoM_Flow_Py]]</f>
        <v>Mg</v>
      </c>
    </row>
    <row r="5" spans="1:37" x14ac:dyDescent="0.3">
      <c r="A5" s="57">
        <f t="shared" si="0"/>
        <v>4</v>
      </c>
      <c r="B5" s="48" t="str">
        <f>_xlfn.XLOOKUP(C5,Tab_Def_Flows[Name(EN)],Tab_Def_Flows[Flow_ID],,0,)</f>
        <v>F_00_01</v>
      </c>
      <c r="C5" s="50" t="s">
        <v>107</v>
      </c>
      <c r="D5" s="48">
        <f>_xlfn.XLOOKUP(C5,Tab_Def_Flows[Name(EN)],Tab_Def_Flows[Type_Biomass],,0,)</f>
        <v>0</v>
      </c>
      <c r="E5" s="48" t="str">
        <f>_xlfn.XLOOKUP(C5,Tab_Def_Flows[Name(EN)],Tab_Def_Flows[Output_Process],,0,)</f>
        <v>Biosphere</v>
      </c>
      <c r="F5" s="48" t="str">
        <f>_xlfn.XLOOKUP(C5,Tab_Def_Flows[Name(EN)],Tab_Def_Flows[Process_ID_O],,0,)</f>
        <v>00_Bio_</v>
      </c>
      <c r="G5" s="48" t="str">
        <f>_xlfn.XLOOKUP(C5,Tab_Def_Flows[Name(EN)],Tab_Def_Flows[Input_Process],,0,)</f>
        <v>Raw Material Extraction</v>
      </c>
      <c r="H5" s="58" t="str">
        <f>_xlfn.XLOOKUP(C5,Tab_Def_Flows[Name(EN)],Tab_Def_Flows[Process_ID_I],,0,)</f>
        <v>01_Raw_</v>
      </c>
      <c r="I5" s="58">
        <f>_xlfn.XLOOKUP(C5,Tab_Def_Flows[Name(EN)],Tab_Def_Flows[Value_Source],,0,)</f>
        <v>0</v>
      </c>
      <c r="J5" s="58" t="str">
        <f>_xlfn.XLOOKUP(C5,Tab_Def_Flows[Name(EN)],Tab_Def_Flows[WC?],,0,)</f>
        <v>Yes</v>
      </c>
      <c r="K5" s="58" t="str">
        <f>_xlfn.XLOOKUP(C5,Tab_Def_Flows[Name(EN)],Tab_Def_Flows[DM?],,0,)</f>
        <v>Yes</v>
      </c>
      <c r="L5" s="58" t="str">
        <f>_xlfn.XLOOKUP(C5,Tab_Def_Flows[Name(EN)],Tab_Def_Flows[CC?],,0,)</f>
        <v>Yes</v>
      </c>
      <c r="M5" s="50">
        <v>1923</v>
      </c>
      <c r="N5" s="50"/>
      <c r="O5" s="104">
        <v>173.6</v>
      </c>
      <c r="P5" s="50" t="s">
        <v>85</v>
      </c>
      <c r="Q5" s="50" t="s">
        <v>83</v>
      </c>
      <c r="R5" s="50"/>
      <c r="S5" s="50"/>
      <c r="T5" s="50"/>
      <c r="U5" s="50"/>
      <c r="V5" s="50"/>
      <c r="W5" s="50"/>
      <c r="X5" s="50" t="s">
        <v>84</v>
      </c>
      <c r="Y5" s="94"/>
      <c r="Z5" s="50"/>
      <c r="AA5" s="77">
        <f t="shared" si="1"/>
        <v>173.6</v>
      </c>
      <c r="AB5" s="50" t="s">
        <v>85</v>
      </c>
      <c r="AC5" s="97">
        <f>INDEX(Tab_Def_Flows[[Flow_ID]:[CC_DM_source]],MATCH(Tab_Data_Flows[[#This Row],[Name(EN)]],Tab_Def_Flows[Name(EN)],0),14)</f>
        <v>0</v>
      </c>
      <c r="AD5" s="98">
        <f>IF(J5="Yes",AA5*Tab_Data_Flows[[#This Row],[WC_'[%']]],"N.A.")</f>
        <v>0</v>
      </c>
      <c r="AE5" s="58" t="str">
        <f>Tab_Data_Flows[[#This Row],[UoM_Flow_Py]]</f>
        <v>Mg</v>
      </c>
      <c r="AF5" s="97">
        <f>INDEX(Tab_Def_Flows[[Flow_ID]:[CC_DM_source]],MATCH(Tab_Data_Flows[[#This Row],[Name(EN)]],Tab_Def_Flows[Name(EN)],0),16)</f>
        <v>1</v>
      </c>
      <c r="AG5" s="98">
        <f>IF(K5="Yes",AF5*Tab_Data_Flows[[#This Row],[Flow_Py]],"N.A.")</f>
        <v>173.6</v>
      </c>
      <c r="AH5" s="58" t="str">
        <f>Tab_Data_Flows[[#This Row],[UoM_Flow_Py]]</f>
        <v>Mg</v>
      </c>
      <c r="AI5" s="97">
        <f>INDEX(Tab_Def_Flows[[Flow_ID]:[CC_DM_source]],MATCH(Tab_Data_Flows[[#This Row],[Name(EN)]],Tab_Def_Flows[Name(EN)],0),18)</f>
        <v>0.5</v>
      </c>
      <c r="AJ5" s="98">
        <f>IF(L5="Yes",AI5*Tab_Data_Flows[[#This Row],[Flow_Py]]*Tab_Data_Flows[[#This Row],[DM_'[%']]],"N.A.")</f>
        <v>86.8</v>
      </c>
      <c r="AK5" s="58" t="str">
        <f>Tab_Data_Flows[[#This Row],[UoM_Flow_Py]]</f>
        <v>Mg</v>
      </c>
    </row>
    <row r="6" spans="1:37" x14ac:dyDescent="0.3">
      <c r="A6" s="57">
        <f t="shared" si="0"/>
        <v>5</v>
      </c>
      <c r="B6" s="48" t="str">
        <f>_xlfn.XLOOKUP(C6,Tab_Def_Flows[Name(EN)],Tab_Def_Flows[Flow_ID],,0,)</f>
        <v>F_00_01</v>
      </c>
      <c r="C6" s="50" t="s">
        <v>107</v>
      </c>
      <c r="D6" s="48">
        <f>_xlfn.XLOOKUP(C6,Tab_Def_Flows[Name(EN)],Tab_Def_Flows[Type_Biomass],,0,)</f>
        <v>0</v>
      </c>
      <c r="E6" s="48" t="str">
        <f>_xlfn.XLOOKUP(C6,Tab_Def_Flows[Name(EN)],Tab_Def_Flows[Output_Process],,0,)</f>
        <v>Biosphere</v>
      </c>
      <c r="F6" s="48" t="str">
        <f>_xlfn.XLOOKUP(C6,Tab_Def_Flows[Name(EN)],Tab_Def_Flows[Process_ID_O],,0,)</f>
        <v>00_Bio_</v>
      </c>
      <c r="G6" s="48" t="str">
        <f>_xlfn.XLOOKUP(C6,Tab_Def_Flows[Name(EN)],Tab_Def_Flows[Input_Process],,0,)</f>
        <v>Raw Material Extraction</v>
      </c>
      <c r="H6" s="58" t="str">
        <f>_xlfn.XLOOKUP(C6,Tab_Def_Flows[Name(EN)],Tab_Def_Flows[Process_ID_I],,0,)</f>
        <v>01_Raw_</v>
      </c>
      <c r="I6" s="58">
        <f>_xlfn.XLOOKUP(C6,Tab_Def_Flows[Name(EN)],Tab_Def_Flows[Value_Source],,0,)</f>
        <v>0</v>
      </c>
      <c r="J6" s="58" t="str">
        <f>_xlfn.XLOOKUP(C6,Tab_Def_Flows[Name(EN)],Tab_Def_Flows[WC?],,0,)</f>
        <v>Yes</v>
      </c>
      <c r="K6" s="58" t="str">
        <f>_xlfn.XLOOKUP(C6,Tab_Def_Flows[Name(EN)],Tab_Def_Flows[DM?],,0,)</f>
        <v>Yes</v>
      </c>
      <c r="L6" s="58" t="str">
        <f>_xlfn.XLOOKUP(C6,Tab_Def_Flows[Name(EN)],Tab_Def_Flows[CC?],,0,)</f>
        <v>Yes</v>
      </c>
      <c r="M6" s="50">
        <v>1924</v>
      </c>
      <c r="N6" s="50"/>
      <c r="O6" s="104">
        <v>115.8</v>
      </c>
      <c r="P6" s="50" t="s">
        <v>85</v>
      </c>
      <c r="Q6" s="50" t="s">
        <v>83</v>
      </c>
      <c r="R6" s="50"/>
      <c r="S6" s="50"/>
      <c r="T6" s="50"/>
      <c r="U6" s="50"/>
      <c r="V6" s="50"/>
      <c r="W6" s="50"/>
      <c r="X6" s="50" t="s">
        <v>84</v>
      </c>
      <c r="Y6" s="94"/>
      <c r="Z6" s="50"/>
      <c r="AA6" s="77">
        <f t="shared" si="1"/>
        <v>115.8</v>
      </c>
      <c r="AB6" s="50" t="s">
        <v>85</v>
      </c>
      <c r="AC6" s="97">
        <f>INDEX(Tab_Def_Flows[[Flow_ID]:[CC_DM_source]],MATCH(Tab_Data_Flows[[#This Row],[Name(EN)]],Tab_Def_Flows[Name(EN)],0),14)</f>
        <v>0</v>
      </c>
      <c r="AD6" s="98">
        <f>IF(J6="Yes",AA6*Tab_Data_Flows[[#This Row],[WC_'[%']]],"N.A.")</f>
        <v>0</v>
      </c>
      <c r="AE6" s="58" t="str">
        <f>Tab_Data_Flows[[#This Row],[UoM_Flow_Py]]</f>
        <v>Mg</v>
      </c>
      <c r="AF6" s="97">
        <f>INDEX(Tab_Def_Flows[[Flow_ID]:[CC_DM_source]],MATCH(Tab_Data_Flows[[#This Row],[Name(EN)]],Tab_Def_Flows[Name(EN)],0),16)</f>
        <v>1</v>
      </c>
      <c r="AG6" s="98">
        <f>IF(K6="Yes",AF6*Tab_Data_Flows[[#This Row],[Flow_Py]],"N.A.")</f>
        <v>115.8</v>
      </c>
      <c r="AH6" s="58" t="str">
        <f>Tab_Data_Flows[[#This Row],[UoM_Flow_Py]]</f>
        <v>Mg</v>
      </c>
      <c r="AI6" s="97">
        <f>INDEX(Tab_Def_Flows[[Flow_ID]:[CC_DM_source]],MATCH(Tab_Data_Flows[[#This Row],[Name(EN)]],Tab_Def_Flows[Name(EN)],0),18)</f>
        <v>0.5</v>
      </c>
      <c r="AJ6" s="98">
        <f>IF(L6="Yes",AI6*Tab_Data_Flows[[#This Row],[Flow_Py]]*Tab_Data_Flows[[#This Row],[DM_'[%']]],"N.A.")</f>
        <v>57.9</v>
      </c>
      <c r="AK6" s="58" t="str">
        <f>Tab_Data_Flows[[#This Row],[UoM_Flow_Py]]</f>
        <v>Mg</v>
      </c>
    </row>
    <row r="7" spans="1:37" x14ac:dyDescent="0.3">
      <c r="A7" s="57">
        <f t="shared" si="0"/>
        <v>6</v>
      </c>
      <c r="B7" s="48" t="str">
        <f>_xlfn.XLOOKUP(C7,Tab_Def_Flows[Name(EN)],Tab_Def_Flows[Flow_ID],,0,)</f>
        <v>F_00_01</v>
      </c>
      <c r="C7" s="50" t="s">
        <v>107</v>
      </c>
      <c r="D7" s="48">
        <f>_xlfn.XLOOKUP(C7,Tab_Def_Flows[Name(EN)],Tab_Def_Flows[Type_Biomass],,0,)</f>
        <v>0</v>
      </c>
      <c r="E7" s="48" t="str">
        <f>_xlfn.XLOOKUP(C7,Tab_Def_Flows[Name(EN)],Tab_Def_Flows[Output_Process],,0,)</f>
        <v>Biosphere</v>
      </c>
      <c r="F7" s="48" t="str">
        <f>_xlfn.XLOOKUP(C7,Tab_Def_Flows[Name(EN)],Tab_Def_Flows[Process_ID_O],,0,)</f>
        <v>00_Bio_</v>
      </c>
      <c r="G7" s="48" t="str">
        <f>_xlfn.XLOOKUP(C7,Tab_Def_Flows[Name(EN)],Tab_Def_Flows[Input_Process],,0,)</f>
        <v>Raw Material Extraction</v>
      </c>
      <c r="H7" s="58" t="str">
        <f>_xlfn.XLOOKUP(C7,Tab_Def_Flows[Name(EN)],Tab_Def_Flows[Process_ID_I],,0,)</f>
        <v>01_Raw_</v>
      </c>
      <c r="I7" s="48">
        <f>_xlfn.XLOOKUP(C7,Tab_Def_Flows[Name(EN)],Tab_Def_Flows[Value_Source],,0,)</f>
        <v>0</v>
      </c>
      <c r="J7" s="48" t="str">
        <f>_xlfn.XLOOKUP(C7,Tab_Def_Flows[Name(EN)],Tab_Def_Flows[WC?],,0,)</f>
        <v>Yes</v>
      </c>
      <c r="K7" s="48" t="str">
        <f>_xlfn.XLOOKUP(C7,Tab_Def_Flows[Name(EN)],Tab_Def_Flows[DM?],,0,)</f>
        <v>Yes</v>
      </c>
      <c r="L7" s="48" t="str">
        <f>_xlfn.XLOOKUP(C7,Tab_Def_Flows[Name(EN)],Tab_Def_Flows[CC?],,0,)</f>
        <v>Yes</v>
      </c>
      <c r="M7" s="50">
        <v>1925</v>
      </c>
      <c r="N7" s="50"/>
      <c r="O7" s="104">
        <v>147.80000000000001</v>
      </c>
      <c r="P7" s="50" t="s">
        <v>85</v>
      </c>
      <c r="Q7" s="50"/>
      <c r="R7" s="50" t="e">
        <f>INDEX(Tab_WC_DM_CC[[Flow_ID]:[CC_source]],MATCH(Tab_Data_Flows[[#This Row],[Name(EN)]],Tab_WC_DM_CC[Name(EN)],0),12)</f>
        <v>#N/A</v>
      </c>
      <c r="S7" s="50" t="e">
        <f>MATCH(Tab_Data_Flows[[#This Row],[Name(EN)]],Tab_WC_DM_CC[Name(EN)],0)</f>
        <v>#N/A</v>
      </c>
      <c r="T7" s="50"/>
      <c r="U7" s="50"/>
      <c r="V7" s="50"/>
      <c r="W7" s="50"/>
      <c r="X7" s="50" t="s">
        <v>84</v>
      </c>
      <c r="Y7" s="50"/>
      <c r="Z7" s="50"/>
      <c r="AA7" s="77">
        <f t="shared" si="1"/>
        <v>147.80000000000001</v>
      </c>
      <c r="AB7" s="50" t="s">
        <v>85</v>
      </c>
      <c r="AC7" s="97">
        <f>INDEX(Tab_Def_Flows[[Flow_ID]:[CC_DM_source]],MATCH(Tab_Data_Flows[[#This Row],[Name(EN)]],Tab_Def_Flows[Name(EN)],0),14)</f>
        <v>0</v>
      </c>
      <c r="AD7" s="98">
        <f>IF(J7="Yes",AA7*Tab_Data_Flows[[#This Row],[WC_'[%']]],"N.A.")</f>
        <v>0</v>
      </c>
      <c r="AE7" s="58" t="str">
        <f>Tab_Data_Flows[[#This Row],[UoM_Flow_Py]]</f>
        <v>Mg</v>
      </c>
      <c r="AF7" s="97">
        <f>INDEX(Tab_Def_Flows[[Flow_ID]:[CC_DM_source]],MATCH(Tab_Data_Flows[[#This Row],[Name(EN)]],Tab_Def_Flows[Name(EN)],0),16)</f>
        <v>1</v>
      </c>
      <c r="AG7" s="98">
        <f>IF(K7="Yes",AF7*Tab_Data_Flows[[#This Row],[Flow_Py]],"N.A.")</f>
        <v>147.80000000000001</v>
      </c>
      <c r="AH7" s="58" t="str">
        <f>Tab_Data_Flows[[#This Row],[UoM_Flow_Py]]</f>
        <v>Mg</v>
      </c>
      <c r="AI7" s="97">
        <f>INDEX(Tab_Def_Flows[[Flow_ID]:[CC_DM_source]],MATCH(Tab_Data_Flows[[#This Row],[Name(EN)]],Tab_Def_Flows[Name(EN)],0),18)</f>
        <v>0.5</v>
      </c>
      <c r="AJ7" s="98">
        <f>IF(L7="Yes",AI7*Tab_Data_Flows[[#This Row],[Flow_Py]]*Tab_Data_Flows[[#This Row],[DM_'[%']]],"N.A.")</f>
        <v>73.900000000000006</v>
      </c>
      <c r="AK7" s="58" t="str">
        <f>Tab_Data_Flows[[#This Row],[UoM_Flow_Py]]</f>
        <v>Mg</v>
      </c>
    </row>
    <row r="8" spans="1:37" x14ac:dyDescent="0.3">
      <c r="A8" s="57">
        <f t="shared" si="0"/>
        <v>7</v>
      </c>
      <c r="B8" s="48" t="str">
        <f>_xlfn.XLOOKUP(C8,Tab_Def_Flows[Name(EN)],Tab_Def_Flows[Flow_ID],,0,)</f>
        <v>F_00_01</v>
      </c>
      <c r="C8" s="50" t="s">
        <v>107</v>
      </c>
      <c r="D8" s="48">
        <f>_xlfn.XLOOKUP(C8,Tab_Def_Flows[Name(EN)],Tab_Def_Flows[Type_Biomass],,0,)</f>
        <v>0</v>
      </c>
      <c r="E8" s="48" t="str">
        <f>_xlfn.XLOOKUP(C8,Tab_Def_Flows[Name(EN)],Tab_Def_Flows[Output_Process],,0,)</f>
        <v>Biosphere</v>
      </c>
      <c r="F8" s="48" t="str">
        <f>_xlfn.XLOOKUP(C8,Tab_Def_Flows[Name(EN)],Tab_Def_Flows[Process_ID_O],,0,)</f>
        <v>00_Bio_</v>
      </c>
      <c r="G8" s="48" t="str">
        <f>_xlfn.XLOOKUP(C8,Tab_Def_Flows[Name(EN)],Tab_Def_Flows[Input_Process],,0,)</f>
        <v>Raw Material Extraction</v>
      </c>
      <c r="H8" s="58" t="str">
        <f>_xlfn.XLOOKUP(C8,Tab_Def_Flows[Name(EN)],Tab_Def_Flows[Process_ID_I],,0,)</f>
        <v>01_Raw_</v>
      </c>
      <c r="I8" s="48">
        <f>_xlfn.XLOOKUP(C8,Tab_Def_Flows[Name(EN)],Tab_Def_Flows[Value_Source],,0,)</f>
        <v>0</v>
      </c>
      <c r="J8" s="48" t="str">
        <f>_xlfn.XLOOKUP(C8,Tab_Def_Flows[Name(EN)],Tab_Def_Flows[WC?],,0,)</f>
        <v>Yes</v>
      </c>
      <c r="K8" s="48" t="str">
        <f>_xlfn.XLOOKUP(C8,Tab_Def_Flows[Name(EN)],Tab_Def_Flows[DM?],,0,)</f>
        <v>Yes</v>
      </c>
      <c r="L8" s="48" t="str">
        <f>_xlfn.XLOOKUP(C8,Tab_Def_Flows[Name(EN)],Tab_Def_Flows[CC?],,0,)</f>
        <v>Yes</v>
      </c>
      <c r="M8" s="50">
        <v>1926</v>
      </c>
      <c r="N8" s="50"/>
      <c r="O8" s="104">
        <v>103</v>
      </c>
      <c r="P8" s="50" t="s">
        <v>85</v>
      </c>
      <c r="Q8" s="50"/>
      <c r="R8" s="50" t="e">
        <f>INDEX(Tab_WC_DM_CC[[Flow_ID]:[CC_source]],MATCH(Tab_Data_Flows[[#This Row],[Name(EN)]],Tab_WC_DM_CC[Name(EN)],0),12)</f>
        <v>#N/A</v>
      </c>
      <c r="S8" s="50" t="e">
        <f>MATCH(Tab_Data_Flows[[#This Row],[Name(EN)]],Tab_WC_DM_CC[Name(EN)],0)</f>
        <v>#N/A</v>
      </c>
      <c r="T8" s="50"/>
      <c r="U8" s="50"/>
      <c r="V8" s="50"/>
      <c r="W8" s="50"/>
      <c r="X8" s="50" t="s">
        <v>84</v>
      </c>
      <c r="Y8" s="50"/>
      <c r="Z8" s="50"/>
      <c r="AA8" s="77">
        <f t="shared" si="1"/>
        <v>103</v>
      </c>
      <c r="AB8" s="50" t="s">
        <v>85</v>
      </c>
      <c r="AC8" s="97">
        <f>INDEX(Tab_Def_Flows[[Flow_ID]:[CC_DM_source]],MATCH(Tab_Data_Flows[[#This Row],[Name(EN)]],Tab_Def_Flows[Name(EN)],0),14)</f>
        <v>0</v>
      </c>
      <c r="AD8" s="98">
        <f>IF(J8="Yes",AA8*Tab_Data_Flows[[#This Row],[WC_'[%']]],"N.A.")</f>
        <v>0</v>
      </c>
      <c r="AE8" s="58" t="str">
        <f>Tab_Data_Flows[[#This Row],[UoM_Flow_Py]]</f>
        <v>Mg</v>
      </c>
      <c r="AF8" s="97">
        <f>INDEX(Tab_Def_Flows[[Flow_ID]:[CC_DM_source]],MATCH(Tab_Data_Flows[[#This Row],[Name(EN)]],Tab_Def_Flows[Name(EN)],0),16)</f>
        <v>1</v>
      </c>
      <c r="AG8" s="98">
        <f>IF(K8="Yes",AF8*Tab_Data_Flows[[#This Row],[Flow_Py]],"N.A.")</f>
        <v>103</v>
      </c>
      <c r="AH8" s="58" t="str">
        <f>Tab_Data_Flows[[#This Row],[UoM_Flow_Py]]</f>
        <v>Mg</v>
      </c>
      <c r="AI8" s="97">
        <f>INDEX(Tab_Def_Flows[[Flow_ID]:[CC_DM_source]],MATCH(Tab_Data_Flows[[#This Row],[Name(EN)]],Tab_Def_Flows[Name(EN)],0),18)</f>
        <v>0.5</v>
      </c>
      <c r="AJ8" s="98">
        <f>IF(L8="Yes",AI8*Tab_Data_Flows[[#This Row],[Flow_Py]]*Tab_Data_Flows[[#This Row],[DM_'[%']]],"N.A.")</f>
        <v>51.5</v>
      </c>
      <c r="AK8" s="58" t="str">
        <f>Tab_Data_Flows[[#This Row],[UoM_Flow_Py]]</f>
        <v>Mg</v>
      </c>
    </row>
    <row r="9" spans="1:37" x14ac:dyDescent="0.3">
      <c r="A9" s="57">
        <f t="shared" si="0"/>
        <v>8</v>
      </c>
      <c r="B9" s="48" t="str">
        <f>_xlfn.XLOOKUP(C9,Tab_Def_Flows[Name(EN)],Tab_Def_Flows[Flow_ID],,0,)</f>
        <v>F_00_01</v>
      </c>
      <c r="C9" s="50" t="s">
        <v>107</v>
      </c>
      <c r="D9" s="48">
        <f>_xlfn.XLOOKUP(C9,Tab_Def_Flows[Name(EN)],Tab_Def_Flows[Type_Biomass],,0,)</f>
        <v>0</v>
      </c>
      <c r="E9" s="48" t="str">
        <f>_xlfn.XLOOKUP(C9,Tab_Def_Flows[Name(EN)],Tab_Def_Flows[Output_Process],,0,)</f>
        <v>Biosphere</v>
      </c>
      <c r="F9" s="48" t="str">
        <f>_xlfn.XLOOKUP(C9,Tab_Def_Flows[Name(EN)],Tab_Def_Flows[Process_ID_O],,0,)</f>
        <v>00_Bio_</v>
      </c>
      <c r="G9" s="48" t="str">
        <f>_xlfn.XLOOKUP(C9,Tab_Def_Flows[Name(EN)],Tab_Def_Flows[Input_Process],,0,)</f>
        <v>Raw Material Extraction</v>
      </c>
      <c r="H9" s="58" t="str">
        <f>_xlfn.XLOOKUP(C9,Tab_Def_Flows[Name(EN)],Tab_Def_Flows[Process_ID_I],,0,)</f>
        <v>01_Raw_</v>
      </c>
      <c r="I9" s="48">
        <f>_xlfn.XLOOKUP(C9,Tab_Def_Flows[Name(EN)],Tab_Def_Flows[Value_Source],,0,)</f>
        <v>0</v>
      </c>
      <c r="J9" s="48" t="str">
        <f>_xlfn.XLOOKUP(C9,Tab_Def_Flows[Name(EN)],Tab_Def_Flows[WC?],,0,)</f>
        <v>Yes</v>
      </c>
      <c r="K9" s="48" t="str">
        <f>_xlfn.XLOOKUP(C9,Tab_Def_Flows[Name(EN)],Tab_Def_Flows[DM?],,0,)</f>
        <v>Yes</v>
      </c>
      <c r="L9" s="48" t="str">
        <f>_xlfn.XLOOKUP(C9,Tab_Def_Flows[Name(EN)],Tab_Def_Flows[CC?],,0,)</f>
        <v>Yes</v>
      </c>
      <c r="M9" s="50">
        <v>1927</v>
      </c>
      <c r="N9" s="50"/>
      <c r="O9" s="104">
        <v>109.2</v>
      </c>
      <c r="P9" s="50" t="s">
        <v>85</v>
      </c>
      <c r="Q9" s="50"/>
      <c r="R9" s="50" t="e">
        <f>INDEX(Tab_WC_DM_CC[[Flow_ID]:[CC_source]],MATCH(Tab_Data_Flows[[#This Row],[Name(EN)]],Tab_WC_DM_CC[Name(EN)],0),12)</f>
        <v>#N/A</v>
      </c>
      <c r="S9" s="50" t="e">
        <f>MATCH(Tab_Data_Flows[[#This Row],[Name(EN)]],Tab_WC_DM_CC[Name(EN)],0)</f>
        <v>#N/A</v>
      </c>
      <c r="T9" s="50"/>
      <c r="U9" s="50"/>
      <c r="V9" s="50"/>
      <c r="W9" s="50"/>
      <c r="X9" s="50" t="s">
        <v>84</v>
      </c>
      <c r="Y9" s="50"/>
      <c r="Z9" s="50"/>
      <c r="AA9" s="77">
        <f t="shared" si="1"/>
        <v>109.2</v>
      </c>
      <c r="AB9" s="50" t="s">
        <v>85</v>
      </c>
      <c r="AC9" s="97">
        <f>INDEX(Tab_Def_Flows[[Flow_ID]:[CC_DM_source]],MATCH(Tab_Data_Flows[[#This Row],[Name(EN)]],Tab_Def_Flows[Name(EN)],0),14)</f>
        <v>0</v>
      </c>
      <c r="AD9" s="98">
        <f>IF(J9="Yes",AA9*Tab_Data_Flows[[#This Row],[WC_'[%']]],"N.A.")</f>
        <v>0</v>
      </c>
      <c r="AE9" s="58" t="str">
        <f>Tab_Data_Flows[[#This Row],[UoM_Flow_Py]]</f>
        <v>Mg</v>
      </c>
      <c r="AF9" s="97">
        <f>INDEX(Tab_Def_Flows[[Flow_ID]:[CC_DM_source]],MATCH(Tab_Data_Flows[[#This Row],[Name(EN)]],Tab_Def_Flows[Name(EN)],0),16)</f>
        <v>1</v>
      </c>
      <c r="AG9" s="98">
        <f>IF(K9="Yes",AF9*Tab_Data_Flows[[#This Row],[Flow_Py]],"N.A.")</f>
        <v>109.2</v>
      </c>
      <c r="AH9" s="58" t="str">
        <f>Tab_Data_Flows[[#This Row],[UoM_Flow_Py]]</f>
        <v>Mg</v>
      </c>
      <c r="AI9" s="97">
        <f>INDEX(Tab_Def_Flows[[Flow_ID]:[CC_DM_source]],MATCH(Tab_Data_Flows[[#This Row],[Name(EN)]],Tab_Def_Flows[Name(EN)],0),18)</f>
        <v>0.5</v>
      </c>
      <c r="AJ9" s="98">
        <f>IF(L9="Yes",AI9*Tab_Data_Flows[[#This Row],[Flow_Py]]*Tab_Data_Flows[[#This Row],[DM_'[%']]],"N.A.")</f>
        <v>54.6</v>
      </c>
      <c r="AK9" s="58" t="str">
        <f>Tab_Data_Flows[[#This Row],[UoM_Flow_Py]]</f>
        <v>Mg</v>
      </c>
    </row>
    <row r="10" spans="1:37" x14ac:dyDescent="0.3">
      <c r="A10" s="57">
        <f t="shared" si="0"/>
        <v>9</v>
      </c>
      <c r="B10" s="48" t="str">
        <f>_xlfn.XLOOKUP(C10,Tab_Def_Flows[Name(EN)],Tab_Def_Flows[Flow_ID],,0,)</f>
        <v>F_00_01</v>
      </c>
      <c r="C10" s="50" t="s">
        <v>107</v>
      </c>
      <c r="D10" s="48">
        <f>_xlfn.XLOOKUP(C10,Tab_Def_Flows[Name(EN)],Tab_Def_Flows[Type_Biomass],,0,)</f>
        <v>0</v>
      </c>
      <c r="E10" s="48" t="str">
        <f>_xlfn.XLOOKUP(C10,Tab_Def_Flows[Name(EN)],Tab_Def_Flows[Output_Process],,0,)</f>
        <v>Biosphere</v>
      </c>
      <c r="F10" s="48" t="str">
        <f>_xlfn.XLOOKUP(C10,Tab_Def_Flows[Name(EN)],Tab_Def_Flows[Process_ID_O],,0,)</f>
        <v>00_Bio_</v>
      </c>
      <c r="G10" s="48" t="str">
        <f>_xlfn.XLOOKUP(C10,Tab_Def_Flows[Name(EN)],Tab_Def_Flows[Input_Process],,0,)</f>
        <v>Raw Material Extraction</v>
      </c>
      <c r="H10" s="58" t="str">
        <f>_xlfn.XLOOKUP(C10,Tab_Def_Flows[Name(EN)],Tab_Def_Flows[Process_ID_I],,0,)</f>
        <v>01_Raw_</v>
      </c>
      <c r="I10" s="48">
        <f>_xlfn.XLOOKUP(C10,Tab_Def_Flows[Name(EN)],Tab_Def_Flows[Value_Source],,0,)</f>
        <v>0</v>
      </c>
      <c r="J10" s="48" t="str">
        <f>_xlfn.XLOOKUP(C10,Tab_Def_Flows[Name(EN)],Tab_Def_Flows[WC?],,0,)</f>
        <v>Yes</v>
      </c>
      <c r="K10" s="48" t="str">
        <f>_xlfn.XLOOKUP(C10,Tab_Def_Flows[Name(EN)],Tab_Def_Flows[DM?],,0,)</f>
        <v>Yes</v>
      </c>
      <c r="L10" s="48" t="str">
        <f>_xlfn.XLOOKUP(C10,Tab_Def_Flows[Name(EN)],Tab_Def_Flows[CC?],,0,)</f>
        <v>Yes</v>
      </c>
      <c r="M10" s="50">
        <v>1928</v>
      </c>
      <c r="N10" s="50"/>
      <c r="O10" s="104">
        <v>77.2</v>
      </c>
      <c r="P10" s="50" t="s">
        <v>85</v>
      </c>
      <c r="Q10" s="50"/>
      <c r="R10" s="50" t="e">
        <f>INDEX(Tab_WC_DM_CC[[Flow_ID]:[CC_source]],MATCH(Tab_Data_Flows[[#This Row],[Name(EN)]],Tab_WC_DM_CC[Name(EN)],0),12)</f>
        <v>#N/A</v>
      </c>
      <c r="S10" s="50" t="e">
        <f>MATCH(Tab_Data_Flows[[#This Row],[Name(EN)]],Tab_WC_DM_CC[Name(EN)],0)</f>
        <v>#N/A</v>
      </c>
      <c r="T10" s="50"/>
      <c r="U10" s="50"/>
      <c r="V10" s="50"/>
      <c r="W10" s="50"/>
      <c r="X10" s="50" t="s">
        <v>84</v>
      </c>
      <c r="Y10" s="50"/>
      <c r="Z10" s="50"/>
      <c r="AA10" s="77">
        <f t="shared" si="1"/>
        <v>77.2</v>
      </c>
      <c r="AB10" s="50" t="s">
        <v>85</v>
      </c>
      <c r="AC10" s="97">
        <f>INDEX(Tab_Def_Flows[[Flow_ID]:[CC_DM_source]],MATCH(Tab_Data_Flows[[#This Row],[Name(EN)]],Tab_Def_Flows[Name(EN)],0),14)</f>
        <v>0</v>
      </c>
      <c r="AD10" s="98">
        <f>IF(J10="Yes",AA10*Tab_Data_Flows[[#This Row],[WC_'[%']]],"N.A.")</f>
        <v>0</v>
      </c>
      <c r="AE10" s="58" t="str">
        <f>Tab_Data_Flows[[#This Row],[UoM_Flow_Py]]</f>
        <v>Mg</v>
      </c>
      <c r="AF10" s="97">
        <f>INDEX(Tab_Def_Flows[[Flow_ID]:[CC_DM_source]],MATCH(Tab_Data_Flows[[#This Row],[Name(EN)]],Tab_Def_Flows[Name(EN)],0),16)</f>
        <v>1</v>
      </c>
      <c r="AG10" s="98">
        <f>IF(K10="Yes",AF10*Tab_Data_Flows[[#This Row],[Flow_Py]],"N.A.")</f>
        <v>77.2</v>
      </c>
      <c r="AH10" s="58" t="str">
        <f>Tab_Data_Flows[[#This Row],[UoM_Flow_Py]]</f>
        <v>Mg</v>
      </c>
      <c r="AI10" s="97">
        <f>INDEX(Tab_Def_Flows[[Flow_ID]:[CC_DM_source]],MATCH(Tab_Data_Flows[[#This Row],[Name(EN)]],Tab_Def_Flows[Name(EN)],0),18)</f>
        <v>0.5</v>
      </c>
      <c r="AJ10" s="98">
        <f>IF(L10="Yes",AI10*Tab_Data_Flows[[#This Row],[Flow_Py]]*Tab_Data_Flows[[#This Row],[DM_'[%']]],"N.A.")</f>
        <v>38.6</v>
      </c>
      <c r="AK10" s="58" t="str">
        <f>Tab_Data_Flows[[#This Row],[UoM_Flow_Py]]</f>
        <v>Mg</v>
      </c>
    </row>
    <row r="11" spans="1:37" x14ac:dyDescent="0.3">
      <c r="A11" s="57">
        <f t="shared" si="0"/>
        <v>10</v>
      </c>
      <c r="B11" s="48" t="str">
        <f>_xlfn.XLOOKUP(C11,Tab_Def_Flows[Name(EN)],Tab_Def_Flows[Flow_ID],,0,)</f>
        <v>F_00_01</v>
      </c>
      <c r="C11" s="50" t="s">
        <v>107</v>
      </c>
      <c r="D11" s="48">
        <f>_xlfn.XLOOKUP(C11,Tab_Def_Flows[Name(EN)],Tab_Def_Flows[Type_Biomass],,0,)</f>
        <v>0</v>
      </c>
      <c r="E11" s="48" t="str">
        <f>_xlfn.XLOOKUP(C11,Tab_Def_Flows[Name(EN)],Tab_Def_Flows[Output_Process],,0,)</f>
        <v>Biosphere</v>
      </c>
      <c r="F11" s="48" t="str">
        <f>_xlfn.XLOOKUP(C11,Tab_Def_Flows[Name(EN)],Tab_Def_Flows[Process_ID_O],,0,)</f>
        <v>00_Bio_</v>
      </c>
      <c r="G11" s="48" t="str">
        <f>_xlfn.XLOOKUP(C11,Tab_Def_Flows[Name(EN)],Tab_Def_Flows[Input_Process],,0,)</f>
        <v>Raw Material Extraction</v>
      </c>
      <c r="H11" s="58" t="str">
        <f>_xlfn.XLOOKUP(C11,Tab_Def_Flows[Name(EN)],Tab_Def_Flows[Process_ID_I],,0,)</f>
        <v>01_Raw_</v>
      </c>
      <c r="I11" s="48">
        <f>_xlfn.XLOOKUP(C11,Tab_Def_Flows[Name(EN)],Tab_Def_Flows[Value_Source],,0,)</f>
        <v>0</v>
      </c>
      <c r="J11" s="48" t="str">
        <f>_xlfn.XLOOKUP(C11,Tab_Def_Flows[Name(EN)],Tab_Def_Flows[WC?],,0,)</f>
        <v>Yes</v>
      </c>
      <c r="K11" s="48" t="str">
        <f>_xlfn.XLOOKUP(C11,Tab_Def_Flows[Name(EN)],Tab_Def_Flows[DM?],,0,)</f>
        <v>Yes</v>
      </c>
      <c r="L11" s="48" t="str">
        <f>_xlfn.XLOOKUP(C11,Tab_Def_Flows[Name(EN)],Tab_Def_Flows[CC?],,0,)</f>
        <v>Yes</v>
      </c>
      <c r="M11" s="50">
        <v>1929</v>
      </c>
      <c r="N11" s="50"/>
      <c r="O11" s="104">
        <v>83.6</v>
      </c>
      <c r="P11" s="50" t="s">
        <v>85</v>
      </c>
      <c r="Q11" s="50"/>
      <c r="R11" s="50" t="e">
        <f>INDEX(Tab_WC_DM_CC[[Flow_ID]:[CC_source]],MATCH(Tab_Data_Flows[[#This Row],[Name(EN)]],Tab_WC_DM_CC[Name(EN)],0),12)</f>
        <v>#N/A</v>
      </c>
      <c r="S11" s="50" t="e">
        <f>MATCH(Tab_Data_Flows[[#This Row],[Name(EN)]],Tab_WC_DM_CC[Name(EN)],0)</f>
        <v>#N/A</v>
      </c>
      <c r="T11" s="50"/>
      <c r="U11" s="50"/>
      <c r="V11" s="50"/>
      <c r="W11" s="50"/>
      <c r="X11" s="50" t="s">
        <v>84</v>
      </c>
      <c r="Y11" s="50"/>
      <c r="Z11" s="50"/>
      <c r="AA11" s="77">
        <f t="shared" si="1"/>
        <v>83.6</v>
      </c>
      <c r="AB11" s="50" t="s">
        <v>85</v>
      </c>
      <c r="AC11" s="97">
        <f>INDEX(Tab_Def_Flows[[Flow_ID]:[CC_DM_source]],MATCH(Tab_Data_Flows[[#This Row],[Name(EN)]],Tab_Def_Flows[Name(EN)],0),14)</f>
        <v>0</v>
      </c>
      <c r="AD11" s="98">
        <f>IF(J11="Yes",AA11*Tab_Data_Flows[[#This Row],[WC_'[%']]],"N.A.")</f>
        <v>0</v>
      </c>
      <c r="AE11" s="58" t="str">
        <f>Tab_Data_Flows[[#This Row],[UoM_Flow_Py]]</f>
        <v>Mg</v>
      </c>
      <c r="AF11" s="97">
        <f>INDEX(Tab_Def_Flows[[Flow_ID]:[CC_DM_source]],MATCH(Tab_Data_Flows[[#This Row],[Name(EN)]],Tab_Def_Flows[Name(EN)],0),16)</f>
        <v>1</v>
      </c>
      <c r="AG11" s="98">
        <f>IF(K11="Yes",AF11*Tab_Data_Flows[[#This Row],[Flow_Py]],"N.A.")</f>
        <v>83.6</v>
      </c>
      <c r="AH11" s="58" t="str">
        <f>Tab_Data_Flows[[#This Row],[UoM_Flow_Py]]</f>
        <v>Mg</v>
      </c>
      <c r="AI11" s="97">
        <f>INDEX(Tab_Def_Flows[[Flow_ID]:[CC_DM_source]],MATCH(Tab_Data_Flows[[#This Row],[Name(EN)]],Tab_Def_Flows[Name(EN)],0),18)</f>
        <v>0.5</v>
      </c>
      <c r="AJ11" s="98">
        <f>IF(L11="Yes",AI11*Tab_Data_Flows[[#This Row],[Flow_Py]]*Tab_Data_Flows[[#This Row],[DM_'[%']]],"N.A.")</f>
        <v>41.8</v>
      </c>
      <c r="AK11" s="58" t="str">
        <f>Tab_Data_Flows[[#This Row],[UoM_Flow_Py]]</f>
        <v>Mg</v>
      </c>
    </row>
    <row r="12" spans="1:37" x14ac:dyDescent="0.3">
      <c r="A12" s="57">
        <f t="shared" si="0"/>
        <v>11</v>
      </c>
      <c r="B12" s="48" t="str">
        <f>_xlfn.XLOOKUP(C12,Tab_Def_Flows[Name(EN)],Tab_Def_Flows[Flow_ID],,0,)</f>
        <v>F_00_01</v>
      </c>
      <c r="C12" s="50" t="s">
        <v>107</v>
      </c>
      <c r="D12" s="48">
        <f>_xlfn.XLOOKUP(C12,Tab_Def_Flows[Name(EN)],Tab_Def_Flows[Type_Biomass],,0,)</f>
        <v>0</v>
      </c>
      <c r="E12" s="48" t="str">
        <f>_xlfn.XLOOKUP(C12,Tab_Def_Flows[Name(EN)],Tab_Def_Flows[Output_Process],,0,)</f>
        <v>Biosphere</v>
      </c>
      <c r="F12" s="48" t="str">
        <f>_xlfn.XLOOKUP(C12,Tab_Def_Flows[Name(EN)],Tab_Def_Flows[Process_ID_O],,0,)</f>
        <v>00_Bio_</v>
      </c>
      <c r="G12" s="48" t="str">
        <f>_xlfn.XLOOKUP(C12,Tab_Def_Flows[Name(EN)],Tab_Def_Flows[Input_Process],,0,)</f>
        <v>Raw Material Extraction</v>
      </c>
      <c r="H12" s="58" t="str">
        <f>_xlfn.XLOOKUP(C12,Tab_Def_Flows[Name(EN)],Tab_Def_Flows[Process_ID_I],,0,)</f>
        <v>01_Raw_</v>
      </c>
      <c r="I12" s="48">
        <f>_xlfn.XLOOKUP(C12,Tab_Def_Flows[Name(EN)],Tab_Def_Flows[Value_Source],,0,)</f>
        <v>0</v>
      </c>
      <c r="J12" s="48" t="str">
        <f>_xlfn.XLOOKUP(C12,Tab_Def_Flows[Name(EN)],Tab_Def_Flows[WC?],,0,)</f>
        <v>Yes</v>
      </c>
      <c r="K12" s="48" t="str">
        <f>_xlfn.XLOOKUP(C12,Tab_Def_Flows[Name(EN)],Tab_Def_Flows[DM?],,0,)</f>
        <v>Yes</v>
      </c>
      <c r="L12" s="48" t="str">
        <f>_xlfn.XLOOKUP(C12,Tab_Def_Flows[Name(EN)],Tab_Def_Flows[CC?],,0,)</f>
        <v>Yes</v>
      </c>
      <c r="M12" s="50">
        <v>1930</v>
      </c>
      <c r="N12" s="50"/>
      <c r="O12" s="104">
        <v>64.400000000000006</v>
      </c>
      <c r="P12" s="50" t="s">
        <v>85</v>
      </c>
      <c r="Q12" s="50"/>
      <c r="R12" s="50" t="e">
        <f>INDEX(Tab_WC_DM_CC[[Flow_ID]:[CC_source]],MATCH(Tab_Data_Flows[[#This Row],[Name(EN)]],Tab_WC_DM_CC[Name(EN)],0),12)</f>
        <v>#N/A</v>
      </c>
      <c r="S12" s="50" t="e">
        <f>MATCH(Tab_Data_Flows[[#This Row],[Name(EN)]],Tab_WC_DM_CC[Name(EN)],0)</f>
        <v>#N/A</v>
      </c>
      <c r="T12" s="50"/>
      <c r="U12" s="50"/>
      <c r="V12" s="50"/>
      <c r="W12" s="50"/>
      <c r="X12" s="50" t="s">
        <v>84</v>
      </c>
      <c r="Y12" s="50"/>
      <c r="Z12" s="50"/>
      <c r="AA12" s="77">
        <f t="shared" si="1"/>
        <v>64.400000000000006</v>
      </c>
      <c r="AB12" s="50" t="s">
        <v>85</v>
      </c>
      <c r="AC12" s="97">
        <f>INDEX(Tab_Def_Flows[[Flow_ID]:[CC_DM_source]],MATCH(Tab_Data_Flows[[#This Row],[Name(EN)]],Tab_Def_Flows[Name(EN)],0),14)</f>
        <v>0</v>
      </c>
      <c r="AD12" s="98">
        <f>IF(J12="Yes",AA12*Tab_Data_Flows[[#This Row],[WC_'[%']]],"N.A.")</f>
        <v>0</v>
      </c>
      <c r="AE12" s="58" t="str">
        <f>Tab_Data_Flows[[#This Row],[UoM_Flow_Py]]</f>
        <v>Mg</v>
      </c>
      <c r="AF12" s="97">
        <f>INDEX(Tab_Def_Flows[[Flow_ID]:[CC_DM_source]],MATCH(Tab_Data_Flows[[#This Row],[Name(EN)]],Tab_Def_Flows[Name(EN)],0),16)</f>
        <v>1</v>
      </c>
      <c r="AG12" s="98">
        <f>IF(K12="Yes",AF12*Tab_Data_Flows[[#This Row],[Flow_Py]],"N.A.")</f>
        <v>64.400000000000006</v>
      </c>
      <c r="AH12" s="58" t="str">
        <f>Tab_Data_Flows[[#This Row],[UoM_Flow_Py]]</f>
        <v>Mg</v>
      </c>
      <c r="AI12" s="97">
        <f>INDEX(Tab_Def_Flows[[Flow_ID]:[CC_DM_source]],MATCH(Tab_Data_Flows[[#This Row],[Name(EN)]],Tab_Def_Flows[Name(EN)],0),18)</f>
        <v>0.5</v>
      </c>
      <c r="AJ12" s="98">
        <f>IF(L12="Yes",AI12*Tab_Data_Flows[[#This Row],[Flow_Py]]*Tab_Data_Flows[[#This Row],[DM_'[%']]],"N.A.")</f>
        <v>32.200000000000003</v>
      </c>
      <c r="AK12" s="58" t="str">
        <f>Tab_Data_Flows[[#This Row],[UoM_Flow_Py]]</f>
        <v>Mg</v>
      </c>
    </row>
    <row r="13" spans="1:37" x14ac:dyDescent="0.3">
      <c r="A13" s="57">
        <f t="shared" si="0"/>
        <v>12</v>
      </c>
      <c r="B13" s="48" t="str">
        <f>_xlfn.XLOOKUP(C13,Tab_Def_Flows[Name(EN)],Tab_Def_Flows[Flow_ID],,0,)</f>
        <v>F_00_01</v>
      </c>
      <c r="C13" s="50" t="s">
        <v>107</v>
      </c>
      <c r="D13" s="48">
        <f>_xlfn.XLOOKUP(C13,Tab_Def_Flows[Name(EN)],Tab_Def_Flows[Type_Biomass],,0,)</f>
        <v>0</v>
      </c>
      <c r="E13" s="48" t="str">
        <f>_xlfn.XLOOKUP(C13,Tab_Def_Flows[Name(EN)],Tab_Def_Flows[Output_Process],,0,)</f>
        <v>Biosphere</v>
      </c>
      <c r="F13" s="48" t="str">
        <f>_xlfn.XLOOKUP(C13,Tab_Def_Flows[Name(EN)],Tab_Def_Flows[Process_ID_O],,0,)</f>
        <v>00_Bio_</v>
      </c>
      <c r="G13" s="48" t="str">
        <f>_xlfn.XLOOKUP(C13,Tab_Def_Flows[Name(EN)],Tab_Def_Flows[Input_Process],,0,)</f>
        <v>Raw Material Extraction</v>
      </c>
      <c r="H13" s="58" t="str">
        <f>_xlfn.XLOOKUP(C13,Tab_Def_Flows[Name(EN)],Tab_Def_Flows[Process_ID_I],,0,)</f>
        <v>01_Raw_</v>
      </c>
      <c r="I13" s="48">
        <f>_xlfn.XLOOKUP(C13,Tab_Def_Flows[Name(EN)],Tab_Def_Flows[Value_Source],,0,)</f>
        <v>0</v>
      </c>
      <c r="J13" s="48" t="str">
        <f>_xlfn.XLOOKUP(C13,Tab_Def_Flows[Name(EN)],Tab_Def_Flows[WC?],,0,)</f>
        <v>Yes</v>
      </c>
      <c r="K13" s="48" t="str">
        <f>_xlfn.XLOOKUP(C13,Tab_Def_Flows[Name(EN)],Tab_Def_Flows[DM?],,0,)</f>
        <v>Yes</v>
      </c>
      <c r="L13" s="48" t="str">
        <f>_xlfn.XLOOKUP(C13,Tab_Def_Flows[Name(EN)],Tab_Def_Flows[CC?],,0,)</f>
        <v>Yes</v>
      </c>
      <c r="M13" s="50">
        <v>1931</v>
      </c>
      <c r="N13" s="50"/>
      <c r="O13" s="104">
        <v>83.6</v>
      </c>
      <c r="P13" s="50" t="s">
        <v>85</v>
      </c>
      <c r="Q13" s="50"/>
      <c r="R13" s="50" t="e">
        <f>INDEX(Tab_WC_DM_CC[[Flow_ID]:[CC_source]],MATCH(Tab_Data_Flows[[#This Row],[Name(EN)]],Tab_WC_DM_CC[Name(EN)],0),12)</f>
        <v>#N/A</v>
      </c>
      <c r="S13" s="50" t="e">
        <f>MATCH(Tab_Data_Flows[[#This Row],[Name(EN)]],Tab_WC_DM_CC[Name(EN)],0)</f>
        <v>#N/A</v>
      </c>
      <c r="T13" s="50"/>
      <c r="U13" s="50"/>
      <c r="V13" s="50"/>
      <c r="W13" s="50"/>
      <c r="X13" s="50" t="s">
        <v>84</v>
      </c>
      <c r="Y13" s="50"/>
      <c r="Z13" s="50"/>
      <c r="AA13" s="77">
        <f t="shared" si="1"/>
        <v>83.6</v>
      </c>
      <c r="AB13" s="50" t="s">
        <v>85</v>
      </c>
      <c r="AC13" s="97">
        <f>INDEX(Tab_Def_Flows[[Flow_ID]:[CC_DM_source]],MATCH(Tab_Data_Flows[[#This Row],[Name(EN)]],Tab_Def_Flows[Name(EN)],0),14)</f>
        <v>0</v>
      </c>
      <c r="AD13" s="98">
        <f>IF(J13="Yes",AA13*Tab_Data_Flows[[#This Row],[WC_'[%']]],"N.A.")</f>
        <v>0</v>
      </c>
      <c r="AE13" s="58" t="str">
        <f>Tab_Data_Flows[[#This Row],[UoM_Flow_Py]]</f>
        <v>Mg</v>
      </c>
      <c r="AF13" s="97">
        <f>INDEX(Tab_Def_Flows[[Flow_ID]:[CC_DM_source]],MATCH(Tab_Data_Flows[[#This Row],[Name(EN)]],Tab_Def_Flows[Name(EN)],0),16)</f>
        <v>1</v>
      </c>
      <c r="AG13" s="98">
        <f>IF(K13="Yes",AF13*Tab_Data_Flows[[#This Row],[Flow_Py]],"N.A.")</f>
        <v>83.6</v>
      </c>
      <c r="AH13" s="58" t="str">
        <f>Tab_Data_Flows[[#This Row],[UoM_Flow_Py]]</f>
        <v>Mg</v>
      </c>
      <c r="AI13" s="97">
        <f>INDEX(Tab_Def_Flows[[Flow_ID]:[CC_DM_source]],MATCH(Tab_Data_Flows[[#This Row],[Name(EN)]],Tab_Def_Flows[Name(EN)],0),18)</f>
        <v>0.5</v>
      </c>
      <c r="AJ13" s="98">
        <f>IF(L13="Yes",AI13*Tab_Data_Flows[[#This Row],[Flow_Py]]*Tab_Data_Flows[[#This Row],[DM_'[%']]],"N.A.")</f>
        <v>41.8</v>
      </c>
      <c r="AK13" s="58" t="str">
        <f>Tab_Data_Flows[[#This Row],[UoM_Flow_Py]]</f>
        <v>Mg</v>
      </c>
    </row>
    <row r="14" spans="1:37" x14ac:dyDescent="0.3">
      <c r="A14" s="57">
        <f t="shared" si="0"/>
        <v>13</v>
      </c>
      <c r="B14" s="48" t="str">
        <f>_xlfn.XLOOKUP(C14,Tab_Def_Flows[Name(EN)],Tab_Def_Flows[Flow_ID],,0,)</f>
        <v>F_00_01</v>
      </c>
      <c r="C14" s="50" t="s">
        <v>107</v>
      </c>
      <c r="D14" s="48">
        <f>_xlfn.XLOOKUP(C14,Tab_Def_Flows[Name(EN)],Tab_Def_Flows[Type_Biomass],,0,)</f>
        <v>0</v>
      </c>
      <c r="E14" s="48" t="str">
        <f>_xlfn.XLOOKUP(C14,Tab_Def_Flows[Name(EN)],Tab_Def_Flows[Output_Process],,0,)</f>
        <v>Biosphere</v>
      </c>
      <c r="F14" s="48" t="str">
        <f>_xlfn.XLOOKUP(C14,Tab_Def_Flows[Name(EN)],Tab_Def_Flows[Process_ID_O],,0,)</f>
        <v>00_Bio_</v>
      </c>
      <c r="G14" s="48" t="str">
        <f>_xlfn.XLOOKUP(C14,Tab_Def_Flows[Name(EN)],Tab_Def_Flows[Input_Process],,0,)</f>
        <v>Raw Material Extraction</v>
      </c>
      <c r="H14" s="58" t="str">
        <f>_xlfn.XLOOKUP(C14,Tab_Def_Flows[Name(EN)],Tab_Def_Flows[Process_ID_I],,0,)</f>
        <v>01_Raw_</v>
      </c>
      <c r="I14" s="48">
        <f>_xlfn.XLOOKUP(C14,Tab_Def_Flows[Name(EN)],Tab_Def_Flows[Value_Source],,0,)</f>
        <v>0</v>
      </c>
      <c r="J14" s="48" t="str">
        <f>_xlfn.XLOOKUP(C14,Tab_Def_Flows[Name(EN)],Tab_Def_Flows[WC?],,0,)</f>
        <v>Yes</v>
      </c>
      <c r="K14" s="48" t="str">
        <f>_xlfn.XLOOKUP(C14,Tab_Def_Flows[Name(EN)],Tab_Def_Flows[DM?],,0,)</f>
        <v>Yes</v>
      </c>
      <c r="L14" s="48" t="str">
        <f>_xlfn.XLOOKUP(C14,Tab_Def_Flows[Name(EN)],Tab_Def_Flows[CC?],,0,)</f>
        <v>Yes</v>
      </c>
      <c r="M14" s="50">
        <v>1932</v>
      </c>
      <c r="N14" s="50"/>
      <c r="O14" s="104">
        <v>70.8</v>
      </c>
      <c r="P14" s="50" t="s">
        <v>85</v>
      </c>
      <c r="Q14" s="50"/>
      <c r="R14" s="50" t="e">
        <f>INDEX(Tab_WC_DM_CC[[Flow_ID]:[CC_source]],MATCH(Tab_Data_Flows[[#This Row],[Name(EN)]],Tab_WC_DM_CC[Name(EN)],0),12)</f>
        <v>#N/A</v>
      </c>
      <c r="S14" s="50" t="e">
        <f>MATCH(Tab_Data_Flows[[#This Row],[Name(EN)]],Tab_WC_DM_CC[Name(EN)],0)</f>
        <v>#N/A</v>
      </c>
      <c r="T14" s="50"/>
      <c r="U14" s="50"/>
      <c r="V14" s="50"/>
      <c r="W14" s="50"/>
      <c r="X14" s="50" t="s">
        <v>84</v>
      </c>
      <c r="Y14" s="50"/>
      <c r="Z14" s="50"/>
      <c r="AA14" s="77">
        <f t="shared" si="1"/>
        <v>70.8</v>
      </c>
      <c r="AB14" s="50" t="s">
        <v>85</v>
      </c>
      <c r="AC14" s="97">
        <f>INDEX(Tab_Def_Flows[[Flow_ID]:[CC_DM_source]],MATCH(Tab_Data_Flows[[#This Row],[Name(EN)]],Tab_Def_Flows[Name(EN)],0),14)</f>
        <v>0</v>
      </c>
      <c r="AD14" s="98">
        <f>IF(J14="Yes",AA14*Tab_Data_Flows[[#This Row],[WC_'[%']]],"N.A.")</f>
        <v>0</v>
      </c>
      <c r="AE14" s="58" t="str">
        <f>Tab_Data_Flows[[#This Row],[UoM_Flow_Py]]</f>
        <v>Mg</v>
      </c>
      <c r="AF14" s="97">
        <f>INDEX(Tab_Def_Flows[[Flow_ID]:[CC_DM_source]],MATCH(Tab_Data_Flows[[#This Row],[Name(EN)]],Tab_Def_Flows[Name(EN)],0),16)</f>
        <v>1</v>
      </c>
      <c r="AG14" s="98">
        <f>IF(K14="Yes",AF14*Tab_Data_Flows[[#This Row],[Flow_Py]],"N.A.")</f>
        <v>70.8</v>
      </c>
      <c r="AH14" s="58" t="str">
        <f>Tab_Data_Flows[[#This Row],[UoM_Flow_Py]]</f>
        <v>Mg</v>
      </c>
      <c r="AI14" s="97">
        <f>INDEX(Tab_Def_Flows[[Flow_ID]:[CC_DM_source]],MATCH(Tab_Data_Flows[[#This Row],[Name(EN)]],Tab_Def_Flows[Name(EN)],0),18)</f>
        <v>0.5</v>
      </c>
      <c r="AJ14" s="98">
        <f>IF(L14="Yes",AI14*Tab_Data_Flows[[#This Row],[Flow_Py]]*Tab_Data_Flows[[#This Row],[DM_'[%']]],"N.A.")</f>
        <v>35.4</v>
      </c>
      <c r="AK14" s="58" t="str">
        <f>Tab_Data_Flows[[#This Row],[UoM_Flow_Py]]</f>
        <v>Mg</v>
      </c>
    </row>
    <row r="15" spans="1:37" x14ac:dyDescent="0.3">
      <c r="A15" s="57">
        <f t="shared" si="0"/>
        <v>14</v>
      </c>
      <c r="B15" s="48" t="str">
        <f>_xlfn.XLOOKUP(C15,Tab_Def_Flows[Name(EN)],Tab_Def_Flows[Flow_ID],,0,)</f>
        <v>F_00_01</v>
      </c>
      <c r="C15" s="50" t="s">
        <v>107</v>
      </c>
      <c r="D15" s="48">
        <f>_xlfn.XLOOKUP(C15,Tab_Def_Flows[Name(EN)],Tab_Def_Flows[Type_Biomass],,0,)</f>
        <v>0</v>
      </c>
      <c r="E15" s="48" t="str">
        <f>_xlfn.XLOOKUP(C15,Tab_Def_Flows[Name(EN)],Tab_Def_Flows[Output_Process],,0,)</f>
        <v>Biosphere</v>
      </c>
      <c r="F15" s="48" t="str">
        <f>_xlfn.XLOOKUP(C15,Tab_Def_Flows[Name(EN)],Tab_Def_Flows[Process_ID_O],,0,)</f>
        <v>00_Bio_</v>
      </c>
      <c r="G15" s="48" t="str">
        <f>_xlfn.XLOOKUP(C15,Tab_Def_Flows[Name(EN)],Tab_Def_Flows[Input_Process],,0,)</f>
        <v>Raw Material Extraction</v>
      </c>
      <c r="H15" s="58" t="str">
        <f>_xlfn.XLOOKUP(C15,Tab_Def_Flows[Name(EN)],Tab_Def_Flows[Process_ID_I],,0,)</f>
        <v>01_Raw_</v>
      </c>
      <c r="I15" s="48">
        <f>_xlfn.XLOOKUP(C15,Tab_Def_Flows[Name(EN)],Tab_Def_Flows[Value_Source],,0,)</f>
        <v>0</v>
      </c>
      <c r="J15" s="48" t="str">
        <f>_xlfn.XLOOKUP(C15,Tab_Def_Flows[Name(EN)],Tab_Def_Flows[WC?],,0,)</f>
        <v>Yes</v>
      </c>
      <c r="K15" s="48" t="str">
        <f>_xlfn.XLOOKUP(C15,Tab_Def_Flows[Name(EN)],Tab_Def_Flows[DM?],,0,)</f>
        <v>Yes</v>
      </c>
      <c r="L15" s="48" t="str">
        <f>_xlfn.XLOOKUP(C15,Tab_Def_Flows[Name(EN)],Tab_Def_Flows[CC?],,0,)</f>
        <v>Yes</v>
      </c>
      <c r="M15" s="50">
        <v>1933</v>
      </c>
      <c r="N15" s="50"/>
      <c r="O15" s="104">
        <v>51.4</v>
      </c>
      <c r="P15" s="50" t="s">
        <v>85</v>
      </c>
      <c r="Q15" s="50"/>
      <c r="R15" s="50" t="e">
        <f>INDEX(Tab_WC_DM_CC[[Flow_ID]:[CC_source]],MATCH(Tab_Data_Flows[[#This Row],[Name(EN)]],Tab_WC_DM_CC[Name(EN)],0),12)</f>
        <v>#N/A</v>
      </c>
      <c r="S15" s="50" t="e">
        <f>MATCH(Tab_Data_Flows[[#This Row],[Name(EN)]],Tab_WC_DM_CC[Name(EN)],0)</f>
        <v>#N/A</v>
      </c>
      <c r="T15" s="50"/>
      <c r="U15" s="50"/>
      <c r="V15" s="50"/>
      <c r="W15" s="50"/>
      <c r="X15" s="50" t="s">
        <v>84</v>
      </c>
      <c r="Y15" s="50"/>
      <c r="Z15" s="50"/>
      <c r="AA15" s="77">
        <f t="shared" si="1"/>
        <v>51.4</v>
      </c>
      <c r="AB15" s="50" t="s">
        <v>85</v>
      </c>
      <c r="AC15" s="97">
        <f>INDEX(Tab_Def_Flows[[Flow_ID]:[CC_DM_source]],MATCH(Tab_Data_Flows[[#This Row],[Name(EN)]],Tab_Def_Flows[Name(EN)],0),14)</f>
        <v>0</v>
      </c>
      <c r="AD15" s="98">
        <f>IF(J15="Yes",AA15*Tab_Data_Flows[[#This Row],[WC_'[%']]],"N.A.")</f>
        <v>0</v>
      </c>
      <c r="AE15" s="58" t="str">
        <f>Tab_Data_Flows[[#This Row],[UoM_Flow_Py]]</f>
        <v>Mg</v>
      </c>
      <c r="AF15" s="97">
        <f>INDEX(Tab_Def_Flows[[Flow_ID]:[CC_DM_source]],MATCH(Tab_Data_Flows[[#This Row],[Name(EN)]],Tab_Def_Flows[Name(EN)],0),16)</f>
        <v>1</v>
      </c>
      <c r="AG15" s="98">
        <f>IF(K15="Yes",AF15*Tab_Data_Flows[[#This Row],[Flow_Py]],"N.A.")</f>
        <v>51.4</v>
      </c>
      <c r="AH15" s="58" t="str">
        <f>Tab_Data_Flows[[#This Row],[UoM_Flow_Py]]</f>
        <v>Mg</v>
      </c>
      <c r="AI15" s="97">
        <f>INDEX(Tab_Def_Flows[[Flow_ID]:[CC_DM_source]],MATCH(Tab_Data_Flows[[#This Row],[Name(EN)]],Tab_Def_Flows[Name(EN)],0),18)</f>
        <v>0.5</v>
      </c>
      <c r="AJ15" s="98">
        <f>IF(L15="Yes",AI15*Tab_Data_Flows[[#This Row],[Flow_Py]]*Tab_Data_Flows[[#This Row],[DM_'[%']]],"N.A.")</f>
        <v>25.7</v>
      </c>
      <c r="AK15" s="58" t="str">
        <f>Tab_Data_Flows[[#This Row],[UoM_Flow_Py]]</f>
        <v>Mg</v>
      </c>
    </row>
    <row r="16" spans="1:37" x14ac:dyDescent="0.3">
      <c r="A16" s="57">
        <f t="shared" si="0"/>
        <v>15</v>
      </c>
      <c r="B16" s="48" t="str">
        <f>_xlfn.XLOOKUP(C16,Tab_Def_Flows[Name(EN)],Tab_Def_Flows[Flow_ID],,0,)</f>
        <v>F_00_01</v>
      </c>
      <c r="C16" s="50" t="s">
        <v>107</v>
      </c>
      <c r="D16" s="48">
        <f>_xlfn.XLOOKUP(C16,Tab_Def_Flows[Name(EN)],Tab_Def_Flows[Type_Biomass],,0,)</f>
        <v>0</v>
      </c>
      <c r="E16" s="48" t="str">
        <f>_xlfn.XLOOKUP(C16,Tab_Def_Flows[Name(EN)],Tab_Def_Flows[Output_Process],,0,)</f>
        <v>Biosphere</v>
      </c>
      <c r="F16" s="48" t="str">
        <f>_xlfn.XLOOKUP(C16,Tab_Def_Flows[Name(EN)],Tab_Def_Flows[Process_ID_O],,0,)</f>
        <v>00_Bio_</v>
      </c>
      <c r="G16" s="48" t="str">
        <f>_xlfn.XLOOKUP(C16,Tab_Def_Flows[Name(EN)],Tab_Def_Flows[Input_Process],,0,)</f>
        <v>Raw Material Extraction</v>
      </c>
      <c r="H16" s="58" t="str">
        <f>_xlfn.XLOOKUP(C16,Tab_Def_Flows[Name(EN)],Tab_Def_Flows[Process_ID_I],,0,)</f>
        <v>01_Raw_</v>
      </c>
      <c r="I16" s="48">
        <f>_xlfn.XLOOKUP(C16,Tab_Def_Flows[Name(EN)],Tab_Def_Flows[Value_Source],,0,)</f>
        <v>0</v>
      </c>
      <c r="J16" s="48" t="str">
        <f>_xlfn.XLOOKUP(C16,Tab_Def_Flows[Name(EN)],Tab_Def_Flows[WC?],,0,)</f>
        <v>Yes</v>
      </c>
      <c r="K16" s="48" t="str">
        <f>_xlfn.XLOOKUP(C16,Tab_Def_Flows[Name(EN)],Tab_Def_Flows[DM?],,0,)</f>
        <v>Yes</v>
      </c>
      <c r="L16" s="48" t="str">
        <f>_xlfn.XLOOKUP(C16,Tab_Def_Flows[Name(EN)],Tab_Def_Flows[CC?],,0,)</f>
        <v>Yes</v>
      </c>
      <c r="M16" s="50">
        <v>1934</v>
      </c>
      <c r="N16" s="50"/>
      <c r="O16" s="104">
        <v>32.200000000000003</v>
      </c>
      <c r="P16" s="50" t="s">
        <v>85</v>
      </c>
      <c r="Q16" s="50"/>
      <c r="R16" s="50" t="e">
        <f>INDEX(Tab_WC_DM_CC[[Flow_ID]:[CC_source]],MATCH(Tab_Data_Flows[[#This Row],[Name(EN)]],Tab_WC_DM_CC[Name(EN)],0),12)</f>
        <v>#N/A</v>
      </c>
      <c r="S16" s="50" t="e">
        <f>MATCH(Tab_Data_Flows[[#This Row],[Name(EN)]],Tab_WC_DM_CC[Name(EN)],0)</f>
        <v>#N/A</v>
      </c>
      <c r="T16" s="50"/>
      <c r="U16" s="50"/>
      <c r="V16" s="50"/>
      <c r="W16" s="50"/>
      <c r="X16" s="50" t="s">
        <v>84</v>
      </c>
      <c r="Y16" s="50"/>
      <c r="Z16" s="50"/>
      <c r="AA16" s="77">
        <f t="shared" si="1"/>
        <v>32.200000000000003</v>
      </c>
      <c r="AB16" s="50" t="s">
        <v>85</v>
      </c>
      <c r="AC16" s="97">
        <f>INDEX(Tab_Def_Flows[[Flow_ID]:[CC_DM_source]],MATCH(Tab_Data_Flows[[#This Row],[Name(EN)]],Tab_Def_Flows[Name(EN)],0),14)</f>
        <v>0</v>
      </c>
      <c r="AD16" s="98">
        <f>IF(J16="Yes",AA16*Tab_Data_Flows[[#This Row],[WC_'[%']]],"N.A.")</f>
        <v>0</v>
      </c>
      <c r="AE16" s="58" t="str">
        <f>Tab_Data_Flows[[#This Row],[UoM_Flow_Py]]</f>
        <v>Mg</v>
      </c>
      <c r="AF16" s="97">
        <f>INDEX(Tab_Def_Flows[[Flow_ID]:[CC_DM_source]],MATCH(Tab_Data_Flows[[#This Row],[Name(EN)]],Tab_Def_Flows[Name(EN)],0),16)</f>
        <v>1</v>
      </c>
      <c r="AG16" s="98">
        <f>IF(K16="Yes",AF16*Tab_Data_Flows[[#This Row],[Flow_Py]],"N.A.")</f>
        <v>32.200000000000003</v>
      </c>
      <c r="AH16" s="58" t="str">
        <f>Tab_Data_Flows[[#This Row],[UoM_Flow_Py]]</f>
        <v>Mg</v>
      </c>
      <c r="AI16" s="97">
        <f>INDEX(Tab_Def_Flows[[Flow_ID]:[CC_DM_source]],MATCH(Tab_Data_Flows[[#This Row],[Name(EN)]],Tab_Def_Flows[Name(EN)],0),18)</f>
        <v>0.5</v>
      </c>
      <c r="AJ16" s="98">
        <f>IF(L16="Yes",AI16*Tab_Data_Flows[[#This Row],[Flow_Py]]*Tab_Data_Flows[[#This Row],[DM_'[%']]],"N.A.")</f>
        <v>16.100000000000001</v>
      </c>
      <c r="AK16" s="58" t="str">
        <f>Tab_Data_Flows[[#This Row],[UoM_Flow_Py]]</f>
        <v>Mg</v>
      </c>
    </row>
    <row r="17" spans="1:37" x14ac:dyDescent="0.3">
      <c r="A17" s="57">
        <f t="shared" si="0"/>
        <v>16</v>
      </c>
      <c r="B17" s="48" t="str">
        <f>_xlfn.XLOOKUP(C17,Tab_Def_Flows[Name(EN)],Tab_Def_Flows[Flow_ID],,0,)</f>
        <v>F_00_01</v>
      </c>
      <c r="C17" s="50" t="s">
        <v>107</v>
      </c>
      <c r="D17" s="48">
        <f>_xlfn.XLOOKUP(C17,Tab_Def_Flows[Name(EN)],Tab_Def_Flows[Type_Biomass],,0,)</f>
        <v>0</v>
      </c>
      <c r="E17" s="48" t="str">
        <f>_xlfn.XLOOKUP(C17,Tab_Def_Flows[Name(EN)],Tab_Def_Flows[Output_Process],,0,)</f>
        <v>Biosphere</v>
      </c>
      <c r="F17" s="48" t="str">
        <f>_xlfn.XLOOKUP(C17,Tab_Def_Flows[Name(EN)],Tab_Def_Flows[Process_ID_O],,0,)</f>
        <v>00_Bio_</v>
      </c>
      <c r="G17" s="48" t="str">
        <f>_xlfn.XLOOKUP(C17,Tab_Def_Flows[Name(EN)],Tab_Def_Flows[Input_Process],,0,)</f>
        <v>Raw Material Extraction</v>
      </c>
      <c r="H17" s="58" t="str">
        <f>_xlfn.XLOOKUP(C17,Tab_Def_Flows[Name(EN)],Tab_Def_Flows[Process_ID_I],,0,)</f>
        <v>01_Raw_</v>
      </c>
      <c r="I17" s="48">
        <f>_xlfn.XLOOKUP(C17,Tab_Def_Flows[Name(EN)],Tab_Def_Flows[Value_Source],,0,)</f>
        <v>0</v>
      </c>
      <c r="J17" s="48" t="str">
        <f>_xlfn.XLOOKUP(C17,Tab_Def_Flows[Name(EN)],Tab_Def_Flows[WC?],,0,)</f>
        <v>Yes</v>
      </c>
      <c r="K17" s="48" t="str">
        <f>_xlfn.XLOOKUP(C17,Tab_Def_Flows[Name(EN)],Tab_Def_Flows[DM?],,0,)</f>
        <v>Yes</v>
      </c>
      <c r="L17" s="48" t="str">
        <f>_xlfn.XLOOKUP(C17,Tab_Def_Flows[Name(EN)],Tab_Def_Flows[CC?],,0,)</f>
        <v>Yes</v>
      </c>
      <c r="M17" s="50">
        <v>1935</v>
      </c>
      <c r="N17" s="50"/>
      <c r="O17" s="104">
        <v>70.8</v>
      </c>
      <c r="P17" s="50" t="s">
        <v>85</v>
      </c>
      <c r="Q17" s="50"/>
      <c r="R17" s="50" t="e">
        <f>INDEX(Tab_WC_DM_CC[[Flow_ID]:[CC_source]],MATCH(Tab_Data_Flows[[#This Row],[Name(EN)]],Tab_WC_DM_CC[Name(EN)],0),12)</f>
        <v>#N/A</v>
      </c>
      <c r="S17" s="50" t="e">
        <f>MATCH(Tab_Data_Flows[[#This Row],[Name(EN)]],Tab_WC_DM_CC[Name(EN)],0)</f>
        <v>#N/A</v>
      </c>
      <c r="T17" s="50"/>
      <c r="U17" s="50"/>
      <c r="V17" s="50"/>
      <c r="W17" s="50"/>
      <c r="X17" s="50" t="s">
        <v>84</v>
      </c>
      <c r="Y17" s="50"/>
      <c r="Z17" s="50"/>
      <c r="AA17" s="77">
        <f t="shared" si="1"/>
        <v>70.8</v>
      </c>
      <c r="AB17" s="50" t="s">
        <v>85</v>
      </c>
      <c r="AC17" s="97">
        <f>INDEX(Tab_Def_Flows[[Flow_ID]:[CC_DM_source]],MATCH(Tab_Data_Flows[[#This Row],[Name(EN)]],Tab_Def_Flows[Name(EN)],0),14)</f>
        <v>0</v>
      </c>
      <c r="AD17" s="98">
        <f>IF(J17="Yes",AA17*Tab_Data_Flows[[#This Row],[WC_'[%']]],"N.A.")</f>
        <v>0</v>
      </c>
      <c r="AE17" s="58" t="str">
        <f>Tab_Data_Flows[[#This Row],[UoM_Flow_Py]]</f>
        <v>Mg</v>
      </c>
      <c r="AF17" s="97">
        <f>INDEX(Tab_Def_Flows[[Flow_ID]:[CC_DM_source]],MATCH(Tab_Data_Flows[[#This Row],[Name(EN)]],Tab_Def_Flows[Name(EN)],0),16)</f>
        <v>1</v>
      </c>
      <c r="AG17" s="98">
        <f>IF(K17="Yes",AF17*Tab_Data_Flows[[#This Row],[Flow_Py]],"N.A.")</f>
        <v>70.8</v>
      </c>
      <c r="AH17" s="58" t="str">
        <f>Tab_Data_Flows[[#This Row],[UoM_Flow_Py]]</f>
        <v>Mg</v>
      </c>
      <c r="AI17" s="97">
        <f>INDEX(Tab_Def_Flows[[Flow_ID]:[CC_DM_source]],MATCH(Tab_Data_Flows[[#This Row],[Name(EN)]],Tab_Def_Flows[Name(EN)],0),18)</f>
        <v>0.5</v>
      </c>
      <c r="AJ17" s="98">
        <f>IF(L17="Yes",AI17*Tab_Data_Flows[[#This Row],[Flow_Py]]*Tab_Data_Flows[[#This Row],[DM_'[%']]],"N.A.")</f>
        <v>35.4</v>
      </c>
      <c r="AK17" s="58" t="str">
        <f>Tab_Data_Flows[[#This Row],[UoM_Flow_Py]]</f>
        <v>Mg</v>
      </c>
    </row>
    <row r="18" spans="1:37" x14ac:dyDescent="0.3">
      <c r="A18" s="57">
        <f t="shared" si="0"/>
        <v>17</v>
      </c>
      <c r="B18" s="48" t="str">
        <f>_xlfn.XLOOKUP(C18,Tab_Def_Flows[Name(EN)],Tab_Def_Flows[Flow_ID],,0,)</f>
        <v>F_00_01</v>
      </c>
      <c r="C18" s="50" t="s">
        <v>107</v>
      </c>
      <c r="D18" s="48">
        <f>_xlfn.XLOOKUP(C18,Tab_Def_Flows[Name(EN)],Tab_Def_Flows[Type_Biomass],,0,)</f>
        <v>0</v>
      </c>
      <c r="E18" s="48" t="str">
        <f>_xlfn.XLOOKUP(C18,Tab_Def_Flows[Name(EN)],Tab_Def_Flows[Output_Process],,0,)</f>
        <v>Biosphere</v>
      </c>
      <c r="F18" s="48" t="str">
        <f>_xlfn.XLOOKUP(C18,Tab_Def_Flows[Name(EN)],Tab_Def_Flows[Process_ID_O],,0,)</f>
        <v>00_Bio_</v>
      </c>
      <c r="G18" s="48" t="str">
        <f>_xlfn.XLOOKUP(C18,Tab_Def_Flows[Name(EN)],Tab_Def_Flows[Input_Process],,0,)</f>
        <v>Raw Material Extraction</v>
      </c>
      <c r="H18" s="58" t="str">
        <f>_xlfn.XLOOKUP(C18,Tab_Def_Flows[Name(EN)],Tab_Def_Flows[Process_ID_I],,0,)</f>
        <v>01_Raw_</v>
      </c>
      <c r="I18" s="48">
        <f>_xlfn.XLOOKUP(C18,Tab_Def_Flows[Name(EN)],Tab_Def_Flows[Value_Source],,0,)</f>
        <v>0</v>
      </c>
      <c r="J18" s="48" t="str">
        <f>_xlfn.XLOOKUP(C18,Tab_Def_Flows[Name(EN)],Tab_Def_Flows[WC?],,0,)</f>
        <v>Yes</v>
      </c>
      <c r="K18" s="48" t="str">
        <f>_xlfn.XLOOKUP(C18,Tab_Def_Flows[Name(EN)],Tab_Def_Flows[DM?],,0,)</f>
        <v>Yes</v>
      </c>
      <c r="L18" s="48" t="str">
        <f>_xlfn.XLOOKUP(C18,Tab_Def_Flows[Name(EN)],Tab_Def_Flows[CC?],,0,)</f>
        <v>Yes</v>
      </c>
      <c r="M18" s="50">
        <v>1936</v>
      </c>
      <c r="N18" s="50"/>
      <c r="O18" s="104">
        <v>25.8</v>
      </c>
      <c r="P18" s="50" t="s">
        <v>85</v>
      </c>
      <c r="Q18" s="50"/>
      <c r="R18" s="50" t="e">
        <f>INDEX(Tab_WC_DM_CC[[Flow_ID]:[CC_source]],MATCH(Tab_Data_Flows[[#This Row],[Name(EN)]],Tab_WC_DM_CC[Name(EN)],0),12)</f>
        <v>#N/A</v>
      </c>
      <c r="S18" s="50" t="e">
        <f>MATCH(Tab_Data_Flows[[#This Row],[Name(EN)]],Tab_WC_DM_CC[Name(EN)],0)</f>
        <v>#N/A</v>
      </c>
      <c r="T18" s="50"/>
      <c r="U18" s="50"/>
      <c r="V18" s="50"/>
      <c r="W18" s="50"/>
      <c r="X18" s="50" t="s">
        <v>84</v>
      </c>
      <c r="Y18" s="50"/>
      <c r="Z18" s="50"/>
      <c r="AA18" s="77">
        <f t="shared" si="1"/>
        <v>25.8</v>
      </c>
      <c r="AB18" s="50" t="s">
        <v>85</v>
      </c>
      <c r="AC18" s="97">
        <f>INDEX(Tab_Def_Flows[[Flow_ID]:[CC_DM_source]],MATCH(Tab_Data_Flows[[#This Row],[Name(EN)]],Tab_Def_Flows[Name(EN)],0),14)</f>
        <v>0</v>
      </c>
      <c r="AD18" s="98">
        <f>IF(J18="Yes",AA18*Tab_Data_Flows[[#This Row],[WC_'[%']]],"N.A.")</f>
        <v>0</v>
      </c>
      <c r="AE18" s="58" t="str">
        <f>Tab_Data_Flows[[#This Row],[UoM_Flow_Py]]</f>
        <v>Mg</v>
      </c>
      <c r="AF18" s="97">
        <f>INDEX(Tab_Def_Flows[[Flow_ID]:[CC_DM_source]],MATCH(Tab_Data_Flows[[#This Row],[Name(EN)]],Tab_Def_Flows[Name(EN)],0),16)</f>
        <v>1</v>
      </c>
      <c r="AG18" s="98">
        <f>IF(K18="Yes",AF18*Tab_Data_Flows[[#This Row],[Flow_Py]],"N.A.")</f>
        <v>25.8</v>
      </c>
      <c r="AH18" s="58" t="str">
        <f>Tab_Data_Flows[[#This Row],[UoM_Flow_Py]]</f>
        <v>Mg</v>
      </c>
      <c r="AI18" s="97">
        <f>INDEX(Tab_Def_Flows[[Flow_ID]:[CC_DM_source]],MATCH(Tab_Data_Flows[[#This Row],[Name(EN)]],Tab_Def_Flows[Name(EN)],0),18)</f>
        <v>0.5</v>
      </c>
      <c r="AJ18" s="98">
        <f>IF(L18="Yes",AI18*Tab_Data_Flows[[#This Row],[Flow_Py]]*Tab_Data_Flows[[#This Row],[DM_'[%']]],"N.A.")</f>
        <v>12.9</v>
      </c>
      <c r="AK18" s="58" t="str">
        <f>Tab_Data_Flows[[#This Row],[UoM_Flow_Py]]</f>
        <v>Mg</v>
      </c>
    </row>
    <row r="19" spans="1:37" x14ac:dyDescent="0.3">
      <c r="A19" s="57">
        <f t="shared" si="0"/>
        <v>18</v>
      </c>
      <c r="B19" s="48" t="str">
        <f>_xlfn.XLOOKUP(C19,Tab_Def_Flows[Name(EN)],Tab_Def_Flows[Flow_ID],,0,)</f>
        <v>F_00_01</v>
      </c>
      <c r="C19" s="50" t="s">
        <v>107</v>
      </c>
      <c r="D19" s="48">
        <f>_xlfn.XLOOKUP(C19,Tab_Def_Flows[Name(EN)],Tab_Def_Flows[Type_Biomass],,0,)</f>
        <v>0</v>
      </c>
      <c r="E19" s="48" t="str">
        <f>_xlfn.XLOOKUP(C19,Tab_Def_Flows[Name(EN)],Tab_Def_Flows[Output_Process],,0,)</f>
        <v>Biosphere</v>
      </c>
      <c r="F19" s="48" t="str">
        <f>_xlfn.XLOOKUP(C19,Tab_Def_Flows[Name(EN)],Tab_Def_Flows[Process_ID_O],,0,)</f>
        <v>00_Bio_</v>
      </c>
      <c r="G19" s="48" t="str">
        <f>_xlfn.XLOOKUP(C19,Tab_Def_Flows[Name(EN)],Tab_Def_Flows[Input_Process],,0,)</f>
        <v>Raw Material Extraction</v>
      </c>
      <c r="H19" s="58" t="str">
        <f>_xlfn.XLOOKUP(C19,Tab_Def_Flows[Name(EN)],Tab_Def_Flows[Process_ID_I],,0,)</f>
        <v>01_Raw_</v>
      </c>
      <c r="I19" s="48">
        <f>_xlfn.XLOOKUP(C19,Tab_Def_Flows[Name(EN)],Tab_Def_Flows[Value_Source],,0,)</f>
        <v>0</v>
      </c>
      <c r="J19" s="48" t="str">
        <f>_xlfn.XLOOKUP(C19,Tab_Def_Flows[Name(EN)],Tab_Def_Flows[WC?],,0,)</f>
        <v>Yes</v>
      </c>
      <c r="K19" s="48" t="str">
        <f>_xlfn.XLOOKUP(C19,Tab_Def_Flows[Name(EN)],Tab_Def_Flows[DM?],,0,)</f>
        <v>Yes</v>
      </c>
      <c r="L19" s="48" t="str">
        <f>_xlfn.XLOOKUP(C19,Tab_Def_Flows[Name(EN)],Tab_Def_Flows[CC?],,0,)</f>
        <v>Yes</v>
      </c>
      <c r="M19" s="50">
        <v>1937</v>
      </c>
      <c r="N19" s="50"/>
      <c r="O19" s="104">
        <v>64.400000000000006</v>
      </c>
      <c r="P19" s="50" t="s">
        <v>85</v>
      </c>
      <c r="Q19" s="50"/>
      <c r="R19" s="50" t="e">
        <f>INDEX(Tab_WC_DM_CC[[Flow_ID]:[CC_source]],MATCH(Tab_Data_Flows[[#This Row],[Name(EN)]],Tab_WC_DM_CC[Name(EN)],0),12)</f>
        <v>#N/A</v>
      </c>
      <c r="S19" s="50" t="e">
        <f>MATCH(Tab_Data_Flows[[#This Row],[Name(EN)]],Tab_WC_DM_CC[Name(EN)],0)</f>
        <v>#N/A</v>
      </c>
      <c r="T19" s="50"/>
      <c r="U19" s="50"/>
      <c r="V19" s="50"/>
      <c r="W19" s="50"/>
      <c r="X19" s="50" t="s">
        <v>84</v>
      </c>
      <c r="Y19" s="50"/>
      <c r="Z19" s="50"/>
      <c r="AA19" s="77">
        <f t="shared" si="1"/>
        <v>64.400000000000006</v>
      </c>
      <c r="AB19" s="50" t="s">
        <v>85</v>
      </c>
      <c r="AC19" s="97">
        <f>INDEX(Tab_Def_Flows[[Flow_ID]:[CC_DM_source]],MATCH(Tab_Data_Flows[[#This Row],[Name(EN)]],Tab_Def_Flows[Name(EN)],0),14)</f>
        <v>0</v>
      </c>
      <c r="AD19" s="98">
        <f>IF(J19="Yes",AA19*Tab_Data_Flows[[#This Row],[WC_'[%']]],"N.A.")</f>
        <v>0</v>
      </c>
      <c r="AE19" s="58" t="str">
        <f>Tab_Data_Flows[[#This Row],[UoM_Flow_Py]]</f>
        <v>Mg</v>
      </c>
      <c r="AF19" s="97">
        <f>INDEX(Tab_Def_Flows[[Flow_ID]:[CC_DM_source]],MATCH(Tab_Data_Flows[[#This Row],[Name(EN)]],Tab_Def_Flows[Name(EN)],0),16)</f>
        <v>1</v>
      </c>
      <c r="AG19" s="98">
        <f>IF(K19="Yes",AF19*Tab_Data_Flows[[#This Row],[Flow_Py]],"N.A.")</f>
        <v>64.400000000000006</v>
      </c>
      <c r="AH19" s="58" t="str">
        <f>Tab_Data_Flows[[#This Row],[UoM_Flow_Py]]</f>
        <v>Mg</v>
      </c>
      <c r="AI19" s="97">
        <f>INDEX(Tab_Def_Flows[[Flow_ID]:[CC_DM_source]],MATCH(Tab_Data_Flows[[#This Row],[Name(EN)]],Tab_Def_Flows[Name(EN)],0),18)</f>
        <v>0.5</v>
      </c>
      <c r="AJ19" s="98">
        <f>IF(L19="Yes",AI19*Tab_Data_Flows[[#This Row],[Flow_Py]]*Tab_Data_Flows[[#This Row],[DM_'[%']]],"N.A.")</f>
        <v>32.200000000000003</v>
      </c>
      <c r="AK19" s="58" t="str">
        <f>Tab_Data_Flows[[#This Row],[UoM_Flow_Py]]</f>
        <v>Mg</v>
      </c>
    </row>
    <row r="20" spans="1:37" x14ac:dyDescent="0.3">
      <c r="A20" s="57">
        <f t="shared" si="0"/>
        <v>19</v>
      </c>
      <c r="B20" s="48" t="str">
        <f>_xlfn.XLOOKUP(C20,Tab_Def_Flows[Name(EN)],Tab_Def_Flows[Flow_ID],,0,)</f>
        <v>F_00_01</v>
      </c>
      <c r="C20" s="50" t="s">
        <v>107</v>
      </c>
      <c r="D20" s="48">
        <f>_xlfn.XLOOKUP(C20,Tab_Def_Flows[Name(EN)],Tab_Def_Flows[Type_Biomass],,0,)</f>
        <v>0</v>
      </c>
      <c r="E20" s="48" t="str">
        <f>_xlfn.XLOOKUP(C20,Tab_Def_Flows[Name(EN)],Tab_Def_Flows[Output_Process],,0,)</f>
        <v>Biosphere</v>
      </c>
      <c r="F20" s="48" t="str">
        <f>_xlfn.XLOOKUP(C20,Tab_Def_Flows[Name(EN)],Tab_Def_Flows[Process_ID_O],,0,)</f>
        <v>00_Bio_</v>
      </c>
      <c r="G20" s="48" t="str">
        <f>_xlfn.XLOOKUP(C20,Tab_Def_Flows[Name(EN)],Tab_Def_Flows[Input_Process],,0,)</f>
        <v>Raw Material Extraction</v>
      </c>
      <c r="H20" s="58" t="str">
        <f>_xlfn.XLOOKUP(C20,Tab_Def_Flows[Name(EN)],Tab_Def_Flows[Process_ID_I],,0,)</f>
        <v>01_Raw_</v>
      </c>
      <c r="I20" s="48">
        <f>_xlfn.XLOOKUP(C20,Tab_Def_Flows[Name(EN)],Tab_Def_Flows[Value_Source],,0,)</f>
        <v>0</v>
      </c>
      <c r="J20" s="48" t="str">
        <f>_xlfn.XLOOKUP(C20,Tab_Def_Flows[Name(EN)],Tab_Def_Flows[WC?],,0,)</f>
        <v>Yes</v>
      </c>
      <c r="K20" s="48" t="str">
        <f>_xlfn.XLOOKUP(C20,Tab_Def_Flows[Name(EN)],Tab_Def_Flows[DM?],,0,)</f>
        <v>Yes</v>
      </c>
      <c r="L20" s="48" t="str">
        <f>_xlfn.XLOOKUP(C20,Tab_Def_Flows[Name(EN)],Tab_Def_Flows[CC?],,0,)</f>
        <v>Yes</v>
      </c>
      <c r="M20" s="50">
        <v>1938</v>
      </c>
      <c r="N20" s="50"/>
      <c r="O20" s="104">
        <v>83.6</v>
      </c>
      <c r="P20" s="50" t="s">
        <v>85</v>
      </c>
      <c r="Q20" s="50"/>
      <c r="R20" s="50" t="e">
        <f>INDEX(Tab_WC_DM_CC[[Flow_ID]:[CC_source]],MATCH(Tab_Data_Flows[[#This Row],[Name(EN)]],Tab_WC_DM_CC[Name(EN)],0),12)</f>
        <v>#N/A</v>
      </c>
      <c r="S20" s="50" t="e">
        <f>MATCH(Tab_Data_Flows[[#This Row],[Name(EN)]],Tab_WC_DM_CC[Name(EN)],0)</f>
        <v>#N/A</v>
      </c>
      <c r="T20" s="50"/>
      <c r="U20" s="50"/>
      <c r="V20" s="50"/>
      <c r="W20" s="50"/>
      <c r="X20" s="50" t="s">
        <v>84</v>
      </c>
      <c r="Y20" s="50"/>
      <c r="Z20" s="50"/>
      <c r="AA20" s="77">
        <f t="shared" si="1"/>
        <v>83.6</v>
      </c>
      <c r="AB20" s="50" t="s">
        <v>85</v>
      </c>
      <c r="AC20" s="97">
        <f>INDEX(Tab_Def_Flows[[Flow_ID]:[CC_DM_source]],MATCH(Tab_Data_Flows[[#This Row],[Name(EN)]],Tab_Def_Flows[Name(EN)],0),14)</f>
        <v>0</v>
      </c>
      <c r="AD20" s="98">
        <f>IF(J20="Yes",AA20*Tab_Data_Flows[[#This Row],[WC_'[%']]],"N.A.")</f>
        <v>0</v>
      </c>
      <c r="AE20" s="58" t="str">
        <f>Tab_Data_Flows[[#This Row],[UoM_Flow_Py]]</f>
        <v>Mg</v>
      </c>
      <c r="AF20" s="97">
        <f>INDEX(Tab_Def_Flows[[Flow_ID]:[CC_DM_source]],MATCH(Tab_Data_Flows[[#This Row],[Name(EN)]],Tab_Def_Flows[Name(EN)],0),16)</f>
        <v>1</v>
      </c>
      <c r="AG20" s="98">
        <f>IF(K20="Yes",AF20*Tab_Data_Flows[[#This Row],[Flow_Py]],"N.A.")</f>
        <v>83.6</v>
      </c>
      <c r="AH20" s="58" t="str">
        <f>Tab_Data_Flows[[#This Row],[UoM_Flow_Py]]</f>
        <v>Mg</v>
      </c>
      <c r="AI20" s="97">
        <f>INDEX(Tab_Def_Flows[[Flow_ID]:[CC_DM_source]],MATCH(Tab_Data_Flows[[#This Row],[Name(EN)]],Tab_Def_Flows[Name(EN)],0),18)</f>
        <v>0.5</v>
      </c>
      <c r="AJ20" s="98">
        <f>IF(L20="Yes",AI20*Tab_Data_Flows[[#This Row],[Flow_Py]]*Tab_Data_Flows[[#This Row],[DM_'[%']]],"N.A.")</f>
        <v>41.8</v>
      </c>
      <c r="AK20" s="58" t="str">
        <f>Tab_Data_Flows[[#This Row],[UoM_Flow_Py]]</f>
        <v>Mg</v>
      </c>
    </row>
    <row r="21" spans="1:37" x14ac:dyDescent="0.3">
      <c r="A21" s="57">
        <f t="shared" si="0"/>
        <v>20</v>
      </c>
      <c r="B21" s="48" t="str">
        <f>_xlfn.XLOOKUP(C21,Tab_Def_Flows[Name(EN)],Tab_Def_Flows[Flow_ID],,0,)</f>
        <v>F_00_01</v>
      </c>
      <c r="C21" s="50" t="s">
        <v>107</v>
      </c>
      <c r="D21" s="48">
        <f>_xlfn.XLOOKUP(C21,Tab_Def_Flows[Name(EN)],Tab_Def_Flows[Type_Biomass],,0,)</f>
        <v>0</v>
      </c>
      <c r="E21" s="48" t="str">
        <f>_xlfn.XLOOKUP(C21,Tab_Def_Flows[Name(EN)],Tab_Def_Flows[Output_Process],,0,)</f>
        <v>Biosphere</v>
      </c>
      <c r="F21" s="48" t="str">
        <f>_xlfn.XLOOKUP(C21,Tab_Def_Flows[Name(EN)],Tab_Def_Flows[Process_ID_O],,0,)</f>
        <v>00_Bio_</v>
      </c>
      <c r="G21" s="48" t="str">
        <f>_xlfn.XLOOKUP(C21,Tab_Def_Flows[Name(EN)],Tab_Def_Flows[Input_Process],,0,)</f>
        <v>Raw Material Extraction</v>
      </c>
      <c r="H21" s="58" t="str">
        <f>_xlfn.XLOOKUP(C21,Tab_Def_Flows[Name(EN)],Tab_Def_Flows[Process_ID_I],,0,)</f>
        <v>01_Raw_</v>
      </c>
      <c r="I21" s="48">
        <f>_xlfn.XLOOKUP(C21,Tab_Def_Flows[Name(EN)],Tab_Def_Flows[Value_Source],,0,)</f>
        <v>0</v>
      </c>
      <c r="J21" s="48" t="str">
        <f>_xlfn.XLOOKUP(C21,Tab_Def_Flows[Name(EN)],Tab_Def_Flows[WC?],,0,)</f>
        <v>Yes</v>
      </c>
      <c r="K21" s="48" t="str">
        <f>_xlfn.XLOOKUP(C21,Tab_Def_Flows[Name(EN)],Tab_Def_Flows[DM?],,0,)</f>
        <v>Yes</v>
      </c>
      <c r="L21" s="48" t="str">
        <f>_xlfn.XLOOKUP(C21,Tab_Def_Flows[Name(EN)],Tab_Def_Flows[CC?],,0,)</f>
        <v>Yes</v>
      </c>
      <c r="M21" s="50">
        <v>1939</v>
      </c>
      <c r="N21" s="50"/>
      <c r="O21" s="104">
        <v>19.2</v>
      </c>
      <c r="P21" s="50" t="s">
        <v>85</v>
      </c>
      <c r="Q21" s="50"/>
      <c r="R21" s="50" t="e">
        <f>INDEX(Tab_WC_DM_CC[[Flow_ID]:[CC_source]],MATCH(Tab_Data_Flows[[#This Row],[Name(EN)]],Tab_WC_DM_CC[Name(EN)],0),12)</f>
        <v>#N/A</v>
      </c>
      <c r="S21" s="50" t="e">
        <f>MATCH(Tab_Data_Flows[[#This Row],[Name(EN)]],Tab_WC_DM_CC[Name(EN)],0)</f>
        <v>#N/A</v>
      </c>
      <c r="T21" s="50"/>
      <c r="U21" s="50"/>
      <c r="V21" s="50"/>
      <c r="W21" s="50"/>
      <c r="X21" s="50" t="s">
        <v>84</v>
      </c>
      <c r="Y21" s="50"/>
      <c r="Z21" s="50"/>
      <c r="AA21" s="77">
        <f t="shared" si="1"/>
        <v>19.2</v>
      </c>
      <c r="AB21" s="50" t="s">
        <v>85</v>
      </c>
      <c r="AC21" s="97">
        <f>INDEX(Tab_Def_Flows[[Flow_ID]:[CC_DM_source]],MATCH(Tab_Data_Flows[[#This Row],[Name(EN)]],Tab_Def_Flows[Name(EN)],0),14)</f>
        <v>0</v>
      </c>
      <c r="AD21" s="98">
        <f>IF(J21="Yes",AA21*Tab_Data_Flows[[#This Row],[WC_'[%']]],"N.A.")</f>
        <v>0</v>
      </c>
      <c r="AE21" s="58" t="str">
        <f>Tab_Data_Flows[[#This Row],[UoM_Flow_Py]]</f>
        <v>Mg</v>
      </c>
      <c r="AF21" s="97">
        <f>INDEX(Tab_Def_Flows[[Flow_ID]:[CC_DM_source]],MATCH(Tab_Data_Flows[[#This Row],[Name(EN)]],Tab_Def_Flows[Name(EN)],0),16)</f>
        <v>1</v>
      </c>
      <c r="AG21" s="98">
        <f>IF(K21="Yes",AF21*Tab_Data_Flows[[#This Row],[Flow_Py]],"N.A.")</f>
        <v>19.2</v>
      </c>
      <c r="AH21" s="58" t="str">
        <f>Tab_Data_Flows[[#This Row],[UoM_Flow_Py]]</f>
        <v>Mg</v>
      </c>
      <c r="AI21" s="97">
        <f>INDEX(Tab_Def_Flows[[Flow_ID]:[CC_DM_source]],MATCH(Tab_Data_Flows[[#This Row],[Name(EN)]],Tab_Def_Flows[Name(EN)],0),18)</f>
        <v>0.5</v>
      </c>
      <c r="AJ21" s="98">
        <f>IF(L21="Yes",AI21*Tab_Data_Flows[[#This Row],[Flow_Py]]*Tab_Data_Flows[[#This Row],[DM_'[%']]],"N.A.")</f>
        <v>9.6</v>
      </c>
      <c r="AK21" s="58" t="str">
        <f>Tab_Data_Flows[[#This Row],[UoM_Flow_Py]]</f>
        <v>Mg</v>
      </c>
    </row>
    <row r="22" spans="1:37" x14ac:dyDescent="0.3">
      <c r="A22" s="57">
        <f t="shared" si="0"/>
        <v>21</v>
      </c>
      <c r="B22" s="48" t="str">
        <f>_xlfn.XLOOKUP(C22,Tab_Def_Flows[Name(EN)],Tab_Def_Flows[Flow_ID],,0,)</f>
        <v>F_00_01</v>
      </c>
      <c r="C22" s="50" t="s">
        <v>107</v>
      </c>
      <c r="D22" s="48">
        <f>_xlfn.XLOOKUP(C22,Tab_Def_Flows[Name(EN)],Tab_Def_Flows[Type_Biomass],,0,)</f>
        <v>0</v>
      </c>
      <c r="E22" s="48" t="str">
        <f>_xlfn.XLOOKUP(C22,Tab_Def_Flows[Name(EN)],Tab_Def_Flows[Output_Process],,0,)</f>
        <v>Biosphere</v>
      </c>
      <c r="F22" s="48" t="str">
        <f>_xlfn.XLOOKUP(C22,Tab_Def_Flows[Name(EN)],Tab_Def_Flows[Process_ID_O],,0,)</f>
        <v>00_Bio_</v>
      </c>
      <c r="G22" s="48" t="str">
        <f>_xlfn.XLOOKUP(C22,Tab_Def_Flows[Name(EN)],Tab_Def_Flows[Input_Process],,0,)</f>
        <v>Raw Material Extraction</v>
      </c>
      <c r="H22" s="58" t="str">
        <f>_xlfn.XLOOKUP(C22,Tab_Def_Flows[Name(EN)],Tab_Def_Flows[Process_ID_I],,0,)</f>
        <v>01_Raw_</v>
      </c>
      <c r="I22" s="48">
        <f>_xlfn.XLOOKUP(C22,Tab_Def_Flows[Name(EN)],Tab_Def_Flows[Value_Source],,0,)</f>
        <v>0</v>
      </c>
      <c r="J22" s="48" t="str">
        <f>_xlfn.XLOOKUP(C22,Tab_Def_Flows[Name(EN)],Tab_Def_Flows[WC?],,0,)</f>
        <v>Yes</v>
      </c>
      <c r="K22" s="48" t="str">
        <f>_xlfn.XLOOKUP(C22,Tab_Def_Flows[Name(EN)],Tab_Def_Flows[DM?],,0,)</f>
        <v>Yes</v>
      </c>
      <c r="L22" s="48" t="str">
        <f>_xlfn.XLOOKUP(C22,Tab_Def_Flows[Name(EN)],Tab_Def_Flows[CC?],,0,)</f>
        <v>Yes</v>
      </c>
      <c r="M22" s="50">
        <v>1940</v>
      </c>
      <c r="N22" s="50"/>
      <c r="O22" s="104">
        <v>45</v>
      </c>
      <c r="P22" s="50" t="s">
        <v>85</v>
      </c>
      <c r="Q22" s="50"/>
      <c r="R22" s="50" t="e">
        <f>INDEX(Tab_WC_DM_CC[[Flow_ID]:[CC_source]],MATCH(Tab_Data_Flows[[#This Row],[Name(EN)]],Tab_WC_DM_CC[Name(EN)],0),12)</f>
        <v>#N/A</v>
      </c>
      <c r="S22" s="50" t="e">
        <f>MATCH(Tab_Data_Flows[[#This Row],[Name(EN)]],Tab_WC_DM_CC[Name(EN)],0)</f>
        <v>#N/A</v>
      </c>
      <c r="T22" s="50"/>
      <c r="U22" s="50"/>
      <c r="V22" s="50"/>
      <c r="W22" s="50"/>
      <c r="X22" s="50" t="s">
        <v>84</v>
      </c>
      <c r="Y22" s="50"/>
      <c r="Z22" s="50"/>
      <c r="AA22" s="77">
        <f t="shared" si="1"/>
        <v>45</v>
      </c>
      <c r="AB22" s="50" t="s">
        <v>85</v>
      </c>
      <c r="AC22" s="97">
        <f>INDEX(Tab_Def_Flows[[Flow_ID]:[CC_DM_source]],MATCH(Tab_Data_Flows[[#This Row],[Name(EN)]],Tab_Def_Flows[Name(EN)],0),14)</f>
        <v>0</v>
      </c>
      <c r="AD22" s="98">
        <f>IF(J22="Yes",AA22*Tab_Data_Flows[[#This Row],[WC_'[%']]],"N.A.")</f>
        <v>0</v>
      </c>
      <c r="AE22" s="58" t="str">
        <f>Tab_Data_Flows[[#This Row],[UoM_Flow_Py]]</f>
        <v>Mg</v>
      </c>
      <c r="AF22" s="97">
        <f>INDEX(Tab_Def_Flows[[Flow_ID]:[CC_DM_source]],MATCH(Tab_Data_Flows[[#This Row],[Name(EN)]],Tab_Def_Flows[Name(EN)],0),16)</f>
        <v>1</v>
      </c>
      <c r="AG22" s="98">
        <f>IF(K22="Yes",AF22*Tab_Data_Flows[[#This Row],[Flow_Py]],"N.A.")</f>
        <v>45</v>
      </c>
      <c r="AH22" s="58" t="str">
        <f>Tab_Data_Flows[[#This Row],[UoM_Flow_Py]]</f>
        <v>Mg</v>
      </c>
      <c r="AI22" s="97">
        <f>INDEX(Tab_Def_Flows[[Flow_ID]:[CC_DM_source]],MATCH(Tab_Data_Flows[[#This Row],[Name(EN)]],Tab_Def_Flows[Name(EN)],0),18)</f>
        <v>0.5</v>
      </c>
      <c r="AJ22" s="98">
        <f>IF(L22="Yes",AI22*Tab_Data_Flows[[#This Row],[Flow_Py]]*Tab_Data_Flows[[#This Row],[DM_'[%']]],"N.A.")</f>
        <v>22.5</v>
      </c>
      <c r="AK22" s="58" t="str">
        <f>Tab_Data_Flows[[#This Row],[UoM_Flow_Py]]</f>
        <v>Mg</v>
      </c>
    </row>
    <row r="23" spans="1:37" x14ac:dyDescent="0.3">
      <c r="A23" s="57">
        <f t="shared" si="0"/>
        <v>22</v>
      </c>
      <c r="B23" s="48" t="str">
        <f>_xlfn.XLOOKUP(C23,Tab_Def_Flows[Name(EN)],Tab_Def_Flows[Flow_ID],,0,)</f>
        <v>F_00_01</v>
      </c>
      <c r="C23" s="50" t="s">
        <v>107</v>
      </c>
      <c r="D23" s="48">
        <f>_xlfn.XLOOKUP(C23,Tab_Def_Flows[Name(EN)],Tab_Def_Flows[Type_Biomass],,0,)</f>
        <v>0</v>
      </c>
      <c r="E23" s="48" t="str">
        <f>_xlfn.XLOOKUP(C23,Tab_Def_Flows[Name(EN)],Tab_Def_Flows[Output_Process],,0,)</f>
        <v>Biosphere</v>
      </c>
      <c r="F23" s="48" t="str">
        <f>_xlfn.XLOOKUP(C23,Tab_Def_Flows[Name(EN)],Tab_Def_Flows[Process_ID_O],,0,)</f>
        <v>00_Bio_</v>
      </c>
      <c r="G23" s="48" t="str">
        <f>_xlfn.XLOOKUP(C23,Tab_Def_Flows[Name(EN)],Tab_Def_Flows[Input_Process],,0,)</f>
        <v>Raw Material Extraction</v>
      </c>
      <c r="H23" s="58" t="str">
        <f>_xlfn.XLOOKUP(C23,Tab_Def_Flows[Name(EN)],Tab_Def_Flows[Process_ID_I],,0,)</f>
        <v>01_Raw_</v>
      </c>
      <c r="I23" s="48">
        <f>_xlfn.XLOOKUP(C23,Tab_Def_Flows[Name(EN)],Tab_Def_Flows[Value_Source],,0,)</f>
        <v>0</v>
      </c>
      <c r="J23" s="48" t="str">
        <f>_xlfn.XLOOKUP(C23,Tab_Def_Flows[Name(EN)],Tab_Def_Flows[WC?],,0,)</f>
        <v>Yes</v>
      </c>
      <c r="K23" s="48" t="str">
        <f>_xlfn.XLOOKUP(C23,Tab_Def_Flows[Name(EN)],Tab_Def_Flows[DM?],,0,)</f>
        <v>Yes</v>
      </c>
      <c r="L23" s="48" t="str">
        <f>_xlfn.XLOOKUP(C23,Tab_Def_Flows[Name(EN)],Tab_Def_Flows[CC?],,0,)</f>
        <v>Yes</v>
      </c>
      <c r="M23" s="50">
        <v>1941</v>
      </c>
      <c r="N23" s="50"/>
      <c r="O23" s="104">
        <v>32.200000000000003</v>
      </c>
      <c r="P23" s="50" t="s">
        <v>85</v>
      </c>
      <c r="Q23" s="50"/>
      <c r="R23" s="50" t="e">
        <f>INDEX(Tab_WC_DM_CC[[Flow_ID]:[CC_source]],MATCH(Tab_Data_Flows[[#This Row],[Name(EN)]],Tab_WC_DM_CC[Name(EN)],0),12)</f>
        <v>#N/A</v>
      </c>
      <c r="S23" s="50" t="e">
        <f>MATCH(Tab_Data_Flows[[#This Row],[Name(EN)]],Tab_WC_DM_CC[Name(EN)],0)</f>
        <v>#N/A</v>
      </c>
      <c r="T23" s="50"/>
      <c r="U23" s="50"/>
      <c r="V23" s="50"/>
      <c r="W23" s="50"/>
      <c r="X23" s="50" t="s">
        <v>84</v>
      </c>
      <c r="Y23" s="50"/>
      <c r="Z23" s="50"/>
      <c r="AA23" s="77">
        <f t="shared" si="1"/>
        <v>32.200000000000003</v>
      </c>
      <c r="AB23" s="50" t="s">
        <v>85</v>
      </c>
      <c r="AC23" s="97">
        <f>INDEX(Tab_Def_Flows[[Flow_ID]:[CC_DM_source]],MATCH(Tab_Data_Flows[[#This Row],[Name(EN)]],Tab_Def_Flows[Name(EN)],0),14)</f>
        <v>0</v>
      </c>
      <c r="AD23" s="98">
        <f>IF(J23="Yes",AA23*Tab_Data_Flows[[#This Row],[WC_'[%']]],"N.A.")</f>
        <v>0</v>
      </c>
      <c r="AE23" s="58" t="str">
        <f>Tab_Data_Flows[[#This Row],[UoM_Flow_Py]]</f>
        <v>Mg</v>
      </c>
      <c r="AF23" s="97">
        <f>INDEX(Tab_Def_Flows[[Flow_ID]:[CC_DM_source]],MATCH(Tab_Data_Flows[[#This Row],[Name(EN)]],Tab_Def_Flows[Name(EN)],0),16)</f>
        <v>1</v>
      </c>
      <c r="AG23" s="98">
        <f>IF(K23="Yes",AF23*Tab_Data_Flows[[#This Row],[Flow_Py]],"N.A.")</f>
        <v>32.200000000000003</v>
      </c>
      <c r="AH23" s="58" t="str">
        <f>Tab_Data_Flows[[#This Row],[UoM_Flow_Py]]</f>
        <v>Mg</v>
      </c>
      <c r="AI23" s="97">
        <f>INDEX(Tab_Def_Flows[[Flow_ID]:[CC_DM_source]],MATCH(Tab_Data_Flows[[#This Row],[Name(EN)]],Tab_Def_Flows[Name(EN)],0),18)</f>
        <v>0.5</v>
      </c>
      <c r="AJ23" s="98">
        <f>IF(L23="Yes",AI23*Tab_Data_Flows[[#This Row],[Flow_Py]]*Tab_Data_Flows[[#This Row],[DM_'[%']]],"N.A.")</f>
        <v>16.100000000000001</v>
      </c>
      <c r="AK23" s="58" t="str">
        <f>Tab_Data_Flows[[#This Row],[UoM_Flow_Py]]</f>
        <v>Mg</v>
      </c>
    </row>
    <row r="24" spans="1:37" x14ac:dyDescent="0.3">
      <c r="A24" s="57">
        <f t="shared" si="0"/>
        <v>23</v>
      </c>
      <c r="B24" s="48" t="str">
        <f>_xlfn.XLOOKUP(C24,Tab_Def_Flows[Name(EN)],Tab_Def_Flows[Flow_ID],,0,)</f>
        <v>F_00_01</v>
      </c>
      <c r="C24" s="50" t="s">
        <v>107</v>
      </c>
      <c r="D24" s="48">
        <f>_xlfn.XLOOKUP(C24,Tab_Def_Flows[Name(EN)],Tab_Def_Flows[Type_Biomass],,0,)</f>
        <v>0</v>
      </c>
      <c r="E24" s="48" t="str">
        <f>_xlfn.XLOOKUP(C24,Tab_Def_Flows[Name(EN)],Tab_Def_Flows[Output_Process],,0,)</f>
        <v>Biosphere</v>
      </c>
      <c r="F24" s="48" t="str">
        <f>_xlfn.XLOOKUP(C24,Tab_Def_Flows[Name(EN)],Tab_Def_Flows[Process_ID_O],,0,)</f>
        <v>00_Bio_</v>
      </c>
      <c r="G24" s="48" t="str">
        <f>_xlfn.XLOOKUP(C24,Tab_Def_Flows[Name(EN)],Tab_Def_Flows[Input_Process],,0,)</f>
        <v>Raw Material Extraction</v>
      </c>
      <c r="H24" s="58" t="str">
        <f>_xlfn.XLOOKUP(C24,Tab_Def_Flows[Name(EN)],Tab_Def_Flows[Process_ID_I],,0,)</f>
        <v>01_Raw_</v>
      </c>
      <c r="I24" s="48">
        <f>_xlfn.XLOOKUP(C24,Tab_Def_Flows[Name(EN)],Tab_Def_Flows[Value_Source],,0,)</f>
        <v>0</v>
      </c>
      <c r="J24" s="48" t="str">
        <f>_xlfn.XLOOKUP(C24,Tab_Def_Flows[Name(EN)],Tab_Def_Flows[WC?],,0,)</f>
        <v>Yes</v>
      </c>
      <c r="K24" s="48" t="str">
        <f>_xlfn.XLOOKUP(C24,Tab_Def_Flows[Name(EN)],Tab_Def_Flows[DM?],,0,)</f>
        <v>Yes</v>
      </c>
      <c r="L24" s="48" t="str">
        <f>_xlfn.XLOOKUP(C24,Tab_Def_Flows[Name(EN)],Tab_Def_Flows[CC?],,0,)</f>
        <v>Yes</v>
      </c>
      <c r="M24" s="50">
        <v>1942</v>
      </c>
      <c r="N24" s="50"/>
      <c r="O24" s="104">
        <v>0</v>
      </c>
      <c r="P24" s="50" t="s">
        <v>85</v>
      </c>
      <c r="Q24" s="50"/>
      <c r="R24" s="50" t="e">
        <f>INDEX(Tab_WC_DM_CC[[Flow_ID]:[CC_source]],MATCH(Tab_Data_Flows[[#This Row],[Name(EN)]],Tab_WC_DM_CC[Name(EN)],0),12)</f>
        <v>#N/A</v>
      </c>
      <c r="S24" s="50" t="e">
        <f>MATCH(Tab_Data_Flows[[#This Row],[Name(EN)]],Tab_WC_DM_CC[Name(EN)],0)</f>
        <v>#N/A</v>
      </c>
      <c r="T24" s="50"/>
      <c r="U24" s="50"/>
      <c r="V24" s="50"/>
      <c r="W24" s="50"/>
      <c r="X24" s="50" t="s">
        <v>84</v>
      </c>
      <c r="Y24" s="50"/>
      <c r="Z24" s="50"/>
      <c r="AA24" s="77">
        <f t="shared" si="1"/>
        <v>0</v>
      </c>
      <c r="AB24" s="50" t="s">
        <v>85</v>
      </c>
      <c r="AC24" s="97">
        <f>INDEX(Tab_Def_Flows[[Flow_ID]:[CC_DM_source]],MATCH(Tab_Data_Flows[[#This Row],[Name(EN)]],Tab_Def_Flows[Name(EN)],0),14)</f>
        <v>0</v>
      </c>
      <c r="AD24" s="98">
        <f>IF(J24="Yes",AA24*Tab_Data_Flows[[#This Row],[WC_'[%']]],"N.A.")</f>
        <v>0</v>
      </c>
      <c r="AE24" s="58" t="str">
        <f>Tab_Data_Flows[[#This Row],[UoM_Flow_Py]]</f>
        <v>Mg</v>
      </c>
      <c r="AF24" s="97">
        <f>INDEX(Tab_Def_Flows[[Flow_ID]:[CC_DM_source]],MATCH(Tab_Data_Flows[[#This Row],[Name(EN)]],Tab_Def_Flows[Name(EN)],0),16)</f>
        <v>1</v>
      </c>
      <c r="AG24" s="98">
        <f>IF(K24="Yes",AF24*Tab_Data_Flows[[#This Row],[Flow_Py]],"N.A.")</f>
        <v>0</v>
      </c>
      <c r="AH24" s="58" t="str">
        <f>Tab_Data_Flows[[#This Row],[UoM_Flow_Py]]</f>
        <v>Mg</v>
      </c>
      <c r="AI24" s="97">
        <f>INDEX(Tab_Def_Flows[[Flow_ID]:[CC_DM_source]],MATCH(Tab_Data_Flows[[#This Row],[Name(EN)]],Tab_Def_Flows[Name(EN)],0),18)</f>
        <v>0.5</v>
      </c>
      <c r="AJ24" s="98">
        <f>IF(L24="Yes",AI24*Tab_Data_Flows[[#This Row],[Flow_Py]]*Tab_Data_Flows[[#This Row],[DM_'[%']]],"N.A.")</f>
        <v>0</v>
      </c>
      <c r="AK24" s="58" t="str">
        <f>Tab_Data_Flows[[#This Row],[UoM_Flow_Py]]</f>
        <v>Mg</v>
      </c>
    </row>
    <row r="25" spans="1:37" x14ac:dyDescent="0.3">
      <c r="A25" s="57">
        <f t="shared" si="0"/>
        <v>24</v>
      </c>
      <c r="B25" s="48" t="str">
        <f>_xlfn.XLOOKUP(C25,Tab_Def_Flows[Name(EN)],Tab_Def_Flows[Flow_ID],,0,)</f>
        <v>F_00_01</v>
      </c>
      <c r="C25" s="50" t="s">
        <v>107</v>
      </c>
      <c r="D25" s="48">
        <f>_xlfn.XLOOKUP(C25,Tab_Def_Flows[Name(EN)],Tab_Def_Flows[Type_Biomass],,0,)</f>
        <v>0</v>
      </c>
      <c r="E25" s="48" t="str">
        <f>_xlfn.XLOOKUP(C25,Tab_Def_Flows[Name(EN)],Tab_Def_Flows[Output_Process],,0,)</f>
        <v>Biosphere</v>
      </c>
      <c r="F25" s="48" t="str">
        <f>_xlfn.XLOOKUP(C25,Tab_Def_Flows[Name(EN)],Tab_Def_Flows[Process_ID_O],,0,)</f>
        <v>00_Bio_</v>
      </c>
      <c r="G25" s="48" t="str">
        <f>_xlfn.XLOOKUP(C25,Tab_Def_Flows[Name(EN)],Tab_Def_Flows[Input_Process],,0,)</f>
        <v>Raw Material Extraction</v>
      </c>
      <c r="H25" s="58" t="str">
        <f>_xlfn.XLOOKUP(C25,Tab_Def_Flows[Name(EN)],Tab_Def_Flows[Process_ID_I],,0,)</f>
        <v>01_Raw_</v>
      </c>
      <c r="I25" s="48">
        <f>_xlfn.XLOOKUP(C25,Tab_Def_Flows[Name(EN)],Tab_Def_Flows[Value_Source],,0,)</f>
        <v>0</v>
      </c>
      <c r="J25" s="48" t="str">
        <f>_xlfn.XLOOKUP(C25,Tab_Def_Flows[Name(EN)],Tab_Def_Flows[WC?],,0,)</f>
        <v>Yes</v>
      </c>
      <c r="K25" s="48" t="str">
        <f>_xlfn.XLOOKUP(C25,Tab_Def_Flows[Name(EN)],Tab_Def_Flows[DM?],,0,)</f>
        <v>Yes</v>
      </c>
      <c r="L25" s="48" t="str">
        <f>_xlfn.XLOOKUP(C25,Tab_Def_Flows[Name(EN)],Tab_Def_Flows[CC?],,0,)</f>
        <v>Yes</v>
      </c>
      <c r="M25" s="50">
        <v>1943</v>
      </c>
      <c r="N25" s="50"/>
      <c r="O25" s="104">
        <v>0</v>
      </c>
      <c r="P25" s="50" t="s">
        <v>85</v>
      </c>
      <c r="Q25" s="50"/>
      <c r="R25" s="50" t="e">
        <f>INDEX(Tab_WC_DM_CC[[Flow_ID]:[CC_source]],MATCH(Tab_Data_Flows[[#This Row],[Name(EN)]],Tab_WC_DM_CC[Name(EN)],0),12)</f>
        <v>#N/A</v>
      </c>
      <c r="S25" s="50" t="e">
        <f>MATCH(Tab_Data_Flows[[#This Row],[Name(EN)]],Tab_WC_DM_CC[Name(EN)],0)</f>
        <v>#N/A</v>
      </c>
      <c r="T25" s="50"/>
      <c r="U25" s="50"/>
      <c r="V25" s="50"/>
      <c r="W25" s="50"/>
      <c r="X25" s="50" t="s">
        <v>84</v>
      </c>
      <c r="Y25" s="50"/>
      <c r="Z25" s="50"/>
      <c r="AA25" s="77">
        <f t="shared" si="1"/>
        <v>0</v>
      </c>
      <c r="AB25" s="50" t="s">
        <v>85</v>
      </c>
      <c r="AC25" s="97">
        <f>INDEX(Tab_Def_Flows[[Flow_ID]:[CC_DM_source]],MATCH(Tab_Data_Flows[[#This Row],[Name(EN)]],Tab_Def_Flows[Name(EN)],0),14)</f>
        <v>0</v>
      </c>
      <c r="AD25" s="98">
        <f>IF(J25="Yes",AA25*Tab_Data_Flows[[#This Row],[WC_'[%']]],"N.A.")</f>
        <v>0</v>
      </c>
      <c r="AE25" s="58" t="str">
        <f>Tab_Data_Flows[[#This Row],[UoM_Flow_Py]]</f>
        <v>Mg</v>
      </c>
      <c r="AF25" s="97">
        <f>INDEX(Tab_Def_Flows[[Flow_ID]:[CC_DM_source]],MATCH(Tab_Data_Flows[[#This Row],[Name(EN)]],Tab_Def_Flows[Name(EN)],0),16)</f>
        <v>1</v>
      </c>
      <c r="AG25" s="98">
        <f>IF(K25="Yes",AF25*Tab_Data_Flows[[#This Row],[Flow_Py]],"N.A.")</f>
        <v>0</v>
      </c>
      <c r="AH25" s="58" t="str">
        <f>Tab_Data_Flows[[#This Row],[UoM_Flow_Py]]</f>
        <v>Mg</v>
      </c>
      <c r="AI25" s="97">
        <f>INDEX(Tab_Def_Flows[[Flow_ID]:[CC_DM_source]],MATCH(Tab_Data_Flows[[#This Row],[Name(EN)]],Tab_Def_Flows[Name(EN)],0),18)</f>
        <v>0.5</v>
      </c>
      <c r="AJ25" s="98">
        <f>IF(L25="Yes",AI25*Tab_Data_Flows[[#This Row],[Flow_Py]]*Tab_Data_Flows[[#This Row],[DM_'[%']]],"N.A.")</f>
        <v>0</v>
      </c>
      <c r="AK25" s="58" t="str">
        <f>Tab_Data_Flows[[#This Row],[UoM_Flow_Py]]</f>
        <v>Mg</v>
      </c>
    </row>
    <row r="26" spans="1:37" x14ac:dyDescent="0.3">
      <c r="A26" s="57">
        <f t="shared" si="0"/>
        <v>25</v>
      </c>
      <c r="B26" s="48" t="str">
        <f>_xlfn.XLOOKUP(C26,Tab_Def_Flows[Name(EN)],Tab_Def_Flows[Flow_ID],,0,)</f>
        <v>F_00_01</v>
      </c>
      <c r="C26" s="50" t="s">
        <v>107</v>
      </c>
      <c r="D26" s="48">
        <f>_xlfn.XLOOKUP(C26,Tab_Def_Flows[Name(EN)],Tab_Def_Flows[Type_Biomass],,0,)</f>
        <v>0</v>
      </c>
      <c r="E26" s="48" t="str">
        <f>_xlfn.XLOOKUP(C26,Tab_Def_Flows[Name(EN)],Tab_Def_Flows[Output_Process],,0,)</f>
        <v>Biosphere</v>
      </c>
      <c r="F26" s="48" t="str">
        <f>_xlfn.XLOOKUP(C26,Tab_Def_Flows[Name(EN)],Tab_Def_Flows[Process_ID_O],,0,)</f>
        <v>00_Bio_</v>
      </c>
      <c r="G26" s="48" t="str">
        <f>_xlfn.XLOOKUP(C26,Tab_Def_Flows[Name(EN)],Tab_Def_Flows[Input_Process],,0,)</f>
        <v>Raw Material Extraction</v>
      </c>
      <c r="H26" s="58" t="str">
        <f>_xlfn.XLOOKUP(C26,Tab_Def_Flows[Name(EN)],Tab_Def_Flows[Process_ID_I],,0,)</f>
        <v>01_Raw_</v>
      </c>
      <c r="I26" s="48">
        <f>_xlfn.XLOOKUP(C26,Tab_Def_Flows[Name(EN)],Tab_Def_Flows[Value_Source],,0,)</f>
        <v>0</v>
      </c>
      <c r="J26" s="48" t="str">
        <f>_xlfn.XLOOKUP(C26,Tab_Def_Flows[Name(EN)],Tab_Def_Flows[WC?],,0,)</f>
        <v>Yes</v>
      </c>
      <c r="K26" s="48" t="str">
        <f>_xlfn.XLOOKUP(C26,Tab_Def_Flows[Name(EN)],Tab_Def_Flows[DM?],,0,)</f>
        <v>Yes</v>
      </c>
      <c r="L26" s="48" t="str">
        <f>_xlfn.XLOOKUP(C26,Tab_Def_Flows[Name(EN)],Tab_Def_Flows[CC?],,0,)</f>
        <v>Yes</v>
      </c>
      <c r="M26" s="50">
        <v>1944</v>
      </c>
      <c r="N26" s="50"/>
      <c r="O26" s="104">
        <v>0</v>
      </c>
      <c r="P26" s="50" t="s">
        <v>85</v>
      </c>
      <c r="Q26" s="50"/>
      <c r="R26" s="50" t="e">
        <f>INDEX(Tab_WC_DM_CC[[Flow_ID]:[CC_source]],MATCH(Tab_Data_Flows[[#This Row],[Name(EN)]],Tab_WC_DM_CC[Name(EN)],0),12)</f>
        <v>#N/A</v>
      </c>
      <c r="S26" s="50" t="e">
        <f>MATCH(Tab_Data_Flows[[#This Row],[Name(EN)]],Tab_WC_DM_CC[Name(EN)],0)</f>
        <v>#N/A</v>
      </c>
      <c r="T26" s="50"/>
      <c r="U26" s="50"/>
      <c r="V26" s="50"/>
      <c r="W26" s="50"/>
      <c r="X26" s="50" t="s">
        <v>84</v>
      </c>
      <c r="Y26" s="50"/>
      <c r="Z26" s="50"/>
      <c r="AA26" s="77">
        <f t="shared" ref="AA26:AA64" si="2">IF(X26="no",O26,O26*Y26)</f>
        <v>0</v>
      </c>
      <c r="AB26" s="50" t="s">
        <v>85</v>
      </c>
      <c r="AC26" s="97">
        <f>INDEX(Tab_Def_Flows[[Flow_ID]:[CC_DM_source]],MATCH(Tab_Data_Flows[[#This Row],[Name(EN)]],Tab_Def_Flows[Name(EN)],0),14)</f>
        <v>0</v>
      </c>
      <c r="AD26" s="98">
        <f>IF(J26="Yes",AA26*Tab_Data_Flows[[#This Row],[WC_'[%']]],"N.A.")</f>
        <v>0</v>
      </c>
      <c r="AE26" s="58" t="str">
        <f>Tab_Data_Flows[[#This Row],[UoM_Flow_Py]]</f>
        <v>Mg</v>
      </c>
      <c r="AF26" s="97">
        <f>INDEX(Tab_Def_Flows[[Flow_ID]:[CC_DM_source]],MATCH(Tab_Data_Flows[[#This Row],[Name(EN)]],Tab_Def_Flows[Name(EN)],0),16)</f>
        <v>1</v>
      </c>
      <c r="AG26" s="98">
        <f>IF(K26="Yes",AF26*Tab_Data_Flows[[#This Row],[Flow_Py]],"N.A.")</f>
        <v>0</v>
      </c>
      <c r="AH26" s="58" t="str">
        <f>Tab_Data_Flows[[#This Row],[UoM_Flow_Py]]</f>
        <v>Mg</v>
      </c>
      <c r="AI26" s="97">
        <f>INDEX(Tab_Def_Flows[[Flow_ID]:[CC_DM_source]],MATCH(Tab_Data_Flows[[#This Row],[Name(EN)]],Tab_Def_Flows[Name(EN)],0),18)</f>
        <v>0.5</v>
      </c>
      <c r="AJ26" s="98">
        <f>IF(L26="Yes",AI26*Tab_Data_Flows[[#This Row],[Flow_Py]]*Tab_Data_Flows[[#This Row],[DM_'[%']]],"N.A.")</f>
        <v>0</v>
      </c>
      <c r="AK26" s="58" t="str">
        <f>Tab_Data_Flows[[#This Row],[UoM_Flow_Py]]</f>
        <v>Mg</v>
      </c>
    </row>
    <row r="27" spans="1:37" x14ac:dyDescent="0.3">
      <c r="A27" s="57">
        <f t="shared" si="0"/>
        <v>26</v>
      </c>
      <c r="B27" s="48" t="str">
        <f>_xlfn.XLOOKUP(C27,Tab_Def_Flows[Name(EN)],Tab_Def_Flows[Flow_ID],,0,)</f>
        <v>F_00_01</v>
      </c>
      <c r="C27" s="50" t="s">
        <v>107</v>
      </c>
      <c r="D27" s="48">
        <f>_xlfn.XLOOKUP(C27,Tab_Def_Flows[Name(EN)],Tab_Def_Flows[Type_Biomass],,0,)</f>
        <v>0</v>
      </c>
      <c r="E27" s="48" t="str">
        <f>_xlfn.XLOOKUP(C27,Tab_Def_Flows[Name(EN)],Tab_Def_Flows[Output_Process],,0,)</f>
        <v>Biosphere</v>
      </c>
      <c r="F27" s="48" t="str">
        <f>_xlfn.XLOOKUP(C27,Tab_Def_Flows[Name(EN)],Tab_Def_Flows[Process_ID_O],,0,)</f>
        <v>00_Bio_</v>
      </c>
      <c r="G27" s="48" t="str">
        <f>_xlfn.XLOOKUP(C27,Tab_Def_Flows[Name(EN)],Tab_Def_Flows[Input_Process],,0,)</f>
        <v>Raw Material Extraction</v>
      </c>
      <c r="H27" s="58" t="str">
        <f>_xlfn.XLOOKUP(C27,Tab_Def_Flows[Name(EN)],Tab_Def_Flows[Process_ID_I],,0,)</f>
        <v>01_Raw_</v>
      </c>
      <c r="I27" s="48">
        <f>_xlfn.XLOOKUP(C27,Tab_Def_Flows[Name(EN)],Tab_Def_Flows[Value_Source],,0,)</f>
        <v>0</v>
      </c>
      <c r="J27" s="48" t="str">
        <f>_xlfn.XLOOKUP(C27,Tab_Def_Flows[Name(EN)],Tab_Def_Flows[WC?],,0,)</f>
        <v>Yes</v>
      </c>
      <c r="K27" s="48" t="str">
        <f>_xlfn.XLOOKUP(C27,Tab_Def_Flows[Name(EN)],Tab_Def_Flows[DM?],,0,)</f>
        <v>Yes</v>
      </c>
      <c r="L27" s="48" t="str">
        <f>_xlfn.XLOOKUP(C27,Tab_Def_Flows[Name(EN)],Tab_Def_Flows[CC?],,0,)</f>
        <v>Yes</v>
      </c>
      <c r="M27" s="50">
        <v>1945</v>
      </c>
      <c r="N27" s="50"/>
      <c r="O27" s="104">
        <v>0</v>
      </c>
      <c r="P27" s="50" t="s">
        <v>85</v>
      </c>
      <c r="Q27" s="50"/>
      <c r="R27" s="50" t="e">
        <f>INDEX(Tab_WC_DM_CC[[Flow_ID]:[CC_source]],MATCH(Tab_Data_Flows[[#This Row],[Name(EN)]],Tab_WC_DM_CC[Name(EN)],0),12)</f>
        <v>#N/A</v>
      </c>
      <c r="S27" s="50" t="e">
        <f>MATCH(Tab_Data_Flows[[#This Row],[Name(EN)]],Tab_WC_DM_CC[Name(EN)],0)</f>
        <v>#N/A</v>
      </c>
      <c r="T27" s="50"/>
      <c r="U27" s="50"/>
      <c r="V27" s="50"/>
      <c r="W27" s="50"/>
      <c r="X27" s="50" t="s">
        <v>84</v>
      </c>
      <c r="Y27" s="50"/>
      <c r="Z27" s="50"/>
      <c r="AA27" s="77">
        <f t="shared" ref="AA27:AA52" si="3">IF(X27="no",O27,O27*Y27)</f>
        <v>0</v>
      </c>
      <c r="AB27" s="50" t="s">
        <v>85</v>
      </c>
      <c r="AC27" s="97">
        <f>INDEX(Tab_Def_Flows[[Flow_ID]:[CC_DM_source]],MATCH(Tab_Data_Flows[[#This Row],[Name(EN)]],Tab_Def_Flows[Name(EN)],0),14)</f>
        <v>0</v>
      </c>
      <c r="AD27" s="98">
        <f>IF(J27="Yes",AA27*Tab_Data_Flows[[#This Row],[WC_'[%']]],"N.A.")</f>
        <v>0</v>
      </c>
      <c r="AE27" s="58" t="str">
        <f>Tab_Data_Flows[[#This Row],[UoM_Flow_Py]]</f>
        <v>Mg</v>
      </c>
      <c r="AF27" s="97">
        <f>INDEX(Tab_Def_Flows[[Flow_ID]:[CC_DM_source]],MATCH(Tab_Data_Flows[[#This Row],[Name(EN)]],Tab_Def_Flows[Name(EN)],0),16)</f>
        <v>1</v>
      </c>
      <c r="AG27" s="98">
        <f>IF(K27="Yes",AF27*Tab_Data_Flows[[#This Row],[Flow_Py]],"N.A.")</f>
        <v>0</v>
      </c>
      <c r="AH27" s="58" t="str">
        <f>Tab_Data_Flows[[#This Row],[UoM_Flow_Py]]</f>
        <v>Mg</v>
      </c>
      <c r="AI27" s="97">
        <f>INDEX(Tab_Def_Flows[[Flow_ID]:[CC_DM_source]],MATCH(Tab_Data_Flows[[#This Row],[Name(EN)]],Tab_Def_Flows[Name(EN)],0),18)</f>
        <v>0.5</v>
      </c>
      <c r="AJ27" s="98">
        <f>IF(L27="Yes",AI27*Tab_Data_Flows[[#This Row],[Flow_Py]]*Tab_Data_Flows[[#This Row],[DM_'[%']]],"N.A.")</f>
        <v>0</v>
      </c>
      <c r="AK27" s="58" t="str">
        <f>Tab_Data_Flows[[#This Row],[UoM_Flow_Py]]</f>
        <v>Mg</v>
      </c>
    </row>
    <row r="28" spans="1:37" x14ac:dyDescent="0.3">
      <c r="A28" s="57">
        <f t="shared" si="0"/>
        <v>27</v>
      </c>
      <c r="B28" s="48" t="str">
        <f>_xlfn.XLOOKUP(C28,Tab_Def_Flows[Name(EN)],Tab_Def_Flows[Flow_ID],,0,)</f>
        <v>F_00_01</v>
      </c>
      <c r="C28" s="50" t="s">
        <v>107</v>
      </c>
      <c r="D28" s="48">
        <f>_xlfn.XLOOKUP(C28,Tab_Def_Flows[Name(EN)],Tab_Def_Flows[Type_Biomass],,0,)</f>
        <v>0</v>
      </c>
      <c r="E28" s="48" t="str">
        <f>_xlfn.XLOOKUP(C28,Tab_Def_Flows[Name(EN)],Tab_Def_Flows[Output_Process],,0,)</f>
        <v>Biosphere</v>
      </c>
      <c r="F28" s="48" t="str">
        <f>_xlfn.XLOOKUP(C28,Tab_Def_Flows[Name(EN)],Tab_Def_Flows[Process_ID_O],,0,)</f>
        <v>00_Bio_</v>
      </c>
      <c r="G28" s="48" t="str">
        <f>_xlfn.XLOOKUP(C28,Tab_Def_Flows[Name(EN)],Tab_Def_Flows[Input_Process],,0,)</f>
        <v>Raw Material Extraction</v>
      </c>
      <c r="H28" s="58" t="str">
        <f>_xlfn.XLOOKUP(C28,Tab_Def_Flows[Name(EN)],Tab_Def_Flows[Process_ID_I],,0,)</f>
        <v>01_Raw_</v>
      </c>
      <c r="I28" s="48">
        <f>_xlfn.XLOOKUP(C28,Tab_Def_Flows[Name(EN)],Tab_Def_Flows[Value_Source],,0,)</f>
        <v>0</v>
      </c>
      <c r="J28" s="48" t="str">
        <f>_xlfn.XLOOKUP(C28,Tab_Def_Flows[Name(EN)],Tab_Def_Flows[WC?],,0,)</f>
        <v>Yes</v>
      </c>
      <c r="K28" s="48" t="str">
        <f>_xlfn.XLOOKUP(C28,Tab_Def_Flows[Name(EN)],Tab_Def_Flows[DM?],,0,)</f>
        <v>Yes</v>
      </c>
      <c r="L28" s="48" t="str">
        <f>_xlfn.XLOOKUP(C28,Tab_Def_Flows[Name(EN)],Tab_Def_Flows[CC?],,0,)</f>
        <v>Yes</v>
      </c>
      <c r="M28" s="50">
        <v>1946</v>
      </c>
      <c r="N28" s="50"/>
      <c r="O28" s="104">
        <v>90</v>
      </c>
      <c r="P28" s="50" t="s">
        <v>85</v>
      </c>
      <c r="Q28" s="50"/>
      <c r="R28" s="50" t="e">
        <f>INDEX(Tab_WC_DM_CC[[Flow_ID]:[CC_source]],MATCH(Tab_Data_Flows[[#This Row],[Name(EN)]],Tab_WC_DM_CC[Name(EN)],0),12)</f>
        <v>#N/A</v>
      </c>
      <c r="S28" s="50" t="e">
        <f>MATCH(Tab_Data_Flows[[#This Row],[Name(EN)]],Tab_WC_DM_CC[Name(EN)],0)</f>
        <v>#N/A</v>
      </c>
      <c r="T28" s="50"/>
      <c r="U28" s="50"/>
      <c r="V28" s="50"/>
      <c r="W28" s="50"/>
      <c r="X28" s="50" t="s">
        <v>84</v>
      </c>
      <c r="Y28" s="50"/>
      <c r="Z28" s="50"/>
      <c r="AA28" s="77">
        <f t="shared" si="3"/>
        <v>90</v>
      </c>
      <c r="AB28" s="50" t="s">
        <v>85</v>
      </c>
      <c r="AC28" s="97">
        <f>INDEX(Tab_Def_Flows[[Flow_ID]:[CC_DM_source]],MATCH(Tab_Data_Flows[[#This Row],[Name(EN)]],Tab_Def_Flows[Name(EN)],0),14)</f>
        <v>0</v>
      </c>
      <c r="AD28" s="98">
        <f>IF(J28="Yes",AA28*Tab_Data_Flows[[#This Row],[WC_'[%']]],"N.A.")</f>
        <v>0</v>
      </c>
      <c r="AE28" s="58" t="str">
        <f>Tab_Data_Flows[[#This Row],[UoM_Flow_Py]]</f>
        <v>Mg</v>
      </c>
      <c r="AF28" s="97">
        <f>INDEX(Tab_Def_Flows[[Flow_ID]:[CC_DM_source]],MATCH(Tab_Data_Flows[[#This Row],[Name(EN)]],Tab_Def_Flows[Name(EN)],0),16)</f>
        <v>1</v>
      </c>
      <c r="AG28" s="98">
        <f>IF(K28="Yes",AF28*Tab_Data_Flows[[#This Row],[Flow_Py]],"N.A.")</f>
        <v>90</v>
      </c>
      <c r="AH28" s="58" t="str">
        <f>Tab_Data_Flows[[#This Row],[UoM_Flow_Py]]</f>
        <v>Mg</v>
      </c>
      <c r="AI28" s="97">
        <f>INDEX(Tab_Def_Flows[[Flow_ID]:[CC_DM_source]],MATCH(Tab_Data_Flows[[#This Row],[Name(EN)]],Tab_Def_Flows[Name(EN)],0),18)</f>
        <v>0.5</v>
      </c>
      <c r="AJ28" s="98">
        <f>IF(L28="Yes",AI28*Tab_Data_Flows[[#This Row],[Flow_Py]]*Tab_Data_Flows[[#This Row],[DM_'[%']]],"N.A.")</f>
        <v>45</v>
      </c>
      <c r="AK28" s="58" t="str">
        <f>Tab_Data_Flows[[#This Row],[UoM_Flow_Py]]</f>
        <v>Mg</v>
      </c>
    </row>
    <row r="29" spans="1:37" x14ac:dyDescent="0.3">
      <c r="A29" s="57">
        <f t="shared" si="0"/>
        <v>28</v>
      </c>
      <c r="B29" s="48" t="str">
        <f>_xlfn.XLOOKUP(C29,Tab_Def_Flows[Name(EN)],Tab_Def_Flows[Flow_ID],,0,)</f>
        <v>F_00_01</v>
      </c>
      <c r="C29" s="50" t="s">
        <v>107</v>
      </c>
      <c r="D29" s="48">
        <f>_xlfn.XLOOKUP(C29,Tab_Def_Flows[Name(EN)],Tab_Def_Flows[Type_Biomass],,0,)</f>
        <v>0</v>
      </c>
      <c r="E29" s="48" t="str">
        <f>_xlfn.XLOOKUP(C29,Tab_Def_Flows[Name(EN)],Tab_Def_Flows[Output_Process],,0,)</f>
        <v>Biosphere</v>
      </c>
      <c r="F29" s="48" t="str">
        <f>_xlfn.XLOOKUP(C29,Tab_Def_Flows[Name(EN)],Tab_Def_Flows[Process_ID_O],,0,)</f>
        <v>00_Bio_</v>
      </c>
      <c r="G29" s="48" t="str">
        <f>_xlfn.XLOOKUP(C29,Tab_Def_Flows[Name(EN)],Tab_Def_Flows[Input_Process],,0,)</f>
        <v>Raw Material Extraction</v>
      </c>
      <c r="H29" s="58" t="str">
        <f>_xlfn.XLOOKUP(C29,Tab_Def_Flows[Name(EN)],Tab_Def_Flows[Process_ID_I],,0,)</f>
        <v>01_Raw_</v>
      </c>
      <c r="I29" s="58">
        <f>_xlfn.XLOOKUP(C29,Tab_Def_Flows[Name(EN)],Tab_Def_Flows[Value_Source],,0,)</f>
        <v>0</v>
      </c>
      <c r="J29" s="58" t="str">
        <f>_xlfn.XLOOKUP(C29,Tab_Def_Flows[Name(EN)],Tab_Def_Flows[WC?],,0,)</f>
        <v>Yes</v>
      </c>
      <c r="K29" s="58" t="str">
        <f>_xlfn.XLOOKUP(C29,Tab_Def_Flows[Name(EN)],Tab_Def_Flows[DM?],,0,)</f>
        <v>Yes</v>
      </c>
      <c r="L29" s="58" t="str">
        <f>_xlfn.XLOOKUP(C29,Tab_Def_Flows[Name(EN)],Tab_Def_Flows[CC?],,0,)</f>
        <v>Yes</v>
      </c>
      <c r="M29" s="50">
        <v>1947</v>
      </c>
      <c r="N29" s="50"/>
      <c r="O29" s="104">
        <v>109.2</v>
      </c>
      <c r="P29" s="50" t="s">
        <v>85</v>
      </c>
      <c r="Q29" s="50"/>
      <c r="R29" s="50"/>
      <c r="S29" s="50"/>
      <c r="T29" s="50"/>
      <c r="U29" s="50"/>
      <c r="V29" s="50"/>
      <c r="W29" s="50"/>
      <c r="X29" s="50" t="s">
        <v>84</v>
      </c>
      <c r="Y29" s="94"/>
      <c r="Z29" s="50"/>
      <c r="AA29" s="77">
        <f t="shared" si="3"/>
        <v>109.2</v>
      </c>
      <c r="AB29" s="50" t="s">
        <v>85</v>
      </c>
      <c r="AC29" s="97">
        <f>INDEX(Tab_Def_Flows[[Flow_ID]:[CC_DM_source]],MATCH(Tab_Data_Flows[[#This Row],[Name(EN)]],Tab_Def_Flows[Name(EN)],0),14)</f>
        <v>0</v>
      </c>
      <c r="AD29" s="98">
        <f>IF(J29="Yes",AA29*Tab_Data_Flows[[#This Row],[WC_'[%']]],"N.A.")</f>
        <v>0</v>
      </c>
      <c r="AE29" s="58" t="str">
        <f>Tab_Data_Flows[[#This Row],[UoM_Flow_Py]]</f>
        <v>Mg</v>
      </c>
      <c r="AF29" s="97">
        <f>INDEX(Tab_Def_Flows[[Flow_ID]:[CC_DM_source]],MATCH(Tab_Data_Flows[[#This Row],[Name(EN)]],Tab_Def_Flows[Name(EN)],0),16)</f>
        <v>1</v>
      </c>
      <c r="AG29" s="98">
        <f>IF(K29="Yes",AF29*Tab_Data_Flows[[#This Row],[Flow_Py]],"N.A.")</f>
        <v>109.2</v>
      </c>
      <c r="AH29" s="58" t="str">
        <f>Tab_Data_Flows[[#This Row],[UoM_Flow_Py]]</f>
        <v>Mg</v>
      </c>
      <c r="AI29" s="97">
        <f>INDEX(Tab_Def_Flows[[Flow_ID]:[CC_DM_source]],MATCH(Tab_Data_Flows[[#This Row],[Name(EN)]],Tab_Def_Flows[Name(EN)],0),18)</f>
        <v>0.5</v>
      </c>
      <c r="AJ29" s="98">
        <f>IF(L29="Yes",AI29*Tab_Data_Flows[[#This Row],[Flow_Py]]*Tab_Data_Flows[[#This Row],[DM_'[%']]],"N.A.")</f>
        <v>54.6</v>
      </c>
      <c r="AK29" s="58" t="str">
        <f>Tab_Data_Flows[[#This Row],[UoM_Flow_Py]]</f>
        <v>Mg</v>
      </c>
    </row>
    <row r="30" spans="1:37" x14ac:dyDescent="0.3">
      <c r="A30" s="57">
        <f t="shared" si="0"/>
        <v>29</v>
      </c>
      <c r="B30" s="48" t="str">
        <f>_xlfn.XLOOKUP(C30,Tab_Def_Flows[Name(EN)],Tab_Def_Flows[Flow_ID],,0,)</f>
        <v>F_00_01</v>
      </c>
      <c r="C30" s="50" t="s">
        <v>107</v>
      </c>
      <c r="D30" s="48">
        <f>_xlfn.XLOOKUP(C30,Tab_Def_Flows[Name(EN)],Tab_Def_Flows[Type_Biomass],,0,)</f>
        <v>0</v>
      </c>
      <c r="E30" s="48" t="str">
        <f>_xlfn.XLOOKUP(C30,Tab_Def_Flows[Name(EN)],Tab_Def_Flows[Output_Process],,0,)</f>
        <v>Biosphere</v>
      </c>
      <c r="F30" s="48" t="str">
        <f>_xlfn.XLOOKUP(C30,Tab_Def_Flows[Name(EN)],Tab_Def_Flows[Process_ID_O],,0,)</f>
        <v>00_Bio_</v>
      </c>
      <c r="G30" s="48" t="str">
        <f>_xlfn.XLOOKUP(C30,Tab_Def_Flows[Name(EN)],Tab_Def_Flows[Input_Process],,0,)</f>
        <v>Raw Material Extraction</v>
      </c>
      <c r="H30" s="58" t="str">
        <f>_xlfn.XLOOKUP(C30,Tab_Def_Flows[Name(EN)],Tab_Def_Flows[Process_ID_I],,0,)</f>
        <v>01_Raw_</v>
      </c>
      <c r="I30" s="58">
        <f>_xlfn.XLOOKUP(C30,Tab_Def_Flows[Name(EN)],Tab_Def_Flows[Value_Source],,0,)</f>
        <v>0</v>
      </c>
      <c r="J30" s="58" t="str">
        <f>_xlfn.XLOOKUP(C30,Tab_Def_Flows[Name(EN)],Tab_Def_Flows[WC?],,0,)</f>
        <v>Yes</v>
      </c>
      <c r="K30" s="58" t="str">
        <f>_xlfn.XLOOKUP(C30,Tab_Def_Flows[Name(EN)],Tab_Def_Flows[DM?],,0,)</f>
        <v>Yes</v>
      </c>
      <c r="L30" s="58" t="str">
        <f>_xlfn.XLOOKUP(C30,Tab_Def_Flows[Name(EN)],Tab_Def_Flows[CC?],,0,)</f>
        <v>Yes</v>
      </c>
      <c r="M30" s="50">
        <v>1948</v>
      </c>
      <c r="N30" s="50"/>
      <c r="O30" s="104">
        <v>141.4</v>
      </c>
      <c r="P30" s="50" t="s">
        <v>85</v>
      </c>
      <c r="Q30" s="50"/>
      <c r="R30" s="50"/>
      <c r="S30" s="50"/>
      <c r="T30" s="50"/>
      <c r="U30" s="50"/>
      <c r="V30" s="50"/>
      <c r="W30" s="50"/>
      <c r="X30" s="50" t="s">
        <v>84</v>
      </c>
      <c r="Y30" s="94"/>
      <c r="Z30" s="50"/>
      <c r="AA30" s="77">
        <f t="shared" si="3"/>
        <v>141.4</v>
      </c>
      <c r="AB30" s="50" t="s">
        <v>85</v>
      </c>
      <c r="AC30" s="97">
        <f>INDEX(Tab_Def_Flows[[Flow_ID]:[CC_DM_source]],MATCH(Tab_Data_Flows[[#This Row],[Name(EN)]],Tab_Def_Flows[Name(EN)],0),14)</f>
        <v>0</v>
      </c>
      <c r="AD30" s="98">
        <f>IF(J30="Yes",AA30*Tab_Data_Flows[[#This Row],[WC_'[%']]],"N.A.")</f>
        <v>0</v>
      </c>
      <c r="AE30" s="58" t="str">
        <f>Tab_Data_Flows[[#This Row],[UoM_Flow_Py]]</f>
        <v>Mg</v>
      </c>
      <c r="AF30" s="97">
        <f>INDEX(Tab_Def_Flows[[Flow_ID]:[CC_DM_source]],MATCH(Tab_Data_Flows[[#This Row],[Name(EN)]],Tab_Def_Flows[Name(EN)],0),16)</f>
        <v>1</v>
      </c>
      <c r="AG30" s="98">
        <f>IF(K30="Yes",AF30*Tab_Data_Flows[[#This Row],[Flow_Py]],"N.A.")</f>
        <v>141.4</v>
      </c>
      <c r="AH30" s="58" t="str">
        <f>Tab_Data_Flows[[#This Row],[UoM_Flow_Py]]</f>
        <v>Mg</v>
      </c>
      <c r="AI30" s="97">
        <f>INDEX(Tab_Def_Flows[[Flow_ID]:[CC_DM_source]],MATCH(Tab_Data_Flows[[#This Row],[Name(EN)]],Tab_Def_Flows[Name(EN)],0),18)</f>
        <v>0.5</v>
      </c>
      <c r="AJ30" s="98">
        <f>IF(L30="Yes",AI30*Tab_Data_Flows[[#This Row],[Flow_Py]]*Tab_Data_Flows[[#This Row],[DM_'[%']]],"N.A.")</f>
        <v>70.7</v>
      </c>
      <c r="AK30" s="58" t="str">
        <f>Tab_Data_Flows[[#This Row],[UoM_Flow_Py]]</f>
        <v>Mg</v>
      </c>
    </row>
    <row r="31" spans="1:37" x14ac:dyDescent="0.3">
      <c r="A31" s="57">
        <f t="shared" si="0"/>
        <v>30</v>
      </c>
      <c r="B31" s="48" t="str">
        <f>_xlfn.XLOOKUP(C31,Tab_Def_Flows[Name(EN)],Tab_Def_Flows[Flow_ID],,0,)</f>
        <v>F_00_01</v>
      </c>
      <c r="C31" s="50" t="s">
        <v>107</v>
      </c>
      <c r="D31" s="48">
        <f>_xlfn.XLOOKUP(C31,Tab_Def_Flows[Name(EN)],Tab_Def_Flows[Type_Biomass],,0,)</f>
        <v>0</v>
      </c>
      <c r="E31" s="48" t="str">
        <f>_xlfn.XLOOKUP(C31,Tab_Def_Flows[Name(EN)],Tab_Def_Flows[Output_Process],,0,)</f>
        <v>Biosphere</v>
      </c>
      <c r="F31" s="48" t="str">
        <f>_xlfn.XLOOKUP(C31,Tab_Def_Flows[Name(EN)],Tab_Def_Flows[Process_ID_O],,0,)</f>
        <v>00_Bio_</v>
      </c>
      <c r="G31" s="48" t="str">
        <f>_xlfn.XLOOKUP(C31,Tab_Def_Flows[Name(EN)],Tab_Def_Flows[Input_Process],,0,)</f>
        <v>Raw Material Extraction</v>
      </c>
      <c r="H31" s="58" t="str">
        <f>_xlfn.XLOOKUP(C31,Tab_Def_Flows[Name(EN)],Tab_Def_Flows[Process_ID_I],,0,)</f>
        <v>01_Raw_</v>
      </c>
      <c r="I31" s="58">
        <f>_xlfn.XLOOKUP(C31,Tab_Def_Flows[Name(EN)],Tab_Def_Flows[Value_Source],,0,)</f>
        <v>0</v>
      </c>
      <c r="J31" s="58" t="str">
        <f>_xlfn.XLOOKUP(C31,Tab_Def_Flows[Name(EN)],Tab_Def_Flows[WC?],,0,)</f>
        <v>Yes</v>
      </c>
      <c r="K31" s="58" t="str">
        <f>_xlfn.XLOOKUP(C31,Tab_Def_Flows[Name(EN)],Tab_Def_Flows[DM?],,0,)</f>
        <v>Yes</v>
      </c>
      <c r="L31" s="58" t="str">
        <f>_xlfn.XLOOKUP(C31,Tab_Def_Flows[Name(EN)],Tab_Def_Flows[CC?],,0,)</f>
        <v>Yes</v>
      </c>
      <c r="M31" s="50">
        <v>1949</v>
      </c>
      <c r="N31" s="50"/>
      <c r="O31" s="104">
        <v>115.8</v>
      </c>
      <c r="P31" s="50" t="s">
        <v>85</v>
      </c>
      <c r="Q31" s="50"/>
      <c r="R31" s="50"/>
      <c r="S31" s="50"/>
      <c r="T31" s="50"/>
      <c r="U31" s="50"/>
      <c r="V31" s="50"/>
      <c r="W31" s="50"/>
      <c r="X31" s="50" t="s">
        <v>84</v>
      </c>
      <c r="Y31" s="94"/>
      <c r="Z31" s="50"/>
      <c r="AA31" s="77">
        <f t="shared" si="3"/>
        <v>115.8</v>
      </c>
      <c r="AB31" s="50" t="s">
        <v>85</v>
      </c>
      <c r="AC31" s="97">
        <f>INDEX(Tab_Def_Flows[[Flow_ID]:[CC_DM_source]],MATCH(Tab_Data_Flows[[#This Row],[Name(EN)]],Tab_Def_Flows[Name(EN)],0),14)</f>
        <v>0</v>
      </c>
      <c r="AD31" s="98">
        <f>IF(J31="Yes",AA31*Tab_Data_Flows[[#This Row],[WC_'[%']]],"N.A.")</f>
        <v>0</v>
      </c>
      <c r="AE31" s="58" t="str">
        <f>Tab_Data_Flows[[#This Row],[UoM_Flow_Py]]</f>
        <v>Mg</v>
      </c>
      <c r="AF31" s="97">
        <f>INDEX(Tab_Def_Flows[[Flow_ID]:[CC_DM_source]],MATCH(Tab_Data_Flows[[#This Row],[Name(EN)]],Tab_Def_Flows[Name(EN)],0),16)</f>
        <v>1</v>
      </c>
      <c r="AG31" s="98">
        <f>IF(K31="Yes",AF31*Tab_Data_Flows[[#This Row],[Flow_Py]],"N.A.")</f>
        <v>115.8</v>
      </c>
      <c r="AH31" s="58" t="str">
        <f>Tab_Data_Flows[[#This Row],[UoM_Flow_Py]]</f>
        <v>Mg</v>
      </c>
      <c r="AI31" s="97">
        <f>INDEX(Tab_Def_Flows[[Flow_ID]:[CC_DM_source]],MATCH(Tab_Data_Flows[[#This Row],[Name(EN)]],Tab_Def_Flows[Name(EN)],0),18)</f>
        <v>0.5</v>
      </c>
      <c r="AJ31" s="98">
        <f>IF(L31="Yes",AI31*Tab_Data_Flows[[#This Row],[Flow_Py]]*Tab_Data_Flows[[#This Row],[DM_'[%']]],"N.A.")</f>
        <v>57.9</v>
      </c>
      <c r="AK31" s="58" t="str">
        <f>Tab_Data_Flows[[#This Row],[UoM_Flow_Py]]</f>
        <v>Mg</v>
      </c>
    </row>
    <row r="32" spans="1:37" x14ac:dyDescent="0.3">
      <c r="A32" s="57">
        <f t="shared" si="0"/>
        <v>31</v>
      </c>
      <c r="B32" s="48" t="str">
        <f>_xlfn.XLOOKUP(C32,Tab_Def_Flows[Name(EN)],Tab_Def_Flows[Flow_ID],,0,)</f>
        <v>F_00_01</v>
      </c>
      <c r="C32" s="50" t="s">
        <v>107</v>
      </c>
      <c r="D32" s="48">
        <f>_xlfn.XLOOKUP(C32,Tab_Def_Flows[Name(EN)],Tab_Def_Flows[Type_Biomass],,0,)</f>
        <v>0</v>
      </c>
      <c r="E32" s="48" t="str">
        <f>_xlfn.XLOOKUP(C32,Tab_Def_Flows[Name(EN)],Tab_Def_Flows[Output_Process],,0,)</f>
        <v>Biosphere</v>
      </c>
      <c r="F32" s="48" t="str">
        <f>_xlfn.XLOOKUP(C32,Tab_Def_Flows[Name(EN)],Tab_Def_Flows[Process_ID_O],,0,)</f>
        <v>00_Bio_</v>
      </c>
      <c r="G32" s="48" t="str">
        <f>_xlfn.XLOOKUP(C32,Tab_Def_Flows[Name(EN)],Tab_Def_Flows[Input_Process],,0,)</f>
        <v>Raw Material Extraction</v>
      </c>
      <c r="H32" s="58" t="str">
        <f>_xlfn.XLOOKUP(C32,Tab_Def_Flows[Name(EN)],Tab_Def_Flows[Process_ID_I],,0,)</f>
        <v>01_Raw_</v>
      </c>
      <c r="I32" s="58">
        <f>_xlfn.XLOOKUP(C32,Tab_Def_Flows[Name(EN)],Tab_Def_Flows[Value_Source],,0,)</f>
        <v>0</v>
      </c>
      <c r="J32" s="58" t="str">
        <f>_xlfn.XLOOKUP(C32,Tab_Def_Flows[Name(EN)],Tab_Def_Flows[WC?],,0,)</f>
        <v>Yes</v>
      </c>
      <c r="K32" s="58" t="str">
        <f>_xlfn.XLOOKUP(C32,Tab_Def_Flows[Name(EN)],Tab_Def_Flows[DM?],,0,)</f>
        <v>Yes</v>
      </c>
      <c r="L32" s="58" t="str">
        <f>_xlfn.XLOOKUP(C32,Tab_Def_Flows[Name(EN)],Tab_Def_Flows[CC?],,0,)</f>
        <v>Yes</v>
      </c>
      <c r="M32" s="50">
        <v>1950</v>
      </c>
      <c r="N32" s="50"/>
      <c r="O32" s="104">
        <v>77.2</v>
      </c>
      <c r="P32" s="50" t="s">
        <v>85</v>
      </c>
      <c r="Q32" s="50"/>
      <c r="R32" s="50"/>
      <c r="S32" s="50"/>
      <c r="T32" s="50"/>
      <c r="U32" s="50"/>
      <c r="V32" s="50"/>
      <c r="W32" s="50"/>
      <c r="X32" s="50" t="s">
        <v>84</v>
      </c>
      <c r="Y32" s="94"/>
      <c r="Z32" s="50"/>
      <c r="AA32" s="77">
        <f t="shared" si="3"/>
        <v>77.2</v>
      </c>
      <c r="AB32" s="50" t="s">
        <v>85</v>
      </c>
      <c r="AC32" s="97">
        <f>INDEX(Tab_Def_Flows[[Flow_ID]:[CC_DM_source]],MATCH(Tab_Data_Flows[[#This Row],[Name(EN)]],Tab_Def_Flows[Name(EN)],0),14)</f>
        <v>0</v>
      </c>
      <c r="AD32" s="98">
        <f>IF(J32="Yes",AA32*Tab_Data_Flows[[#This Row],[WC_'[%']]],"N.A.")</f>
        <v>0</v>
      </c>
      <c r="AE32" s="58" t="str">
        <f>Tab_Data_Flows[[#This Row],[UoM_Flow_Py]]</f>
        <v>Mg</v>
      </c>
      <c r="AF32" s="97">
        <f>INDEX(Tab_Def_Flows[[Flow_ID]:[CC_DM_source]],MATCH(Tab_Data_Flows[[#This Row],[Name(EN)]],Tab_Def_Flows[Name(EN)],0),16)</f>
        <v>1</v>
      </c>
      <c r="AG32" s="98">
        <f>IF(K32="Yes",AF32*Tab_Data_Flows[[#This Row],[Flow_Py]],"N.A.")</f>
        <v>77.2</v>
      </c>
      <c r="AH32" s="58" t="str">
        <f>Tab_Data_Flows[[#This Row],[UoM_Flow_Py]]</f>
        <v>Mg</v>
      </c>
      <c r="AI32" s="97">
        <f>INDEX(Tab_Def_Flows[[Flow_ID]:[CC_DM_source]],MATCH(Tab_Data_Flows[[#This Row],[Name(EN)]],Tab_Def_Flows[Name(EN)],0),18)</f>
        <v>0.5</v>
      </c>
      <c r="AJ32" s="98">
        <f>IF(L32="Yes",AI32*Tab_Data_Flows[[#This Row],[Flow_Py]]*Tab_Data_Flows[[#This Row],[DM_'[%']]],"N.A.")</f>
        <v>38.6</v>
      </c>
      <c r="AK32" s="58" t="str">
        <f>Tab_Data_Flows[[#This Row],[UoM_Flow_Py]]</f>
        <v>Mg</v>
      </c>
    </row>
    <row r="33" spans="1:37" x14ac:dyDescent="0.3">
      <c r="A33" s="57">
        <f t="shared" si="0"/>
        <v>32</v>
      </c>
      <c r="B33" s="48" t="str">
        <f>_xlfn.XLOOKUP(C33,Tab_Def_Flows[Name(EN)],Tab_Def_Flows[Flow_ID],,0,)</f>
        <v>F_00_01</v>
      </c>
      <c r="C33" s="50" t="s">
        <v>107</v>
      </c>
      <c r="D33" s="48">
        <f>_xlfn.XLOOKUP(C33,Tab_Def_Flows[Name(EN)],Tab_Def_Flows[Type_Biomass],,0,)</f>
        <v>0</v>
      </c>
      <c r="E33" s="48" t="str">
        <f>_xlfn.XLOOKUP(C33,Tab_Def_Flows[Name(EN)],Tab_Def_Flows[Output_Process],,0,)</f>
        <v>Biosphere</v>
      </c>
      <c r="F33" s="48" t="str">
        <f>_xlfn.XLOOKUP(C33,Tab_Def_Flows[Name(EN)],Tab_Def_Flows[Process_ID_O],,0,)</f>
        <v>00_Bio_</v>
      </c>
      <c r="G33" s="48" t="str">
        <f>_xlfn.XLOOKUP(C33,Tab_Def_Flows[Name(EN)],Tab_Def_Flows[Input_Process],,0,)</f>
        <v>Raw Material Extraction</v>
      </c>
      <c r="H33" s="58" t="str">
        <f>_xlfn.XLOOKUP(C33,Tab_Def_Flows[Name(EN)],Tab_Def_Flows[Process_ID_I],,0,)</f>
        <v>01_Raw_</v>
      </c>
      <c r="I33" s="58">
        <f>_xlfn.XLOOKUP(C33,Tab_Def_Flows[Name(EN)],Tab_Def_Flows[Value_Source],,0,)</f>
        <v>0</v>
      </c>
      <c r="J33" s="58" t="str">
        <f>_xlfn.XLOOKUP(C33,Tab_Def_Flows[Name(EN)],Tab_Def_Flows[WC?],,0,)</f>
        <v>Yes</v>
      </c>
      <c r="K33" s="58" t="str">
        <f>_xlfn.XLOOKUP(C33,Tab_Def_Flows[Name(EN)],Tab_Def_Flows[DM?],,0,)</f>
        <v>Yes</v>
      </c>
      <c r="L33" s="58" t="str">
        <f>_xlfn.XLOOKUP(C33,Tab_Def_Flows[Name(EN)],Tab_Def_Flows[CC?],,0,)</f>
        <v>Yes</v>
      </c>
      <c r="M33" s="50">
        <v>1951</v>
      </c>
      <c r="N33" s="50"/>
      <c r="O33" s="104">
        <v>77.2</v>
      </c>
      <c r="P33" s="50" t="s">
        <v>85</v>
      </c>
      <c r="Q33" s="50"/>
      <c r="R33" s="50"/>
      <c r="S33" s="50"/>
      <c r="T33" s="50"/>
      <c r="U33" s="50"/>
      <c r="V33" s="50"/>
      <c r="W33" s="50"/>
      <c r="X33" s="50" t="s">
        <v>84</v>
      </c>
      <c r="Y33" s="94"/>
      <c r="Z33" s="50"/>
      <c r="AA33" s="77">
        <f t="shared" si="3"/>
        <v>77.2</v>
      </c>
      <c r="AB33" s="50" t="s">
        <v>85</v>
      </c>
      <c r="AC33" s="97">
        <f>INDEX(Tab_Def_Flows[[Flow_ID]:[CC_DM_source]],MATCH(Tab_Data_Flows[[#This Row],[Name(EN)]],Tab_Def_Flows[Name(EN)],0),14)</f>
        <v>0</v>
      </c>
      <c r="AD33" s="98">
        <f>IF(J33="Yes",AA33*Tab_Data_Flows[[#This Row],[WC_'[%']]],"N.A.")</f>
        <v>0</v>
      </c>
      <c r="AE33" s="58" t="str">
        <f>Tab_Data_Flows[[#This Row],[UoM_Flow_Py]]</f>
        <v>Mg</v>
      </c>
      <c r="AF33" s="97">
        <f>INDEX(Tab_Def_Flows[[Flow_ID]:[CC_DM_source]],MATCH(Tab_Data_Flows[[#This Row],[Name(EN)]],Tab_Def_Flows[Name(EN)],0),16)</f>
        <v>1</v>
      </c>
      <c r="AG33" s="98">
        <f>IF(K33="Yes",AF33*Tab_Data_Flows[[#This Row],[Flow_Py]],"N.A.")</f>
        <v>77.2</v>
      </c>
      <c r="AH33" s="58" t="str">
        <f>Tab_Data_Flows[[#This Row],[UoM_Flow_Py]]</f>
        <v>Mg</v>
      </c>
      <c r="AI33" s="97">
        <f>INDEX(Tab_Def_Flows[[Flow_ID]:[CC_DM_source]],MATCH(Tab_Data_Flows[[#This Row],[Name(EN)]],Tab_Def_Flows[Name(EN)],0),18)</f>
        <v>0.5</v>
      </c>
      <c r="AJ33" s="98">
        <f>IF(L33="Yes",AI33*Tab_Data_Flows[[#This Row],[Flow_Py]]*Tab_Data_Flows[[#This Row],[DM_'[%']]],"N.A.")</f>
        <v>38.6</v>
      </c>
      <c r="AK33" s="58" t="str">
        <f>Tab_Data_Flows[[#This Row],[UoM_Flow_Py]]</f>
        <v>Mg</v>
      </c>
    </row>
    <row r="34" spans="1:37" x14ac:dyDescent="0.3">
      <c r="A34" s="57">
        <f t="shared" si="0"/>
        <v>33</v>
      </c>
      <c r="B34" s="48" t="str">
        <f>_xlfn.XLOOKUP(C34,Tab_Def_Flows[Name(EN)],Tab_Def_Flows[Flow_ID],,0,)</f>
        <v>F_00_01</v>
      </c>
      <c r="C34" s="50" t="s">
        <v>107</v>
      </c>
      <c r="D34" s="48">
        <f>_xlfn.XLOOKUP(C34,Tab_Def_Flows[Name(EN)],Tab_Def_Flows[Type_Biomass],,0,)</f>
        <v>0</v>
      </c>
      <c r="E34" s="48" t="str">
        <f>_xlfn.XLOOKUP(C34,Tab_Def_Flows[Name(EN)],Tab_Def_Flows[Output_Process],,0,)</f>
        <v>Biosphere</v>
      </c>
      <c r="F34" s="48" t="str">
        <f>_xlfn.XLOOKUP(C34,Tab_Def_Flows[Name(EN)],Tab_Def_Flows[Process_ID_O],,0,)</f>
        <v>00_Bio_</v>
      </c>
      <c r="G34" s="48" t="str">
        <f>_xlfn.XLOOKUP(C34,Tab_Def_Flows[Name(EN)],Tab_Def_Flows[Input_Process],,0,)</f>
        <v>Raw Material Extraction</v>
      </c>
      <c r="H34" s="58" t="str">
        <f>_xlfn.XLOOKUP(C34,Tab_Def_Flows[Name(EN)],Tab_Def_Flows[Process_ID_I],,0,)</f>
        <v>01_Raw_</v>
      </c>
      <c r="I34" s="58">
        <f>_xlfn.XLOOKUP(C34,Tab_Def_Flows[Name(EN)],Tab_Def_Flows[Value_Source],,0,)</f>
        <v>0</v>
      </c>
      <c r="J34" s="58" t="str">
        <f>_xlfn.XLOOKUP(C34,Tab_Def_Flows[Name(EN)],Tab_Def_Flows[WC?],,0,)</f>
        <v>Yes</v>
      </c>
      <c r="K34" s="58" t="str">
        <f>_xlfn.XLOOKUP(C34,Tab_Def_Flows[Name(EN)],Tab_Def_Flows[DM?],,0,)</f>
        <v>Yes</v>
      </c>
      <c r="L34" s="58" t="str">
        <f>_xlfn.XLOOKUP(C34,Tab_Def_Flows[Name(EN)],Tab_Def_Flows[CC?],,0,)</f>
        <v>Yes</v>
      </c>
      <c r="M34" s="50">
        <v>1952</v>
      </c>
      <c r="N34" s="50"/>
      <c r="O34" s="104">
        <v>77.2</v>
      </c>
      <c r="P34" s="50" t="s">
        <v>85</v>
      </c>
      <c r="Q34" s="50"/>
      <c r="R34" s="50"/>
      <c r="S34" s="50"/>
      <c r="T34" s="50"/>
      <c r="U34" s="50"/>
      <c r="V34" s="50"/>
      <c r="W34" s="50"/>
      <c r="X34" s="50" t="s">
        <v>84</v>
      </c>
      <c r="Y34" s="94"/>
      <c r="Z34" s="50"/>
      <c r="AA34" s="77">
        <f t="shared" si="3"/>
        <v>77.2</v>
      </c>
      <c r="AB34" s="50" t="s">
        <v>85</v>
      </c>
      <c r="AC34" s="97">
        <f>INDEX(Tab_Def_Flows[[Flow_ID]:[CC_DM_source]],MATCH(Tab_Data_Flows[[#This Row],[Name(EN)]],Tab_Def_Flows[Name(EN)],0),14)</f>
        <v>0</v>
      </c>
      <c r="AD34" s="98">
        <f>IF(J34="Yes",AA34*Tab_Data_Flows[[#This Row],[WC_'[%']]],"N.A.")</f>
        <v>0</v>
      </c>
      <c r="AE34" s="58" t="str">
        <f>Tab_Data_Flows[[#This Row],[UoM_Flow_Py]]</f>
        <v>Mg</v>
      </c>
      <c r="AF34" s="97">
        <f>INDEX(Tab_Def_Flows[[Flow_ID]:[CC_DM_source]],MATCH(Tab_Data_Flows[[#This Row],[Name(EN)]],Tab_Def_Flows[Name(EN)],0),16)</f>
        <v>1</v>
      </c>
      <c r="AG34" s="98">
        <f>IF(K34="Yes",AF34*Tab_Data_Flows[[#This Row],[Flow_Py]],"N.A.")</f>
        <v>77.2</v>
      </c>
      <c r="AH34" s="58" t="str">
        <f>Tab_Data_Flows[[#This Row],[UoM_Flow_Py]]</f>
        <v>Mg</v>
      </c>
      <c r="AI34" s="97">
        <f>INDEX(Tab_Def_Flows[[Flow_ID]:[CC_DM_source]],MATCH(Tab_Data_Flows[[#This Row],[Name(EN)]],Tab_Def_Flows[Name(EN)],0),18)</f>
        <v>0.5</v>
      </c>
      <c r="AJ34" s="98">
        <f>IF(L34="Yes",AI34*Tab_Data_Flows[[#This Row],[Flow_Py]]*Tab_Data_Flows[[#This Row],[DM_'[%']]],"N.A.")</f>
        <v>38.6</v>
      </c>
      <c r="AK34" s="58" t="str">
        <f>Tab_Data_Flows[[#This Row],[UoM_Flow_Py]]</f>
        <v>Mg</v>
      </c>
    </row>
    <row r="35" spans="1:37" x14ac:dyDescent="0.3">
      <c r="A35" s="57">
        <f t="shared" si="0"/>
        <v>34</v>
      </c>
      <c r="B35" s="48" t="str">
        <f>_xlfn.XLOOKUP(C35,Tab_Def_Flows[Name(EN)],Tab_Def_Flows[Flow_ID],,0,)</f>
        <v>F_00_01</v>
      </c>
      <c r="C35" s="50" t="s">
        <v>107</v>
      </c>
      <c r="D35" s="48">
        <f>_xlfn.XLOOKUP(C35,Tab_Def_Flows[Name(EN)],Tab_Def_Flows[Type_Biomass],,0,)</f>
        <v>0</v>
      </c>
      <c r="E35" s="48" t="str">
        <f>_xlfn.XLOOKUP(C35,Tab_Def_Flows[Name(EN)],Tab_Def_Flows[Output_Process],,0,)</f>
        <v>Biosphere</v>
      </c>
      <c r="F35" s="48" t="str">
        <f>_xlfn.XLOOKUP(C35,Tab_Def_Flows[Name(EN)],Tab_Def_Flows[Process_ID_O],,0,)</f>
        <v>00_Bio_</v>
      </c>
      <c r="G35" s="48" t="str">
        <f>_xlfn.XLOOKUP(C35,Tab_Def_Flows[Name(EN)],Tab_Def_Flows[Input_Process],,0,)</f>
        <v>Raw Material Extraction</v>
      </c>
      <c r="H35" s="58" t="str">
        <f>_xlfn.XLOOKUP(C35,Tab_Def_Flows[Name(EN)],Tab_Def_Flows[Process_ID_I],,0,)</f>
        <v>01_Raw_</v>
      </c>
      <c r="I35" s="58">
        <f>_xlfn.XLOOKUP(C35,Tab_Def_Flows[Name(EN)],Tab_Def_Flows[Value_Source],,0,)</f>
        <v>0</v>
      </c>
      <c r="J35" s="58" t="str">
        <f>_xlfn.XLOOKUP(C35,Tab_Def_Flows[Name(EN)],Tab_Def_Flows[WC?],,0,)</f>
        <v>Yes</v>
      </c>
      <c r="K35" s="58" t="str">
        <f>_xlfn.XLOOKUP(C35,Tab_Def_Flows[Name(EN)],Tab_Def_Flows[DM?],,0,)</f>
        <v>Yes</v>
      </c>
      <c r="L35" s="58" t="str">
        <f>_xlfn.XLOOKUP(C35,Tab_Def_Flows[Name(EN)],Tab_Def_Flows[CC?],,0,)</f>
        <v>Yes</v>
      </c>
      <c r="M35" s="50">
        <v>1953</v>
      </c>
      <c r="N35" s="50"/>
      <c r="O35" s="104">
        <v>96.4</v>
      </c>
      <c r="P35" s="50" t="s">
        <v>85</v>
      </c>
      <c r="Q35" s="50"/>
      <c r="R35" s="50"/>
      <c r="S35" s="50"/>
      <c r="T35" s="50"/>
      <c r="U35" s="50"/>
      <c r="V35" s="50"/>
      <c r="W35" s="50"/>
      <c r="X35" s="50" t="s">
        <v>84</v>
      </c>
      <c r="Y35" s="94"/>
      <c r="Z35" s="50"/>
      <c r="AA35" s="77">
        <f t="shared" si="3"/>
        <v>96.4</v>
      </c>
      <c r="AB35" s="50" t="s">
        <v>85</v>
      </c>
      <c r="AC35" s="97">
        <f>INDEX(Tab_Def_Flows[[Flow_ID]:[CC_DM_source]],MATCH(Tab_Data_Flows[[#This Row],[Name(EN)]],Tab_Def_Flows[Name(EN)],0),14)</f>
        <v>0</v>
      </c>
      <c r="AD35" s="98">
        <f>IF(J35="Yes",AA35*Tab_Data_Flows[[#This Row],[WC_'[%']]],"N.A.")</f>
        <v>0</v>
      </c>
      <c r="AE35" s="58" t="str">
        <f>Tab_Data_Flows[[#This Row],[UoM_Flow_Py]]</f>
        <v>Mg</v>
      </c>
      <c r="AF35" s="97">
        <f>INDEX(Tab_Def_Flows[[Flow_ID]:[CC_DM_source]],MATCH(Tab_Data_Flows[[#This Row],[Name(EN)]],Tab_Def_Flows[Name(EN)],0),16)</f>
        <v>1</v>
      </c>
      <c r="AG35" s="98">
        <f>IF(K35="Yes",AF35*Tab_Data_Flows[[#This Row],[Flow_Py]],"N.A.")</f>
        <v>96.4</v>
      </c>
      <c r="AH35" s="58" t="str">
        <f>Tab_Data_Flows[[#This Row],[UoM_Flow_Py]]</f>
        <v>Mg</v>
      </c>
      <c r="AI35" s="97">
        <f>INDEX(Tab_Def_Flows[[Flow_ID]:[CC_DM_source]],MATCH(Tab_Data_Flows[[#This Row],[Name(EN)]],Tab_Def_Flows[Name(EN)],0),18)</f>
        <v>0.5</v>
      </c>
      <c r="AJ35" s="98">
        <f>IF(L35="Yes",AI35*Tab_Data_Flows[[#This Row],[Flow_Py]]*Tab_Data_Flows[[#This Row],[DM_'[%']]],"N.A.")</f>
        <v>48.2</v>
      </c>
      <c r="AK35" s="58" t="str">
        <f>Tab_Data_Flows[[#This Row],[UoM_Flow_Py]]</f>
        <v>Mg</v>
      </c>
    </row>
    <row r="36" spans="1:37" x14ac:dyDescent="0.3">
      <c r="A36" s="57">
        <f t="shared" si="0"/>
        <v>35</v>
      </c>
      <c r="B36" s="48" t="str">
        <f>_xlfn.XLOOKUP(C36,Tab_Def_Flows[Name(EN)],Tab_Def_Flows[Flow_ID],,0,)</f>
        <v>F_00_01</v>
      </c>
      <c r="C36" s="50" t="s">
        <v>107</v>
      </c>
      <c r="D36" s="48"/>
      <c r="E36" s="48" t="str">
        <f>_xlfn.XLOOKUP(C36,Tab_Def_Flows[Name(EN)],Tab_Def_Flows[Output_Process],,0,)</f>
        <v>Biosphere</v>
      </c>
      <c r="F36" s="48" t="str">
        <f>_xlfn.XLOOKUP(C36,Tab_Def_Flows[Name(EN)],Tab_Def_Flows[Process_ID_O],,0,)</f>
        <v>00_Bio_</v>
      </c>
      <c r="G36" s="48" t="str">
        <f>_xlfn.XLOOKUP(C36,Tab_Def_Flows[Name(EN)],Tab_Def_Flows[Input_Process],,0,)</f>
        <v>Raw Material Extraction</v>
      </c>
      <c r="H36" s="58" t="str">
        <f>_xlfn.XLOOKUP(C36,Tab_Def_Flows[Name(EN)],Tab_Def_Flows[Process_ID_I],,0,)</f>
        <v>01_Raw_</v>
      </c>
      <c r="I36" s="48">
        <f>_xlfn.XLOOKUP(C36,Tab_Def_Flows[Name(EN)],Tab_Def_Flows[Value_Source],,0,)</f>
        <v>0</v>
      </c>
      <c r="J36" s="48" t="str">
        <f>_xlfn.XLOOKUP(C36,Tab_Def_Flows[Name(EN)],Tab_Def_Flows[WC?],,0,)</f>
        <v>Yes</v>
      </c>
      <c r="K36" s="48" t="str">
        <f>_xlfn.XLOOKUP(C36,Tab_Def_Flows[Name(EN)],Tab_Def_Flows[DM?],,0,)</f>
        <v>Yes</v>
      </c>
      <c r="L36" s="48" t="str">
        <f>_xlfn.XLOOKUP(C36,Tab_Def_Flows[Name(EN)],Tab_Def_Flows[CC?],,0,)</f>
        <v>Yes</v>
      </c>
      <c r="M36" s="50">
        <v>1954</v>
      </c>
      <c r="N36" s="50"/>
      <c r="O36" s="104">
        <v>90</v>
      </c>
      <c r="P36" s="50" t="s">
        <v>85</v>
      </c>
      <c r="Q36" s="50"/>
      <c r="R36" s="50" t="e">
        <f>INDEX(Tab_WC_DM_CC[[Flow_ID]:[CC_source]],MATCH(Tab_Data_Flows[[#This Row],[Name(EN)]],Tab_WC_DM_CC[Name(EN)],0),12)</f>
        <v>#N/A</v>
      </c>
      <c r="S36" s="50" t="e">
        <f>MATCH(Tab_Data_Flows[[#This Row],[Name(EN)]],Tab_WC_DM_CC[Name(EN)],0)</f>
        <v>#N/A</v>
      </c>
      <c r="T36" s="50"/>
      <c r="U36" s="50"/>
      <c r="V36" s="50"/>
      <c r="W36" s="50"/>
      <c r="X36" s="50" t="s">
        <v>84</v>
      </c>
      <c r="Y36" s="50"/>
      <c r="Z36" s="50"/>
      <c r="AA36" s="77">
        <f t="shared" si="3"/>
        <v>90</v>
      </c>
      <c r="AB36" s="50" t="s">
        <v>85</v>
      </c>
      <c r="AC36" s="97">
        <f>INDEX(Tab_Def_Flows[[Flow_ID]:[CC_DM_source]],MATCH(Tab_Data_Flows[[#This Row],[Name(EN)]],Tab_Def_Flows[Name(EN)],0),14)</f>
        <v>0</v>
      </c>
      <c r="AD36" s="98">
        <f>IF(J36="Yes",AA36*Tab_Data_Flows[[#This Row],[WC_'[%']]],"N.A.")</f>
        <v>0</v>
      </c>
      <c r="AE36" s="58" t="str">
        <f>Tab_Data_Flows[[#This Row],[UoM_Flow_Py]]</f>
        <v>Mg</v>
      </c>
      <c r="AF36" s="97">
        <f>INDEX(Tab_Def_Flows[[Flow_ID]:[CC_DM_source]],MATCH(Tab_Data_Flows[[#This Row],[Name(EN)]],Tab_Def_Flows[Name(EN)],0),16)</f>
        <v>1</v>
      </c>
      <c r="AG36" s="98">
        <f>IF(K36="Yes",AF36*Tab_Data_Flows[[#This Row],[Flow_Py]],"N.A.")</f>
        <v>90</v>
      </c>
      <c r="AH36" s="58" t="str">
        <f>Tab_Data_Flows[[#This Row],[UoM_Flow_Py]]</f>
        <v>Mg</v>
      </c>
      <c r="AI36" s="97">
        <f>INDEX(Tab_Def_Flows[[Flow_ID]:[CC_DM_source]],MATCH(Tab_Data_Flows[[#This Row],[Name(EN)]],Tab_Def_Flows[Name(EN)],0),18)</f>
        <v>0.5</v>
      </c>
      <c r="AJ36" s="98">
        <f>IF(L36="Yes",AI36*Tab_Data_Flows[[#This Row],[Flow_Py]]*Tab_Data_Flows[[#This Row],[DM_'[%']]],"N.A.")</f>
        <v>45</v>
      </c>
      <c r="AK36" s="58" t="str">
        <f>Tab_Data_Flows[[#This Row],[UoM_Flow_Py]]</f>
        <v>Mg</v>
      </c>
    </row>
    <row r="37" spans="1:37" x14ac:dyDescent="0.3">
      <c r="A37" s="57">
        <f t="shared" si="0"/>
        <v>36</v>
      </c>
      <c r="B37" s="48" t="str">
        <f>_xlfn.XLOOKUP(C37,Tab_Def_Flows[Name(EN)],Tab_Def_Flows[Flow_ID],,0,)</f>
        <v>F_00_01</v>
      </c>
      <c r="C37" s="50" t="s">
        <v>107</v>
      </c>
      <c r="D37" s="48"/>
      <c r="E37" s="48" t="str">
        <f>_xlfn.XLOOKUP(C37,Tab_Def_Flows[Name(EN)],Tab_Def_Flows[Output_Process],,0,)</f>
        <v>Biosphere</v>
      </c>
      <c r="F37" s="48" t="str">
        <f>_xlfn.XLOOKUP(C37,Tab_Def_Flows[Name(EN)],Tab_Def_Flows[Process_ID_O],,0,)</f>
        <v>00_Bio_</v>
      </c>
      <c r="G37" s="48" t="str">
        <f>_xlfn.XLOOKUP(C37,Tab_Def_Flows[Name(EN)],Tab_Def_Flows[Input_Process],,0,)</f>
        <v>Raw Material Extraction</v>
      </c>
      <c r="H37" s="58" t="str">
        <f>_xlfn.XLOOKUP(C37,Tab_Def_Flows[Name(EN)],Tab_Def_Flows[Process_ID_I],,0,)</f>
        <v>01_Raw_</v>
      </c>
      <c r="I37" s="48">
        <f>_xlfn.XLOOKUP(C37,Tab_Def_Flows[Name(EN)],Tab_Def_Flows[Value_Source],,0,)</f>
        <v>0</v>
      </c>
      <c r="J37" s="48" t="str">
        <f>_xlfn.XLOOKUP(C37,Tab_Def_Flows[Name(EN)],Tab_Def_Flows[WC?],,0,)</f>
        <v>Yes</v>
      </c>
      <c r="K37" s="48" t="str">
        <f>_xlfn.XLOOKUP(C37,Tab_Def_Flows[Name(EN)],Tab_Def_Flows[DM?],,0,)</f>
        <v>Yes</v>
      </c>
      <c r="L37" s="48" t="str">
        <f>_xlfn.XLOOKUP(C37,Tab_Def_Flows[Name(EN)],Tab_Def_Flows[CC?],,0,)</f>
        <v>Yes</v>
      </c>
      <c r="M37" s="50">
        <v>1955</v>
      </c>
      <c r="N37" s="50"/>
      <c r="O37" s="104">
        <v>96.4</v>
      </c>
      <c r="P37" s="50" t="s">
        <v>85</v>
      </c>
      <c r="Q37" s="50"/>
      <c r="R37" s="50" t="e">
        <f>INDEX(Tab_WC_DM_CC[[Flow_ID]:[CC_source]],MATCH(Tab_Data_Flows[[#This Row],[Name(EN)]],Tab_WC_DM_CC[Name(EN)],0),12)</f>
        <v>#N/A</v>
      </c>
      <c r="S37" s="50" t="e">
        <f>MATCH(Tab_Data_Flows[[#This Row],[Name(EN)]],Tab_WC_DM_CC[Name(EN)],0)</f>
        <v>#N/A</v>
      </c>
      <c r="T37" s="50"/>
      <c r="U37" s="50"/>
      <c r="V37" s="50"/>
      <c r="W37" s="50"/>
      <c r="X37" s="50" t="s">
        <v>84</v>
      </c>
      <c r="Y37" s="50"/>
      <c r="Z37" s="50"/>
      <c r="AA37" s="77">
        <f t="shared" si="3"/>
        <v>96.4</v>
      </c>
      <c r="AB37" s="50" t="s">
        <v>85</v>
      </c>
      <c r="AC37" s="97">
        <f>INDEX(Tab_Def_Flows[[Flow_ID]:[CC_DM_source]],MATCH(Tab_Data_Flows[[#This Row],[Name(EN)]],Tab_Def_Flows[Name(EN)],0),14)</f>
        <v>0</v>
      </c>
      <c r="AD37" s="98">
        <f>IF(J37="Yes",AA37*Tab_Data_Flows[[#This Row],[WC_'[%']]],"N.A.")</f>
        <v>0</v>
      </c>
      <c r="AE37" s="58" t="str">
        <f>Tab_Data_Flows[[#This Row],[UoM_Flow_Py]]</f>
        <v>Mg</v>
      </c>
      <c r="AF37" s="97">
        <f>INDEX(Tab_Def_Flows[[Flow_ID]:[CC_DM_source]],MATCH(Tab_Data_Flows[[#This Row],[Name(EN)]],Tab_Def_Flows[Name(EN)],0),16)</f>
        <v>1</v>
      </c>
      <c r="AG37" s="98">
        <f>IF(K37="Yes",AF37*Tab_Data_Flows[[#This Row],[Flow_Py]],"N.A.")</f>
        <v>96.4</v>
      </c>
      <c r="AH37" s="58" t="str">
        <f>Tab_Data_Flows[[#This Row],[UoM_Flow_Py]]</f>
        <v>Mg</v>
      </c>
      <c r="AI37" s="97">
        <f>INDEX(Tab_Def_Flows[[Flow_ID]:[CC_DM_source]],MATCH(Tab_Data_Flows[[#This Row],[Name(EN)]],Tab_Def_Flows[Name(EN)],0),18)</f>
        <v>0.5</v>
      </c>
      <c r="AJ37" s="98">
        <f>IF(L37="Yes",AI37*Tab_Data_Flows[[#This Row],[Flow_Py]]*Tab_Data_Flows[[#This Row],[DM_'[%']]],"N.A.")</f>
        <v>48.2</v>
      </c>
      <c r="AK37" s="58" t="str">
        <f>Tab_Data_Flows[[#This Row],[UoM_Flow_Py]]</f>
        <v>Mg</v>
      </c>
    </row>
    <row r="38" spans="1:37" x14ac:dyDescent="0.3">
      <c r="A38" s="57">
        <f t="shared" si="0"/>
        <v>37</v>
      </c>
      <c r="B38" s="48" t="str">
        <f>_xlfn.XLOOKUP(C38,Tab_Def_Flows[Name(EN)],Tab_Def_Flows[Flow_ID],,0,)</f>
        <v>F_00_01</v>
      </c>
      <c r="C38" s="50" t="s">
        <v>107</v>
      </c>
      <c r="D38" s="48"/>
      <c r="E38" s="48" t="str">
        <f>_xlfn.XLOOKUP(C38,Tab_Def_Flows[Name(EN)],Tab_Def_Flows[Output_Process],,0,)</f>
        <v>Biosphere</v>
      </c>
      <c r="F38" s="48" t="str">
        <f>_xlfn.XLOOKUP(C38,Tab_Def_Flows[Name(EN)],Tab_Def_Flows[Process_ID_O],,0,)</f>
        <v>00_Bio_</v>
      </c>
      <c r="G38" s="48" t="str">
        <f>_xlfn.XLOOKUP(C38,Tab_Def_Flows[Name(EN)],Tab_Def_Flows[Input_Process],,0,)</f>
        <v>Raw Material Extraction</v>
      </c>
      <c r="H38" s="58" t="str">
        <f>_xlfn.XLOOKUP(C38,Tab_Def_Flows[Name(EN)],Tab_Def_Flows[Process_ID_I],,0,)</f>
        <v>01_Raw_</v>
      </c>
      <c r="I38" s="48">
        <f>_xlfn.XLOOKUP(C38,Tab_Def_Flows[Name(EN)],Tab_Def_Flows[Value_Source],,0,)</f>
        <v>0</v>
      </c>
      <c r="J38" s="48" t="str">
        <f>_xlfn.XLOOKUP(C38,Tab_Def_Flows[Name(EN)],Tab_Def_Flows[WC?],,0,)</f>
        <v>Yes</v>
      </c>
      <c r="K38" s="48" t="str">
        <f>_xlfn.XLOOKUP(C38,Tab_Def_Flows[Name(EN)],Tab_Def_Flows[DM?],,0,)</f>
        <v>Yes</v>
      </c>
      <c r="L38" s="48" t="str">
        <f>_xlfn.XLOOKUP(C38,Tab_Def_Flows[Name(EN)],Tab_Def_Flows[CC?],,0,)</f>
        <v>Yes</v>
      </c>
      <c r="M38" s="50">
        <v>1956</v>
      </c>
      <c r="N38" s="50"/>
      <c r="O38" s="104">
        <v>38.6</v>
      </c>
      <c r="P38" s="50" t="s">
        <v>85</v>
      </c>
      <c r="Q38" s="50"/>
      <c r="R38" s="50" t="e">
        <f>INDEX(Tab_WC_DM_CC[[Flow_ID]:[CC_source]],MATCH(Tab_Data_Flows[[#This Row],[Name(EN)]],Tab_WC_DM_CC[Name(EN)],0),12)</f>
        <v>#N/A</v>
      </c>
      <c r="S38" s="50" t="e">
        <f>MATCH(Tab_Data_Flows[[#This Row],[Name(EN)]],Tab_WC_DM_CC[Name(EN)],0)</f>
        <v>#N/A</v>
      </c>
      <c r="T38" s="50"/>
      <c r="U38" s="50"/>
      <c r="V38" s="50"/>
      <c r="W38" s="50"/>
      <c r="X38" s="50" t="s">
        <v>84</v>
      </c>
      <c r="Y38" s="50"/>
      <c r="Z38" s="50"/>
      <c r="AA38" s="77">
        <f t="shared" si="3"/>
        <v>38.6</v>
      </c>
      <c r="AB38" s="50" t="s">
        <v>85</v>
      </c>
      <c r="AC38" s="97">
        <f>INDEX(Tab_Def_Flows[[Flow_ID]:[CC_DM_source]],MATCH(Tab_Data_Flows[[#This Row],[Name(EN)]],Tab_Def_Flows[Name(EN)],0),14)</f>
        <v>0</v>
      </c>
      <c r="AD38" s="98">
        <f>IF(J38="Yes",AA38*Tab_Data_Flows[[#This Row],[WC_'[%']]],"N.A.")</f>
        <v>0</v>
      </c>
      <c r="AE38" s="58" t="str">
        <f>Tab_Data_Flows[[#This Row],[UoM_Flow_Py]]</f>
        <v>Mg</v>
      </c>
      <c r="AF38" s="97">
        <f>INDEX(Tab_Def_Flows[[Flow_ID]:[CC_DM_source]],MATCH(Tab_Data_Flows[[#This Row],[Name(EN)]],Tab_Def_Flows[Name(EN)],0),16)</f>
        <v>1</v>
      </c>
      <c r="AG38" s="98">
        <f>IF(K38="Yes",AF38*Tab_Data_Flows[[#This Row],[Flow_Py]],"N.A.")</f>
        <v>38.6</v>
      </c>
      <c r="AH38" s="58" t="str">
        <f>Tab_Data_Flows[[#This Row],[UoM_Flow_Py]]</f>
        <v>Mg</v>
      </c>
      <c r="AI38" s="97">
        <f>INDEX(Tab_Def_Flows[[Flow_ID]:[CC_DM_source]],MATCH(Tab_Data_Flows[[#This Row],[Name(EN)]],Tab_Def_Flows[Name(EN)],0),18)</f>
        <v>0.5</v>
      </c>
      <c r="AJ38" s="98">
        <f>IF(L38="Yes",AI38*Tab_Data_Flows[[#This Row],[Flow_Py]]*Tab_Data_Flows[[#This Row],[DM_'[%']]],"N.A.")</f>
        <v>19.3</v>
      </c>
      <c r="AK38" s="58" t="str">
        <f>Tab_Data_Flows[[#This Row],[UoM_Flow_Py]]</f>
        <v>Mg</v>
      </c>
    </row>
    <row r="39" spans="1:37" x14ac:dyDescent="0.3">
      <c r="A39" s="57">
        <f t="shared" si="0"/>
        <v>38</v>
      </c>
      <c r="B39" s="48" t="str">
        <f>_xlfn.XLOOKUP(C39,Tab_Def_Flows[Name(EN)],Tab_Def_Flows[Flow_ID],,0,)</f>
        <v>F_00_01</v>
      </c>
      <c r="C39" s="50" t="s">
        <v>107</v>
      </c>
      <c r="D39" s="48"/>
      <c r="E39" s="48" t="str">
        <f>_xlfn.XLOOKUP(C39,Tab_Def_Flows[Name(EN)],Tab_Def_Flows[Output_Process],,0,)</f>
        <v>Biosphere</v>
      </c>
      <c r="F39" s="48" t="str">
        <f>_xlfn.XLOOKUP(C39,Tab_Def_Flows[Name(EN)],Tab_Def_Flows[Process_ID_O],,0,)</f>
        <v>00_Bio_</v>
      </c>
      <c r="G39" s="48" t="str">
        <f>_xlfn.XLOOKUP(C39,Tab_Def_Flows[Name(EN)],Tab_Def_Flows[Input_Process],,0,)</f>
        <v>Raw Material Extraction</v>
      </c>
      <c r="H39" s="58" t="str">
        <f>_xlfn.XLOOKUP(C39,Tab_Def_Flows[Name(EN)],Tab_Def_Flows[Process_ID_I],,0,)</f>
        <v>01_Raw_</v>
      </c>
      <c r="I39" s="48">
        <f>_xlfn.XLOOKUP(C39,Tab_Def_Flows[Name(EN)],Tab_Def_Flows[Value_Source],,0,)</f>
        <v>0</v>
      </c>
      <c r="J39" s="48" t="str">
        <f>_xlfn.XLOOKUP(C39,Tab_Def_Flows[Name(EN)],Tab_Def_Flows[WC?],,0,)</f>
        <v>Yes</v>
      </c>
      <c r="K39" s="48" t="str">
        <f>_xlfn.XLOOKUP(C39,Tab_Def_Flows[Name(EN)],Tab_Def_Flows[DM?],,0,)</f>
        <v>Yes</v>
      </c>
      <c r="L39" s="48" t="str">
        <f>_xlfn.XLOOKUP(C39,Tab_Def_Flows[Name(EN)],Tab_Def_Flows[CC?],,0,)</f>
        <v>Yes</v>
      </c>
      <c r="M39" s="50">
        <v>1957</v>
      </c>
      <c r="N39" s="50"/>
      <c r="O39" s="104">
        <v>38.6</v>
      </c>
      <c r="P39" s="50" t="s">
        <v>85</v>
      </c>
      <c r="Q39" s="50"/>
      <c r="R39" s="50" t="e">
        <f>INDEX(Tab_WC_DM_CC[[Flow_ID]:[CC_source]],MATCH(Tab_Data_Flows[[#This Row],[Name(EN)]],Tab_WC_DM_CC[Name(EN)],0),12)</f>
        <v>#N/A</v>
      </c>
      <c r="S39" s="50" t="e">
        <f>MATCH(Tab_Data_Flows[[#This Row],[Name(EN)]],Tab_WC_DM_CC[Name(EN)],0)</f>
        <v>#N/A</v>
      </c>
      <c r="T39" s="50"/>
      <c r="U39" s="50"/>
      <c r="V39" s="50"/>
      <c r="W39" s="50"/>
      <c r="X39" s="50" t="s">
        <v>84</v>
      </c>
      <c r="Y39" s="50"/>
      <c r="Z39" s="50"/>
      <c r="AA39" s="77">
        <f t="shared" si="3"/>
        <v>38.6</v>
      </c>
      <c r="AB39" s="50" t="s">
        <v>85</v>
      </c>
      <c r="AC39" s="97">
        <f>INDEX(Tab_Def_Flows[[Flow_ID]:[CC_DM_source]],MATCH(Tab_Data_Flows[[#This Row],[Name(EN)]],Tab_Def_Flows[Name(EN)],0),14)</f>
        <v>0</v>
      </c>
      <c r="AD39" s="98">
        <f>IF(J39="Yes",AA39*Tab_Data_Flows[[#This Row],[WC_'[%']]],"N.A.")</f>
        <v>0</v>
      </c>
      <c r="AE39" s="58" t="str">
        <f>Tab_Data_Flows[[#This Row],[UoM_Flow_Py]]</f>
        <v>Mg</v>
      </c>
      <c r="AF39" s="97">
        <f>INDEX(Tab_Def_Flows[[Flow_ID]:[CC_DM_source]],MATCH(Tab_Data_Flows[[#This Row],[Name(EN)]],Tab_Def_Flows[Name(EN)],0),16)</f>
        <v>1</v>
      </c>
      <c r="AG39" s="98">
        <f>IF(K39="Yes",AF39*Tab_Data_Flows[[#This Row],[Flow_Py]],"N.A.")</f>
        <v>38.6</v>
      </c>
      <c r="AH39" s="58" t="str">
        <f>Tab_Data_Flows[[#This Row],[UoM_Flow_Py]]</f>
        <v>Mg</v>
      </c>
      <c r="AI39" s="97">
        <f>INDEX(Tab_Def_Flows[[Flow_ID]:[CC_DM_source]],MATCH(Tab_Data_Flows[[#This Row],[Name(EN)]],Tab_Def_Flows[Name(EN)],0),18)</f>
        <v>0.5</v>
      </c>
      <c r="AJ39" s="98">
        <f>IF(L39="Yes",AI39*Tab_Data_Flows[[#This Row],[Flow_Py]]*Tab_Data_Flows[[#This Row],[DM_'[%']]],"N.A.")</f>
        <v>19.3</v>
      </c>
      <c r="AK39" s="58" t="str">
        <f>Tab_Data_Flows[[#This Row],[UoM_Flow_Py]]</f>
        <v>Mg</v>
      </c>
    </row>
    <row r="40" spans="1:37" x14ac:dyDescent="0.3">
      <c r="A40" s="57">
        <f t="shared" si="0"/>
        <v>39</v>
      </c>
      <c r="B40" s="48" t="str">
        <f>_xlfn.XLOOKUP(C40,Tab_Def_Flows[Name(EN)],Tab_Def_Flows[Flow_ID],,0,)</f>
        <v>F_00_01</v>
      </c>
      <c r="C40" s="50" t="s">
        <v>107</v>
      </c>
      <c r="D40" s="48"/>
      <c r="E40" s="48" t="str">
        <f>_xlfn.XLOOKUP(C40,Tab_Def_Flows[Name(EN)],Tab_Def_Flows[Output_Process],,0,)</f>
        <v>Biosphere</v>
      </c>
      <c r="F40" s="48" t="str">
        <f>_xlfn.XLOOKUP(C40,Tab_Def_Flows[Name(EN)],Tab_Def_Flows[Process_ID_O],,0,)</f>
        <v>00_Bio_</v>
      </c>
      <c r="G40" s="48" t="str">
        <f>_xlfn.XLOOKUP(C40,Tab_Def_Flows[Name(EN)],Tab_Def_Flows[Input_Process],,0,)</f>
        <v>Raw Material Extraction</v>
      </c>
      <c r="H40" s="58" t="str">
        <f>_xlfn.XLOOKUP(C40,Tab_Def_Flows[Name(EN)],Tab_Def_Flows[Process_ID_I],,0,)</f>
        <v>01_Raw_</v>
      </c>
      <c r="I40" s="48">
        <f>_xlfn.XLOOKUP(C40,Tab_Def_Flows[Name(EN)],Tab_Def_Flows[Value_Source],,0,)</f>
        <v>0</v>
      </c>
      <c r="J40" s="48" t="str">
        <f>_xlfn.XLOOKUP(C40,Tab_Def_Flows[Name(EN)],Tab_Def_Flows[WC?],,0,)</f>
        <v>Yes</v>
      </c>
      <c r="K40" s="48" t="str">
        <f>_xlfn.XLOOKUP(C40,Tab_Def_Flows[Name(EN)],Tab_Def_Flows[DM?],,0,)</f>
        <v>Yes</v>
      </c>
      <c r="L40" s="48" t="str">
        <f>_xlfn.XLOOKUP(C40,Tab_Def_Flows[Name(EN)],Tab_Def_Flows[CC?],,0,)</f>
        <v>Yes</v>
      </c>
      <c r="M40" s="50">
        <v>1958</v>
      </c>
      <c r="N40" s="50"/>
      <c r="O40" s="104">
        <v>51.4</v>
      </c>
      <c r="P40" s="50" t="s">
        <v>85</v>
      </c>
      <c r="Q40" s="50"/>
      <c r="R40" s="50" t="e">
        <f>INDEX(Tab_WC_DM_CC[[Flow_ID]:[CC_source]],MATCH(Tab_Data_Flows[[#This Row],[Name(EN)]],Tab_WC_DM_CC[Name(EN)],0),12)</f>
        <v>#N/A</v>
      </c>
      <c r="S40" s="50" t="e">
        <f>MATCH(Tab_Data_Flows[[#This Row],[Name(EN)]],Tab_WC_DM_CC[Name(EN)],0)</f>
        <v>#N/A</v>
      </c>
      <c r="T40" s="50"/>
      <c r="U40" s="50"/>
      <c r="V40" s="50"/>
      <c r="W40" s="50"/>
      <c r="X40" s="50" t="s">
        <v>84</v>
      </c>
      <c r="Y40" s="50"/>
      <c r="Z40" s="50"/>
      <c r="AA40" s="77">
        <f t="shared" si="3"/>
        <v>51.4</v>
      </c>
      <c r="AB40" s="50" t="s">
        <v>85</v>
      </c>
      <c r="AC40" s="97">
        <f>INDEX(Tab_Def_Flows[[Flow_ID]:[CC_DM_source]],MATCH(Tab_Data_Flows[[#This Row],[Name(EN)]],Tab_Def_Flows[Name(EN)],0),14)</f>
        <v>0</v>
      </c>
      <c r="AD40" s="98">
        <f>IF(J40="Yes",AA40*Tab_Data_Flows[[#This Row],[WC_'[%']]],"N.A.")</f>
        <v>0</v>
      </c>
      <c r="AE40" s="58" t="str">
        <f>Tab_Data_Flows[[#This Row],[UoM_Flow_Py]]</f>
        <v>Mg</v>
      </c>
      <c r="AF40" s="97">
        <f>INDEX(Tab_Def_Flows[[Flow_ID]:[CC_DM_source]],MATCH(Tab_Data_Flows[[#This Row],[Name(EN)]],Tab_Def_Flows[Name(EN)],0),16)</f>
        <v>1</v>
      </c>
      <c r="AG40" s="98">
        <f>IF(K40="Yes",AF40*Tab_Data_Flows[[#This Row],[Flow_Py]],"N.A.")</f>
        <v>51.4</v>
      </c>
      <c r="AH40" s="58" t="str">
        <f>Tab_Data_Flows[[#This Row],[UoM_Flow_Py]]</f>
        <v>Mg</v>
      </c>
      <c r="AI40" s="97">
        <f>INDEX(Tab_Def_Flows[[Flow_ID]:[CC_DM_source]],MATCH(Tab_Data_Flows[[#This Row],[Name(EN)]],Tab_Def_Flows[Name(EN)],0),18)</f>
        <v>0.5</v>
      </c>
      <c r="AJ40" s="98">
        <f>IF(L40="Yes",AI40*Tab_Data_Flows[[#This Row],[Flow_Py]]*Tab_Data_Flows[[#This Row],[DM_'[%']]],"N.A.")</f>
        <v>25.7</v>
      </c>
      <c r="AK40" s="58" t="str">
        <f>Tab_Data_Flows[[#This Row],[UoM_Flow_Py]]</f>
        <v>Mg</v>
      </c>
    </row>
    <row r="41" spans="1:37" x14ac:dyDescent="0.3">
      <c r="A41" s="57">
        <f t="shared" si="0"/>
        <v>40</v>
      </c>
      <c r="B41" s="48" t="str">
        <f>_xlfn.XLOOKUP(C41,Tab_Def_Flows[Name(EN)],Tab_Def_Flows[Flow_ID],,0,)</f>
        <v>F_00_01</v>
      </c>
      <c r="C41" s="50" t="s">
        <v>107</v>
      </c>
      <c r="D41" s="48"/>
      <c r="E41" s="48" t="str">
        <f>_xlfn.XLOOKUP(C41,Tab_Def_Flows[Name(EN)],Tab_Def_Flows[Output_Process],,0,)</f>
        <v>Biosphere</v>
      </c>
      <c r="F41" s="48" t="str">
        <f>_xlfn.XLOOKUP(C41,Tab_Def_Flows[Name(EN)],Tab_Def_Flows[Process_ID_O],,0,)</f>
        <v>00_Bio_</v>
      </c>
      <c r="G41" s="48" t="str">
        <f>_xlfn.XLOOKUP(C41,Tab_Def_Flows[Name(EN)],Tab_Def_Flows[Input_Process],,0,)</f>
        <v>Raw Material Extraction</v>
      </c>
      <c r="H41" s="58" t="str">
        <f>_xlfn.XLOOKUP(C41,Tab_Def_Flows[Name(EN)],Tab_Def_Flows[Process_ID_I],,0,)</f>
        <v>01_Raw_</v>
      </c>
      <c r="I41" s="48">
        <f>_xlfn.XLOOKUP(C41,Tab_Def_Flows[Name(EN)],Tab_Def_Flows[Value_Source],,0,)</f>
        <v>0</v>
      </c>
      <c r="J41" s="48" t="str">
        <f>_xlfn.XLOOKUP(C41,Tab_Def_Flows[Name(EN)],Tab_Def_Flows[WC?],,0,)</f>
        <v>Yes</v>
      </c>
      <c r="K41" s="48" t="str">
        <f>_xlfn.XLOOKUP(C41,Tab_Def_Flows[Name(EN)],Tab_Def_Flows[DM?],,0,)</f>
        <v>Yes</v>
      </c>
      <c r="L41" s="48" t="str">
        <f>_xlfn.XLOOKUP(C41,Tab_Def_Flows[Name(EN)],Tab_Def_Flows[CC?],,0,)</f>
        <v>Yes</v>
      </c>
      <c r="M41" s="50">
        <v>1959</v>
      </c>
      <c r="N41" s="50"/>
      <c r="O41" s="104">
        <v>51.4</v>
      </c>
      <c r="P41" s="50" t="s">
        <v>85</v>
      </c>
      <c r="Q41" s="50"/>
      <c r="R41" s="50" t="e">
        <f>INDEX(Tab_WC_DM_CC[[Flow_ID]:[CC_source]],MATCH(Tab_Data_Flows[[#This Row],[Name(EN)]],Tab_WC_DM_CC[Name(EN)],0),12)</f>
        <v>#N/A</v>
      </c>
      <c r="S41" s="50" t="e">
        <f>MATCH(Tab_Data_Flows[[#This Row],[Name(EN)]],Tab_WC_DM_CC[Name(EN)],0)</f>
        <v>#N/A</v>
      </c>
      <c r="T41" s="50"/>
      <c r="U41" s="50"/>
      <c r="V41" s="50"/>
      <c r="W41" s="50"/>
      <c r="X41" s="50" t="s">
        <v>84</v>
      </c>
      <c r="Y41" s="50"/>
      <c r="Z41" s="50"/>
      <c r="AA41" s="77">
        <f t="shared" si="3"/>
        <v>51.4</v>
      </c>
      <c r="AB41" s="50" t="s">
        <v>85</v>
      </c>
      <c r="AC41" s="97">
        <f>INDEX(Tab_Def_Flows[[Flow_ID]:[CC_DM_source]],MATCH(Tab_Data_Flows[[#This Row],[Name(EN)]],Tab_Def_Flows[Name(EN)],0),14)</f>
        <v>0</v>
      </c>
      <c r="AD41" s="98">
        <f>IF(J41="Yes",AA41*Tab_Data_Flows[[#This Row],[WC_'[%']]],"N.A.")</f>
        <v>0</v>
      </c>
      <c r="AE41" s="58" t="str">
        <f>Tab_Data_Flows[[#This Row],[UoM_Flow_Py]]</f>
        <v>Mg</v>
      </c>
      <c r="AF41" s="97">
        <f>INDEX(Tab_Def_Flows[[Flow_ID]:[CC_DM_source]],MATCH(Tab_Data_Flows[[#This Row],[Name(EN)]],Tab_Def_Flows[Name(EN)],0),16)</f>
        <v>1</v>
      </c>
      <c r="AG41" s="98">
        <f>IF(K41="Yes",AF41*Tab_Data_Flows[[#This Row],[Flow_Py]],"N.A.")</f>
        <v>51.4</v>
      </c>
      <c r="AH41" s="58" t="str">
        <f>Tab_Data_Flows[[#This Row],[UoM_Flow_Py]]</f>
        <v>Mg</v>
      </c>
      <c r="AI41" s="97">
        <f>INDEX(Tab_Def_Flows[[Flow_ID]:[CC_DM_source]],MATCH(Tab_Data_Flows[[#This Row],[Name(EN)]],Tab_Def_Flows[Name(EN)],0),18)</f>
        <v>0.5</v>
      </c>
      <c r="AJ41" s="98">
        <f>IF(L41="Yes",AI41*Tab_Data_Flows[[#This Row],[Flow_Py]]*Tab_Data_Flows[[#This Row],[DM_'[%']]],"N.A.")</f>
        <v>25.7</v>
      </c>
      <c r="AK41" s="58" t="str">
        <f>Tab_Data_Flows[[#This Row],[UoM_Flow_Py]]</f>
        <v>Mg</v>
      </c>
    </row>
    <row r="42" spans="1:37" x14ac:dyDescent="0.3">
      <c r="A42" s="57">
        <f t="shared" si="0"/>
        <v>41</v>
      </c>
      <c r="B42" s="48" t="str">
        <f>_xlfn.XLOOKUP(C42,Tab_Def_Flows[Name(EN)],Tab_Def_Flows[Flow_ID],,0,)</f>
        <v>F_00_01</v>
      </c>
      <c r="C42" s="50" t="s">
        <v>107</v>
      </c>
      <c r="D42" s="48"/>
      <c r="E42" s="48" t="str">
        <f>_xlfn.XLOOKUP(C42,Tab_Def_Flows[Name(EN)],Tab_Def_Flows[Output_Process],,0,)</f>
        <v>Biosphere</v>
      </c>
      <c r="F42" s="48" t="str">
        <f>_xlfn.XLOOKUP(C42,Tab_Def_Flows[Name(EN)],Tab_Def_Flows[Process_ID_O],,0,)</f>
        <v>00_Bio_</v>
      </c>
      <c r="G42" s="48" t="str">
        <f>_xlfn.XLOOKUP(C42,Tab_Def_Flows[Name(EN)],Tab_Def_Flows[Input_Process],,0,)</f>
        <v>Raw Material Extraction</v>
      </c>
      <c r="H42" s="58" t="str">
        <f>_xlfn.XLOOKUP(C42,Tab_Def_Flows[Name(EN)],Tab_Def_Flows[Process_ID_I],,0,)</f>
        <v>01_Raw_</v>
      </c>
      <c r="I42" s="48">
        <f>_xlfn.XLOOKUP(C42,Tab_Def_Flows[Name(EN)],Tab_Def_Flows[Value_Source],,0,)</f>
        <v>0</v>
      </c>
      <c r="J42" s="48" t="str">
        <f>_xlfn.XLOOKUP(C42,Tab_Def_Flows[Name(EN)],Tab_Def_Flows[WC?],,0,)</f>
        <v>Yes</v>
      </c>
      <c r="K42" s="48" t="str">
        <f>_xlfn.XLOOKUP(C42,Tab_Def_Flows[Name(EN)],Tab_Def_Flows[DM?],,0,)</f>
        <v>Yes</v>
      </c>
      <c r="L42" s="48" t="str">
        <f>_xlfn.XLOOKUP(C42,Tab_Def_Flows[Name(EN)],Tab_Def_Flows[CC?],,0,)</f>
        <v>Yes</v>
      </c>
      <c r="M42" s="50">
        <v>1960</v>
      </c>
      <c r="N42" s="50"/>
      <c r="O42" s="104">
        <v>45</v>
      </c>
      <c r="P42" s="50" t="s">
        <v>85</v>
      </c>
      <c r="Q42" s="50"/>
      <c r="R42" s="50" t="e">
        <f>INDEX(Tab_WC_DM_CC[[Flow_ID]:[CC_source]],MATCH(Tab_Data_Flows[[#This Row],[Name(EN)]],Tab_WC_DM_CC[Name(EN)],0),12)</f>
        <v>#N/A</v>
      </c>
      <c r="S42" s="50" t="e">
        <f>MATCH(Tab_Data_Flows[[#This Row],[Name(EN)]],Tab_WC_DM_CC[Name(EN)],0)</f>
        <v>#N/A</v>
      </c>
      <c r="T42" s="50"/>
      <c r="U42" s="50"/>
      <c r="V42" s="50"/>
      <c r="W42" s="50"/>
      <c r="X42" s="50" t="s">
        <v>84</v>
      </c>
      <c r="Y42" s="50"/>
      <c r="Z42" s="50"/>
      <c r="AA42" s="77">
        <f t="shared" si="3"/>
        <v>45</v>
      </c>
      <c r="AB42" s="50" t="s">
        <v>85</v>
      </c>
      <c r="AC42" s="97">
        <f>INDEX(Tab_Def_Flows[[Flow_ID]:[CC_DM_source]],MATCH(Tab_Data_Flows[[#This Row],[Name(EN)]],Tab_Def_Flows[Name(EN)],0),14)</f>
        <v>0</v>
      </c>
      <c r="AD42" s="98">
        <f>IF(J42="Yes",AA42*Tab_Data_Flows[[#This Row],[WC_'[%']]],"N.A.")</f>
        <v>0</v>
      </c>
      <c r="AE42" s="58" t="str">
        <f>Tab_Data_Flows[[#This Row],[UoM_Flow_Py]]</f>
        <v>Mg</v>
      </c>
      <c r="AF42" s="97">
        <f>INDEX(Tab_Def_Flows[[Flow_ID]:[CC_DM_source]],MATCH(Tab_Data_Flows[[#This Row],[Name(EN)]],Tab_Def_Flows[Name(EN)],0),16)</f>
        <v>1</v>
      </c>
      <c r="AG42" s="98">
        <f>IF(K42="Yes",AF42*Tab_Data_Flows[[#This Row],[Flow_Py]],"N.A.")</f>
        <v>45</v>
      </c>
      <c r="AH42" s="58" t="str">
        <f>Tab_Data_Flows[[#This Row],[UoM_Flow_Py]]</f>
        <v>Mg</v>
      </c>
      <c r="AI42" s="97">
        <f>INDEX(Tab_Def_Flows[[Flow_ID]:[CC_DM_source]],MATCH(Tab_Data_Flows[[#This Row],[Name(EN)]],Tab_Def_Flows[Name(EN)],0),18)</f>
        <v>0.5</v>
      </c>
      <c r="AJ42" s="98">
        <f>IF(L42="Yes",AI42*Tab_Data_Flows[[#This Row],[Flow_Py]]*Tab_Data_Flows[[#This Row],[DM_'[%']]],"N.A.")</f>
        <v>22.5</v>
      </c>
      <c r="AK42" s="58" t="str">
        <f>Tab_Data_Flows[[#This Row],[UoM_Flow_Py]]</f>
        <v>Mg</v>
      </c>
    </row>
    <row r="43" spans="1:37" x14ac:dyDescent="0.3">
      <c r="A43" s="57">
        <f t="shared" si="0"/>
        <v>42</v>
      </c>
      <c r="B43" s="48" t="str">
        <f>_xlfn.XLOOKUP(C43,Tab_Def_Flows[Name(EN)],Tab_Def_Flows[Flow_ID],,0,)</f>
        <v>F_00_01</v>
      </c>
      <c r="C43" s="50" t="s">
        <v>107</v>
      </c>
      <c r="D43" s="48"/>
      <c r="E43" s="48" t="str">
        <f>_xlfn.XLOOKUP(C43,Tab_Def_Flows[Name(EN)],Tab_Def_Flows[Output_Process],,0,)</f>
        <v>Biosphere</v>
      </c>
      <c r="F43" s="48" t="str">
        <f>_xlfn.XLOOKUP(C43,Tab_Def_Flows[Name(EN)],Tab_Def_Flows[Process_ID_O],,0,)</f>
        <v>00_Bio_</v>
      </c>
      <c r="G43" s="48" t="str">
        <f>_xlfn.XLOOKUP(C43,Tab_Def_Flows[Name(EN)],Tab_Def_Flows[Input_Process],,0,)</f>
        <v>Raw Material Extraction</v>
      </c>
      <c r="H43" s="58" t="str">
        <f>_xlfn.XLOOKUP(C43,Tab_Def_Flows[Name(EN)],Tab_Def_Flows[Process_ID_I],,0,)</f>
        <v>01_Raw_</v>
      </c>
      <c r="I43" s="48">
        <f>_xlfn.XLOOKUP(C43,Tab_Def_Flows[Name(EN)],Tab_Def_Flows[Value_Source],,0,)</f>
        <v>0</v>
      </c>
      <c r="J43" s="48" t="str">
        <f>_xlfn.XLOOKUP(C43,Tab_Def_Flows[Name(EN)],Tab_Def_Flows[WC?],,0,)</f>
        <v>Yes</v>
      </c>
      <c r="K43" s="48" t="str">
        <f>_xlfn.XLOOKUP(C43,Tab_Def_Flows[Name(EN)],Tab_Def_Flows[DM?],,0,)</f>
        <v>Yes</v>
      </c>
      <c r="L43" s="48" t="str">
        <f>_xlfn.XLOOKUP(C43,Tab_Def_Flows[Name(EN)],Tab_Def_Flows[CC?],,0,)</f>
        <v>Yes</v>
      </c>
      <c r="M43" s="50">
        <v>1961</v>
      </c>
      <c r="N43" s="50"/>
      <c r="O43" s="104">
        <v>12.8</v>
      </c>
      <c r="P43" s="50" t="s">
        <v>85</v>
      </c>
      <c r="Q43" s="50"/>
      <c r="R43" s="50" t="e">
        <f>INDEX(Tab_WC_DM_CC[[Flow_ID]:[CC_source]],MATCH(Tab_Data_Flows[[#This Row],[Name(EN)]],Tab_WC_DM_CC[Name(EN)],0),12)</f>
        <v>#N/A</v>
      </c>
      <c r="S43" s="50" t="e">
        <f>MATCH(Tab_Data_Flows[[#This Row],[Name(EN)]],Tab_WC_DM_CC[Name(EN)],0)</f>
        <v>#N/A</v>
      </c>
      <c r="T43" s="50"/>
      <c r="U43" s="50"/>
      <c r="V43" s="50"/>
      <c r="W43" s="50"/>
      <c r="X43" s="50" t="s">
        <v>84</v>
      </c>
      <c r="Y43" s="50"/>
      <c r="Z43" s="50"/>
      <c r="AA43" s="77">
        <f t="shared" si="3"/>
        <v>12.8</v>
      </c>
      <c r="AB43" s="50" t="s">
        <v>85</v>
      </c>
      <c r="AC43" s="97">
        <f>INDEX(Tab_Def_Flows[[Flow_ID]:[CC_DM_source]],MATCH(Tab_Data_Flows[[#This Row],[Name(EN)]],Tab_Def_Flows[Name(EN)],0),14)</f>
        <v>0</v>
      </c>
      <c r="AD43" s="98">
        <f>IF(J43="Yes",AA43*Tab_Data_Flows[[#This Row],[WC_'[%']]],"N.A.")</f>
        <v>0</v>
      </c>
      <c r="AE43" s="58" t="str">
        <f>Tab_Data_Flows[[#This Row],[UoM_Flow_Py]]</f>
        <v>Mg</v>
      </c>
      <c r="AF43" s="97">
        <f>INDEX(Tab_Def_Flows[[Flow_ID]:[CC_DM_source]],MATCH(Tab_Data_Flows[[#This Row],[Name(EN)]],Tab_Def_Flows[Name(EN)],0),16)</f>
        <v>1</v>
      </c>
      <c r="AG43" s="98">
        <f>IF(K43="Yes",AF43*Tab_Data_Flows[[#This Row],[Flow_Py]],"N.A.")</f>
        <v>12.8</v>
      </c>
      <c r="AH43" s="58" t="str">
        <f>Tab_Data_Flows[[#This Row],[UoM_Flow_Py]]</f>
        <v>Mg</v>
      </c>
      <c r="AI43" s="97">
        <f>INDEX(Tab_Def_Flows[[Flow_ID]:[CC_DM_source]],MATCH(Tab_Data_Flows[[#This Row],[Name(EN)]],Tab_Def_Flows[Name(EN)],0),18)</f>
        <v>0.5</v>
      </c>
      <c r="AJ43" s="98">
        <f>IF(L43="Yes",AI43*Tab_Data_Flows[[#This Row],[Flow_Py]]*Tab_Data_Flows[[#This Row],[DM_'[%']]],"N.A.")</f>
        <v>6.4</v>
      </c>
      <c r="AK43" s="58" t="str">
        <f>Tab_Data_Flows[[#This Row],[UoM_Flow_Py]]</f>
        <v>Mg</v>
      </c>
    </row>
    <row r="44" spans="1:37" x14ac:dyDescent="0.3">
      <c r="A44" s="57">
        <f t="shared" si="0"/>
        <v>43</v>
      </c>
      <c r="B44" s="48" t="str">
        <f>_xlfn.XLOOKUP(C44,Tab_Def_Flows[Name(EN)],Tab_Def_Flows[Flow_ID],,0,)</f>
        <v>F_00_01</v>
      </c>
      <c r="C44" s="50" t="s">
        <v>107</v>
      </c>
      <c r="D44" s="48"/>
      <c r="E44" s="48" t="str">
        <f>_xlfn.XLOOKUP(C44,Tab_Def_Flows[Name(EN)],Tab_Def_Flows[Output_Process],,0,)</f>
        <v>Biosphere</v>
      </c>
      <c r="F44" s="48" t="str">
        <f>_xlfn.XLOOKUP(C44,Tab_Def_Flows[Name(EN)],Tab_Def_Flows[Process_ID_O],,0,)</f>
        <v>00_Bio_</v>
      </c>
      <c r="G44" s="48" t="str">
        <f>_xlfn.XLOOKUP(C44,Tab_Def_Flows[Name(EN)],Tab_Def_Flows[Input_Process],,0,)</f>
        <v>Raw Material Extraction</v>
      </c>
      <c r="H44" s="58" t="str">
        <f>_xlfn.XLOOKUP(C44,Tab_Def_Flows[Name(EN)],Tab_Def_Flows[Process_ID_I],,0,)</f>
        <v>01_Raw_</v>
      </c>
      <c r="I44" s="48">
        <f>_xlfn.XLOOKUP(C44,Tab_Def_Flows[Name(EN)],Tab_Def_Flows[Value_Source],,0,)</f>
        <v>0</v>
      </c>
      <c r="J44" s="48" t="str">
        <f>_xlfn.XLOOKUP(C44,Tab_Def_Flows[Name(EN)],Tab_Def_Flows[WC?],,0,)</f>
        <v>Yes</v>
      </c>
      <c r="K44" s="48" t="str">
        <f>_xlfn.XLOOKUP(C44,Tab_Def_Flows[Name(EN)],Tab_Def_Flows[DM?],,0,)</f>
        <v>Yes</v>
      </c>
      <c r="L44" s="48" t="str">
        <f>_xlfn.XLOOKUP(C44,Tab_Def_Flows[Name(EN)],Tab_Def_Flows[CC?],,0,)</f>
        <v>Yes</v>
      </c>
      <c r="M44" s="50">
        <v>1962</v>
      </c>
      <c r="N44" s="50"/>
      <c r="O44" s="104">
        <v>25.8</v>
      </c>
      <c r="P44" s="50" t="s">
        <v>85</v>
      </c>
      <c r="Q44" s="50"/>
      <c r="R44" s="50" t="e">
        <f>INDEX(Tab_WC_DM_CC[[Flow_ID]:[CC_source]],MATCH(Tab_Data_Flows[[#This Row],[Name(EN)]],Tab_WC_DM_CC[Name(EN)],0),12)</f>
        <v>#N/A</v>
      </c>
      <c r="S44" s="50" t="e">
        <f>MATCH(Tab_Data_Flows[[#This Row],[Name(EN)]],Tab_WC_DM_CC[Name(EN)],0)</f>
        <v>#N/A</v>
      </c>
      <c r="T44" s="50"/>
      <c r="U44" s="50"/>
      <c r="V44" s="50"/>
      <c r="W44" s="50"/>
      <c r="X44" s="50" t="s">
        <v>84</v>
      </c>
      <c r="Y44" s="50"/>
      <c r="Z44" s="50"/>
      <c r="AA44" s="77">
        <f t="shared" si="3"/>
        <v>25.8</v>
      </c>
      <c r="AB44" s="50" t="s">
        <v>85</v>
      </c>
      <c r="AC44" s="97">
        <f>INDEX(Tab_Def_Flows[[Flow_ID]:[CC_DM_source]],MATCH(Tab_Data_Flows[[#This Row],[Name(EN)]],Tab_Def_Flows[Name(EN)],0),14)</f>
        <v>0</v>
      </c>
      <c r="AD44" s="98">
        <f>IF(J44="Yes",AA44*Tab_Data_Flows[[#This Row],[WC_'[%']]],"N.A.")</f>
        <v>0</v>
      </c>
      <c r="AE44" s="58" t="str">
        <f>Tab_Data_Flows[[#This Row],[UoM_Flow_Py]]</f>
        <v>Mg</v>
      </c>
      <c r="AF44" s="97">
        <f>INDEX(Tab_Def_Flows[[Flow_ID]:[CC_DM_source]],MATCH(Tab_Data_Flows[[#This Row],[Name(EN)]],Tab_Def_Flows[Name(EN)],0),16)</f>
        <v>1</v>
      </c>
      <c r="AG44" s="98">
        <f>IF(K44="Yes",AF44*Tab_Data_Flows[[#This Row],[Flow_Py]],"N.A.")</f>
        <v>25.8</v>
      </c>
      <c r="AH44" s="58" t="str">
        <f>Tab_Data_Flows[[#This Row],[UoM_Flow_Py]]</f>
        <v>Mg</v>
      </c>
      <c r="AI44" s="97">
        <f>INDEX(Tab_Def_Flows[[Flow_ID]:[CC_DM_source]],MATCH(Tab_Data_Flows[[#This Row],[Name(EN)]],Tab_Def_Flows[Name(EN)],0),18)</f>
        <v>0.5</v>
      </c>
      <c r="AJ44" s="98">
        <f>IF(L44="Yes",AI44*Tab_Data_Flows[[#This Row],[Flow_Py]]*Tab_Data_Flows[[#This Row],[DM_'[%']]],"N.A.")</f>
        <v>12.9</v>
      </c>
      <c r="AK44" s="58" t="str">
        <f>Tab_Data_Flows[[#This Row],[UoM_Flow_Py]]</f>
        <v>Mg</v>
      </c>
    </row>
    <row r="45" spans="1:37" x14ac:dyDescent="0.3">
      <c r="A45" s="57">
        <f t="shared" si="0"/>
        <v>44</v>
      </c>
      <c r="B45" s="48" t="str">
        <f>_xlfn.XLOOKUP(C45,Tab_Def_Flows[Name(EN)],Tab_Def_Flows[Flow_ID],,0,)</f>
        <v>F_00_01</v>
      </c>
      <c r="C45" s="50" t="s">
        <v>107</v>
      </c>
      <c r="D45" s="48"/>
      <c r="E45" s="48" t="str">
        <f>_xlfn.XLOOKUP(C45,Tab_Def_Flows[Name(EN)],Tab_Def_Flows[Output_Process],,0,)</f>
        <v>Biosphere</v>
      </c>
      <c r="F45" s="48" t="str">
        <f>_xlfn.XLOOKUP(C45,Tab_Def_Flows[Name(EN)],Tab_Def_Flows[Process_ID_O],,0,)</f>
        <v>00_Bio_</v>
      </c>
      <c r="G45" s="48" t="str">
        <f>_xlfn.XLOOKUP(C45,Tab_Def_Flows[Name(EN)],Tab_Def_Flows[Input_Process],,0,)</f>
        <v>Raw Material Extraction</v>
      </c>
      <c r="H45" s="58" t="str">
        <f>_xlfn.XLOOKUP(C45,Tab_Def_Flows[Name(EN)],Tab_Def_Flows[Process_ID_I],,0,)</f>
        <v>01_Raw_</v>
      </c>
      <c r="I45" s="48">
        <f>_xlfn.XLOOKUP(C45,Tab_Def_Flows[Name(EN)],Tab_Def_Flows[Value_Source],,0,)</f>
        <v>0</v>
      </c>
      <c r="J45" s="48" t="str">
        <f>_xlfn.XLOOKUP(C45,Tab_Def_Flows[Name(EN)],Tab_Def_Flows[WC?],,0,)</f>
        <v>Yes</v>
      </c>
      <c r="K45" s="48" t="str">
        <f>_xlfn.XLOOKUP(C45,Tab_Def_Flows[Name(EN)],Tab_Def_Flows[DM?],,0,)</f>
        <v>Yes</v>
      </c>
      <c r="L45" s="48" t="str">
        <f>_xlfn.XLOOKUP(C45,Tab_Def_Flows[Name(EN)],Tab_Def_Flows[CC?],,0,)</f>
        <v>Yes</v>
      </c>
      <c r="M45" s="50">
        <v>1963</v>
      </c>
      <c r="N45" s="50"/>
      <c r="O45" s="104">
        <v>45</v>
      </c>
      <c r="P45" s="50" t="s">
        <v>85</v>
      </c>
      <c r="Q45" s="50"/>
      <c r="R45" s="50" t="e">
        <f>INDEX(Tab_WC_DM_CC[[Flow_ID]:[CC_source]],MATCH(Tab_Data_Flows[[#This Row],[Name(EN)]],Tab_WC_DM_CC[Name(EN)],0),12)</f>
        <v>#N/A</v>
      </c>
      <c r="S45" s="50" t="e">
        <f>MATCH(Tab_Data_Flows[[#This Row],[Name(EN)]],Tab_WC_DM_CC[Name(EN)],0)</f>
        <v>#N/A</v>
      </c>
      <c r="T45" s="50"/>
      <c r="U45" s="50"/>
      <c r="V45" s="50"/>
      <c r="W45" s="50"/>
      <c r="X45" s="50" t="s">
        <v>84</v>
      </c>
      <c r="Y45" s="50"/>
      <c r="Z45" s="50"/>
      <c r="AA45" s="77">
        <f t="shared" si="3"/>
        <v>45</v>
      </c>
      <c r="AB45" s="50" t="s">
        <v>85</v>
      </c>
      <c r="AC45" s="97">
        <f>INDEX(Tab_Def_Flows[[Flow_ID]:[CC_DM_source]],MATCH(Tab_Data_Flows[[#This Row],[Name(EN)]],Tab_Def_Flows[Name(EN)],0),14)</f>
        <v>0</v>
      </c>
      <c r="AD45" s="98">
        <f>IF(J45="Yes",AA45*Tab_Data_Flows[[#This Row],[WC_'[%']]],"N.A.")</f>
        <v>0</v>
      </c>
      <c r="AE45" s="58" t="str">
        <f>Tab_Data_Flows[[#This Row],[UoM_Flow_Py]]</f>
        <v>Mg</v>
      </c>
      <c r="AF45" s="97">
        <f>INDEX(Tab_Def_Flows[[Flow_ID]:[CC_DM_source]],MATCH(Tab_Data_Flows[[#This Row],[Name(EN)]],Tab_Def_Flows[Name(EN)],0),16)</f>
        <v>1</v>
      </c>
      <c r="AG45" s="98">
        <f>IF(K45="Yes",AF45*Tab_Data_Flows[[#This Row],[Flow_Py]],"N.A.")</f>
        <v>45</v>
      </c>
      <c r="AH45" s="58" t="str">
        <f>Tab_Data_Flows[[#This Row],[UoM_Flow_Py]]</f>
        <v>Mg</v>
      </c>
      <c r="AI45" s="97">
        <f>INDEX(Tab_Def_Flows[[Flow_ID]:[CC_DM_source]],MATCH(Tab_Data_Flows[[#This Row],[Name(EN)]],Tab_Def_Flows[Name(EN)],0),18)</f>
        <v>0.5</v>
      </c>
      <c r="AJ45" s="98">
        <f>IF(L45="Yes",AI45*Tab_Data_Flows[[#This Row],[Flow_Py]]*Tab_Data_Flows[[#This Row],[DM_'[%']]],"N.A.")</f>
        <v>22.5</v>
      </c>
      <c r="AK45" s="58" t="str">
        <f>Tab_Data_Flows[[#This Row],[UoM_Flow_Py]]</f>
        <v>Mg</v>
      </c>
    </row>
    <row r="46" spans="1:37" x14ac:dyDescent="0.3">
      <c r="A46" s="57">
        <f t="shared" si="0"/>
        <v>45</v>
      </c>
      <c r="B46" s="48" t="str">
        <f>_xlfn.XLOOKUP(C46,Tab_Def_Flows[Name(EN)],Tab_Def_Flows[Flow_ID],,0,)</f>
        <v>F_00_01</v>
      </c>
      <c r="C46" s="50" t="s">
        <v>107</v>
      </c>
      <c r="D46" s="48"/>
      <c r="E46" s="48" t="str">
        <f>_xlfn.XLOOKUP(C46,Tab_Def_Flows[Name(EN)],Tab_Def_Flows[Output_Process],,0,)</f>
        <v>Biosphere</v>
      </c>
      <c r="F46" s="48" t="str">
        <f>_xlfn.XLOOKUP(C46,Tab_Def_Flows[Name(EN)],Tab_Def_Flows[Process_ID_O],,0,)</f>
        <v>00_Bio_</v>
      </c>
      <c r="G46" s="48" t="str">
        <f>_xlfn.XLOOKUP(C46,Tab_Def_Flows[Name(EN)],Tab_Def_Flows[Input_Process],,0,)</f>
        <v>Raw Material Extraction</v>
      </c>
      <c r="H46" s="58" t="str">
        <f>_xlfn.XLOOKUP(C46,Tab_Def_Flows[Name(EN)],Tab_Def_Flows[Process_ID_I],,0,)</f>
        <v>01_Raw_</v>
      </c>
      <c r="I46" s="48">
        <f>_xlfn.XLOOKUP(C46,Tab_Def_Flows[Name(EN)],Tab_Def_Flows[Value_Source],,0,)</f>
        <v>0</v>
      </c>
      <c r="J46" s="48" t="str">
        <f>_xlfn.XLOOKUP(C46,Tab_Def_Flows[Name(EN)],Tab_Def_Flows[WC?],,0,)</f>
        <v>Yes</v>
      </c>
      <c r="K46" s="48" t="str">
        <f>_xlfn.XLOOKUP(C46,Tab_Def_Flows[Name(EN)],Tab_Def_Flows[DM?],,0,)</f>
        <v>Yes</v>
      </c>
      <c r="L46" s="48" t="str">
        <f>_xlfn.XLOOKUP(C46,Tab_Def_Flows[Name(EN)],Tab_Def_Flows[CC?],,0,)</f>
        <v>Yes</v>
      </c>
      <c r="M46" s="50">
        <v>1964</v>
      </c>
      <c r="N46" s="50"/>
      <c r="O46" s="104">
        <v>57.8</v>
      </c>
      <c r="P46" s="50" t="s">
        <v>85</v>
      </c>
      <c r="Q46" s="50"/>
      <c r="R46" s="50" t="e">
        <f>INDEX(Tab_WC_DM_CC[[Flow_ID]:[CC_source]],MATCH(Tab_Data_Flows[[#This Row],[Name(EN)]],Tab_WC_DM_CC[Name(EN)],0),12)</f>
        <v>#N/A</v>
      </c>
      <c r="S46" s="50" t="e">
        <f>MATCH(Tab_Data_Flows[[#This Row],[Name(EN)]],Tab_WC_DM_CC[Name(EN)],0)</f>
        <v>#N/A</v>
      </c>
      <c r="T46" s="50"/>
      <c r="U46" s="50"/>
      <c r="V46" s="50"/>
      <c r="W46" s="50"/>
      <c r="X46" s="50" t="s">
        <v>84</v>
      </c>
      <c r="Y46" s="50"/>
      <c r="Z46" s="50"/>
      <c r="AA46" s="77">
        <f t="shared" si="3"/>
        <v>57.8</v>
      </c>
      <c r="AB46" s="50" t="s">
        <v>85</v>
      </c>
      <c r="AC46" s="97">
        <f>INDEX(Tab_Def_Flows[[Flow_ID]:[CC_DM_source]],MATCH(Tab_Data_Flows[[#This Row],[Name(EN)]],Tab_Def_Flows[Name(EN)],0),14)</f>
        <v>0</v>
      </c>
      <c r="AD46" s="98">
        <f>IF(J46="Yes",AA46*Tab_Data_Flows[[#This Row],[WC_'[%']]],"N.A.")</f>
        <v>0</v>
      </c>
      <c r="AE46" s="58" t="str">
        <f>Tab_Data_Flows[[#This Row],[UoM_Flow_Py]]</f>
        <v>Mg</v>
      </c>
      <c r="AF46" s="97">
        <f>INDEX(Tab_Def_Flows[[Flow_ID]:[CC_DM_source]],MATCH(Tab_Data_Flows[[#This Row],[Name(EN)]],Tab_Def_Flows[Name(EN)],0),16)</f>
        <v>1</v>
      </c>
      <c r="AG46" s="98">
        <f>IF(K46="Yes",AF46*Tab_Data_Flows[[#This Row],[Flow_Py]],"N.A.")</f>
        <v>57.8</v>
      </c>
      <c r="AH46" s="58" t="str">
        <f>Tab_Data_Flows[[#This Row],[UoM_Flow_Py]]</f>
        <v>Mg</v>
      </c>
      <c r="AI46" s="97">
        <f>INDEX(Tab_Def_Flows[[Flow_ID]:[CC_DM_source]],MATCH(Tab_Data_Flows[[#This Row],[Name(EN)]],Tab_Def_Flows[Name(EN)],0),18)</f>
        <v>0.5</v>
      </c>
      <c r="AJ46" s="98">
        <f>IF(L46="Yes",AI46*Tab_Data_Flows[[#This Row],[Flow_Py]]*Tab_Data_Flows[[#This Row],[DM_'[%']]],"N.A.")</f>
        <v>28.9</v>
      </c>
      <c r="AK46" s="58" t="str">
        <f>Tab_Data_Flows[[#This Row],[UoM_Flow_Py]]</f>
        <v>Mg</v>
      </c>
    </row>
    <row r="47" spans="1:37" x14ac:dyDescent="0.3">
      <c r="A47" s="57">
        <f t="shared" si="0"/>
        <v>46</v>
      </c>
      <c r="B47" s="48" t="str">
        <f>_xlfn.XLOOKUP(C47,Tab_Def_Flows[Name(EN)],Tab_Def_Flows[Flow_ID],,0,)</f>
        <v>F_00_01</v>
      </c>
      <c r="C47" s="50" t="s">
        <v>107</v>
      </c>
      <c r="D47" s="48"/>
      <c r="E47" s="48" t="str">
        <f>_xlfn.XLOOKUP(C47,Tab_Def_Flows[Name(EN)],Tab_Def_Flows[Output_Process],,0,)</f>
        <v>Biosphere</v>
      </c>
      <c r="F47" s="48" t="str">
        <f>_xlfn.XLOOKUP(C47,Tab_Def_Flows[Name(EN)],Tab_Def_Flows[Process_ID_O],,0,)</f>
        <v>00_Bio_</v>
      </c>
      <c r="G47" s="48" t="str">
        <f>_xlfn.XLOOKUP(C47,Tab_Def_Flows[Name(EN)],Tab_Def_Flows[Input_Process],,0,)</f>
        <v>Raw Material Extraction</v>
      </c>
      <c r="H47" s="58" t="str">
        <f>_xlfn.XLOOKUP(C47,Tab_Def_Flows[Name(EN)],Tab_Def_Flows[Process_ID_I],,0,)</f>
        <v>01_Raw_</v>
      </c>
      <c r="I47" s="48">
        <f>_xlfn.XLOOKUP(C47,Tab_Def_Flows[Name(EN)],Tab_Def_Flows[Value_Source],,0,)</f>
        <v>0</v>
      </c>
      <c r="J47" s="48" t="str">
        <f>_xlfn.XLOOKUP(C47,Tab_Def_Flows[Name(EN)],Tab_Def_Flows[WC?],,0,)</f>
        <v>Yes</v>
      </c>
      <c r="K47" s="48" t="str">
        <f>_xlfn.XLOOKUP(C47,Tab_Def_Flows[Name(EN)],Tab_Def_Flows[DM?],,0,)</f>
        <v>Yes</v>
      </c>
      <c r="L47" s="48" t="str">
        <f>_xlfn.XLOOKUP(C47,Tab_Def_Flows[Name(EN)],Tab_Def_Flows[CC?],,0,)</f>
        <v>Yes</v>
      </c>
      <c r="M47" s="50">
        <v>1965</v>
      </c>
      <c r="N47" s="50"/>
      <c r="O47" s="104">
        <v>70.8</v>
      </c>
      <c r="P47" s="50" t="s">
        <v>85</v>
      </c>
      <c r="Q47" s="50"/>
      <c r="R47" s="50" t="e">
        <f>INDEX(Tab_WC_DM_CC[[Flow_ID]:[CC_source]],MATCH(Tab_Data_Flows[[#This Row],[Name(EN)]],Tab_WC_DM_CC[Name(EN)],0),12)</f>
        <v>#N/A</v>
      </c>
      <c r="S47" s="50" t="e">
        <f>MATCH(Tab_Data_Flows[[#This Row],[Name(EN)]],Tab_WC_DM_CC[Name(EN)],0)</f>
        <v>#N/A</v>
      </c>
      <c r="T47" s="50"/>
      <c r="U47" s="50"/>
      <c r="V47" s="50"/>
      <c r="W47" s="50"/>
      <c r="X47" s="50" t="s">
        <v>84</v>
      </c>
      <c r="Y47" s="50"/>
      <c r="Z47" s="50"/>
      <c r="AA47" s="77">
        <f t="shared" si="3"/>
        <v>70.8</v>
      </c>
      <c r="AB47" s="50" t="s">
        <v>85</v>
      </c>
      <c r="AC47" s="97">
        <f>INDEX(Tab_Def_Flows[[Flow_ID]:[CC_DM_source]],MATCH(Tab_Data_Flows[[#This Row],[Name(EN)]],Tab_Def_Flows[Name(EN)],0),14)</f>
        <v>0</v>
      </c>
      <c r="AD47" s="98">
        <f>IF(J47="Yes",AA47*Tab_Data_Flows[[#This Row],[WC_'[%']]],"N.A.")</f>
        <v>0</v>
      </c>
      <c r="AE47" s="58" t="str">
        <f>Tab_Data_Flows[[#This Row],[UoM_Flow_Py]]</f>
        <v>Mg</v>
      </c>
      <c r="AF47" s="97">
        <f>INDEX(Tab_Def_Flows[[Flow_ID]:[CC_DM_source]],MATCH(Tab_Data_Flows[[#This Row],[Name(EN)]],Tab_Def_Flows[Name(EN)],0),16)</f>
        <v>1</v>
      </c>
      <c r="AG47" s="98">
        <f>IF(K47="Yes",AF47*Tab_Data_Flows[[#This Row],[Flow_Py]],"N.A.")</f>
        <v>70.8</v>
      </c>
      <c r="AH47" s="58" t="str">
        <f>Tab_Data_Flows[[#This Row],[UoM_Flow_Py]]</f>
        <v>Mg</v>
      </c>
      <c r="AI47" s="97">
        <f>INDEX(Tab_Def_Flows[[Flow_ID]:[CC_DM_source]],MATCH(Tab_Data_Flows[[#This Row],[Name(EN)]],Tab_Def_Flows[Name(EN)],0),18)</f>
        <v>0.5</v>
      </c>
      <c r="AJ47" s="98">
        <f>IF(L47="Yes",AI47*Tab_Data_Flows[[#This Row],[Flow_Py]]*Tab_Data_Flows[[#This Row],[DM_'[%']]],"N.A.")</f>
        <v>35.4</v>
      </c>
      <c r="AK47" s="58" t="str">
        <f>Tab_Data_Flows[[#This Row],[UoM_Flow_Py]]</f>
        <v>Mg</v>
      </c>
    </row>
    <row r="48" spans="1:37" x14ac:dyDescent="0.3">
      <c r="A48" s="57">
        <f t="shared" si="0"/>
        <v>47</v>
      </c>
      <c r="B48" s="48" t="str">
        <f>_xlfn.XLOOKUP(C48,Tab_Def_Flows[Name(EN)],Tab_Def_Flows[Flow_ID],,0,)</f>
        <v>F_00_01</v>
      </c>
      <c r="C48" s="50" t="s">
        <v>107</v>
      </c>
      <c r="D48" s="48"/>
      <c r="E48" s="48" t="str">
        <f>_xlfn.XLOOKUP(C48,Tab_Def_Flows[Name(EN)],Tab_Def_Flows[Output_Process],,0,)</f>
        <v>Biosphere</v>
      </c>
      <c r="F48" s="48" t="str">
        <f>_xlfn.XLOOKUP(C48,Tab_Def_Flows[Name(EN)],Tab_Def_Flows[Process_ID_O],,0,)</f>
        <v>00_Bio_</v>
      </c>
      <c r="G48" s="48" t="str">
        <f>_xlfn.XLOOKUP(C48,Tab_Def_Flows[Name(EN)],Tab_Def_Flows[Input_Process],,0,)</f>
        <v>Raw Material Extraction</v>
      </c>
      <c r="H48" s="58" t="str">
        <f>_xlfn.XLOOKUP(C48,Tab_Def_Flows[Name(EN)],Tab_Def_Flows[Process_ID_I],,0,)</f>
        <v>01_Raw_</v>
      </c>
      <c r="I48" s="48">
        <f>_xlfn.XLOOKUP(C48,Tab_Def_Flows[Name(EN)],Tab_Def_Flows[Value_Source],,0,)</f>
        <v>0</v>
      </c>
      <c r="J48" s="48" t="str">
        <f>_xlfn.XLOOKUP(C48,Tab_Def_Flows[Name(EN)],Tab_Def_Flows[WC?],,0,)</f>
        <v>Yes</v>
      </c>
      <c r="K48" s="48" t="str">
        <f>_xlfn.XLOOKUP(C48,Tab_Def_Flows[Name(EN)],Tab_Def_Flows[DM?],,0,)</f>
        <v>Yes</v>
      </c>
      <c r="L48" s="48" t="str">
        <f>_xlfn.XLOOKUP(C48,Tab_Def_Flows[Name(EN)],Tab_Def_Flows[CC?],,0,)</f>
        <v>Yes</v>
      </c>
      <c r="M48" s="50">
        <v>1966</v>
      </c>
      <c r="N48" s="50"/>
      <c r="O48" s="104">
        <v>6.4</v>
      </c>
      <c r="P48" s="50" t="s">
        <v>85</v>
      </c>
      <c r="Q48" s="50"/>
      <c r="R48" s="50" t="e">
        <f>INDEX(Tab_WC_DM_CC[[Flow_ID]:[CC_source]],MATCH(Tab_Data_Flows[[#This Row],[Name(EN)]],Tab_WC_DM_CC[Name(EN)],0),12)</f>
        <v>#N/A</v>
      </c>
      <c r="S48" s="50" t="e">
        <f>MATCH(Tab_Data_Flows[[#This Row],[Name(EN)]],Tab_WC_DM_CC[Name(EN)],0)</f>
        <v>#N/A</v>
      </c>
      <c r="T48" s="50"/>
      <c r="U48" s="50"/>
      <c r="V48" s="50"/>
      <c r="W48" s="50"/>
      <c r="X48" s="50" t="s">
        <v>84</v>
      </c>
      <c r="Y48" s="50"/>
      <c r="Z48" s="50"/>
      <c r="AA48" s="77">
        <f t="shared" si="3"/>
        <v>6.4</v>
      </c>
      <c r="AB48" s="50" t="s">
        <v>85</v>
      </c>
      <c r="AC48" s="97">
        <f>INDEX(Tab_Def_Flows[[Flow_ID]:[CC_DM_source]],MATCH(Tab_Data_Flows[[#This Row],[Name(EN)]],Tab_Def_Flows[Name(EN)],0),14)</f>
        <v>0</v>
      </c>
      <c r="AD48" s="98">
        <f>IF(J48="Yes",AA48*Tab_Data_Flows[[#This Row],[WC_'[%']]],"N.A.")</f>
        <v>0</v>
      </c>
      <c r="AE48" s="58" t="str">
        <f>Tab_Data_Flows[[#This Row],[UoM_Flow_Py]]</f>
        <v>Mg</v>
      </c>
      <c r="AF48" s="97">
        <f>INDEX(Tab_Def_Flows[[Flow_ID]:[CC_DM_source]],MATCH(Tab_Data_Flows[[#This Row],[Name(EN)]],Tab_Def_Flows[Name(EN)],0),16)</f>
        <v>1</v>
      </c>
      <c r="AG48" s="98">
        <f>IF(K48="Yes",AF48*Tab_Data_Flows[[#This Row],[Flow_Py]],"N.A.")</f>
        <v>6.4</v>
      </c>
      <c r="AH48" s="58" t="str">
        <f>Tab_Data_Flows[[#This Row],[UoM_Flow_Py]]</f>
        <v>Mg</v>
      </c>
      <c r="AI48" s="97">
        <f>INDEX(Tab_Def_Flows[[Flow_ID]:[CC_DM_source]],MATCH(Tab_Data_Flows[[#This Row],[Name(EN)]],Tab_Def_Flows[Name(EN)],0),18)</f>
        <v>0.5</v>
      </c>
      <c r="AJ48" s="98">
        <f>IF(L48="Yes",AI48*Tab_Data_Flows[[#This Row],[Flow_Py]]*Tab_Data_Flows[[#This Row],[DM_'[%']]],"N.A.")</f>
        <v>3.2</v>
      </c>
      <c r="AK48" s="58" t="str">
        <f>Tab_Data_Flows[[#This Row],[UoM_Flow_Py]]</f>
        <v>Mg</v>
      </c>
    </row>
    <row r="49" spans="1:37" x14ac:dyDescent="0.3">
      <c r="A49" s="57">
        <f t="shared" si="0"/>
        <v>48</v>
      </c>
      <c r="B49" s="48" t="str">
        <f>_xlfn.XLOOKUP(C49,Tab_Def_Flows[Name(EN)],Tab_Def_Flows[Flow_ID],,0,)</f>
        <v>F_00_01</v>
      </c>
      <c r="C49" s="50" t="s">
        <v>107</v>
      </c>
      <c r="D49" s="48"/>
      <c r="E49" s="48" t="str">
        <f>_xlfn.XLOOKUP(C49,Tab_Def_Flows[Name(EN)],Tab_Def_Flows[Output_Process],,0,)</f>
        <v>Biosphere</v>
      </c>
      <c r="F49" s="48" t="str">
        <f>_xlfn.XLOOKUP(C49,Tab_Def_Flows[Name(EN)],Tab_Def_Flows[Process_ID_O],,0,)</f>
        <v>00_Bio_</v>
      </c>
      <c r="G49" s="48" t="str">
        <f>_xlfn.XLOOKUP(C49,Tab_Def_Flows[Name(EN)],Tab_Def_Flows[Input_Process],,0,)</f>
        <v>Raw Material Extraction</v>
      </c>
      <c r="H49" s="58" t="str">
        <f>_xlfn.XLOOKUP(C49,Tab_Def_Flows[Name(EN)],Tab_Def_Flows[Process_ID_I],,0,)</f>
        <v>01_Raw_</v>
      </c>
      <c r="I49" s="48">
        <f>_xlfn.XLOOKUP(C49,Tab_Def_Flows[Name(EN)],Tab_Def_Flows[Value_Source],,0,)</f>
        <v>0</v>
      </c>
      <c r="J49" s="48" t="str">
        <f>_xlfn.XLOOKUP(C49,Tab_Def_Flows[Name(EN)],Tab_Def_Flows[WC?],,0,)</f>
        <v>Yes</v>
      </c>
      <c r="K49" s="48" t="str">
        <f>_xlfn.XLOOKUP(C49,Tab_Def_Flows[Name(EN)],Tab_Def_Flows[DM?],,0,)</f>
        <v>Yes</v>
      </c>
      <c r="L49" s="48" t="str">
        <f>_xlfn.XLOOKUP(C49,Tab_Def_Flows[Name(EN)],Tab_Def_Flows[CC?],,0,)</f>
        <v>Yes</v>
      </c>
      <c r="M49" s="50">
        <v>1967</v>
      </c>
      <c r="N49" s="50"/>
      <c r="O49" s="104">
        <v>19.2</v>
      </c>
      <c r="P49" s="50" t="s">
        <v>85</v>
      </c>
      <c r="Q49" s="50"/>
      <c r="R49" s="50" t="e">
        <f>INDEX(Tab_WC_DM_CC[[Flow_ID]:[CC_source]],MATCH(Tab_Data_Flows[[#This Row],[Name(EN)]],Tab_WC_DM_CC[Name(EN)],0),12)</f>
        <v>#N/A</v>
      </c>
      <c r="S49" s="50" t="e">
        <f>MATCH(Tab_Data_Flows[[#This Row],[Name(EN)]],Tab_WC_DM_CC[Name(EN)],0)</f>
        <v>#N/A</v>
      </c>
      <c r="T49" s="50"/>
      <c r="U49" s="50"/>
      <c r="V49" s="50"/>
      <c r="W49" s="50"/>
      <c r="X49" s="50" t="s">
        <v>84</v>
      </c>
      <c r="Y49" s="50"/>
      <c r="Z49" s="50"/>
      <c r="AA49" s="77">
        <f t="shared" si="3"/>
        <v>19.2</v>
      </c>
      <c r="AB49" s="50" t="s">
        <v>85</v>
      </c>
      <c r="AC49" s="97">
        <f>INDEX(Tab_Def_Flows[[Flow_ID]:[CC_DM_source]],MATCH(Tab_Data_Flows[[#This Row],[Name(EN)]],Tab_Def_Flows[Name(EN)],0),14)</f>
        <v>0</v>
      </c>
      <c r="AD49" s="98">
        <f>IF(J49="Yes",AA49*Tab_Data_Flows[[#This Row],[WC_'[%']]],"N.A.")</f>
        <v>0</v>
      </c>
      <c r="AE49" s="58" t="str">
        <f>Tab_Data_Flows[[#This Row],[UoM_Flow_Py]]</f>
        <v>Mg</v>
      </c>
      <c r="AF49" s="97">
        <f>INDEX(Tab_Def_Flows[[Flow_ID]:[CC_DM_source]],MATCH(Tab_Data_Flows[[#This Row],[Name(EN)]],Tab_Def_Flows[Name(EN)],0),16)</f>
        <v>1</v>
      </c>
      <c r="AG49" s="98">
        <f>IF(K49="Yes",AF49*Tab_Data_Flows[[#This Row],[Flow_Py]],"N.A.")</f>
        <v>19.2</v>
      </c>
      <c r="AH49" s="58" t="str">
        <f>Tab_Data_Flows[[#This Row],[UoM_Flow_Py]]</f>
        <v>Mg</v>
      </c>
      <c r="AI49" s="97">
        <f>INDEX(Tab_Def_Flows[[Flow_ID]:[CC_DM_source]],MATCH(Tab_Data_Flows[[#This Row],[Name(EN)]],Tab_Def_Flows[Name(EN)],0),18)</f>
        <v>0.5</v>
      </c>
      <c r="AJ49" s="98">
        <f>IF(L49="Yes",AI49*Tab_Data_Flows[[#This Row],[Flow_Py]]*Tab_Data_Flows[[#This Row],[DM_'[%']]],"N.A.")</f>
        <v>9.6</v>
      </c>
      <c r="AK49" s="58" t="str">
        <f>Tab_Data_Flows[[#This Row],[UoM_Flow_Py]]</f>
        <v>Mg</v>
      </c>
    </row>
    <row r="50" spans="1:37" x14ac:dyDescent="0.3">
      <c r="A50" s="57">
        <f t="shared" si="0"/>
        <v>49</v>
      </c>
      <c r="B50" s="48" t="str">
        <f>_xlfn.XLOOKUP(C50,Tab_Def_Flows[Name(EN)],Tab_Def_Flows[Flow_ID],,0,)</f>
        <v>F_00_01</v>
      </c>
      <c r="C50" s="50" t="s">
        <v>107</v>
      </c>
      <c r="D50" s="48"/>
      <c r="E50" s="48" t="str">
        <f>_xlfn.XLOOKUP(C50,Tab_Def_Flows[Name(EN)],Tab_Def_Flows[Output_Process],,0,)</f>
        <v>Biosphere</v>
      </c>
      <c r="F50" s="48" t="str">
        <f>_xlfn.XLOOKUP(C50,Tab_Def_Flows[Name(EN)],Tab_Def_Flows[Process_ID_O],,0,)</f>
        <v>00_Bio_</v>
      </c>
      <c r="G50" s="48" t="str">
        <f>_xlfn.XLOOKUP(C50,Tab_Def_Flows[Name(EN)],Tab_Def_Flows[Input_Process],,0,)</f>
        <v>Raw Material Extraction</v>
      </c>
      <c r="H50" s="58" t="str">
        <f>_xlfn.XLOOKUP(C50,Tab_Def_Flows[Name(EN)],Tab_Def_Flows[Process_ID_I],,0,)</f>
        <v>01_Raw_</v>
      </c>
      <c r="I50" s="48">
        <f>_xlfn.XLOOKUP(C50,Tab_Def_Flows[Name(EN)],Tab_Def_Flows[Value_Source],,0,)</f>
        <v>0</v>
      </c>
      <c r="J50" s="48" t="str">
        <f>_xlfn.XLOOKUP(C50,Tab_Def_Flows[Name(EN)],Tab_Def_Flows[WC?],,0,)</f>
        <v>Yes</v>
      </c>
      <c r="K50" s="48" t="str">
        <f>_xlfn.XLOOKUP(C50,Tab_Def_Flows[Name(EN)],Tab_Def_Flows[DM?],,0,)</f>
        <v>Yes</v>
      </c>
      <c r="L50" s="48" t="str">
        <f>_xlfn.XLOOKUP(C50,Tab_Def_Flows[Name(EN)],Tab_Def_Flows[CC?],,0,)</f>
        <v>Yes</v>
      </c>
      <c r="M50" s="50">
        <v>1968</v>
      </c>
      <c r="N50" s="50"/>
      <c r="O50" s="104">
        <v>6.4</v>
      </c>
      <c r="P50" s="50" t="s">
        <v>85</v>
      </c>
      <c r="Q50" s="50"/>
      <c r="R50" s="50" t="e">
        <f>INDEX(Tab_WC_DM_CC[[Flow_ID]:[CC_source]],MATCH(Tab_Data_Flows[[#This Row],[Name(EN)]],Tab_WC_DM_CC[Name(EN)],0),12)</f>
        <v>#N/A</v>
      </c>
      <c r="S50" s="50" t="e">
        <f>MATCH(Tab_Data_Flows[[#This Row],[Name(EN)]],Tab_WC_DM_CC[Name(EN)],0)</f>
        <v>#N/A</v>
      </c>
      <c r="T50" s="50"/>
      <c r="U50" s="50"/>
      <c r="V50" s="50"/>
      <c r="W50" s="50"/>
      <c r="X50" s="50" t="s">
        <v>84</v>
      </c>
      <c r="Y50" s="50"/>
      <c r="Z50" s="50"/>
      <c r="AA50" s="77">
        <f t="shared" si="3"/>
        <v>6.4</v>
      </c>
      <c r="AB50" s="50" t="s">
        <v>85</v>
      </c>
      <c r="AC50" s="97">
        <f>INDEX(Tab_Def_Flows[[Flow_ID]:[CC_DM_source]],MATCH(Tab_Data_Flows[[#This Row],[Name(EN)]],Tab_Def_Flows[Name(EN)],0),14)</f>
        <v>0</v>
      </c>
      <c r="AD50" s="98">
        <f>IF(J50="Yes",AA50*Tab_Data_Flows[[#This Row],[WC_'[%']]],"N.A.")</f>
        <v>0</v>
      </c>
      <c r="AE50" s="58" t="str">
        <f>Tab_Data_Flows[[#This Row],[UoM_Flow_Py]]</f>
        <v>Mg</v>
      </c>
      <c r="AF50" s="97">
        <f>INDEX(Tab_Def_Flows[[Flow_ID]:[CC_DM_source]],MATCH(Tab_Data_Flows[[#This Row],[Name(EN)]],Tab_Def_Flows[Name(EN)],0),16)</f>
        <v>1</v>
      </c>
      <c r="AG50" s="98">
        <f>IF(K50="Yes",AF50*Tab_Data_Flows[[#This Row],[Flow_Py]],"N.A.")</f>
        <v>6.4</v>
      </c>
      <c r="AH50" s="58" t="str">
        <f>Tab_Data_Flows[[#This Row],[UoM_Flow_Py]]</f>
        <v>Mg</v>
      </c>
      <c r="AI50" s="97">
        <f>INDEX(Tab_Def_Flows[[Flow_ID]:[CC_DM_source]],MATCH(Tab_Data_Flows[[#This Row],[Name(EN)]],Tab_Def_Flows[Name(EN)],0),18)</f>
        <v>0.5</v>
      </c>
      <c r="AJ50" s="98">
        <f>IF(L50="Yes",AI50*Tab_Data_Flows[[#This Row],[Flow_Py]]*Tab_Data_Flows[[#This Row],[DM_'[%']]],"N.A.")</f>
        <v>3.2</v>
      </c>
      <c r="AK50" s="58" t="str">
        <f>Tab_Data_Flows[[#This Row],[UoM_Flow_Py]]</f>
        <v>Mg</v>
      </c>
    </row>
    <row r="51" spans="1:37" x14ac:dyDescent="0.3">
      <c r="A51" s="57">
        <f t="shared" si="0"/>
        <v>50</v>
      </c>
      <c r="B51" s="48" t="str">
        <f>_xlfn.XLOOKUP(C51,Tab_Def_Flows[Name(EN)],Tab_Def_Flows[Flow_ID],,0,)</f>
        <v>F_00_01</v>
      </c>
      <c r="C51" s="50" t="s">
        <v>107</v>
      </c>
      <c r="D51" s="48"/>
      <c r="E51" s="48" t="str">
        <f>_xlfn.XLOOKUP(C51,Tab_Def_Flows[Name(EN)],Tab_Def_Flows[Output_Process],,0,)</f>
        <v>Biosphere</v>
      </c>
      <c r="F51" s="48" t="str">
        <f>_xlfn.XLOOKUP(C51,Tab_Def_Flows[Name(EN)],Tab_Def_Flows[Process_ID_O],,0,)</f>
        <v>00_Bio_</v>
      </c>
      <c r="G51" s="48" t="str">
        <f>_xlfn.XLOOKUP(C51,Tab_Def_Flows[Name(EN)],Tab_Def_Flows[Input_Process],,0,)</f>
        <v>Raw Material Extraction</v>
      </c>
      <c r="H51" s="58" t="str">
        <f>_xlfn.XLOOKUP(C51,Tab_Def_Flows[Name(EN)],Tab_Def_Flows[Process_ID_I],,0,)</f>
        <v>01_Raw_</v>
      </c>
      <c r="I51" s="48">
        <f>_xlfn.XLOOKUP(C51,Tab_Def_Flows[Name(EN)],Tab_Def_Flows[Value_Source],,0,)</f>
        <v>0</v>
      </c>
      <c r="J51" s="48" t="str">
        <f>_xlfn.XLOOKUP(C51,Tab_Def_Flows[Name(EN)],Tab_Def_Flows[WC?],,0,)</f>
        <v>Yes</v>
      </c>
      <c r="K51" s="48" t="str">
        <f>_xlfn.XLOOKUP(C51,Tab_Def_Flows[Name(EN)],Tab_Def_Flows[DM?],,0,)</f>
        <v>Yes</v>
      </c>
      <c r="L51" s="48" t="str">
        <f>_xlfn.XLOOKUP(C51,Tab_Def_Flows[Name(EN)],Tab_Def_Flows[CC?],,0,)</f>
        <v>Yes</v>
      </c>
      <c r="M51" s="50">
        <v>1969</v>
      </c>
      <c r="N51" s="50"/>
      <c r="O51" s="104">
        <v>19.2</v>
      </c>
      <c r="P51" s="50" t="s">
        <v>85</v>
      </c>
      <c r="Q51" s="50"/>
      <c r="R51" s="50" t="e">
        <f>INDEX(Tab_WC_DM_CC[[Flow_ID]:[CC_source]],MATCH(Tab_Data_Flows[[#This Row],[Name(EN)]],Tab_WC_DM_CC[Name(EN)],0),12)</f>
        <v>#N/A</v>
      </c>
      <c r="S51" s="50" t="e">
        <f>MATCH(Tab_Data_Flows[[#This Row],[Name(EN)]],Tab_WC_DM_CC[Name(EN)],0)</f>
        <v>#N/A</v>
      </c>
      <c r="T51" s="50"/>
      <c r="U51" s="50"/>
      <c r="V51" s="50"/>
      <c r="W51" s="50"/>
      <c r="X51" s="50" t="s">
        <v>84</v>
      </c>
      <c r="Y51" s="50"/>
      <c r="Z51" s="50"/>
      <c r="AA51" s="77">
        <f t="shared" si="3"/>
        <v>19.2</v>
      </c>
      <c r="AB51" s="50" t="s">
        <v>85</v>
      </c>
      <c r="AC51" s="97">
        <f>INDEX(Tab_Def_Flows[[Flow_ID]:[CC_DM_source]],MATCH(Tab_Data_Flows[[#This Row],[Name(EN)]],Tab_Def_Flows[Name(EN)],0),14)</f>
        <v>0</v>
      </c>
      <c r="AD51" s="98">
        <f>IF(J51="Yes",AA51*Tab_Data_Flows[[#This Row],[WC_'[%']]],"N.A.")</f>
        <v>0</v>
      </c>
      <c r="AE51" s="58" t="str">
        <f>Tab_Data_Flows[[#This Row],[UoM_Flow_Py]]</f>
        <v>Mg</v>
      </c>
      <c r="AF51" s="97">
        <f>INDEX(Tab_Def_Flows[[Flow_ID]:[CC_DM_source]],MATCH(Tab_Data_Flows[[#This Row],[Name(EN)]],Tab_Def_Flows[Name(EN)],0),16)</f>
        <v>1</v>
      </c>
      <c r="AG51" s="98">
        <f>IF(K51="Yes",AF51*Tab_Data_Flows[[#This Row],[Flow_Py]],"N.A.")</f>
        <v>19.2</v>
      </c>
      <c r="AH51" s="58" t="str">
        <f>Tab_Data_Flows[[#This Row],[UoM_Flow_Py]]</f>
        <v>Mg</v>
      </c>
      <c r="AI51" s="97">
        <f>INDEX(Tab_Def_Flows[[Flow_ID]:[CC_DM_source]],MATCH(Tab_Data_Flows[[#This Row],[Name(EN)]],Tab_Def_Flows[Name(EN)],0),18)</f>
        <v>0.5</v>
      </c>
      <c r="AJ51" s="98">
        <f>IF(L51="Yes",AI51*Tab_Data_Flows[[#This Row],[Flow_Py]]*Tab_Data_Flows[[#This Row],[DM_'[%']]],"N.A.")</f>
        <v>9.6</v>
      </c>
      <c r="AK51" s="58" t="str">
        <f>Tab_Data_Flows[[#This Row],[UoM_Flow_Py]]</f>
        <v>Mg</v>
      </c>
    </row>
    <row r="52" spans="1:37" x14ac:dyDescent="0.3">
      <c r="A52" s="57">
        <f t="shared" si="0"/>
        <v>51</v>
      </c>
      <c r="B52" s="48" t="str">
        <f>_xlfn.XLOOKUP(C52,Tab_Def_Flows[Name(EN)],Tab_Def_Flows[Flow_ID],,0,)</f>
        <v>F_00_01</v>
      </c>
      <c r="C52" s="50" t="s">
        <v>107</v>
      </c>
      <c r="D52" s="48"/>
      <c r="E52" s="48" t="str">
        <f>_xlfn.XLOOKUP(C52,Tab_Def_Flows[Name(EN)],Tab_Def_Flows[Output_Process],,0,)</f>
        <v>Biosphere</v>
      </c>
      <c r="F52" s="48" t="str">
        <f>_xlfn.XLOOKUP(C52,Tab_Def_Flows[Name(EN)],Tab_Def_Flows[Process_ID_O],,0,)</f>
        <v>00_Bio_</v>
      </c>
      <c r="G52" s="48" t="str">
        <f>_xlfn.XLOOKUP(C52,Tab_Def_Flows[Name(EN)],Tab_Def_Flows[Input_Process],,0,)</f>
        <v>Raw Material Extraction</v>
      </c>
      <c r="H52" s="58" t="str">
        <f>_xlfn.XLOOKUP(C52,Tab_Def_Flows[Name(EN)],Tab_Def_Flows[Process_ID_I],,0,)</f>
        <v>01_Raw_</v>
      </c>
      <c r="I52" s="48">
        <f>_xlfn.XLOOKUP(C52,Tab_Def_Flows[Name(EN)],Tab_Def_Flows[Value_Source],,0,)</f>
        <v>0</v>
      </c>
      <c r="J52" s="48" t="str">
        <f>_xlfn.XLOOKUP(C52,Tab_Def_Flows[Name(EN)],Tab_Def_Flows[WC?],,0,)</f>
        <v>Yes</v>
      </c>
      <c r="K52" s="48" t="str">
        <f>_xlfn.XLOOKUP(C52,Tab_Def_Flows[Name(EN)],Tab_Def_Flows[DM?],,0,)</f>
        <v>Yes</v>
      </c>
      <c r="L52" s="48" t="str">
        <f>_xlfn.XLOOKUP(C52,Tab_Def_Flows[Name(EN)],Tab_Def_Flows[CC?],,0,)</f>
        <v>Yes</v>
      </c>
      <c r="M52" s="50">
        <v>1970</v>
      </c>
      <c r="N52" s="50"/>
      <c r="O52" s="104">
        <v>6.4</v>
      </c>
      <c r="P52" s="50" t="s">
        <v>85</v>
      </c>
      <c r="Q52" s="50"/>
      <c r="R52" s="50" t="e">
        <f>INDEX(Tab_WC_DM_CC[[Flow_ID]:[CC_source]],MATCH(Tab_Data_Flows[[#This Row],[Name(EN)]],Tab_WC_DM_CC[Name(EN)],0),12)</f>
        <v>#N/A</v>
      </c>
      <c r="S52" s="50" t="e">
        <f>MATCH(Tab_Data_Flows[[#This Row],[Name(EN)]],Tab_WC_DM_CC[Name(EN)],0)</f>
        <v>#N/A</v>
      </c>
      <c r="T52" s="50"/>
      <c r="U52" s="50"/>
      <c r="V52" s="50"/>
      <c r="W52" s="50"/>
      <c r="X52" s="50" t="s">
        <v>84</v>
      </c>
      <c r="Y52" s="50"/>
      <c r="Z52" s="50"/>
      <c r="AA52" s="77">
        <f t="shared" si="3"/>
        <v>6.4</v>
      </c>
      <c r="AB52" s="50" t="s">
        <v>85</v>
      </c>
      <c r="AC52" s="97">
        <f>INDEX(Tab_Def_Flows[[Flow_ID]:[CC_DM_source]],MATCH(Tab_Data_Flows[[#This Row],[Name(EN)]],Tab_Def_Flows[Name(EN)],0),14)</f>
        <v>0</v>
      </c>
      <c r="AD52" s="98">
        <f>IF(J52="Yes",AA52*Tab_Data_Flows[[#This Row],[WC_'[%']]],"N.A.")</f>
        <v>0</v>
      </c>
      <c r="AE52" s="58" t="str">
        <f>Tab_Data_Flows[[#This Row],[UoM_Flow_Py]]</f>
        <v>Mg</v>
      </c>
      <c r="AF52" s="97">
        <f>INDEX(Tab_Def_Flows[[Flow_ID]:[CC_DM_source]],MATCH(Tab_Data_Flows[[#This Row],[Name(EN)]],Tab_Def_Flows[Name(EN)],0),16)</f>
        <v>1</v>
      </c>
      <c r="AG52" s="98">
        <f>IF(K52="Yes",AF52*Tab_Data_Flows[[#This Row],[Flow_Py]],"N.A.")</f>
        <v>6.4</v>
      </c>
      <c r="AH52" s="58" t="str">
        <f>Tab_Data_Flows[[#This Row],[UoM_Flow_Py]]</f>
        <v>Mg</v>
      </c>
      <c r="AI52" s="97">
        <f>INDEX(Tab_Def_Flows[[Flow_ID]:[CC_DM_source]],MATCH(Tab_Data_Flows[[#This Row],[Name(EN)]],Tab_Def_Flows[Name(EN)],0),18)</f>
        <v>0.5</v>
      </c>
      <c r="AJ52" s="98">
        <f>IF(L52="Yes",AI52*Tab_Data_Flows[[#This Row],[Flow_Py]]*Tab_Data_Flows[[#This Row],[DM_'[%']]],"N.A.")</f>
        <v>3.2</v>
      </c>
      <c r="AK52" s="58" t="str">
        <f>Tab_Data_Flows[[#This Row],[UoM_Flow_Py]]</f>
        <v>Mg</v>
      </c>
    </row>
    <row r="53" spans="1:37" x14ac:dyDescent="0.3">
      <c r="A53" s="57">
        <f t="shared" si="0"/>
        <v>52</v>
      </c>
      <c r="B53" s="48" t="str">
        <f>_xlfn.XLOOKUP(C53,Tab_Def_Flows[Name(EN)],Tab_Def_Flows[Flow_ID],,0,)</f>
        <v>F_00_01</v>
      </c>
      <c r="C53" s="50" t="s">
        <v>107</v>
      </c>
      <c r="D53" s="48"/>
      <c r="E53" s="48" t="str">
        <f>_xlfn.XLOOKUP(C53,Tab_Def_Flows[Name(EN)],Tab_Def_Flows[Output_Process],,0,)</f>
        <v>Biosphere</v>
      </c>
      <c r="F53" s="48" t="str">
        <f>_xlfn.XLOOKUP(C53,Tab_Def_Flows[Name(EN)],Tab_Def_Flows[Process_ID_O],,0,)</f>
        <v>00_Bio_</v>
      </c>
      <c r="G53" s="48" t="str">
        <f>_xlfn.XLOOKUP(C53,Tab_Def_Flows[Name(EN)],Tab_Def_Flows[Input_Process],,0,)</f>
        <v>Raw Material Extraction</v>
      </c>
      <c r="H53" s="58" t="str">
        <f>_xlfn.XLOOKUP(C53,Tab_Def_Flows[Name(EN)],Tab_Def_Flows[Process_ID_I],,0,)</f>
        <v>01_Raw_</v>
      </c>
      <c r="I53" s="48">
        <f>_xlfn.XLOOKUP(C53,Tab_Def_Flows[Name(EN)],Tab_Def_Flows[Value_Source],,0,)</f>
        <v>0</v>
      </c>
      <c r="J53" s="48" t="str">
        <f>_xlfn.XLOOKUP(C53,Tab_Def_Flows[Name(EN)],Tab_Def_Flows[WC?],,0,)</f>
        <v>Yes</v>
      </c>
      <c r="K53" s="48" t="str">
        <f>_xlfn.XLOOKUP(C53,Tab_Def_Flows[Name(EN)],Tab_Def_Flows[DM?],,0,)</f>
        <v>Yes</v>
      </c>
      <c r="L53" s="48" t="str">
        <f>_xlfn.XLOOKUP(C53,Tab_Def_Flows[Name(EN)],Tab_Def_Flows[CC?],,0,)</f>
        <v>Yes</v>
      </c>
      <c r="M53" s="50">
        <v>1971</v>
      </c>
      <c r="N53" s="50"/>
      <c r="O53" s="104">
        <v>12.8</v>
      </c>
      <c r="P53" s="50" t="s">
        <v>85</v>
      </c>
      <c r="Q53" s="50"/>
      <c r="R53" s="50" t="e">
        <f>INDEX(Tab_WC_DM_CC[[Flow_ID]:[CC_source]],MATCH(Tab_Data_Flows[[#This Row],[Name(EN)]],Tab_WC_DM_CC[Name(EN)],0),12)</f>
        <v>#N/A</v>
      </c>
      <c r="S53" s="50" t="e">
        <f>MATCH(Tab_Data_Flows[[#This Row],[Name(EN)]],Tab_WC_DM_CC[Name(EN)],0)</f>
        <v>#N/A</v>
      </c>
      <c r="T53" s="50"/>
      <c r="U53" s="50"/>
      <c r="V53" s="50"/>
      <c r="W53" s="50"/>
      <c r="X53" s="50" t="s">
        <v>84</v>
      </c>
      <c r="Y53" s="50"/>
      <c r="Z53" s="50"/>
      <c r="AA53" s="77">
        <f t="shared" si="2"/>
        <v>12.8</v>
      </c>
      <c r="AB53" s="50" t="s">
        <v>85</v>
      </c>
      <c r="AC53" s="97">
        <f>INDEX(Tab_Def_Flows[[Flow_ID]:[CC_DM_source]],MATCH(Tab_Data_Flows[[#This Row],[Name(EN)]],Tab_Def_Flows[Name(EN)],0),14)</f>
        <v>0</v>
      </c>
      <c r="AD53" s="98">
        <f>IF(J53="Yes",AA53*Tab_Data_Flows[[#This Row],[WC_'[%']]],"N.A.")</f>
        <v>0</v>
      </c>
      <c r="AE53" s="58" t="str">
        <f>Tab_Data_Flows[[#This Row],[UoM_Flow_Py]]</f>
        <v>Mg</v>
      </c>
      <c r="AF53" s="97">
        <f>INDEX(Tab_Def_Flows[[Flow_ID]:[CC_DM_source]],MATCH(Tab_Data_Flows[[#This Row],[Name(EN)]],Tab_Def_Flows[Name(EN)],0),16)</f>
        <v>1</v>
      </c>
      <c r="AG53" s="98">
        <f>IF(K53="Yes",AF53*Tab_Data_Flows[[#This Row],[Flow_Py]],"N.A.")</f>
        <v>12.8</v>
      </c>
      <c r="AH53" s="58" t="str">
        <f>Tab_Data_Flows[[#This Row],[UoM_Flow_Py]]</f>
        <v>Mg</v>
      </c>
      <c r="AI53" s="97">
        <f>INDEX(Tab_Def_Flows[[Flow_ID]:[CC_DM_source]],MATCH(Tab_Data_Flows[[#This Row],[Name(EN)]],Tab_Def_Flows[Name(EN)],0),18)</f>
        <v>0.5</v>
      </c>
      <c r="AJ53" s="98">
        <f>IF(L53="Yes",AI53*Tab_Data_Flows[[#This Row],[Flow_Py]]*Tab_Data_Flows[[#This Row],[DM_'[%']]],"N.A.")</f>
        <v>6.4</v>
      </c>
      <c r="AK53" s="58" t="str">
        <f>Tab_Data_Flows[[#This Row],[UoM_Flow_Py]]</f>
        <v>Mg</v>
      </c>
    </row>
    <row r="54" spans="1:37" x14ac:dyDescent="0.3">
      <c r="A54" s="57">
        <f t="shared" si="0"/>
        <v>53</v>
      </c>
      <c r="B54" s="48" t="str">
        <f>_xlfn.XLOOKUP(C54,Tab_Def_Flows[Name(EN)],Tab_Def_Flows[Flow_ID],,0,)</f>
        <v>F_00_01</v>
      </c>
      <c r="C54" s="50" t="s">
        <v>107</v>
      </c>
      <c r="D54" s="48"/>
      <c r="E54" s="48" t="str">
        <f>_xlfn.XLOOKUP(C54,Tab_Def_Flows[Name(EN)],Tab_Def_Flows[Output_Process],,0,)</f>
        <v>Biosphere</v>
      </c>
      <c r="F54" s="48" t="str">
        <f>_xlfn.XLOOKUP(C54,Tab_Def_Flows[Name(EN)],Tab_Def_Flows[Process_ID_O],,0,)</f>
        <v>00_Bio_</v>
      </c>
      <c r="G54" s="48" t="str">
        <f>_xlfn.XLOOKUP(C54,Tab_Def_Flows[Name(EN)],Tab_Def_Flows[Input_Process],,0,)</f>
        <v>Raw Material Extraction</v>
      </c>
      <c r="H54" s="58" t="str">
        <f>_xlfn.XLOOKUP(C54,Tab_Def_Flows[Name(EN)],Tab_Def_Flows[Process_ID_I],,0,)</f>
        <v>01_Raw_</v>
      </c>
      <c r="I54" s="48">
        <f>_xlfn.XLOOKUP(C54,Tab_Def_Flows[Name(EN)],Tab_Def_Flows[Value_Source],,0,)</f>
        <v>0</v>
      </c>
      <c r="J54" s="48" t="str">
        <f>_xlfn.XLOOKUP(C54,Tab_Def_Flows[Name(EN)],Tab_Def_Flows[WC?],,0,)</f>
        <v>Yes</v>
      </c>
      <c r="K54" s="48" t="str">
        <f>_xlfn.XLOOKUP(C54,Tab_Def_Flows[Name(EN)],Tab_Def_Flows[DM?],,0,)</f>
        <v>Yes</v>
      </c>
      <c r="L54" s="48" t="str">
        <f>_xlfn.XLOOKUP(C54,Tab_Def_Flows[Name(EN)],Tab_Def_Flows[CC?],,0,)</f>
        <v>Yes</v>
      </c>
      <c r="M54" s="50">
        <v>1972</v>
      </c>
      <c r="N54" s="50"/>
      <c r="O54" s="104">
        <v>19.2</v>
      </c>
      <c r="P54" s="50" t="s">
        <v>85</v>
      </c>
      <c r="Q54" s="50"/>
      <c r="R54" s="50" t="e">
        <f>INDEX(Tab_WC_DM_CC[[Flow_ID]:[CC_source]],MATCH(Tab_Data_Flows[[#This Row],[Name(EN)]],Tab_WC_DM_CC[Name(EN)],0),12)</f>
        <v>#N/A</v>
      </c>
      <c r="S54" s="50" t="e">
        <f>MATCH(Tab_Data_Flows[[#This Row],[Name(EN)]],Tab_WC_DM_CC[Name(EN)],0)</f>
        <v>#N/A</v>
      </c>
      <c r="T54" s="50"/>
      <c r="U54" s="50"/>
      <c r="V54" s="50"/>
      <c r="W54" s="50"/>
      <c r="X54" s="50" t="s">
        <v>84</v>
      </c>
      <c r="Y54" s="50"/>
      <c r="Z54" s="50"/>
      <c r="AA54" s="77">
        <f t="shared" si="2"/>
        <v>19.2</v>
      </c>
      <c r="AB54" s="50" t="s">
        <v>85</v>
      </c>
      <c r="AC54" s="97">
        <f>INDEX(Tab_Def_Flows[[Flow_ID]:[CC_DM_source]],MATCH(Tab_Data_Flows[[#This Row],[Name(EN)]],Tab_Def_Flows[Name(EN)],0),14)</f>
        <v>0</v>
      </c>
      <c r="AD54" s="98">
        <f>IF(J54="Yes",AA54*Tab_Data_Flows[[#This Row],[WC_'[%']]],"N.A.")</f>
        <v>0</v>
      </c>
      <c r="AE54" s="58" t="str">
        <f>Tab_Data_Flows[[#This Row],[UoM_Flow_Py]]</f>
        <v>Mg</v>
      </c>
      <c r="AF54" s="97">
        <f>INDEX(Tab_Def_Flows[[Flow_ID]:[CC_DM_source]],MATCH(Tab_Data_Flows[[#This Row],[Name(EN)]],Tab_Def_Flows[Name(EN)],0),16)</f>
        <v>1</v>
      </c>
      <c r="AG54" s="98">
        <f>IF(K54="Yes",AF54*Tab_Data_Flows[[#This Row],[Flow_Py]],"N.A.")</f>
        <v>19.2</v>
      </c>
      <c r="AH54" s="58" t="str">
        <f>Tab_Data_Flows[[#This Row],[UoM_Flow_Py]]</f>
        <v>Mg</v>
      </c>
      <c r="AI54" s="97">
        <f>INDEX(Tab_Def_Flows[[Flow_ID]:[CC_DM_source]],MATCH(Tab_Data_Flows[[#This Row],[Name(EN)]],Tab_Def_Flows[Name(EN)],0),18)</f>
        <v>0.5</v>
      </c>
      <c r="AJ54" s="98">
        <f>IF(L54="Yes",AI54*Tab_Data_Flows[[#This Row],[Flow_Py]]*Tab_Data_Flows[[#This Row],[DM_'[%']]],"N.A.")</f>
        <v>9.6</v>
      </c>
      <c r="AK54" s="58" t="str">
        <f>Tab_Data_Flows[[#This Row],[UoM_Flow_Py]]</f>
        <v>Mg</v>
      </c>
    </row>
    <row r="55" spans="1:37" x14ac:dyDescent="0.3">
      <c r="A55" s="57">
        <f t="shared" si="0"/>
        <v>54</v>
      </c>
      <c r="B55" s="48" t="str">
        <f>_xlfn.XLOOKUP(C55,Tab_Def_Flows[Name(EN)],Tab_Def_Flows[Flow_ID],,0,)</f>
        <v>F_00_01</v>
      </c>
      <c r="C55" s="50" t="s">
        <v>107</v>
      </c>
      <c r="D55" s="48"/>
      <c r="E55" s="48" t="str">
        <f>_xlfn.XLOOKUP(C55,Tab_Def_Flows[Name(EN)],Tab_Def_Flows[Output_Process],,0,)</f>
        <v>Biosphere</v>
      </c>
      <c r="F55" s="48" t="str">
        <f>_xlfn.XLOOKUP(C55,Tab_Def_Flows[Name(EN)],Tab_Def_Flows[Process_ID_O],,0,)</f>
        <v>00_Bio_</v>
      </c>
      <c r="G55" s="48" t="str">
        <f>_xlfn.XLOOKUP(C55,Tab_Def_Flows[Name(EN)],Tab_Def_Flows[Input_Process],,0,)</f>
        <v>Raw Material Extraction</v>
      </c>
      <c r="H55" s="58" t="str">
        <f>_xlfn.XLOOKUP(C55,Tab_Def_Flows[Name(EN)],Tab_Def_Flows[Process_ID_I],,0,)</f>
        <v>01_Raw_</v>
      </c>
      <c r="I55" s="48">
        <f>_xlfn.XLOOKUP(C55,Tab_Def_Flows[Name(EN)],Tab_Def_Flows[Value_Source],,0,)</f>
        <v>0</v>
      </c>
      <c r="J55" s="48" t="str">
        <f>_xlfn.XLOOKUP(C55,Tab_Def_Flows[Name(EN)],Tab_Def_Flows[WC?],,0,)</f>
        <v>Yes</v>
      </c>
      <c r="K55" s="48" t="str">
        <f>_xlfn.XLOOKUP(C55,Tab_Def_Flows[Name(EN)],Tab_Def_Flows[DM?],,0,)</f>
        <v>Yes</v>
      </c>
      <c r="L55" s="48" t="str">
        <f>_xlfn.XLOOKUP(C55,Tab_Def_Flows[Name(EN)],Tab_Def_Flows[CC?],,0,)</f>
        <v>Yes</v>
      </c>
      <c r="M55" s="50">
        <v>1973</v>
      </c>
      <c r="N55" s="50"/>
      <c r="O55" s="104">
        <v>25.8</v>
      </c>
      <c r="P55" s="50" t="s">
        <v>85</v>
      </c>
      <c r="Q55" s="50"/>
      <c r="R55" s="50" t="e">
        <f>INDEX(Tab_WC_DM_CC[[Flow_ID]:[CC_source]],MATCH(Tab_Data_Flows[[#This Row],[Name(EN)]],Tab_WC_DM_CC[Name(EN)],0),12)</f>
        <v>#N/A</v>
      </c>
      <c r="S55" s="50" t="e">
        <f>MATCH(Tab_Data_Flows[[#This Row],[Name(EN)]],Tab_WC_DM_CC[Name(EN)],0)</f>
        <v>#N/A</v>
      </c>
      <c r="T55" s="50"/>
      <c r="U55" s="50"/>
      <c r="V55" s="50"/>
      <c r="W55" s="50"/>
      <c r="X55" s="50" t="s">
        <v>84</v>
      </c>
      <c r="Y55" s="50"/>
      <c r="Z55" s="50"/>
      <c r="AA55" s="77">
        <f t="shared" si="2"/>
        <v>25.8</v>
      </c>
      <c r="AB55" s="50" t="s">
        <v>85</v>
      </c>
      <c r="AC55" s="97">
        <f>INDEX(Tab_Def_Flows[[Flow_ID]:[CC_DM_source]],MATCH(Tab_Data_Flows[[#This Row],[Name(EN)]],Tab_Def_Flows[Name(EN)],0),14)</f>
        <v>0</v>
      </c>
      <c r="AD55" s="98">
        <f>IF(J55="Yes",AA55*Tab_Data_Flows[[#This Row],[WC_'[%']]],"N.A.")</f>
        <v>0</v>
      </c>
      <c r="AE55" s="58" t="str">
        <f>Tab_Data_Flows[[#This Row],[UoM_Flow_Py]]</f>
        <v>Mg</v>
      </c>
      <c r="AF55" s="97">
        <f>INDEX(Tab_Def_Flows[[Flow_ID]:[CC_DM_source]],MATCH(Tab_Data_Flows[[#This Row],[Name(EN)]],Tab_Def_Flows[Name(EN)],0),16)</f>
        <v>1</v>
      </c>
      <c r="AG55" s="98">
        <f>IF(K55="Yes",AF55*Tab_Data_Flows[[#This Row],[Flow_Py]],"N.A.")</f>
        <v>25.8</v>
      </c>
      <c r="AH55" s="58" t="str">
        <f>Tab_Data_Flows[[#This Row],[UoM_Flow_Py]]</f>
        <v>Mg</v>
      </c>
      <c r="AI55" s="97">
        <f>INDEX(Tab_Def_Flows[[Flow_ID]:[CC_DM_source]],MATCH(Tab_Data_Flows[[#This Row],[Name(EN)]],Tab_Def_Flows[Name(EN)],0),18)</f>
        <v>0.5</v>
      </c>
      <c r="AJ55" s="98">
        <f>IF(L55="Yes",AI55*Tab_Data_Flows[[#This Row],[Flow_Py]]*Tab_Data_Flows[[#This Row],[DM_'[%']]],"N.A.")</f>
        <v>12.9</v>
      </c>
      <c r="AK55" s="58" t="str">
        <f>Tab_Data_Flows[[#This Row],[UoM_Flow_Py]]</f>
        <v>Mg</v>
      </c>
    </row>
    <row r="56" spans="1:37" x14ac:dyDescent="0.3">
      <c r="A56" s="57">
        <f t="shared" si="0"/>
        <v>55</v>
      </c>
      <c r="B56" s="48" t="str">
        <f>_xlfn.XLOOKUP(C56,Tab_Def_Flows[Name(EN)],Tab_Def_Flows[Flow_ID],,0,)</f>
        <v>F_00_01</v>
      </c>
      <c r="C56" s="50" t="s">
        <v>107</v>
      </c>
      <c r="D56" s="48"/>
      <c r="E56" s="48" t="str">
        <f>_xlfn.XLOOKUP(C56,Tab_Def_Flows[Name(EN)],Tab_Def_Flows[Output_Process],,0,)</f>
        <v>Biosphere</v>
      </c>
      <c r="F56" s="48" t="str">
        <f>_xlfn.XLOOKUP(C56,Tab_Def_Flows[Name(EN)],Tab_Def_Flows[Process_ID_O],,0,)</f>
        <v>00_Bio_</v>
      </c>
      <c r="G56" s="48" t="str">
        <f>_xlfn.XLOOKUP(C56,Tab_Def_Flows[Name(EN)],Tab_Def_Flows[Input_Process],,0,)</f>
        <v>Raw Material Extraction</v>
      </c>
      <c r="H56" s="58" t="str">
        <f>_xlfn.XLOOKUP(C56,Tab_Def_Flows[Name(EN)],Tab_Def_Flows[Process_ID_I],,0,)</f>
        <v>01_Raw_</v>
      </c>
      <c r="I56" s="48">
        <f>_xlfn.XLOOKUP(C56,Tab_Def_Flows[Name(EN)],Tab_Def_Flows[Value_Source],,0,)</f>
        <v>0</v>
      </c>
      <c r="J56" s="48" t="str">
        <f>_xlfn.XLOOKUP(C56,Tab_Def_Flows[Name(EN)],Tab_Def_Flows[WC?],,0,)</f>
        <v>Yes</v>
      </c>
      <c r="K56" s="48" t="str">
        <f>_xlfn.XLOOKUP(C56,Tab_Def_Flows[Name(EN)],Tab_Def_Flows[DM?],,0,)</f>
        <v>Yes</v>
      </c>
      <c r="L56" s="48" t="str">
        <f>_xlfn.XLOOKUP(C56,Tab_Def_Flows[Name(EN)],Tab_Def_Flows[CC?],,0,)</f>
        <v>Yes</v>
      </c>
      <c r="M56" s="50">
        <v>1974</v>
      </c>
      <c r="N56" s="50"/>
      <c r="O56" s="104">
        <v>19.2</v>
      </c>
      <c r="P56" s="50" t="s">
        <v>85</v>
      </c>
      <c r="Q56" s="50"/>
      <c r="R56" s="50" t="e">
        <f>INDEX(Tab_WC_DM_CC[[Flow_ID]:[CC_source]],MATCH(Tab_Data_Flows[[#This Row],[Name(EN)]],Tab_WC_DM_CC[Name(EN)],0),12)</f>
        <v>#N/A</v>
      </c>
      <c r="S56" s="50" t="e">
        <f>MATCH(Tab_Data_Flows[[#This Row],[Name(EN)]],Tab_WC_DM_CC[Name(EN)],0)</f>
        <v>#N/A</v>
      </c>
      <c r="T56" s="50"/>
      <c r="U56" s="50"/>
      <c r="V56" s="50"/>
      <c r="W56" s="50"/>
      <c r="X56" s="50" t="s">
        <v>84</v>
      </c>
      <c r="Y56" s="50"/>
      <c r="Z56" s="50"/>
      <c r="AA56" s="77">
        <f t="shared" si="2"/>
        <v>19.2</v>
      </c>
      <c r="AB56" s="50" t="s">
        <v>85</v>
      </c>
      <c r="AC56" s="97">
        <f>INDEX(Tab_Def_Flows[[Flow_ID]:[CC_DM_source]],MATCH(Tab_Data_Flows[[#This Row],[Name(EN)]],Tab_Def_Flows[Name(EN)],0),14)</f>
        <v>0</v>
      </c>
      <c r="AD56" s="98">
        <f>IF(J56="Yes",AA56*Tab_Data_Flows[[#This Row],[WC_'[%']]],"N.A.")</f>
        <v>0</v>
      </c>
      <c r="AE56" s="58" t="str">
        <f>Tab_Data_Flows[[#This Row],[UoM_Flow_Py]]</f>
        <v>Mg</v>
      </c>
      <c r="AF56" s="97">
        <f>INDEX(Tab_Def_Flows[[Flow_ID]:[CC_DM_source]],MATCH(Tab_Data_Flows[[#This Row],[Name(EN)]],Tab_Def_Flows[Name(EN)],0),16)</f>
        <v>1</v>
      </c>
      <c r="AG56" s="98">
        <f>IF(K56="Yes",AF56*Tab_Data_Flows[[#This Row],[Flow_Py]],"N.A.")</f>
        <v>19.2</v>
      </c>
      <c r="AH56" s="58" t="str">
        <f>Tab_Data_Flows[[#This Row],[UoM_Flow_Py]]</f>
        <v>Mg</v>
      </c>
      <c r="AI56" s="97">
        <f>INDEX(Tab_Def_Flows[[Flow_ID]:[CC_DM_source]],MATCH(Tab_Data_Flows[[#This Row],[Name(EN)]],Tab_Def_Flows[Name(EN)],0),18)</f>
        <v>0.5</v>
      </c>
      <c r="AJ56" s="98">
        <f>IF(L56="Yes",AI56*Tab_Data_Flows[[#This Row],[Flow_Py]]*Tab_Data_Flows[[#This Row],[DM_'[%']]],"N.A.")</f>
        <v>9.6</v>
      </c>
      <c r="AK56" s="58" t="str">
        <f>Tab_Data_Flows[[#This Row],[UoM_Flow_Py]]</f>
        <v>Mg</v>
      </c>
    </row>
    <row r="57" spans="1:37" x14ac:dyDescent="0.3">
      <c r="A57" s="57">
        <f t="shared" si="0"/>
        <v>56</v>
      </c>
      <c r="B57" s="48" t="str">
        <f>_xlfn.XLOOKUP(C57,Tab_Def_Flows[Name(EN)],Tab_Def_Flows[Flow_ID],,0,)</f>
        <v>F_00_01</v>
      </c>
      <c r="C57" s="50" t="s">
        <v>107</v>
      </c>
      <c r="D57" s="48"/>
      <c r="E57" s="48" t="str">
        <f>_xlfn.XLOOKUP(C57,Tab_Def_Flows[Name(EN)],Tab_Def_Flows[Output_Process],,0,)</f>
        <v>Biosphere</v>
      </c>
      <c r="F57" s="48" t="str">
        <f>_xlfn.XLOOKUP(C57,Tab_Def_Flows[Name(EN)],Tab_Def_Flows[Process_ID_O],,0,)</f>
        <v>00_Bio_</v>
      </c>
      <c r="G57" s="48" t="str">
        <f>_xlfn.XLOOKUP(C57,Tab_Def_Flows[Name(EN)],Tab_Def_Flows[Input_Process],,0,)</f>
        <v>Raw Material Extraction</v>
      </c>
      <c r="H57" s="58" t="str">
        <f>_xlfn.XLOOKUP(C57,Tab_Def_Flows[Name(EN)],Tab_Def_Flows[Process_ID_I],,0,)</f>
        <v>01_Raw_</v>
      </c>
      <c r="I57" s="48">
        <f>_xlfn.XLOOKUP(C57,Tab_Def_Flows[Name(EN)],Tab_Def_Flows[Value_Source],,0,)</f>
        <v>0</v>
      </c>
      <c r="J57" s="48" t="str">
        <f>_xlfn.XLOOKUP(C57,Tab_Def_Flows[Name(EN)],Tab_Def_Flows[WC?],,0,)</f>
        <v>Yes</v>
      </c>
      <c r="K57" s="48" t="str">
        <f>_xlfn.XLOOKUP(C57,Tab_Def_Flows[Name(EN)],Tab_Def_Flows[DM?],,0,)</f>
        <v>Yes</v>
      </c>
      <c r="L57" s="48" t="str">
        <f>_xlfn.XLOOKUP(C57,Tab_Def_Flows[Name(EN)],Tab_Def_Flows[CC?],,0,)</f>
        <v>Yes</v>
      </c>
      <c r="M57" s="50">
        <v>1975</v>
      </c>
      <c r="N57" s="50"/>
      <c r="O57" s="104">
        <v>199.2</v>
      </c>
      <c r="P57" s="50" t="s">
        <v>85</v>
      </c>
      <c r="Q57" s="50"/>
      <c r="R57" s="50" t="e">
        <f>INDEX(Tab_WC_DM_CC[[Flow_ID]:[CC_source]],MATCH(Tab_Data_Flows[[#This Row],[Name(EN)]],Tab_WC_DM_CC[Name(EN)],0),12)</f>
        <v>#N/A</v>
      </c>
      <c r="S57" s="50" t="e">
        <f>MATCH(Tab_Data_Flows[[#This Row],[Name(EN)]],Tab_WC_DM_CC[Name(EN)],0)</f>
        <v>#N/A</v>
      </c>
      <c r="T57" s="50"/>
      <c r="U57" s="50"/>
      <c r="V57" s="50"/>
      <c r="W57" s="50"/>
      <c r="X57" s="50" t="s">
        <v>84</v>
      </c>
      <c r="Y57" s="50"/>
      <c r="Z57" s="50"/>
      <c r="AA57" s="77">
        <f t="shared" si="2"/>
        <v>199.2</v>
      </c>
      <c r="AB57" s="50" t="s">
        <v>85</v>
      </c>
      <c r="AC57" s="97">
        <f>INDEX(Tab_Def_Flows[[Flow_ID]:[CC_DM_source]],MATCH(Tab_Data_Flows[[#This Row],[Name(EN)]],Tab_Def_Flows[Name(EN)],0),14)</f>
        <v>0</v>
      </c>
      <c r="AD57" s="98">
        <f>IF(J57="Yes",AA57*Tab_Data_Flows[[#This Row],[WC_'[%']]],"N.A.")</f>
        <v>0</v>
      </c>
      <c r="AE57" s="58" t="str">
        <f>Tab_Data_Flows[[#This Row],[UoM_Flow_Py]]</f>
        <v>Mg</v>
      </c>
      <c r="AF57" s="97">
        <f>INDEX(Tab_Def_Flows[[Flow_ID]:[CC_DM_source]],MATCH(Tab_Data_Flows[[#This Row],[Name(EN)]],Tab_Def_Flows[Name(EN)],0),16)</f>
        <v>1</v>
      </c>
      <c r="AG57" s="98">
        <f>IF(K57="Yes",AF57*Tab_Data_Flows[[#This Row],[Flow_Py]],"N.A.")</f>
        <v>199.2</v>
      </c>
      <c r="AH57" s="58" t="str">
        <f>Tab_Data_Flows[[#This Row],[UoM_Flow_Py]]</f>
        <v>Mg</v>
      </c>
      <c r="AI57" s="97">
        <f>INDEX(Tab_Def_Flows[[Flow_ID]:[CC_DM_source]],MATCH(Tab_Data_Flows[[#This Row],[Name(EN)]],Tab_Def_Flows[Name(EN)],0),18)</f>
        <v>0.5</v>
      </c>
      <c r="AJ57" s="98">
        <f>IF(L57="Yes",AI57*Tab_Data_Flows[[#This Row],[Flow_Py]]*Tab_Data_Flows[[#This Row],[DM_'[%']]],"N.A.")</f>
        <v>99.6</v>
      </c>
      <c r="AK57" s="58" t="str">
        <f>Tab_Data_Flows[[#This Row],[UoM_Flow_Py]]</f>
        <v>Mg</v>
      </c>
    </row>
    <row r="58" spans="1:37" x14ac:dyDescent="0.3">
      <c r="A58" s="57">
        <f t="shared" si="0"/>
        <v>57</v>
      </c>
      <c r="B58" s="48" t="str">
        <f>_xlfn.XLOOKUP(C58,Tab_Def_Flows[Name(EN)],Tab_Def_Flows[Flow_ID],,0,)</f>
        <v>F_00_01</v>
      </c>
      <c r="C58" s="50" t="s">
        <v>107</v>
      </c>
      <c r="D58" s="48">
        <f>_xlfn.XLOOKUP(C58,Tab_Def_Flows[Name(EN)],Tab_Def_Flows[Type_Biomass],,0,)</f>
        <v>0</v>
      </c>
      <c r="E58" s="48" t="str">
        <f>_xlfn.XLOOKUP(C58,Tab_Def_Flows[Name(EN)],Tab_Def_Flows[Output_Process],,0,)</f>
        <v>Biosphere</v>
      </c>
      <c r="F58" s="48" t="str">
        <f>_xlfn.XLOOKUP(C58,Tab_Def_Flows[Name(EN)],Tab_Def_Flows[Process_ID_O],,0,)</f>
        <v>00_Bio_</v>
      </c>
      <c r="G58" s="48" t="str">
        <f>_xlfn.XLOOKUP(C58,Tab_Def_Flows[Name(EN)],Tab_Def_Flows[Input_Process],,0,)</f>
        <v>Raw Material Extraction</v>
      </c>
      <c r="H58" s="58" t="str">
        <f>_xlfn.XLOOKUP(C58,Tab_Def_Flows[Name(EN)],Tab_Def_Flows[Process_ID_I],,0,)</f>
        <v>01_Raw_</v>
      </c>
      <c r="I58" s="58">
        <f>_xlfn.XLOOKUP(C58,Tab_Def_Flows[Name(EN)],Tab_Def_Flows[Value_Source],,0,)</f>
        <v>0</v>
      </c>
      <c r="J58" s="58" t="str">
        <f>_xlfn.XLOOKUP(C58,Tab_Def_Flows[Name(EN)],Tab_Def_Flows[WC?],,0,)</f>
        <v>Yes</v>
      </c>
      <c r="K58" s="58" t="str">
        <f>_xlfn.XLOOKUP(C58,Tab_Def_Flows[Name(EN)],Tab_Def_Flows[DM?],,0,)</f>
        <v>Yes</v>
      </c>
      <c r="L58" s="58" t="str">
        <f>_xlfn.XLOOKUP(C58,Tab_Def_Flows[Name(EN)],Tab_Def_Flows[CC?],,0,)</f>
        <v>Yes</v>
      </c>
      <c r="M58" s="50">
        <v>1976</v>
      </c>
      <c r="N58" s="50" t="s">
        <v>82</v>
      </c>
      <c r="O58" s="104">
        <v>141.4</v>
      </c>
      <c r="P58" s="50" t="s">
        <v>85</v>
      </c>
      <c r="Q58" s="50"/>
      <c r="R58" s="50"/>
      <c r="S58" s="50"/>
      <c r="T58" s="50"/>
      <c r="U58" s="50"/>
      <c r="V58" s="50"/>
      <c r="W58" s="50"/>
      <c r="X58" s="50" t="s">
        <v>84</v>
      </c>
      <c r="Y58" s="94"/>
      <c r="Z58" s="50"/>
      <c r="AA58" s="77">
        <f>IF(X58="no",O58,O58*Y58)</f>
        <v>141.4</v>
      </c>
      <c r="AB58" s="50" t="s">
        <v>85</v>
      </c>
      <c r="AC58" s="97">
        <f>INDEX(Tab_Def_Flows[[Flow_ID]:[CC_DM_source]],MATCH(Tab_Data_Flows[[#This Row],[Name(EN)]],Tab_Def_Flows[Name(EN)],0),14)</f>
        <v>0</v>
      </c>
      <c r="AD58" s="98">
        <f>IF(J58="Yes",AA58*Tab_Data_Flows[[#This Row],[WC_'[%']]],"N.A.")</f>
        <v>0</v>
      </c>
      <c r="AE58" s="58" t="str">
        <f>Tab_Data_Flows[[#This Row],[UoM_Flow_Py]]</f>
        <v>Mg</v>
      </c>
      <c r="AF58" s="97">
        <f>INDEX(Tab_Def_Flows[[Flow_ID]:[CC_DM_source]],MATCH(Tab_Data_Flows[[#This Row],[Name(EN)]],Tab_Def_Flows[Name(EN)],0),16)</f>
        <v>1</v>
      </c>
      <c r="AG58" s="98">
        <f>IF(K58="Yes",AF58*Tab_Data_Flows[[#This Row],[Flow_Py]],"N.A.")</f>
        <v>141.4</v>
      </c>
      <c r="AH58" s="58" t="str">
        <f>Tab_Data_Flows[[#This Row],[UoM_Flow_Py]]</f>
        <v>Mg</v>
      </c>
      <c r="AI58" s="97">
        <f>INDEX(Tab_Def_Flows[[Flow_ID]:[CC_DM_source]],MATCH(Tab_Data_Flows[[#This Row],[Name(EN)]],Tab_Def_Flows[Name(EN)],0),18)</f>
        <v>0.5</v>
      </c>
      <c r="AJ58" s="98">
        <f>IF(L58="Yes",AI58*Tab_Data_Flows[[#This Row],[Flow_Py]]*Tab_Data_Flows[[#This Row],[DM_'[%']]],"N.A.")</f>
        <v>70.7</v>
      </c>
      <c r="AK58" s="58" t="str">
        <f>Tab_Data_Flows[[#This Row],[UoM_Flow_Py]]</f>
        <v>Mg</v>
      </c>
    </row>
    <row r="59" spans="1:37" x14ac:dyDescent="0.3">
      <c r="A59" s="57">
        <f t="shared" si="0"/>
        <v>58</v>
      </c>
      <c r="B59" s="48" t="str">
        <f>_xlfn.XLOOKUP(C59,Tab_Def_Flows[Name(EN)],Tab_Def_Flows[Flow_ID],,0,)</f>
        <v>F_00_01</v>
      </c>
      <c r="C59" s="50" t="s">
        <v>107</v>
      </c>
      <c r="D59" s="48">
        <f>_xlfn.XLOOKUP(C59,Tab_Def_Flows[Name(EN)],Tab_Def_Flows[Type_Biomass],,0,)</f>
        <v>0</v>
      </c>
      <c r="E59" s="48" t="str">
        <f>_xlfn.XLOOKUP(C59,Tab_Def_Flows[Name(EN)],Tab_Def_Flows[Output_Process],,0,)</f>
        <v>Biosphere</v>
      </c>
      <c r="F59" s="48" t="str">
        <f>_xlfn.XLOOKUP(C59,Tab_Def_Flows[Name(EN)],Tab_Def_Flows[Process_ID_O],,0,)</f>
        <v>00_Bio_</v>
      </c>
      <c r="G59" s="48" t="str">
        <f>_xlfn.XLOOKUP(C59,Tab_Def_Flows[Name(EN)],Tab_Def_Flows[Input_Process],,0,)</f>
        <v>Raw Material Extraction</v>
      </c>
      <c r="H59" s="58" t="str">
        <f>_xlfn.XLOOKUP(C59,Tab_Def_Flows[Name(EN)],Tab_Def_Flows[Process_ID_I],,0,)</f>
        <v>01_Raw_</v>
      </c>
      <c r="I59" s="58">
        <f>_xlfn.XLOOKUP(C59,Tab_Def_Flows[Name(EN)],Tab_Def_Flows[Value_Source],,0,)</f>
        <v>0</v>
      </c>
      <c r="J59" s="58" t="str">
        <f>_xlfn.XLOOKUP(C59,Tab_Def_Flows[Name(EN)],Tab_Def_Flows[WC?],,0,)</f>
        <v>Yes</v>
      </c>
      <c r="K59" s="58" t="str">
        <f>_xlfn.XLOOKUP(C59,Tab_Def_Flows[Name(EN)],Tab_Def_Flows[DM?],,0,)</f>
        <v>Yes</v>
      </c>
      <c r="L59" s="58" t="str">
        <f>_xlfn.XLOOKUP(C59,Tab_Def_Flows[Name(EN)],Tab_Def_Flows[CC?],,0,)</f>
        <v>Yes</v>
      </c>
      <c r="M59" s="50">
        <v>1977</v>
      </c>
      <c r="N59" s="50" t="s">
        <v>82</v>
      </c>
      <c r="O59" s="104">
        <v>109.2</v>
      </c>
      <c r="P59" s="50" t="s">
        <v>85</v>
      </c>
      <c r="Q59" s="50"/>
      <c r="R59" s="50"/>
      <c r="S59" s="50"/>
      <c r="T59" s="50"/>
      <c r="U59" s="50"/>
      <c r="V59" s="50"/>
      <c r="W59" s="50"/>
      <c r="X59" s="50" t="s">
        <v>84</v>
      </c>
      <c r="Y59" s="94"/>
      <c r="Z59" s="50"/>
      <c r="AA59" s="77">
        <f t="shared" si="2"/>
        <v>109.2</v>
      </c>
      <c r="AB59" s="50" t="s">
        <v>85</v>
      </c>
      <c r="AC59" s="97">
        <f>INDEX(Tab_Def_Flows[[Flow_ID]:[CC_DM_source]],MATCH(Tab_Data_Flows[[#This Row],[Name(EN)]],Tab_Def_Flows[Name(EN)],0),14)</f>
        <v>0</v>
      </c>
      <c r="AD59" s="98">
        <f>IF(J59="Yes",AA59*Tab_Data_Flows[[#This Row],[WC_'[%']]],"N.A.")</f>
        <v>0</v>
      </c>
      <c r="AE59" s="58" t="str">
        <f>Tab_Data_Flows[[#This Row],[UoM_Flow_Py]]</f>
        <v>Mg</v>
      </c>
      <c r="AF59" s="97">
        <f>INDEX(Tab_Def_Flows[[Flow_ID]:[CC_DM_source]],MATCH(Tab_Data_Flows[[#This Row],[Name(EN)]],Tab_Def_Flows[Name(EN)],0),16)</f>
        <v>1</v>
      </c>
      <c r="AG59" s="98">
        <f>IF(K59="Yes",AF59*Tab_Data_Flows[[#This Row],[Flow_Py]],"N.A.")</f>
        <v>109.2</v>
      </c>
      <c r="AH59" s="58" t="str">
        <f>Tab_Data_Flows[[#This Row],[UoM_Flow_Py]]</f>
        <v>Mg</v>
      </c>
      <c r="AI59" s="97">
        <f>INDEX(Tab_Def_Flows[[Flow_ID]:[CC_DM_source]],MATCH(Tab_Data_Flows[[#This Row],[Name(EN)]],Tab_Def_Flows[Name(EN)],0),18)</f>
        <v>0.5</v>
      </c>
      <c r="AJ59" s="98">
        <f>IF(L59="Yes",AI59*Tab_Data_Flows[[#This Row],[Flow_Py]]*Tab_Data_Flows[[#This Row],[DM_'[%']]],"N.A.")</f>
        <v>54.6</v>
      </c>
      <c r="AK59" s="58" t="str">
        <f>Tab_Data_Flows[[#This Row],[UoM_Flow_Py]]</f>
        <v>Mg</v>
      </c>
    </row>
    <row r="60" spans="1:37" x14ac:dyDescent="0.3">
      <c r="A60" s="57">
        <f t="shared" si="0"/>
        <v>59</v>
      </c>
      <c r="B60" s="48" t="str">
        <f>_xlfn.XLOOKUP(C60,Tab_Def_Flows[Name(EN)],Tab_Def_Flows[Flow_ID],,0,)</f>
        <v>F_00_01</v>
      </c>
      <c r="C60" s="50" t="s">
        <v>107</v>
      </c>
      <c r="D60" s="48">
        <f>_xlfn.XLOOKUP(C60,Tab_Def_Flows[Name(EN)],Tab_Def_Flows[Type_Biomass],,0,)</f>
        <v>0</v>
      </c>
      <c r="E60" s="48" t="str">
        <f>_xlfn.XLOOKUP(C60,Tab_Def_Flows[Name(EN)],Tab_Def_Flows[Output_Process],,0,)</f>
        <v>Biosphere</v>
      </c>
      <c r="F60" s="48" t="str">
        <f>_xlfn.XLOOKUP(C60,Tab_Def_Flows[Name(EN)],Tab_Def_Flows[Process_ID_O],,0,)</f>
        <v>00_Bio_</v>
      </c>
      <c r="G60" s="48" t="str">
        <f>_xlfn.XLOOKUP(C60,Tab_Def_Flows[Name(EN)],Tab_Def_Flows[Input_Process],,0,)</f>
        <v>Raw Material Extraction</v>
      </c>
      <c r="H60" s="58" t="str">
        <f>_xlfn.XLOOKUP(C60,Tab_Def_Flows[Name(EN)],Tab_Def_Flows[Process_ID_I],,0,)</f>
        <v>01_Raw_</v>
      </c>
      <c r="I60" s="58">
        <f>_xlfn.XLOOKUP(C60,Tab_Def_Flows[Name(EN)],Tab_Def_Flows[Value_Source],,0,)</f>
        <v>0</v>
      </c>
      <c r="J60" s="58" t="str">
        <f>_xlfn.XLOOKUP(C60,Tab_Def_Flows[Name(EN)],Tab_Def_Flows[WC?],,0,)</f>
        <v>Yes</v>
      </c>
      <c r="K60" s="58" t="str">
        <f>_xlfn.XLOOKUP(C60,Tab_Def_Flows[Name(EN)],Tab_Def_Flows[DM?],,0,)</f>
        <v>Yes</v>
      </c>
      <c r="L60" s="58" t="str">
        <f>_xlfn.XLOOKUP(C60,Tab_Def_Flows[Name(EN)],Tab_Def_Flows[CC?],,0,)</f>
        <v>Yes</v>
      </c>
      <c r="M60" s="50">
        <v>1978</v>
      </c>
      <c r="N60" s="50" t="s">
        <v>82</v>
      </c>
      <c r="O60" s="104">
        <v>103</v>
      </c>
      <c r="P60" s="50" t="s">
        <v>85</v>
      </c>
      <c r="Q60" s="50"/>
      <c r="R60" s="50"/>
      <c r="S60" s="50"/>
      <c r="T60" s="50"/>
      <c r="U60" s="50"/>
      <c r="V60" s="50"/>
      <c r="W60" s="50"/>
      <c r="X60" s="50" t="s">
        <v>84</v>
      </c>
      <c r="Y60" s="94"/>
      <c r="Z60" s="50"/>
      <c r="AA60" s="77">
        <f t="shared" si="2"/>
        <v>103</v>
      </c>
      <c r="AB60" s="50" t="s">
        <v>85</v>
      </c>
      <c r="AC60" s="97">
        <f>INDEX(Tab_Def_Flows[[Flow_ID]:[CC_DM_source]],MATCH(Tab_Data_Flows[[#This Row],[Name(EN)]],Tab_Def_Flows[Name(EN)],0),14)</f>
        <v>0</v>
      </c>
      <c r="AD60" s="98">
        <f>IF(J60="Yes",AA60*Tab_Data_Flows[[#This Row],[WC_'[%']]],"N.A.")</f>
        <v>0</v>
      </c>
      <c r="AE60" s="58" t="str">
        <f>Tab_Data_Flows[[#This Row],[UoM_Flow_Py]]</f>
        <v>Mg</v>
      </c>
      <c r="AF60" s="97">
        <f>INDEX(Tab_Def_Flows[[Flow_ID]:[CC_DM_source]],MATCH(Tab_Data_Flows[[#This Row],[Name(EN)]],Tab_Def_Flows[Name(EN)],0),16)</f>
        <v>1</v>
      </c>
      <c r="AG60" s="98">
        <f>IF(K60="Yes",AF60*Tab_Data_Flows[[#This Row],[Flow_Py]],"N.A.")</f>
        <v>103</v>
      </c>
      <c r="AH60" s="58" t="str">
        <f>Tab_Data_Flows[[#This Row],[UoM_Flow_Py]]</f>
        <v>Mg</v>
      </c>
      <c r="AI60" s="97">
        <f>INDEX(Tab_Def_Flows[[Flow_ID]:[CC_DM_source]],MATCH(Tab_Data_Flows[[#This Row],[Name(EN)]],Tab_Def_Flows[Name(EN)],0),18)</f>
        <v>0.5</v>
      </c>
      <c r="AJ60" s="98">
        <f>IF(L60="Yes",AI60*Tab_Data_Flows[[#This Row],[Flow_Py]]*Tab_Data_Flows[[#This Row],[DM_'[%']]],"N.A.")</f>
        <v>51.5</v>
      </c>
      <c r="AK60" s="58" t="str">
        <f>Tab_Data_Flows[[#This Row],[UoM_Flow_Py]]</f>
        <v>Mg</v>
      </c>
    </row>
    <row r="61" spans="1:37" x14ac:dyDescent="0.3">
      <c r="A61" s="57">
        <f t="shared" si="0"/>
        <v>60</v>
      </c>
      <c r="B61" s="48" t="str">
        <f>_xlfn.XLOOKUP(C61,Tab_Def_Flows[Name(EN)],Tab_Def_Flows[Flow_ID],,0,)</f>
        <v>F_00_01</v>
      </c>
      <c r="C61" s="50" t="s">
        <v>107</v>
      </c>
      <c r="D61" s="48">
        <f>_xlfn.XLOOKUP(C61,Tab_Def_Flows[Name(EN)],Tab_Def_Flows[Type_Biomass],,0,)</f>
        <v>0</v>
      </c>
      <c r="E61" s="48" t="str">
        <f>_xlfn.XLOOKUP(C61,Tab_Def_Flows[Name(EN)],Tab_Def_Flows[Output_Process],,0,)</f>
        <v>Biosphere</v>
      </c>
      <c r="F61" s="48" t="str">
        <f>_xlfn.XLOOKUP(C61,Tab_Def_Flows[Name(EN)],Tab_Def_Flows[Process_ID_O],,0,)</f>
        <v>00_Bio_</v>
      </c>
      <c r="G61" s="48" t="str">
        <f>_xlfn.XLOOKUP(C61,Tab_Def_Flows[Name(EN)],Tab_Def_Flows[Input_Process],,0,)</f>
        <v>Raw Material Extraction</v>
      </c>
      <c r="H61" s="58" t="str">
        <f>_xlfn.XLOOKUP(C61,Tab_Def_Flows[Name(EN)],Tab_Def_Flows[Process_ID_I],,0,)</f>
        <v>01_Raw_</v>
      </c>
      <c r="I61" s="58">
        <f>_xlfn.XLOOKUP(C61,Tab_Def_Flows[Name(EN)],Tab_Def_Flows[Value_Source],,0,)</f>
        <v>0</v>
      </c>
      <c r="J61" s="58" t="str">
        <f>_xlfn.XLOOKUP(C61,Tab_Def_Flows[Name(EN)],Tab_Def_Flows[WC?],,0,)</f>
        <v>Yes</v>
      </c>
      <c r="K61" s="58" t="str">
        <f>_xlfn.XLOOKUP(C61,Tab_Def_Flows[Name(EN)],Tab_Def_Flows[DM?],,0,)</f>
        <v>Yes</v>
      </c>
      <c r="L61" s="58" t="str">
        <f>_xlfn.XLOOKUP(C61,Tab_Def_Flows[Name(EN)],Tab_Def_Flows[CC?],,0,)</f>
        <v>Yes</v>
      </c>
      <c r="M61" s="50">
        <v>1979</v>
      </c>
      <c r="N61" s="50" t="s">
        <v>82</v>
      </c>
      <c r="O61" s="104">
        <v>128.6</v>
      </c>
      <c r="P61" s="50" t="s">
        <v>85</v>
      </c>
      <c r="Q61" s="50"/>
      <c r="R61" s="50"/>
      <c r="S61" s="50"/>
      <c r="T61" s="50"/>
      <c r="U61" s="50"/>
      <c r="V61" s="50"/>
      <c r="W61" s="50"/>
      <c r="X61" s="50" t="s">
        <v>84</v>
      </c>
      <c r="Y61" s="94"/>
      <c r="Z61" s="50"/>
      <c r="AA61" s="77">
        <f t="shared" si="2"/>
        <v>128.6</v>
      </c>
      <c r="AB61" s="50" t="s">
        <v>85</v>
      </c>
      <c r="AC61" s="97">
        <f>INDEX(Tab_Def_Flows[[Flow_ID]:[CC_DM_source]],MATCH(Tab_Data_Flows[[#This Row],[Name(EN)]],Tab_Def_Flows[Name(EN)],0),14)</f>
        <v>0</v>
      </c>
      <c r="AD61" s="98">
        <f>IF(J61="Yes",AA61*Tab_Data_Flows[[#This Row],[WC_'[%']]],"N.A.")</f>
        <v>0</v>
      </c>
      <c r="AE61" s="58" t="str">
        <f>Tab_Data_Flows[[#This Row],[UoM_Flow_Py]]</f>
        <v>Mg</v>
      </c>
      <c r="AF61" s="97">
        <f>INDEX(Tab_Def_Flows[[Flow_ID]:[CC_DM_source]],MATCH(Tab_Data_Flows[[#This Row],[Name(EN)]],Tab_Def_Flows[Name(EN)],0),16)</f>
        <v>1</v>
      </c>
      <c r="AG61" s="98">
        <f>IF(K61="Yes",AF61*Tab_Data_Flows[[#This Row],[Flow_Py]],"N.A.")</f>
        <v>128.6</v>
      </c>
      <c r="AH61" s="58" t="str">
        <f>Tab_Data_Flows[[#This Row],[UoM_Flow_Py]]</f>
        <v>Mg</v>
      </c>
      <c r="AI61" s="97">
        <f>INDEX(Tab_Def_Flows[[Flow_ID]:[CC_DM_source]],MATCH(Tab_Data_Flows[[#This Row],[Name(EN)]],Tab_Def_Flows[Name(EN)],0),18)</f>
        <v>0.5</v>
      </c>
      <c r="AJ61" s="98">
        <f>IF(L61="Yes",AI61*Tab_Data_Flows[[#This Row],[Flow_Py]]*Tab_Data_Flows[[#This Row],[DM_'[%']]],"N.A.")</f>
        <v>64.3</v>
      </c>
      <c r="AK61" s="58" t="str">
        <f>Tab_Data_Flows[[#This Row],[UoM_Flow_Py]]</f>
        <v>Mg</v>
      </c>
    </row>
    <row r="62" spans="1:37" x14ac:dyDescent="0.3">
      <c r="A62" s="57">
        <f t="shared" si="0"/>
        <v>61</v>
      </c>
      <c r="B62" s="48" t="str">
        <f>_xlfn.XLOOKUP(C62,Tab_Def_Flows[Name(EN)],Tab_Def_Flows[Flow_ID],,0,)</f>
        <v>F_00_01</v>
      </c>
      <c r="C62" s="50" t="s">
        <v>107</v>
      </c>
      <c r="D62" s="48">
        <f>_xlfn.XLOOKUP(C62,Tab_Def_Flows[Name(EN)],Tab_Def_Flows[Type_Biomass],,0,)</f>
        <v>0</v>
      </c>
      <c r="E62" s="48" t="str">
        <f>_xlfn.XLOOKUP(C62,Tab_Def_Flows[Name(EN)],Tab_Def_Flows[Output_Process],,0,)</f>
        <v>Biosphere</v>
      </c>
      <c r="F62" s="48" t="str">
        <f>_xlfn.XLOOKUP(C62,Tab_Def_Flows[Name(EN)],Tab_Def_Flows[Process_ID_O],,0,)</f>
        <v>00_Bio_</v>
      </c>
      <c r="G62" s="48" t="str">
        <f>_xlfn.XLOOKUP(C62,Tab_Def_Flows[Name(EN)],Tab_Def_Flows[Input_Process],,0,)</f>
        <v>Raw Material Extraction</v>
      </c>
      <c r="H62" s="58" t="str">
        <f>_xlfn.XLOOKUP(C62,Tab_Def_Flows[Name(EN)],Tab_Def_Flows[Process_ID_I],,0,)</f>
        <v>01_Raw_</v>
      </c>
      <c r="I62" s="58">
        <f>_xlfn.XLOOKUP(C62,Tab_Def_Flows[Name(EN)],Tab_Def_Flows[Value_Source],,0,)</f>
        <v>0</v>
      </c>
      <c r="J62" s="58" t="str">
        <f>_xlfn.XLOOKUP(C62,Tab_Def_Flows[Name(EN)],Tab_Def_Flows[WC?],,0,)</f>
        <v>Yes</v>
      </c>
      <c r="K62" s="58" t="str">
        <f>_xlfn.XLOOKUP(C62,Tab_Def_Flows[Name(EN)],Tab_Def_Flows[DM?],,0,)</f>
        <v>Yes</v>
      </c>
      <c r="L62" s="58" t="str">
        <f>_xlfn.XLOOKUP(C62,Tab_Def_Flows[Name(EN)],Tab_Def_Flows[CC?],,0,)</f>
        <v>Yes</v>
      </c>
      <c r="M62" s="50">
        <v>1980</v>
      </c>
      <c r="N62" s="50" t="s">
        <v>82</v>
      </c>
      <c r="O62" s="104">
        <v>128.6</v>
      </c>
      <c r="P62" s="50" t="s">
        <v>85</v>
      </c>
      <c r="Q62" s="50"/>
      <c r="R62" s="50"/>
      <c r="S62" s="50"/>
      <c r="T62" s="50"/>
      <c r="U62" s="50"/>
      <c r="V62" s="50"/>
      <c r="W62" s="50"/>
      <c r="X62" s="50" t="s">
        <v>84</v>
      </c>
      <c r="Y62" s="94"/>
      <c r="Z62" s="50"/>
      <c r="AA62" s="77">
        <f t="shared" si="2"/>
        <v>128.6</v>
      </c>
      <c r="AB62" s="50" t="s">
        <v>85</v>
      </c>
      <c r="AC62" s="97">
        <f>INDEX(Tab_Def_Flows[[Flow_ID]:[CC_DM_source]],MATCH(Tab_Data_Flows[[#This Row],[Name(EN)]],Tab_Def_Flows[Name(EN)],0),14)</f>
        <v>0</v>
      </c>
      <c r="AD62" s="98">
        <f>IF(J62="Yes",AA62*Tab_Data_Flows[[#This Row],[WC_'[%']]],"N.A.")</f>
        <v>0</v>
      </c>
      <c r="AE62" s="58" t="str">
        <f>Tab_Data_Flows[[#This Row],[UoM_Flow_Py]]</f>
        <v>Mg</v>
      </c>
      <c r="AF62" s="97">
        <f>INDEX(Tab_Def_Flows[[Flow_ID]:[CC_DM_source]],MATCH(Tab_Data_Flows[[#This Row],[Name(EN)]],Tab_Def_Flows[Name(EN)],0),16)</f>
        <v>1</v>
      </c>
      <c r="AG62" s="98">
        <f>IF(K62="Yes",AF62*Tab_Data_Flows[[#This Row],[Flow_Py]],"N.A.")</f>
        <v>128.6</v>
      </c>
      <c r="AH62" s="58" t="str">
        <f>Tab_Data_Flows[[#This Row],[UoM_Flow_Py]]</f>
        <v>Mg</v>
      </c>
      <c r="AI62" s="97">
        <f>INDEX(Tab_Def_Flows[[Flow_ID]:[CC_DM_source]],MATCH(Tab_Data_Flows[[#This Row],[Name(EN)]],Tab_Def_Flows[Name(EN)],0),18)</f>
        <v>0.5</v>
      </c>
      <c r="AJ62" s="98">
        <f>IF(L62="Yes",AI62*Tab_Data_Flows[[#This Row],[Flow_Py]]*Tab_Data_Flows[[#This Row],[DM_'[%']]],"N.A.")</f>
        <v>64.3</v>
      </c>
      <c r="AK62" s="58" t="str">
        <f>Tab_Data_Flows[[#This Row],[UoM_Flow_Py]]</f>
        <v>Mg</v>
      </c>
    </row>
    <row r="63" spans="1:37" x14ac:dyDescent="0.3">
      <c r="A63" s="57">
        <f t="shared" si="0"/>
        <v>62</v>
      </c>
      <c r="B63" s="48" t="str">
        <f>_xlfn.XLOOKUP(C63,Tab_Def_Flows[Name(EN)],Tab_Def_Flows[Flow_ID],,0,)</f>
        <v>F_00_01</v>
      </c>
      <c r="C63" s="50" t="s">
        <v>107</v>
      </c>
      <c r="D63" s="48">
        <f>_xlfn.XLOOKUP(C63,Tab_Def_Flows[Name(EN)],Tab_Def_Flows[Type_Biomass],,0,)</f>
        <v>0</v>
      </c>
      <c r="E63" s="48" t="str">
        <f>_xlfn.XLOOKUP(C63,Tab_Def_Flows[Name(EN)],Tab_Def_Flows[Output_Process],,0,)</f>
        <v>Biosphere</v>
      </c>
      <c r="F63" s="48" t="str">
        <f>_xlfn.XLOOKUP(C63,Tab_Def_Flows[Name(EN)],Tab_Def_Flows[Process_ID_O],,0,)</f>
        <v>00_Bio_</v>
      </c>
      <c r="G63" s="48" t="str">
        <f>_xlfn.XLOOKUP(C63,Tab_Def_Flows[Name(EN)],Tab_Def_Flows[Input_Process],,0,)</f>
        <v>Raw Material Extraction</v>
      </c>
      <c r="H63" s="58" t="str">
        <f>_xlfn.XLOOKUP(C63,Tab_Def_Flows[Name(EN)],Tab_Def_Flows[Process_ID_I],,0,)</f>
        <v>01_Raw_</v>
      </c>
      <c r="I63" s="58">
        <f>_xlfn.XLOOKUP(C63,Tab_Def_Flows[Name(EN)],Tab_Def_Flows[Value_Source],,0,)</f>
        <v>0</v>
      </c>
      <c r="J63" s="58" t="str">
        <f>_xlfn.XLOOKUP(C63,Tab_Def_Flows[Name(EN)],Tab_Def_Flows[WC?],,0,)</f>
        <v>Yes</v>
      </c>
      <c r="K63" s="58" t="str">
        <f>_xlfn.XLOOKUP(C63,Tab_Def_Flows[Name(EN)],Tab_Def_Flows[DM?],,0,)</f>
        <v>Yes</v>
      </c>
      <c r="L63" s="58" t="str">
        <f>_xlfn.XLOOKUP(C63,Tab_Def_Flows[Name(EN)],Tab_Def_Flows[CC?],,0,)</f>
        <v>Yes</v>
      </c>
      <c r="M63" s="50">
        <v>1981</v>
      </c>
      <c r="N63" s="50" t="s">
        <v>82</v>
      </c>
      <c r="O63" s="104">
        <v>128.6</v>
      </c>
      <c r="P63" s="50" t="s">
        <v>85</v>
      </c>
      <c r="Q63" s="50"/>
      <c r="R63" s="50"/>
      <c r="S63" s="50"/>
      <c r="T63" s="50"/>
      <c r="U63" s="50"/>
      <c r="V63" s="50"/>
      <c r="W63" s="50"/>
      <c r="X63" s="50" t="s">
        <v>84</v>
      </c>
      <c r="Y63" s="94"/>
      <c r="Z63" s="50"/>
      <c r="AA63" s="77">
        <f t="shared" si="2"/>
        <v>128.6</v>
      </c>
      <c r="AB63" s="50" t="s">
        <v>85</v>
      </c>
      <c r="AC63" s="97">
        <f>INDEX(Tab_Def_Flows[[Flow_ID]:[CC_DM_source]],MATCH(Tab_Data_Flows[[#This Row],[Name(EN)]],Tab_Def_Flows[Name(EN)],0),14)</f>
        <v>0</v>
      </c>
      <c r="AD63" s="98">
        <f>IF(J63="Yes",AA63*Tab_Data_Flows[[#This Row],[WC_'[%']]],"N.A.")</f>
        <v>0</v>
      </c>
      <c r="AE63" s="58" t="str">
        <f>Tab_Data_Flows[[#This Row],[UoM_Flow_Py]]</f>
        <v>Mg</v>
      </c>
      <c r="AF63" s="97">
        <f>INDEX(Tab_Def_Flows[[Flow_ID]:[CC_DM_source]],MATCH(Tab_Data_Flows[[#This Row],[Name(EN)]],Tab_Def_Flows[Name(EN)],0),16)</f>
        <v>1</v>
      </c>
      <c r="AG63" s="98">
        <f>IF(K63="Yes",AF63*Tab_Data_Flows[[#This Row],[Flow_Py]],"N.A.")</f>
        <v>128.6</v>
      </c>
      <c r="AH63" s="58" t="str">
        <f>Tab_Data_Flows[[#This Row],[UoM_Flow_Py]]</f>
        <v>Mg</v>
      </c>
      <c r="AI63" s="97">
        <f>INDEX(Tab_Def_Flows[[Flow_ID]:[CC_DM_source]],MATCH(Tab_Data_Flows[[#This Row],[Name(EN)]],Tab_Def_Flows[Name(EN)],0),18)</f>
        <v>0.5</v>
      </c>
      <c r="AJ63" s="98">
        <f>IF(L63="Yes",AI63*Tab_Data_Flows[[#This Row],[Flow_Py]]*Tab_Data_Flows[[#This Row],[DM_'[%']]],"N.A.")</f>
        <v>64.3</v>
      </c>
      <c r="AK63" s="58" t="str">
        <f>Tab_Data_Flows[[#This Row],[UoM_Flow_Py]]</f>
        <v>Mg</v>
      </c>
    </row>
    <row r="64" spans="1:37" x14ac:dyDescent="0.3">
      <c r="A64" s="57">
        <f t="shared" si="0"/>
        <v>63</v>
      </c>
      <c r="B64" s="48" t="str">
        <f>_xlfn.XLOOKUP(C64,Tab_Def_Flows[Name(EN)],Tab_Def_Flows[Flow_ID],,0,)</f>
        <v>F_00_01</v>
      </c>
      <c r="C64" s="50" t="s">
        <v>107</v>
      </c>
      <c r="D64" s="48">
        <f>_xlfn.XLOOKUP(C64,Tab_Def_Flows[Name(EN)],Tab_Def_Flows[Type_Biomass],,0,)</f>
        <v>0</v>
      </c>
      <c r="E64" s="48" t="str">
        <f>_xlfn.XLOOKUP(C64,Tab_Def_Flows[Name(EN)],Tab_Def_Flows[Output_Process],,0,)</f>
        <v>Biosphere</v>
      </c>
      <c r="F64" s="48" t="str">
        <f>_xlfn.XLOOKUP(C64,Tab_Def_Flows[Name(EN)],Tab_Def_Flows[Process_ID_O],,0,)</f>
        <v>00_Bio_</v>
      </c>
      <c r="G64" s="48" t="str">
        <f>_xlfn.XLOOKUP(C64,Tab_Def_Flows[Name(EN)],Tab_Def_Flows[Input_Process],,0,)</f>
        <v>Raw Material Extraction</v>
      </c>
      <c r="H64" s="58" t="str">
        <f>_xlfn.XLOOKUP(C64,Tab_Def_Flows[Name(EN)],Tab_Def_Flows[Process_ID_I],,0,)</f>
        <v>01_Raw_</v>
      </c>
      <c r="I64" s="58">
        <f>_xlfn.XLOOKUP(C64,Tab_Def_Flows[Name(EN)],Tab_Def_Flows[Value_Source],,0,)</f>
        <v>0</v>
      </c>
      <c r="J64" s="58" t="str">
        <f>_xlfn.XLOOKUP(C64,Tab_Def_Flows[Name(EN)],Tab_Def_Flows[WC?],,0,)</f>
        <v>Yes</v>
      </c>
      <c r="K64" s="58" t="str">
        <f>_xlfn.XLOOKUP(C64,Tab_Def_Flows[Name(EN)],Tab_Def_Flows[DM?],,0,)</f>
        <v>Yes</v>
      </c>
      <c r="L64" s="58" t="str">
        <f>_xlfn.XLOOKUP(C64,Tab_Def_Flows[Name(EN)],Tab_Def_Flows[CC?],,0,)</f>
        <v>Yes</v>
      </c>
      <c r="M64" s="50">
        <v>1982</v>
      </c>
      <c r="N64" s="50" t="s">
        <v>82</v>
      </c>
      <c r="O64" s="104">
        <v>70.8</v>
      </c>
      <c r="P64" s="50" t="s">
        <v>85</v>
      </c>
      <c r="Q64" s="50"/>
      <c r="R64" s="50"/>
      <c r="S64" s="50"/>
      <c r="T64" s="50"/>
      <c r="U64" s="50"/>
      <c r="V64" s="50"/>
      <c r="W64" s="50"/>
      <c r="X64" s="50" t="s">
        <v>84</v>
      </c>
      <c r="Y64" s="94"/>
      <c r="Z64" s="50"/>
      <c r="AA64" s="77">
        <f t="shared" si="2"/>
        <v>70.8</v>
      </c>
      <c r="AB64" s="50" t="s">
        <v>85</v>
      </c>
      <c r="AC64" s="97">
        <f>INDEX(Tab_Def_Flows[[Flow_ID]:[CC_DM_source]],MATCH(Tab_Data_Flows[[#This Row],[Name(EN)]],Tab_Def_Flows[Name(EN)],0),14)</f>
        <v>0</v>
      </c>
      <c r="AD64" s="98">
        <f>IF(J64="Yes",AA64*Tab_Data_Flows[[#This Row],[WC_'[%']]],"N.A.")</f>
        <v>0</v>
      </c>
      <c r="AE64" s="58" t="str">
        <f>Tab_Data_Flows[[#This Row],[UoM_Flow_Py]]</f>
        <v>Mg</v>
      </c>
      <c r="AF64" s="97">
        <f>INDEX(Tab_Def_Flows[[Flow_ID]:[CC_DM_source]],MATCH(Tab_Data_Flows[[#This Row],[Name(EN)]],Tab_Def_Flows[Name(EN)],0),16)</f>
        <v>1</v>
      </c>
      <c r="AG64" s="98">
        <f>IF(K64="Yes",AF64*Tab_Data_Flows[[#This Row],[Flow_Py]],"N.A.")</f>
        <v>70.8</v>
      </c>
      <c r="AH64" s="58" t="str">
        <f>Tab_Data_Flows[[#This Row],[UoM_Flow_Py]]</f>
        <v>Mg</v>
      </c>
      <c r="AI64" s="97">
        <f>INDEX(Tab_Def_Flows[[Flow_ID]:[CC_DM_source]],MATCH(Tab_Data_Flows[[#This Row],[Name(EN)]],Tab_Def_Flows[Name(EN)],0),18)</f>
        <v>0.5</v>
      </c>
      <c r="AJ64" s="98">
        <f>IF(L64="Yes",AI64*Tab_Data_Flows[[#This Row],[Flow_Py]]*Tab_Data_Flows[[#This Row],[DM_'[%']]],"N.A.")</f>
        <v>35.4</v>
      </c>
      <c r="AK64" s="58" t="str">
        <f>Tab_Data_Flows[[#This Row],[UoM_Flow_Py]]</f>
        <v>Mg</v>
      </c>
    </row>
    <row r="65" spans="1:37" x14ac:dyDescent="0.3">
      <c r="A65" s="57">
        <f t="shared" ref="A65:A127" si="4">ROW()-1</f>
        <v>64</v>
      </c>
      <c r="B65" s="48" t="str">
        <f>_xlfn.XLOOKUP(C65,Tab_Def_Flows[Name(EN)],Tab_Def_Flows[Flow_ID],,0,)</f>
        <v>F_00_01</v>
      </c>
      <c r="C65" s="50" t="s">
        <v>107</v>
      </c>
      <c r="D65" s="48"/>
      <c r="E65" s="48" t="str">
        <f>_xlfn.XLOOKUP(C65,Tab_Def_Flows[Name(EN)],Tab_Def_Flows[Output_Process],,0,)</f>
        <v>Biosphere</v>
      </c>
      <c r="F65" s="48" t="str">
        <f>_xlfn.XLOOKUP(C65,Tab_Def_Flows[Name(EN)],Tab_Def_Flows[Process_ID_O],,0,)</f>
        <v>00_Bio_</v>
      </c>
      <c r="G65" s="48" t="str">
        <f>_xlfn.XLOOKUP(C65,Tab_Def_Flows[Name(EN)],Tab_Def_Flows[Input_Process],,0,)</f>
        <v>Raw Material Extraction</v>
      </c>
      <c r="H65" s="58" t="str">
        <f>_xlfn.XLOOKUP(C65,Tab_Def_Flows[Name(EN)],Tab_Def_Flows[Process_ID_I],,0,)</f>
        <v>01_Raw_</v>
      </c>
      <c r="I65" s="48">
        <f>_xlfn.XLOOKUP(C65,Tab_Def_Flows[Name(EN)],Tab_Def_Flows[Value_Source],,0,)</f>
        <v>0</v>
      </c>
      <c r="J65" s="48" t="str">
        <f>_xlfn.XLOOKUP(C65,Tab_Def_Flows[Name(EN)],Tab_Def_Flows[WC?],,0,)</f>
        <v>Yes</v>
      </c>
      <c r="K65" s="48" t="str">
        <f>_xlfn.XLOOKUP(C65,Tab_Def_Flows[Name(EN)],Tab_Def_Flows[DM?],,0,)</f>
        <v>Yes</v>
      </c>
      <c r="L65" s="48" t="str">
        <f>_xlfn.XLOOKUP(C65,Tab_Def_Flows[Name(EN)],Tab_Def_Flows[CC?],,0,)</f>
        <v>Yes</v>
      </c>
      <c r="M65" s="50">
        <v>1983</v>
      </c>
      <c r="N65" s="50"/>
      <c r="O65" s="104">
        <v>83.6</v>
      </c>
      <c r="P65" s="50" t="s">
        <v>85</v>
      </c>
      <c r="Q65" s="50"/>
      <c r="R65" s="50" t="e">
        <f>INDEX(Tab_WC_DM_CC[[Flow_ID]:[CC_source]],MATCH(Tab_Data_Flows[[#This Row],[Name(EN)]],Tab_WC_DM_CC[Name(EN)],0),12)</f>
        <v>#N/A</v>
      </c>
      <c r="S65" s="50" t="e">
        <f>MATCH(Tab_Data_Flows[[#This Row],[Name(EN)]],Tab_WC_DM_CC[Name(EN)],0)</f>
        <v>#N/A</v>
      </c>
      <c r="T65" s="50"/>
      <c r="U65" s="50"/>
      <c r="V65" s="50"/>
      <c r="W65" s="50"/>
      <c r="X65" s="50" t="s">
        <v>84</v>
      </c>
      <c r="Y65" s="50"/>
      <c r="Z65" s="50"/>
      <c r="AA65" s="77">
        <f t="shared" ref="AA65:AA127" si="5">IF(X65="no",O65,O65*Y65)</f>
        <v>83.6</v>
      </c>
      <c r="AB65" s="50" t="s">
        <v>85</v>
      </c>
      <c r="AC65" s="97">
        <f>INDEX(Tab_Def_Flows[[Flow_ID]:[CC_DM_source]],MATCH(Tab_Data_Flows[[#This Row],[Name(EN)]],Tab_Def_Flows[Name(EN)],0),14)</f>
        <v>0</v>
      </c>
      <c r="AD65" s="98">
        <f>IF(J65="Yes",AA65*Tab_Data_Flows[[#This Row],[WC_'[%']]],"N.A.")</f>
        <v>0</v>
      </c>
      <c r="AE65" s="58" t="str">
        <f>Tab_Data_Flows[[#This Row],[UoM_Flow_Py]]</f>
        <v>Mg</v>
      </c>
      <c r="AF65" s="97">
        <f>INDEX(Tab_Def_Flows[[Flow_ID]:[CC_DM_source]],MATCH(Tab_Data_Flows[[#This Row],[Name(EN)]],Tab_Def_Flows[Name(EN)],0),16)</f>
        <v>1</v>
      </c>
      <c r="AG65" s="98">
        <f>IF(K65="Yes",AF65*Tab_Data_Flows[[#This Row],[Flow_Py]],"N.A.")</f>
        <v>83.6</v>
      </c>
      <c r="AH65" s="58" t="str">
        <f>Tab_Data_Flows[[#This Row],[UoM_Flow_Py]]</f>
        <v>Mg</v>
      </c>
      <c r="AI65" s="97">
        <f>INDEX(Tab_Def_Flows[[Flow_ID]:[CC_DM_source]],MATCH(Tab_Data_Flows[[#This Row],[Name(EN)]],Tab_Def_Flows[Name(EN)],0),18)</f>
        <v>0.5</v>
      </c>
      <c r="AJ65" s="98">
        <f>IF(L65="Yes",AI65*Tab_Data_Flows[[#This Row],[Flow_Py]]*Tab_Data_Flows[[#This Row],[DM_'[%']]],"N.A.")</f>
        <v>41.8</v>
      </c>
      <c r="AK65" s="58" t="str">
        <f>Tab_Data_Flows[[#This Row],[UoM_Flow_Py]]</f>
        <v>Mg</v>
      </c>
    </row>
    <row r="66" spans="1:37" x14ac:dyDescent="0.3">
      <c r="A66" s="57">
        <f t="shared" si="4"/>
        <v>65</v>
      </c>
      <c r="B66" s="48" t="str">
        <f>_xlfn.XLOOKUP(C66,Tab_Def_Flows[Name(EN)],Tab_Def_Flows[Flow_ID],,0,)</f>
        <v>F_00_01</v>
      </c>
      <c r="C66" s="50" t="s">
        <v>107</v>
      </c>
      <c r="D66" s="48"/>
      <c r="E66" s="48" t="str">
        <f>_xlfn.XLOOKUP(C66,Tab_Def_Flows[Name(EN)],Tab_Def_Flows[Output_Process],,0,)</f>
        <v>Biosphere</v>
      </c>
      <c r="F66" s="48" t="str">
        <f>_xlfn.XLOOKUP(C66,Tab_Def_Flows[Name(EN)],Tab_Def_Flows[Process_ID_O],,0,)</f>
        <v>00_Bio_</v>
      </c>
      <c r="G66" s="48" t="str">
        <f>_xlfn.XLOOKUP(C66,Tab_Def_Flows[Name(EN)],Tab_Def_Flows[Input_Process],,0,)</f>
        <v>Raw Material Extraction</v>
      </c>
      <c r="H66" s="58" t="str">
        <f>_xlfn.XLOOKUP(C66,Tab_Def_Flows[Name(EN)],Tab_Def_Flows[Process_ID_I],,0,)</f>
        <v>01_Raw_</v>
      </c>
      <c r="I66" s="48">
        <f>_xlfn.XLOOKUP(C66,Tab_Def_Flows[Name(EN)],Tab_Def_Flows[Value_Source],,0,)</f>
        <v>0</v>
      </c>
      <c r="J66" s="48" t="str">
        <f>_xlfn.XLOOKUP(C66,Tab_Def_Flows[Name(EN)],Tab_Def_Flows[WC?],,0,)</f>
        <v>Yes</v>
      </c>
      <c r="K66" s="48" t="str">
        <f>_xlfn.XLOOKUP(C66,Tab_Def_Flows[Name(EN)],Tab_Def_Flows[DM?],,0,)</f>
        <v>Yes</v>
      </c>
      <c r="L66" s="48" t="str">
        <f>_xlfn.XLOOKUP(C66,Tab_Def_Flows[Name(EN)],Tab_Def_Flows[CC?],,0,)</f>
        <v>Yes</v>
      </c>
      <c r="M66" s="50">
        <v>1984</v>
      </c>
      <c r="N66" s="50"/>
      <c r="O66" s="104">
        <v>115.8</v>
      </c>
      <c r="P66" s="50" t="s">
        <v>85</v>
      </c>
      <c r="Q66" s="50"/>
      <c r="R66" s="50" t="e">
        <f>INDEX(Tab_WC_DM_CC[[Flow_ID]:[CC_source]],MATCH(Tab_Data_Flows[[#This Row],[Name(EN)]],Tab_WC_DM_CC[Name(EN)],0),12)</f>
        <v>#N/A</v>
      </c>
      <c r="S66" s="50" t="e">
        <f>MATCH(Tab_Data_Flows[[#This Row],[Name(EN)]],Tab_WC_DM_CC[Name(EN)],0)</f>
        <v>#N/A</v>
      </c>
      <c r="T66" s="50"/>
      <c r="U66" s="50"/>
      <c r="V66" s="50"/>
      <c r="W66" s="50"/>
      <c r="X66" s="50" t="s">
        <v>84</v>
      </c>
      <c r="Y66" s="50"/>
      <c r="Z66" s="50"/>
      <c r="AA66" s="77">
        <f t="shared" si="5"/>
        <v>115.8</v>
      </c>
      <c r="AB66" s="50" t="s">
        <v>85</v>
      </c>
      <c r="AC66" s="97">
        <f>INDEX(Tab_Def_Flows[[Flow_ID]:[CC_DM_source]],MATCH(Tab_Data_Flows[[#This Row],[Name(EN)]],Tab_Def_Flows[Name(EN)],0),14)</f>
        <v>0</v>
      </c>
      <c r="AD66" s="98">
        <f>IF(J66="Yes",AA66*Tab_Data_Flows[[#This Row],[WC_'[%']]],"N.A.")</f>
        <v>0</v>
      </c>
      <c r="AE66" s="58" t="str">
        <f>Tab_Data_Flows[[#This Row],[UoM_Flow_Py]]</f>
        <v>Mg</v>
      </c>
      <c r="AF66" s="97">
        <f>INDEX(Tab_Def_Flows[[Flow_ID]:[CC_DM_source]],MATCH(Tab_Data_Flows[[#This Row],[Name(EN)]],Tab_Def_Flows[Name(EN)],0),16)</f>
        <v>1</v>
      </c>
      <c r="AG66" s="98">
        <f>IF(K66="Yes",AF66*Tab_Data_Flows[[#This Row],[Flow_Py]],"N.A.")</f>
        <v>115.8</v>
      </c>
      <c r="AH66" s="58" t="str">
        <f>Tab_Data_Flows[[#This Row],[UoM_Flow_Py]]</f>
        <v>Mg</v>
      </c>
      <c r="AI66" s="97">
        <f>INDEX(Tab_Def_Flows[[Flow_ID]:[CC_DM_source]],MATCH(Tab_Data_Flows[[#This Row],[Name(EN)]],Tab_Def_Flows[Name(EN)],0),18)</f>
        <v>0.5</v>
      </c>
      <c r="AJ66" s="98">
        <f>IF(L66="Yes",AI66*Tab_Data_Flows[[#This Row],[Flow_Py]]*Tab_Data_Flows[[#This Row],[DM_'[%']]],"N.A.")</f>
        <v>57.9</v>
      </c>
      <c r="AK66" s="58" t="str">
        <f>Tab_Data_Flows[[#This Row],[UoM_Flow_Py]]</f>
        <v>Mg</v>
      </c>
    </row>
    <row r="67" spans="1:37" x14ac:dyDescent="0.3">
      <c r="A67" s="57">
        <f t="shared" si="4"/>
        <v>66</v>
      </c>
      <c r="B67" s="48" t="str">
        <f>_xlfn.XLOOKUP(C67,Tab_Def_Flows[Name(EN)],Tab_Def_Flows[Flow_ID],,0,)</f>
        <v>F_00_01</v>
      </c>
      <c r="C67" s="50" t="s">
        <v>107</v>
      </c>
      <c r="D67" s="48"/>
      <c r="E67" s="48" t="str">
        <f>_xlfn.XLOOKUP(C67,Tab_Def_Flows[Name(EN)],Tab_Def_Flows[Output_Process],,0,)</f>
        <v>Biosphere</v>
      </c>
      <c r="F67" s="48" t="str">
        <f>_xlfn.XLOOKUP(C67,Tab_Def_Flows[Name(EN)],Tab_Def_Flows[Process_ID_O],,0,)</f>
        <v>00_Bio_</v>
      </c>
      <c r="G67" s="48" t="str">
        <f>_xlfn.XLOOKUP(C67,Tab_Def_Flows[Name(EN)],Tab_Def_Flows[Input_Process],,0,)</f>
        <v>Raw Material Extraction</v>
      </c>
      <c r="H67" s="58" t="str">
        <f>_xlfn.XLOOKUP(C67,Tab_Def_Flows[Name(EN)],Tab_Def_Flows[Process_ID_I],,0,)</f>
        <v>01_Raw_</v>
      </c>
      <c r="I67" s="48">
        <f>_xlfn.XLOOKUP(C67,Tab_Def_Flows[Name(EN)],Tab_Def_Flows[Value_Source],,0,)</f>
        <v>0</v>
      </c>
      <c r="J67" s="48" t="str">
        <f>_xlfn.XLOOKUP(C67,Tab_Def_Flows[Name(EN)],Tab_Def_Flows[WC?],,0,)</f>
        <v>Yes</v>
      </c>
      <c r="K67" s="48" t="str">
        <f>_xlfn.XLOOKUP(C67,Tab_Def_Flows[Name(EN)],Tab_Def_Flows[DM?],,0,)</f>
        <v>Yes</v>
      </c>
      <c r="L67" s="48" t="str">
        <f>_xlfn.XLOOKUP(C67,Tab_Def_Flows[Name(EN)],Tab_Def_Flows[CC?],,0,)</f>
        <v>Yes</v>
      </c>
      <c r="M67" s="50">
        <v>1985</v>
      </c>
      <c r="N67" s="50"/>
      <c r="O67" s="104">
        <v>205.6</v>
      </c>
      <c r="P67" s="50" t="s">
        <v>85</v>
      </c>
      <c r="Q67" s="50"/>
      <c r="R67" s="50" t="e">
        <f>INDEX(Tab_WC_DM_CC[[Flow_ID]:[CC_source]],MATCH(Tab_Data_Flows[[#This Row],[Name(EN)]],Tab_WC_DM_CC[Name(EN)],0),12)</f>
        <v>#N/A</v>
      </c>
      <c r="S67" s="50" t="e">
        <f>MATCH(Tab_Data_Flows[[#This Row],[Name(EN)]],Tab_WC_DM_CC[Name(EN)],0)</f>
        <v>#N/A</v>
      </c>
      <c r="T67" s="50"/>
      <c r="U67" s="50"/>
      <c r="V67" s="50"/>
      <c r="W67" s="50"/>
      <c r="X67" s="50" t="s">
        <v>84</v>
      </c>
      <c r="Y67" s="50"/>
      <c r="Z67" s="50"/>
      <c r="AA67" s="77">
        <f t="shared" si="5"/>
        <v>205.6</v>
      </c>
      <c r="AB67" s="50" t="s">
        <v>85</v>
      </c>
      <c r="AC67" s="97">
        <f>INDEX(Tab_Def_Flows[[Flow_ID]:[CC_DM_source]],MATCH(Tab_Data_Flows[[#This Row],[Name(EN)]],Tab_Def_Flows[Name(EN)],0),14)</f>
        <v>0</v>
      </c>
      <c r="AD67" s="98">
        <f>IF(J67="Yes",AA67*Tab_Data_Flows[[#This Row],[WC_'[%']]],"N.A.")</f>
        <v>0</v>
      </c>
      <c r="AE67" s="58" t="str">
        <f>Tab_Data_Flows[[#This Row],[UoM_Flow_Py]]</f>
        <v>Mg</v>
      </c>
      <c r="AF67" s="97">
        <f>INDEX(Tab_Def_Flows[[Flow_ID]:[CC_DM_source]],MATCH(Tab_Data_Flows[[#This Row],[Name(EN)]],Tab_Def_Flows[Name(EN)],0),16)</f>
        <v>1</v>
      </c>
      <c r="AG67" s="98">
        <f>IF(K67="Yes",AF67*Tab_Data_Flows[[#This Row],[Flow_Py]],"N.A.")</f>
        <v>205.6</v>
      </c>
      <c r="AH67" s="58" t="str">
        <f>Tab_Data_Flows[[#This Row],[UoM_Flow_Py]]</f>
        <v>Mg</v>
      </c>
      <c r="AI67" s="97">
        <f>INDEX(Tab_Def_Flows[[Flow_ID]:[CC_DM_source]],MATCH(Tab_Data_Flows[[#This Row],[Name(EN)]],Tab_Def_Flows[Name(EN)],0),18)</f>
        <v>0.5</v>
      </c>
      <c r="AJ67" s="98">
        <f>IF(L67="Yes",AI67*Tab_Data_Flows[[#This Row],[Flow_Py]]*Tab_Data_Flows[[#This Row],[DM_'[%']]],"N.A.")</f>
        <v>102.8</v>
      </c>
      <c r="AK67" s="58" t="str">
        <f>Tab_Data_Flows[[#This Row],[UoM_Flow_Py]]</f>
        <v>Mg</v>
      </c>
    </row>
    <row r="68" spans="1:37" x14ac:dyDescent="0.3">
      <c r="A68" s="57">
        <f t="shared" si="4"/>
        <v>67</v>
      </c>
      <c r="B68" s="48" t="str">
        <f>_xlfn.XLOOKUP(C68,Tab_Def_Flows[Name(EN)],Tab_Def_Flows[Flow_ID],,0,)</f>
        <v>F_00_01</v>
      </c>
      <c r="C68" s="50" t="s">
        <v>107</v>
      </c>
      <c r="D68" s="48"/>
      <c r="E68" s="48" t="str">
        <f>_xlfn.XLOOKUP(C68,Tab_Def_Flows[Name(EN)],Tab_Def_Flows[Output_Process],,0,)</f>
        <v>Biosphere</v>
      </c>
      <c r="F68" s="48" t="str">
        <f>_xlfn.XLOOKUP(C68,Tab_Def_Flows[Name(EN)],Tab_Def_Flows[Process_ID_O],,0,)</f>
        <v>00_Bio_</v>
      </c>
      <c r="G68" s="48" t="str">
        <f>_xlfn.XLOOKUP(C68,Tab_Def_Flows[Name(EN)],Tab_Def_Flows[Input_Process],,0,)</f>
        <v>Raw Material Extraction</v>
      </c>
      <c r="H68" s="58" t="str">
        <f>_xlfn.XLOOKUP(C68,Tab_Def_Flows[Name(EN)],Tab_Def_Flows[Process_ID_I],,0,)</f>
        <v>01_Raw_</v>
      </c>
      <c r="I68" s="48">
        <f>_xlfn.XLOOKUP(C68,Tab_Def_Flows[Name(EN)],Tab_Def_Flows[Value_Source],,0,)</f>
        <v>0</v>
      </c>
      <c r="J68" s="48" t="str">
        <f>_xlfn.XLOOKUP(C68,Tab_Def_Flows[Name(EN)],Tab_Def_Flows[WC?],,0,)</f>
        <v>Yes</v>
      </c>
      <c r="K68" s="48" t="str">
        <f>_xlfn.XLOOKUP(C68,Tab_Def_Flows[Name(EN)],Tab_Def_Flows[DM?],,0,)</f>
        <v>Yes</v>
      </c>
      <c r="L68" s="48" t="str">
        <f>_xlfn.XLOOKUP(C68,Tab_Def_Flows[Name(EN)],Tab_Def_Flows[CC?],,0,)</f>
        <v>Yes</v>
      </c>
      <c r="M68" s="50">
        <v>1986</v>
      </c>
      <c r="N68" s="50"/>
      <c r="O68" s="104">
        <v>70.8</v>
      </c>
      <c r="P68" s="50" t="s">
        <v>85</v>
      </c>
      <c r="Q68" s="50"/>
      <c r="R68" s="50" t="e">
        <f>INDEX(Tab_WC_DM_CC[[Flow_ID]:[CC_source]],MATCH(Tab_Data_Flows[[#This Row],[Name(EN)]],Tab_WC_DM_CC[Name(EN)],0),12)</f>
        <v>#N/A</v>
      </c>
      <c r="S68" s="50" t="e">
        <f>MATCH(Tab_Data_Flows[[#This Row],[Name(EN)]],Tab_WC_DM_CC[Name(EN)],0)</f>
        <v>#N/A</v>
      </c>
      <c r="T68" s="50"/>
      <c r="U68" s="50"/>
      <c r="V68" s="50"/>
      <c r="W68" s="50"/>
      <c r="X68" s="50" t="s">
        <v>84</v>
      </c>
      <c r="Y68" s="50"/>
      <c r="Z68" s="50"/>
      <c r="AA68" s="77">
        <f t="shared" si="5"/>
        <v>70.8</v>
      </c>
      <c r="AB68" s="50" t="s">
        <v>85</v>
      </c>
      <c r="AC68" s="97">
        <f>INDEX(Tab_Def_Flows[[Flow_ID]:[CC_DM_source]],MATCH(Tab_Data_Flows[[#This Row],[Name(EN)]],Tab_Def_Flows[Name(EN)],0),14)</f>
        <v>0</v>
      </c>
      <c r="AD68" s="98">
        <f>IF(J68="Yes",AA68*Tab_Data_Flows[[#This Row],[WC_'[%']]],"N.A.")</f>
        <v>0</v>
      </c>
      <c r="AE68" s="58" t="str">
        <f>Tab_Data_Flows[[#This Row],[UoM_Flow_Py]]</f>
        <v>Mg</v>
      </c>
      <c r="AF68" s="97">
        <f>INDEX(Tab_Def_Flows[[Flow_ID]:[CC_DM_source]],MATCH(Tab_Data_Flows[[#This Row],[Name(EN)]],Tab_Def_Flows[Name(EN)],0),16)</f>
        <v>1</v>
      </c>
      <c r="AG68" s="98">
        <f>IF(K68="Yes",AF68*Tab_Data_Flows[[#This Row],[Flow_Py]],"N.A.")</f>
        <v>70.8</v>
      </c>
      <c r="AH68" s="58" t="str">
        <f>Tab_Data_Flows[[#This Row],[UoM_Flow_Py]]</f>
        <v>Mg</v>
      </c>
      <c r="AI68" s="97">
        <f>INDEX(Tab_Def_Flows[[Flow_ID]:[CC_DM_source]],MATCH(Tab_Data_Flows[[#This Row],[Name(EN)]],Tab_Def_Flows[Name(EN)],0),18)</f>
        <v>0.5</v>
      </c>
      <c r="AJ68" s="98">
        <f>IF(L68="Yes",AI68*Tab_Data_Flows[[#This Row],[Flow_Py]]*Tab_Data_Flows[[#This Row],[DM_'[%']]],"N.A.")</f>
        <v>35.4</v>
      </c>
      <c r="AK68" s="58" t="str">
        <f>Tab_Data_Flows[[#This Row],[UoM_Flow_Py]]</f>
        <v>Mg</v>
      </c>
    </row>
    <row r="69" spans="1:37" x14ac:dyDescent="0.3">
      <c r="A69" s="57">
        <f t="shared" si="4"/>
        <v>68</v>
      </c>
      <c r="B69" s="48" t="str">
        <f>_xlfn.XLOOKUP(C69,Tab_Def_Flows[Name(EN)],Tab_Def_Flows[Flow_ID],,0,)</f>
        <v>F_00_01</v>
      </c>
      <c r="C69" s="50" t="s">
        <v>107</v>
      </c>
      <c r="D69" s="48"/>
      <c r="E69" s="48" t="str">
        <f>_xlfn.XLOOKUP(C69,Tab_Def_Flows[Name(EN)],Tab_Def_Flows[Output_Process],,0,)</f>
        <v>Biosphere</v>
      </c>
      <c r="F69" s="48" t="str">
        <f>_xlfn.XLOOKUP(C69,Tab_Def_Flows[Name(EN)],Tab_Def_Flows[Process_ID_O],,0,)</f>
        <v>00_Bio_</v>
      </c>
      <c r="G69" s="48" t="str">
        <f>_xlfn.XLOOKUP(C69,Tab_Def_Flows[Name(EN)],Tab_Def_Flows[Input_Process],,0,)</f>
        <v>Raw Material Extraction</v>
      </c>
      <c r="H69" s="58" t="str">
        <f>_xlfn.XLOOKUP(C69,Tab_Def_Flows[Name(EN)],Tab_Def_Flows[Process_ID_I],,0,)</f>
        <v>01_Raw_</v>
      </c>
      <c r="I69" s="48">
        <f>_xlfn.XLOOKUP(C69,Tab_Def_Flows[Name(EN)],Tab_Def_Flows[Value_Source],,0,)</f>
        <v>0</v>
      </c>
      <c r="J69" s="48" t="str">
        <f>_xlfn.XLOOKUP(C69,Tab_Def_Flows[Name(EN)],Tab_Def_Flows[WC?],,0,)</f>
        <v>Yes</v>
      </c>
      <c r="K69" s="48" t="str">
        <f>_xlfn.XLOOKUP(C69,Tab_Def_Flows[Name(EN)],Tab_Def_Flows[DM?],,0,)</f>
        <v>Yes</v>
      </c>
      <c r="L69" s="48" t="str">
        <f>_xlfn.XLOOKUP(C69,Tab_Def_Flows[Name(EN)],Tab_Def_Flows[CC?],,0,)</f>
        <v>Yes</v>
      </c>
      <c r="M69" s="50">
        <v>1987</v>
      </c>
      <c r="N69" s="50"/>
      <c r="O69" s="104">
        <v>32.200000000000003</v>
      </c>
      <c r="P69" s="50" t="s">
        <v>85</v>
      </c>
      <c r="Q69" s="50"/>
      <c r="R69" s="50" t="e">
        <f>INDEX(Tab_WC_DM_CC[[Flow_ID]:[CC_source]],MATCH(Tab_Data_Flows[[#This Row],[Name(EN)]],Tab_WC_DM_CC[Name(EN)],0),12)</f>
        <v>#N/A</v>
      </c>
      <c r="S69" s="50" t="e">
        <f>MATCH(Tab_Data_Flows[[#This Row],[Name(EN)]],Tab_WC_DM_CC[Name(EN)],0)</f>
        <v>#N/A</v>
      </c>
      <c r="T69" s="50"/>
      <c r="U69" s="50"/>
      <c r="V69" s="50"/>
      <c r="W69" s="50"/>
      <c r="X69" s="50" t="s">
        <v>84</v>
      </c>
      <c r="Y69" s="50"/>
      <c r="Z69" s="50"/>
      <c r="AA69" s="77">
        <f t="shared" si="5"/>
        <v>32.200000000000003</v>
      </c>
      <c r="AB69" s="50" t="s">
        <v>85</v>
      </c>
      <c r="AC69" s="97">
        <f>INDEX(Tab_Def_Flows[[Flow_ID]:[CC_DM_source]],MATCH(Tab_Data_Flows[[#This Row],[Name(EN)]],Tab_Def_Flows[Name(EN)],0),14)</f>
        <v>0</v>
      </c>
      <c r="AD69" s="98">
        <f>IF(J69="Yes",AA69*Tab_Data_Flows[[#This Row],[WC_'[%']]],"N.A.")</f>
        <v>0</v>
      </c>
      <c r="AE69" s="58" t="str">
        <f>Tab_Data_Flows[[#This Row],[UoM_Flow_Py]]</f>
        <v>Mg</v>
      </c>
      <c r="AF69" s="97">
        <f>INDEX(Tab_Def_Flows[[Flow_ID]:[CC_DM_source]],MATCH(Tab_Data_Flows[[#This Row],[Name(EN)]],Tab_Def_Flows[Name(EN)],0),16)</f>
        <v>1</v>
      </c>
      <c r="AG69" s="98">
        <f>IF(K69="Yes",AF69*Tab_Data_Flows[[#This Row],[Flow_Py]],"N.A.")</f>
        <v>32.200000000000003</v>
      </c>
      <c r="AH69" s="58" t="str">
        <f>Tab_Data_Flows[[#This Row],[UoM_Flow_Py]]</f>
        <v>Mg</v>
      </c>
      <c r="AI69" s="97">
        <f>INDEX(Tab_Def_Flows[[Flow_ID]:[CC_DM_source]],MATCH(Tab_Data_Flows[[#This Row],[Name(EN)]],Tab_Def_Flows[Name(EN)],0),18)</f>
        <v>0.5</v>
      </c>
      <c r="AJ69" s="98">
        <f>IF(L69="Yes",AI69*Tab_Data_Flows[[#This Row],[Flow_Py]]*Tab_Data_Flows[[#This Row],[DM_'[%']]],"N.A.")</f>
        <v>16.100000000000001</v>
      </c>
      <c r="AK69" s="58" t="str">
        <f>Tab_Data_Flows[[#This Row],[UoM_Flow_Py]]</f>
        <v>Mg</v>
      </c>
    </row>
    <row r="70" spans="1:37" x14ac:dyDescent="0.3">
      <c r="A70" s="57">
        <f t="shared" si="4"/>
        <v>69</v>
      </c>
      <c r="B70" s="48" t="str">
        <f>_xlfn.XLOOKUP(C70,Tab_Def_Flows[Name(EN)],Tab_Def_Flows[Flow_ID],,0,)</f>
        <v>F_00_01</v>
      </c>
      <c r="C70" s="50" t="s">
        <v>107</v>
      </c>
      <c r="D70" s="48"/>
      <c r="E70" s="48" t="str">
        <f>_xlfn.XLOOKUP(C70,Tab_Def_Flows[Name(EN)],Tab_Def_Flows[Output_Process],,0,)</f>
        <v>Biosphere</v>
      </c>
      <c r="F70" s="48" t="str">
        <f>_xlfn.XLOOKUP(C70,Tab_Def_Flows[Name(EN)],Tab_Def_Flows[Process_ID_O],,0,)</f>
        <v>00_Bio_</v>
      </c>
      <c r="G70" s="48" t="str">
        <f>_xlfn.XLOOKUP(C70,Tab_Def_Flows[Name(EN)],Tab_Def_Flows[Input_Process],,0,)</f>
        <v>Raw Material Extraction</v>
      </c>
      <c r="H70" s="58" t="str">
        <f>_xlfn.XLOOKUP(C70,Tab_Def_Flows[Name(EN)],Tab_Def_Flows[Process_ID_I],,0,)</f>
        <v>01_Raw_</v>
      </c>
      <c r="I70" s="48">
        <f>_xlfn.XLOOKUP(C70,Tab_Def_Flows[Name(EN)],Tab_Def_Flows[Value_Source],,0,)</f>
        <v>0</v>
      </c>
      <c r="J70" s="48" t="str">
        <f>_xlfn.XLOOKUP(C70,Tab_Def_Flows[Name(EN)],Tab_Def_Flows[WC?],,0,)</f>
        <v>Yes</v>
      </c>
      <c r="K70" s="48" t="str">
        <f>_xlfn.XLOOKUP(C70,Tab_Def_Flows[Name(EN)],Tab_Def_Flows[DM?],,0,)</f>
        <v>Yes</v>
      </c>
      <c r="L70" s="48" t="str">
        <f>_xlfn.XLOOKUP(C70,Tab_Def_Flows[Name(EN)],Tab_Def_Flows[CC?],,0,)</f>
        <v>Yes</v>
      </c>
      <c r="M70" s="50">
        <v>1988</v>
      </c>
      <c r="N70" s="50"/>
      <c r="O70" s="104">
        <v>77.2</v>
      </c>
      <c r="P70" s="50" t="s">
        <v>85</v>
      </c>
      <c r="Q70" s="50"/>
      <c r="R70" s="50" t="e">
        <f>INDEX(Tab_WC_DM_CC[[Flow_ID]:[CC_source]],MATCH(Tab_Data_Flows[[#This Row],[Name(EN)]],Tab_WC_DM_CC[Name(EN)],0),12)</f>
        <v>#N/A</v>
      </c>
      <c r="S70" s="50" t="e">
        <f>MATCH(Tab_Data_Flows[[#This Row],[Name(EN)]],Tab_WC_DM_CC[Name(EN)],0)</f>
        <v>#N/A</v>
      </c>
      <c r="T70" s="50"/>
      <c r="U70" s="50"/>
      <c r="V70" s="50"/>
      <c r="W70" s="50"/>
      <c r="X70" s="50" t="s">
        <v>84</v>
      </c>
      <c r="Y70" s="50"/>
      <c r="Z70" s="50"/>
      <c r="AA70" s="77">
        <f t="shared" si="5"/>
        <v>77.2</v>
      </c>
      <c r="AB70" s="50" t="s">
        <v>85</v>
      </c>
      <c r="AC70" s="97">
        <f>INDEX(Tab_Def_Flows[[Flow_ID]:[CC_DM_source]],MATCH(Tab_Data_Flows[[#This Row],[Name(EN)]],Tab_Def_Flows[Name(EN)],0),14)</f>
        <v>0</v>
      </c>
      <c r="AD70" s="98">
        <f>IF(J70="Yes",AA70*Tab_Data_Flows[[#This Row],[WC_'[%']]],"N.A.")</f>
        <v>0</v>
      </c>
      <c r="AE70" s="58" t="str">
        <f>Tab_Data_Flows[[#This Row],[UoM_Flow_Py]]</f>
        <v>Mg</v>
      </c>
      <c r="AF70" s="97">
        <f>INDEX(Tab_Def_Flows[[Flow_ID]:[CC_DM_source]],MATCH(Tab_Data_Flows[[#This Row],[Name(EN)]],Tab_Def_Flows[Name(EN)],0),16)</f>
        <v>1</v>
      </c>
      <c r="AG70" s="98">
        <f>IF(K70="Yes",AF70*Tab_Data_Flows[[#This Row],[Flow_Py]],"N.A.")</f>
        <v>77.2</v>
      </c>
      <c r="AH70" s="58" t="str">
        <f>Tab_Data_Flows[[#This Row],[UoM_Flow_Py]]</f>
        <v>Mg</v>
      </c>
      <c r="AI70" s="97">
        <f>INDEX(Tab_Def_Flows[[Flow_ID]:[CC_DM_source]],MATCH(Tab_Data_Flows[[#This Row],[Name(EN)]],Tab_Def_Flows[Name(EN)],0),18)</f>
        <v>0.5</v>
      </c>
      <c r="AJ70" s="98">
        <f>IF(L70="Yes",AI70*Tab_Data_Flows[[#This Row],[Flow_Py]]*Tab_Data_Flows[[#This Row],[DM_'[%']]],"N.A.")</f>
        <v>38.6</v>
      </c>
      <c r="AK70" s="58" t="str">
        <f>Tab_Data_Flows[[#This Row],[UoM_Flow_Py]]</f>
        <v>Mg</v>
      </c>
    </row>
    <row r="71" spans="1:37" x14ac:dyDescent="0.3">
      <c r="A71" s="57">
        <f t="shared" si="4"/>
        <v>70</v>
      </c>
      <c r="B71" s="48" t="str">
        <f>_xlfn.XLOOKUP(C71,Tab_Def_Flows[Name(EN)],Tab_Def_Flows[Flow_ID],,0,)</f>
        <v>F_00_01</v>
      </c>
      <c r="C71" s="50" t="s">
        <v>107</v>
      </c>
      <c r="D71" s="48"/>
      <c r="E71" s="48" t="str">
        <f>_xlfn.XLOOKUP(C71,Tab_Def_Flows[Name(EN)],Tab_Def_Flows[Output_Process],,0,)</f>
        <v>Biosphere</v>
      </c>
      <c r="F71" s="48" t="str">
        <f>_xlfn.XLOOKUP(C71,Tab_Def_Flows[Name(EN)],Tab_Def_Flows[Process_ID_O],,0,)</f>
        <v>00_Bio_</v>
      </c>
      <c r="G71" s="48" t="str">
        <f>_xlfn.XLOOKUP(C71,Tab_Def_Flows[Name(EN)],Tab_Def_Flows[Input_Process],,0,)</f>
        <v>Raw Material Extraction</v>
      </c>
      <c r="H71" s="58" t="str">
        <f>_xlfn.XLOOKUP(C71,Tab_Def_Flows[Name(EN)],Tab_Def_Flows[Process_ID_I],,0,)</f>
        <v>01_Raw_</v>
      </c>
      <c r="I71" s="48">
        <f>_xlfn.XLOOKUP(C71,Tab_Def_Flows[Name(EN)],Tab_Def_Flows[Value_Source],,0,)</f>
        <v>0</v>
      </c>
      <c r="J71" s="48" t="str">
        <f>_xlfn.XLOOKUP(C71,Tab_Def_Flows[Name(EN)],Tab_Def_Flows[WC?],,0,)</f>
        <v>Yes</v>
      </c>
      <c r="K71" s="48" t="str">
        <f>_xlfn.XLOOKUP(C71,Tab_Def_Flows[Name(EN)],Tab_Def_Flows[DM?],,0,)</f>
        <v>Yes</v>
      </c>
      <c r="L71" s="48" t="str">
        <f>_xlfn.XLOOKUP(C71,Tab_Def_Flows[Name(EN)],Tab_Def_Flows[CC?],,0,)</f>
        <v>Yes</v>
      </c>
      <c r="M71" s="50">
        <v>1989</v>
      </c>
      <c r="N71" s="50"/>
      <c r="O71" s="104">
        <v>45</v>
      </c>
      <c r="P71" s="50" t="s">
        <v>85</v>
      </c>
      <c r="Q71" s="50"/>
      <c r="R71" s="50" t="e">
        <f>INDEX(Tab_WC_DM_CC[[Flow_ID]:[CC_source]],MATCH(Tab_Data_Flows[[#This Row],[Name(EN)]],Tab_WC_DM_CC[Name(EN)],0),12)</f>
        <v>#N/A</v>
      </c>
      <c r="S71" s="50" t="e">
        <f>MATCH(Tab_Data_Flows[[#This Row],[Name(EN)]],Tab_WC_DM_CC[Name(EN)],0)</f>
        <v>#N/A</v>
      </c>
      <c r="T71" s="50"/>
      <c r="U71" s="50"/>
      <c r="V71" s="50"/>
      <c r="W71" s="50"/>
      <c r="X71" s="50" t="s">
        <v>84</v>
      </c>
      <c r="Y71" s="50"/>
      <c r="Z71" s="50"/>
      <c r="AA71" s="77">
        <f t="shared" si="5"/>
        <v>45</v>
      </c>
      <c r="AB71" s="50" t="s">
        <v>85</v>
      </c>
      <c r="AC71" s="97">
        <f>INDEX(Tab_Def_Flows[[Flow_ID]:[CC_DM_source]],MATCH(Tab_Data_Flows[[#This Row],[Name(EN)]],Tab_Def_Flows[Name(EN)],0),14)</f>
        <v>0</v>
      </c>
      <c r="AD71" s="98">
        <f>IF(J71="Yes",AA71*Tab_Data_Flows[[#This Row],[WC_'[%']]],"N.A.")</f>
        <v>0</v>
      </c>
      <c r="AE71" s="58" t="str">
        <f>Tab_Data_Flows[[#This Row],[UoM_Flow_Py]]</f>
        <v>Mg</v>
      </c>
      <c r="AF71" s="97">
        <f>INDEX(Tab_Def_Flows[[Flow_ID]:[CC_DM_source]],MATCH(Tab_Data_Flows[[#This Row],[Name(EN)]],Tab_Def_Flows[Name(EN)],0),16)</f>
        <v>1</v>
      </c>
      <c r="AG71" s="98">
        <f>IF(K71="Yes",AF71*Tab_Data_Flows[[#This Row],[Flow_Py]],"N.A.")</f>
        <v>45</v>
      </c>
      <c r="AH71" s="58" t="str">
        <f>Tab_Data_Flows[[#This Row],[UoM_Flow_Py]]</f>
        <v>Mg</v>
      </c>
      <c r="AI71" s="97">
        <f>INDEX(Tab_Def_Flows[[Flow_ID]:[CC_DM_source]],MATCH(Tab_Data_Flows[[#This Row],[Name(EN)]],Tab_Def_Flows[Name(EN)],0),18)</f>
        <v>0.5</v>
      </c>
      <c r="AJ71" s="98">
        <f>IF(L71="Yes",AI71*Tab_Data_Flows[[#This Row],[Flow_Py]]*Tab_Data_Flows[[#This Row],[DM_'[%']]],"N.A.")</f>
        <v>22.5</v>
      </c>
      <c r="AK71" s="58" t="str">
        <f>Tab_Data_Flows[[#This Row],[UoM_Flow_Py]]</f>
        <v>Mg</v>
      </c>
    </row>
    <row r="72" spans="1:37" x14ac:dyDescent="0.3">
      <c r="A72" s="57">
        <f t="shared" si="4"/>
        <v>71</v>
      </c>
      <c r="B72" s="48" t="str">
        <f>_xlfn.XLOOKUP(C72,Tab_Def_Flows[Name(EN)],Tab_Def_Flows[Flow_ID],,0,)</f>
        <v>F_00_01</v>
      </c>
      <c r="C72" s="50" t="s">
        <v>107</v>
      </c>
      <c r="D72" s="48"/>
      <c r="E72" s="48" t="str">
        <f>_xlfn.XLOOKUP(C72,Tab_Def_Flows[Name(EN)],Tab_Def_Flows[Output_Process],,0,)</f>
        <v>Biosphere</v>
      </c>
      <c r="F72" s="48" t="str">
        <f>_xlfn.XLOOKUP(C72,Tab_Def_Flows[Name(EN)],Tab_Def_Flows[Process_ID_O],,0,)</f>
        <v>00_Bio_</v>
      </c>
      <c r="G72" s="48" t="str">
        <f>_xlfn.XLOOKUP(C72,Tab_Def_Flows[Name(EN)],Tab_Def_Flows[Input_Process],,0,)</f>
        <v>Raw Material Extraction</v>
      </c>
      <c r="H72" s="58" t="str">
        <f>_xlfn.XLOOKUP(C72,Tab_Def_Flows[Name(EN)],Tab_Def_Flows[Process_ID_I],,0,)</f>
        <v>01_Raw_</v>
      </c>
      <c r="I72" s="48">
        <f>_xlfn.XLOOKUP(C72,Tab_Def_Flows[Name(EN)],Tab_Def_Flows[Value_Source],,0,)</f>
        <v>0</v>
      </c>
      <c r="J72" s="48" t="str">
        <f>_xlfn.XLOOKUP(C72,Tab_Def_Flows[Name(EN)],Tab_Def_Flows[WC?],,0,)</f>
        <v>Yes</v>
      </c>
      <c r="K72" s="48" t="str">
        <f>_xlfn.XLOOKUP(C72,Tab_Def_Flows[Name(EN)],Tab_Def_Flows[DM?],,0,)</f>
        <v>Yes</v>
      </c>
      <c r="L72" s="48" t="str">
        <f>_xlfn.XLOOKUP(C72,Tab_Def_Flows[Name(EN)],Tab_Def_Flows[CC?],,0,)</f>
        <v>Yes</v>
      </c>
      <c r="M72" s="50">
        <v>1990</v>
      </c>
      <c r="N72" s="50"/>
      <c r="O72" s="104">
        <v>64.400000000000006</v>
      </c>
      <c r="P72" s="50" t="s">
        <v>85</v>
      </c>
      <c r="Q72" s="50"/>
      <c r="R72" s="50" t="e">
        <f>INDEX(Tab_WC_DM_CC[[Flow_ID]:[CC_source]],MATCH(Tab_Data_Flows[[#This Row],[Name(EN)]],Tab_WC_DM_CC[Name(EN)],0),12)</f>
        <v>#N/A</v>
      </c>
      <c r="S72" s="50" t="e">
        <f>MATCH(Tab_Data_Flows[[#This Row],[Name(EN)]],Tab_WC_DM_CC[Name(EN)],0)</f>
        <v>#N/A</v>
      </c>
      <c r="T72" s="50"/>
      <c r="U72" s="50"/>
      <c r="V72" s="50"/>
      <c r="W72" s="50"/>
      <c r="X72" s="50" t="s">
        <v>84</v>
      </c>
      <c r="Y72" s="50"/>
      <c r="Z72" s="50"/>
      <c r="AA72" s="77">
        <f t="shared" si="5"/>
        <v>64.400000000000006</v>
      </c>
      <c r="AB72" s="50" t="s">
        <v>85</v>
      </c>
      <c r="AC72" s="97">
        <f>INDEX(Tab_Def_Flows[[Flow_ID]:[CC_DM_source]],MATCH(Tab_Data_Flows[[#This Row],[Name(EN)]],Tab_Def_Flows[Name(EN)],0),14)</f>
        <v>0</v>
      </c>
      <c r="AD72" s="98">
        <f>IF(J72="Yes",AA72*Tab_Data_Flows[[#This Row],[WC_'[%']]],"N.A.")</f>
        <v>0</v>
      </c>
      <c r="AE72" s="58" t="str">
        <f>Tab_Data_Flows[[#This Row],[UoM_Flow_Py]]</f>
        <v>Mg</v>
      </c>
      <c r="AF72" s="97">
        <f>INDEX(Tab_Def_Flows[[Flow_ID]:[CC_DM_source]],MATCH(Tab_Data_Flows[[#This Row],[Name(EN)]],Tab_Def_Flows[Name(EN)],0),16)</f>
        <v>1</v>
      </c>
      <c r="AG72" s="98">
        <f>IF(K72="Yes",AF72*Tab_Data_Flows[[#This Row],[Flow_Py]],"N.A.")</f>
        <v>64.400000000000006</v>
      </c>
      <c r="AH72" s="58" t="str">
        <f>Tab_Data_Flows[[#This Row],[UoM_Flow_Py]]</f>
        <v>Mg</v>
      </c>
      <c r="AI72" s="97">
        <f>INDEX(Tab_Def_Flows[[Flow_ID]:[CC_DM_source]],MATCH(Tab_Data_Flows[[#This Row],[Name(EN)]],Tab_Def_Flows[Name(EN)],0),18)</f>
        <v>0.5</v>
      </c>
      <c r="AJ72" s="98">
        <f>IF(L72="Yes",AI72*Tab_Data_Flows[[#This Row],[Flow_Py]]*Tab_Data_Flows[[#This Row],[DM_'[%']]],"N.A.")</f>
        <v>32.200000000000003</v>
      </c>
      <c r="AK72" s="58" t="str">
        <f>Tab_Data_Flows[[#This Row],[UoM_Flow_Py]]</f>
        <v>Mg</v>
      </c>
    </row>
    <row r="73" spans="1:37" x14ac:dyDescent="0.3">
      <c r="A73" s="57">
        <f t="shared" si="4"/>
        <v>72</v>
      </c>
      <c r="B73" s="48" t="str">
        <f>_xlfn.XLOOKUP(C73,Tab_Def_Flows[Name(EN)],Tab_Def_Flows[Flow_ID],,0,)</f>
        <v>F_00_01</v>
      </c>
      <c r="C73" s="50" t="s">
        <v>107</v>
      </c>
      <c r="D73" s="48"/>
      <c r="E73" s="48" t="str">
        <f>_xlfn.XLOOKUP(C73,Tab_Def_Flows[Name(EN)],Tab_Def_Flows[Output_Process],,0,)</f>
        <v>Biosphere</v>
      </c>
      <c r="F73" s="48" t="str">
        <f>_xlfn.XLOOKUP(C73,Tab_Def_Flows[Name(EN)],Tab_Def_Flows[Process_ID_O],,0,)</f>
        <v>00_Bio_</v>
      </c>
      <c r="G73" s="48" t="str">
        <f>_xlfn.XLOOKUP(C73,Tab_Def_Flows[Name(EN)],Tab_Def_Flows[Input_Process],,0,)</f>
        <v>Raw Material Extraction</v>
      </c>
      <c r="H73" s="58" t="str">
        <f>_xlfn.XLOOKUP(C73,Tab_Def_Flows[Name(EN)],Tab_Def_Flows[Process_ID_I],,0,)</f>
        <v>01_Raw_</v>
      </c>
      <c r="I73" s="48">
        <f>_xlfn.XLOOKUP(C73,Tab_Def_Flows[Name(EN)],Tab_Def_Flows[Value_Source],,0,)</f>
        <v>0</v>
      </c>
      <c r="J73" s="48" t="str">
        <f>_xlfn.XLOOKUP(C73,Tab_Def_Flows[Name(EN)],Tab_Def_Flows[WC?],,0,)</f>
        <v>Yes</v>
      </c>
      <c r="K73" s="48" t="str">
        <f>_xlfn.XLOOKUP(C73,Tab_Def_Flows[Name(EN)],Tab_Def_Flows[DM?],,0,)</f>
        <v>Yes</v>
      </c>
      <c r="L73" s="48" t="str">
        <f>_xlfn.XLOOKUP(C73,Tab_Def_Flows[Name(EN)],Tab_Def_Flows[CC?],,0,)</f>
        <v>Yes</v>
      </c>
      <c r="M73" s="50">
        <v>1991</v>
      </c>
      <c r="N73" s="50"/>
      <c r="O73" s="104">
        <v>38.6</v>
      </c>
      <c r="P73" s="50" t="s">
        <v>85</v>
      </c>
      <c r="Q73" s="50"/>
      <c r="R73" s="50" t="e">
        <f>INDEX(Tab_WC_DM_CC[[Flow_ID]:[CC_source]],MATCH(Tab_Data_Flows[[#This Row],[Name(EN)]],Tab_WC_DM_CC[Name(EN)],0),12)</f>
        <v>#N/A</v>
      </c>
      <c r="S73" s="50" t="e">
        <f>MATCH(Tab_Data_Flows[[#This Row],[Name(EN)]],Tab_WC_DM_CC[Name(EN)],0)</f>
        <v>#N/A</v>
      </c>
      <c r="T73" s="50"/>
      <c r="U73" s="50"/>
      <c r="V73" s="50"/>
      <c r="W73" s="50"/>
      <c r="X73" s="50" t="s">
        <v>84</v>
      </c>
      <c r="Y73" s="50"/>
      <c r="Z73" s="50"/>
      <c r="AA73" s="77">
        <f t="shared" si="5"/>
        <v>38.6</v>
      </c>
      <c r="AB73" s="50" t="s">
        <v>85</v>
      </c>
      <c r="AC73" s="97">
        <f>INDEX(Tab_Def_Flows[[Flow_ID]:[CC_DM_source]],MATCH(Tab_Data_Flows[[#This Row],[Name(EN)]],Tab_Def_Flows[Name(EN)],0),14)</f>
        <v>0</v>
      </c>
      <c r="AD73" s="98">
        <f>IF(J73="Yes",AA73*Tab_Data_Flows[[#This Row],[WC_'[%']]],"N.A.")</f>
        <v>0</v>
      </c>
      <c r="AE73" s="58" t="str">
        <f>Tab_Data_Flows[[#This Row],[UoM_Flow_Py]]</f>
        <v>Mg</v>
      </c>
      <c r="AF73" s="97">
        <f>INDEX(Tab_Def_Flows[[Flow_ID]:[CC_DM_source]],MATCH(Tab_Data_Flows[[#This Row],[Name(EN)]],Tab_Def_Flows[Name(EN)],0),16)</f>
        <v>1</v>
      </c>
      <c r="AG73" s="98">
        <f>IF(K73="Yes",AF73*Tab_Data_Flows[[#This Row],[Flow_Py]],"N.A.")</f>
        <v>38.6</v>
      </c>
      <c r="AH73" s="58" t="str">
        <f>Tab_Data_Flows[[#This Row],[UoM_Flow_Py]]</f>
        <v>Mg</v>
      </c>
      <c r="AI73" s="97">
        <f>INDEX(Tab_Def_Flows[[Flow_ID]:[CC_DM_source]],MATCH(Tab_Data_Flows[[#This Row],[Name(EN)]],Tab_Def_Flows[Name(EN)],0),18)</f>
        <v>0.5</v>
      </c>
      <c r="AJ73" s="98">
        <f>IF(L73="Yes",AI73*Tab_Data_Flows[[#This Row],[Flow_Py]]*Tab_Data_Flows[[#This Row],[DM_'[%']]],"N.A.")</f>
        <v>19.3</v>
      </c>
      <c r="AK73" s="58" t="str">
        <f>Tab_Data_Flows[[#This Row],[UoM_Flow_Py]]</f>
        <v>Mg</v>
      </c>
    </row>
    <row r="74" spans="1:37" x14ac:dyDescent="0.3">
      <c r="A74" s="57">
        <f t="shared" si="4"/>
        <v>73</v>
      </c>
      <c r="B74" s="48" t="str">
        <f>_xlfn.XLOOKUP(C74,Tab_Def_Flows[Name(EN)],Tab_Def_Flows[Flow_ID],,0,)</f>
        <v>F_00_01</v>
      </c>
      <c r="C74" s="50" t="s">
        <v>107</v>
      </c>
      <c r="D74" s="48"/>
      <c r="E74" s="48" t="str">
        <f>_xlfn.XLOOKUP(C74,Tab_Def_Flows[Name(EN)],Tab_Def_Flows[Output_Process],,0,)</f>
        <v>Biosphere</v>
      </c>
      <c r="F74" s="48" t="str">
        <f>_xlfn.XLOOKUP(C74,Tab_Def_Flows[Name(EN)],Tab_Def_Flows[Process_ID_O],,0,)</f>
        <v>00_Bio_</v>
      </c>
      <c r="G74" s="48" t="str">
        <f>_xlfn.XLOOKUP(C74,Tab_Def_Flows[Name(EN)],Tab_Def_Flows[Input_Process],,0,)</f>
        <v>Raw Material Extraction</v>
      </c>
      <c r="H74" s="58" t="str">
        <f>_xlfn.XLOOKUP(C74,Tab_Def_Flows[Name(EN)],Tab_Def_Flows[Process_ID_I],,0,)</f>
        <v>01_Raw_</v>
      </c>
      <c r="I74" s="48">
        <f>_xlfn.XLOOKUP(C74,Tab_Def_Flows[Name(EN)],Tab_Def_Flows[Value_Source],,0,)</f>
        <v>0</v>
      </c>
      <c r="J74" s="48" t="str">
        <f>_xlfn.XLOOKUP(C74,Tab_Def_Flows[Name(EN)],Tab_Def_Flows[WC?],,0,)</f>
        <v>Yes</v>
      </c>
      <c r="K74" s="48" t="str">
        <f>_xlfn.XLOOKUP(C74,Tab_Def_Flows[Name(EN)],Tab_Def_Flows[DM?],,0,)</f>
        <v>Yes</v>
      </c>
      <c r="L74" s="48" t="str">
        <f>_xlfn.XLOOKUP(C74,Tab_Def_Flows[Name(EN)],Tab_Def_Flows[CC?],,0,)</f>
        <v>Yes</v>
      </c>
      <c r="M74" s="50">
        <v>1992</v>
      </c>
      <c r="N74" s="50"/>
      <c r="O74" s="104">
        <v>57.8</v>
      </c>
      <c r="P74" s="50" t="s">
        <v>85</v>
      </c>
      <c r="Q74" s="50"/>
      <c r="R74" s="50" t="e">
        <f>INDEX(Tab_WC_DM_CC[[Flow_ID]:[CC_source]],MATCH(Tab_Data_Flows[[#This Row],[Name(EN)]],Tab_WC_DM_CC[Name(EN)],0),12)</f>
        <v>#N/A</v>
      </c>
      <c r="S74" s="50" t="e">
        <f>MATCH(Tab_Data_Flows[[#This Row],[Name(EN)]],Tab_WC_DM_CC[Name(EN)],0)</f>
        <v>#N/A</v>
      </c>
      <c r="T74" s="50"/>
      <c r="U74" s="50"/>
      <c r="V74" s="50"/>
      <c r="W74" s="50"/>
      <c r="X74" s="50" t="s">
        <v>84</v>
      </c>
      <c r="Y74" s="50"/>
      <c r="Z74" s="50"/>
      <c r="AA74" s="77">
        <f t="shared" si="5"/>
        <v>57.8</v>
      </c>
      <c r="AB74" s="50" t="s">
        <v>85</v>
      </c>
      <c r="AC74" s="97">
        <f>INDEX(Tab_Def_Flows[[Flow_ID]:[CC_DM_source]],MATCH(Tab_Data_Flows[[#This Row],[Name(EN)]],Tab_Def_Flows[Name(EN)],0),14)</f>
        <v>0</v>
      </c>
      <c r="AD74" s="98">
        <f>IF(J74="Yes",AA74*Tab_Data_Flows[[#This Row],[WC_'[%']]],"N.A.")</f>
        <v>0</v>
      </c>
      <c r="AE74" s="58" t="str">
        <f>Tab_Data_Flows[[#This Row],[UoM_Flow_Py]]</f>
        <v>Mg</v>
      </c>
      <c r="AF74" s="97">
        <f>INDEX(Tab_Def_Flows[[Flow_ID]:[CC_DM_source]],MATCH(Tab_Data_Flows[[#This Row],[Name(EN)]],Tab_Def_Flows[Name(EN)],0),16)</f>
        <v>1</v>
      </c>
      <c r="AG74" s="98">
        <f>IF(K74="Yes",AF74*Tab_Data_Flows[[#This Row],[Flow_Py]],"N.A.")</f>
        <v>57.8</v>
      </c>
      <c r="AH74" s="58" t="str">
        <f>Tab_Data_Flows[[#This Row],[UoM_Flow_Py]]</f>
        <v>Mg</v>
      </c>
      <c r="AI74" s="97">
        <f>INDEX(Tab_Def_Flows[[Flow_ID]:[CC_DM_source]],MATCH(Tab_Data_Flows[[#This Row],[Name(EN)]],Tab_Def_Flows[Name(EN)],0),18)</f>
        <v>0.5</v>
      </c>
      <c r="AJ74" s="98">
        <f>IF(L74="Yes",AI74*Tab_Data_Flows[[#This Row],[Flow_Py]]*Tab_Data_Flows[[#This Row],[DM_'[%']]],"N.A.")</f>
        <v>28.9</v>
      </c>
      <c r="AK74" s="58" t="str">
        <f>Tab_Data_Flows[[#This Row],[UoM_Flow_Py]]</f>
        <v>Mg</v>
      </c>
    </row>
    <row r="75" spans="1:37" x14ac:dyDescent="0.3">
      <c r="A75" s="57">
        <f t="shared" si="4"/>
        <v>74</v>
      </c>
      <c r="B75" s="48" t="str">
        <f>_xlfn.XLOOKUP(C75,Tab_Def_Flows[Name(EN)],Tab_Def_Flows[Flow_ID],,0,)</f>
        <v>F_00_01</v>
      </c>
      <c r="C75" s="50" t="s">
        <v>107</v>
      </c>
      <c r="D75" s="48"/>
      <c r="E75" s="48" t="str">
        <f>_xlfn.XLOOKUP(C75,Tab_Def_Flows[Name(EN)],Tab_Def_Flows[Output_Process],,0,)</f>
        <v>Biosphere</v>
      </c>
      <c r="F75" s="48" t="str">
        <f>_xlfn.XLOOKUP(C75,Tab_Def_Flows[Name(EN)],Tab_Def_Flows[Process_ID_O],,0,)</f>
        <v>00_Bio_</v>
      </c>
      <c r="G75" s="48" t="str">
        <f>_xlfn.XLOOKUP(C75,Tab_Def_Flows[Name(EN)],Tab_Def_Flows[Input_Process],,0,)</f>
        <v>Raw Material Extraction</v>
      </c>
      <c r="H75" s="58" t="str">
        <f>_xlfn.XLOOKUP(C75,Tab_Def_Flows[Name(EN)],Tab_Def_Flows[Process_ID_I],,0,)</f>
        <v>01_Raw_</v>
      </c>
      <c r="I75" s="48">
        <f>_xlfn.XLOOKUP(C75,Tab_Def_Flows[Name(EN)],Tab_Def_Flows[Value_Source],,0,)</f>
        <v>0</v>
      </c>
      <c r="J75" s="48" t="str">
        <f>_xlfn.XLOOKUP(C75,Tab_Def_Flows[Name(EN)],Tab_Def_Flows[WC?],,0,)</f>
        <v>Yes</v>
      </c>
      <c r="K75" s="48" t="str">
        <f>_xlfn.XLOOKUP(C75,Tab_Def_Flows[Name(EN)],Tab_Def_Flows[DM?],,0,)</f>
        <v>Yes</v>
      </c>
      <c r="L75" s="48" t="str">
        <f>_xlfn.XLOOKUP(C75,Tab_Def_Flows[Name(EN)],Tab_Def_Flows[CC?],,0,)</f>
        <v>Yes</v>
      </c>
      <c r="M75" s="50">
        <v>1993</v>
      </c>
      <c r="N75" s="50"/>
      <c r="O75" s="104">
        <v>77.2</v>
      </c>
      <c r="P75" s="50" t="s">
        <v>85</v>
      </c>
      <c r="Q75" s="50"/>
      <c r="R75" s="50" t="e">
        <f>INDEX(Tab_WC_DM_CC[[Flow_ID]:[CC_source]],MATCH(Tab_Data_Flows[[#This Row],[Name(EN)]],Tab_WC_DM_CC[Name(EN)],0),12)</f>
        <v>#N/A</v>
      </c>
      <c r="S75" s="50" t="e">
        <f>MATCH(Tab_Data_Flows[[#This Row],[Name(EN)]],Tab_WC_DM_CC[Name(EN)],0)</f>
        <v>#N/A</v>
      </c>
      <c r="T75" s="50"/>
      <c r="U75" s="50"/>
      <c r="V75" s="50"/>
      <c r="W75" s="50"/>
      <c r="X75" s="50" t="s">
        <v>84</v>
      </c>
      <c r="Y75" s="50"/>
      <c r="Z75" s="50"/>
      <c r="AA75" s="77">
        <f t="shared" si="5"/>
        <v>77.2</v>
      </c>
      <c r="AB75" s="50" t="s">
        <v>85</v>
      </c>
      <c r="AC75" s="97">
        <f>INDEX(Tab_Def_Flows[[Flow_ID]:[CC_DM_source]],MATCH(Tab_Data_Flows[[#This Row],[Name(EN)]],Tab_Def_Flows[Name(EN)],0),14)</f>
        <v>0</v>
      </c>
      <c r="AD75" s="98">
        <f>IF(J75="Yes",AA75*Tab_Data_Flows[[#This Row],[WC_'[%']]],"N.A.")</f>
        <v>0</v>
      </c>
      <c r="AE75" s="58" t="str">
        <f>Tab_Data_Flows[[#This Row],[UoM_Flow_Py]]</f>
        <v>Mg</v>
      </c>
      <c r="AF75" s="97">
        <f>INDEX(Tab_Def_Flows[[Flow_ID]:[CC_DM_source]],MATCH(Tab_Data_Flows[[#This Row],[Name(EN)]],Tab_Def_Flows[Name(EN)],0),16)</f>
        <v>1</v>
      </c>
      <c r="AG75" s="98">
        <f>IF(K75="Yes",AF75*Tab_Data_Flows[[#This Row],[Flow_Py]],"N.A.")</f>
        <v>77.2</v>
      </c>
      <c r="AH75" s="58" t="str">
        <f>Tab_Data_Flows[[#This Row],[UoM_Flow_Py]]</f>
        <v>Mg</v>
      </c>
      <c r="AI75" s="97">
        <f>INDEX(Tab_Def_Flows[[Flow_ID]:[CC_DM_source]],MATCH(Tab_Data_Flows[[#This Row],[Name(EN)]],Tab_Def_Flows[Name(EN)],0),18)</f>
        <v>0.5</v>
      </c>
      <c r="AJ75" s="98">
        <f>IF(L75="Yes",AI75*Tab_Data_Flows[[#This Row],[Flow_Py]]*Tab_Data_Flows[[#This Row],[DM_'[%']]],"N.A.")</f>
        <v>38.6</v>
      </c>
      <c r="AK75" s="58" t="str">
        <f>Tab_Data_Flows[[#This Row],[UoM_Flow_Py]]</f>
        <v>Mg</v>
      </c>
    </row>
    <row r="76" spans="1:37" x14ac:dyDescent="0.3">
      <c r="A76" s="57">
        <f t="shared" si="4"/>
        <v>75</v>
      </c>
      <c r="B76" s="48" t="str">
        <f>_xlfn.XLOOKUP(C76,Tab_Def_Flows[Name(EN)],Tab_Def_Flows[Flow_ID],,0,)</f>
        <v>F_00_01</v>
      </c>
      <c r="C76" s="50" t="s">
        <v>107</v>
      </c>
      <c r="D76" s="48"/>
      <c r="E76" s="48" t="str">
        <f>_xlfn.XLOOKUP(C76,Tab_Def_Flows[Name(EN)],Tab_Def_Flows[Output_Process],,0,)</f>
        <v>Biosphere</v>
      </c>
      <c r="F76" s="48" t="str">
        <f>_xlfn.XLOOKUP(C76,Tab_Def_Flows[Name(EN)],Tab_Def_Flows[Process_ID_O],,0,)</f>
        <v>00_Bio_</v>
      </c>
      <c r="G76" s="48" t="str">
        <f>_xlfn.XLOOKUP(C76,Tab_Def_Flows[Name(EN)],Tab_Def_Flows[Input_Process],,0,)</f>
        <v>Raw Material Extraction</v>
      </c>
      <c r="H76" s="58" t="str">
        <f>_xlfn.XLOOKUP(C76,Tab_Def_Flows[Name(EN)],Tab_Def_Flows[Process_ID_I],,0,)</f>
        <v>01_Raw_</v>
      </c>
      <c r="I76" s="48">
        <f>_xlfn.XLOOKUP(C76,Tab_Def_Flows[Name(EN)],Tab_Def_Flows[Value_Source],,0,)</f>
        <v>0</v>
      </c>
      <c r="J76" s="48" t="str">
        <f>_xlfn.XLOOKUP(C76,Tab_Def_Flows[Name(EN)],Tab_Def_Flows[WC?],,0,)</f>
        <v>Yes</v>
      </c>
      <c r="K76" s="48" t="str">
        <f>_xlfn.XLOOKUP(C76,Tab_Def_Flows[Name(EN)],Tab_Def_Flows[DM?],,0,)</f>
        <v>Yes</v>
      </c>
      <c r="L76" s="48" t="str">
        <f>_xlfn.XLOOKUP(C76,Tab_Def_Flows[Name(EN)],Tab_Def_Flows[CC?],,0,)</f>
        <v>Yes</v>
      </c>
      <c r="M76" s="50">
        <v>1994</v>
      </c>
      <c r="N76" s="50"/>
      <c r="O76" s="104">
        <v>70.8</v>
      </c>
      <c r="P76" s="50" t="s">
        <v>85</v>
      </c>
      <c r="Q76" s="50"/>
      <c r="R76" s="50" t="e">
        <f>INDEX(Tab_WC_DM_CC[[Flow_ID]:[CC_source]],MATCH(Tab_Data_Flows[[#This Row],[Name(EN)]],Tab_WC_DM_CC[Name(EN)],0),12)</f>
        <v>#N/A</v>
      </c>
      <c r="S76" s="50" t="e">
        <f>MATCH(Tab_Data_Flows[[#This Row],[Name(EN)]],Tab_WC_DM_CC[Name(EN)],0)</f>
        <v>#N/A</v>
      </c>
      <c r="T76" s="50"/>
      <c r="U76" s="50"/>
      <c r="V76" s="50"/>
      <c r="W76" s="50"/>
      <c r="X76" s="50" t="s">
        <v>84</v>
      </c>
      <c r="Y76" s="50"/>
      <c r="Z76" s="50"/>
      <c r="AA76" s="77">
        <f t="shared" si="5"/>
        <v>70.8</v>
      </c>
      <c r="AB76" s="50" t="s">
        <v>85</v>
      </c>
      <c r="AC76" s="97">
        <f>INDEX(Tab_Def_Flows[[Flow_ID]:[CC_DM_source]],MATCH(Tab_Data_Flows[[#This Row],[Name(EN)]],Tab_Def_Flows[Name(EN)],0),14)</f>
        <v>0</v>
      </c>
      <c r="AD76" s="98">
        <f>IF(J76="Yes",AA76*Tab_Data_Flows[[#This Row],[WC_'[%']]],"N.A.")</f>
        <v>0</v>
      </c>
      <c r="AE76" s="58" t="str">
        <f>Tab_Data_Flows[[#This Row],[UoM_Flow_Py]]</f>
        <v>Mg</v>
      </c>
      <c r="AF76" s="97">
        <f>INDEX(Tab_Def_Flows[[Flow_ID]:[CC_DM_source]],MATCH(Tab_Data_Flows[[#This Row],[Name(EN)]],Tab_Def_Flows[Name(EN)],0),16)</f>
        <v>1</v>
      </c>
      <c r="AG76" s="98">
        <f>IF(K76="Yes",AF76*Tab_Data_Flows[[#This Row],[Flow_Py]],"N.A.")</f>
        <v>70.8</v>
      </c>
      <c r="AH76" s="58" t="str">
        <f>Tab_Data_Flows[[#This Row],[UoM_Flow_Py]]</f>
        <v>Mg</v>
      </c>
      <c r="AI76" s="97">
        <f>INDEX(Tab_Def_Flows[[Flow_ID]:[CC_DM_source]],MATCH(Tab_Data_Flows[[#This Row],[Name(EN)]],Tab_Def_Flows[Name(EN)],0),18)</f>
        <v>0.5</v>
      </c>
      <c r="AJ76" s="98">
        <f>IF(L76="Yes",AI76*Tab_Data_Flows[[#This Row],[Flow_Py]]*Tab_Data_Flows[[#This Row],[DM_'[%']]],"N.A.")</f>
        <v>35.4</v>
      </c>
      <c r="AK76" s="58" t="str">
        <f>Tab_Data_Flows[[#This Row],[UoM_Flow_Py]]</f>
        <v>Mg</v>
      </c>
    </row>
    <row r="77" spans="1:37" x14ac:dyDescent="0.3">
      <c r="A77" s="57">
        <f t="shared" si="4"/>
        <v>76</v>
      </c>
      <c r="B77" s="48" t="str">
        <f>_xlfn.XLOOKUP(C77,Tab_Def_Flows[Name(EN)],Tab_Def_Flows[Flow_ID],,0,)</f>
        <v>F_00_01</v>
      </c>
      <c r="C77" s="50" t="s">
        <v>107</v>
      </c>
      <c r="D77" s="48"/>
      <c r="E77" s="48" t="str">
        <f>_xlfn.XLOOKUP(C77,Tab_Def_Flows[Name(EN)],Tab_Def_Flows[Output_Process],,0,)</f>
        <v>Biosphere</v>
      </c>
      <c r="F77" s="48" t="str">
        <f>_xlfn.XLOOKUP(C77,Tab_Def_Flows[Name(EN)],Tab_Def_Flows[Process_ID_O],,0,)</f>
        <v>00_Bio_</v>
      </c>
      <c r="G77" s="48" t="str">
        <f>_xlfn.XLOOKUP(C77,Tab_Def_Flows[Name(EN)],Tab_Def_Flows[Input_Process],,0,)</f>
        <v>Raw Material Extraction</v>
      </c>
      <c r="H77" s="58" t="str">
        <f>_xlfn.XLOOKUP(C77,Tab_Def_Flows[Name(EN)],Tab_Def_Flows[Process_ID_I],,0,)</f>
        <v>01_Raw_</v>
      </c>
      <c r="I77" s="48">
        <f>_xlfn.XLOOKUP(C77,Tab_Def_Flows[Name(EN)],Tab_Def_Flows[Value_Source],,0,)</f>
        <v>0</v>
      </c>
      <c r="J77" s="48" t="str">
        <f>_xlfn.XLOOKUP(C77,Tab_Def_Flows[Name(EN)],Tab_Def_Flows[WC?],,0,)</f>
        <v>Yes</v>
      </c>
      <c r="K77" s="48" t="str">
        <f>_xlfn.XLOOKUP(C77,Tab_Def_Flows[Name(EN)],Tab_Def_Flows[DM?],,0,)</f>
        <v>Yes</v>
      </c>
      <c r="L77" s="48" t="str">
        <f>_xlfn.XLOOKUP(C77,Tab_Def_Flows[Name(EN)],Tab_Def_Flows[CC?],,0,)</f>
        <v>Yes</v>
      </c>
      <c r="M77" s="50">
        <v>1995</v>
      </c>
      <c r="N77" s="50"/>
      <c r="O77" s="104">
        <v>141.4</v>
      </c>
      <c r="P77" s="50" t="s">
        <v>85</v>
      </c>
      <c r="Q77" s="50"/>
      <c r="R77" s="50" t="e">
        <f>INDEX(Tab_WC_DM_CC[[Flow_ID]:[CC_source]],MATCH(Tab_Data_Flows[[#This Row],[Name(EN)]],Tab_WC_DM_CC[Name(EN)],0),12)</f>
        <v>#N/A</v>
      </c>
      <c r="S77" s="50" t="e">
        <f>MATCH(Tab_Data_Flows[[#This Row],[Name(EN)]],Tab_WC_DM_CC[Name(EN)],0)</f>
        <v>#N/A</v>
      </c>
      <c r="T77" s="50"/>
      <c r="U77" s="50"/>
      <c r="V77" s="50"/>
      <c r="W77" s="50"/>
      <c r="X77" s="50" t="s">
        <v>84</v>
      </c>
      <c r="Y77" s="50"/>
      <c r="Z77" s="50"/>
      <c r="AA77" s="77">
        <f t="shared" si="5"/>
        <v>141.4</v>
      </c>
      <c r="AB77" s="50" t="s">
        <v>85</v>
      </c>
      <c r="AC77" s="97">
        <f>INDEX(Tab_Def_Flows[[Flow_ID]:[CC_DM_source]],MATCH(Tab_Data_Flows[[#This Row],[Name(EN)]],Tab_Def_Flows[Name(EN)],0),14)</f>
        <v>0</v>
      </c>
      <c r="AD77" s="98">
        <f>IF(J77="Yes",AA77*Tab_Data_Flows[[#This Row],[WC_'[%']]],"N.A.")</f>
        <v>0</v>
      </c>
      <c r="AE77" s="58" t="str">
        <f>Tab_Data_Flows[[#This Row],[UoM_Flow_Py]]</f>
        <v>Mg</v>
      </c>
      <c r="AF77" s="97">
        <f>INDEX(Tab_Def_Flows[[Flow_ID]:[CC_DM_source]],MATCH(Tab_Data_Flows[[#This Row],[Name(EN)]],Tab_Def_Flows[Name(EN)],0),16)</f>
        <v>1</v>
      </c>
      <c r="AG77" s="98">
        <f>IF(K77="Yes",AF77*Tab_Data_Flows[[#This Row],[Flow_Py]],"N.A.")</f>
        <v>141.4</v>
      </c>
      <c r="AH77" s="58" t="str">
        <f>Tab_Data_Flows[[#This Row],[UoM_Flow_Py]]</f>
        <v>Mg</v>
      </c>
      <c r="AI77" s="97">
        <f>INDEX(Tab_Def_Flows[[Flow_ID]:[CC_DM_source]],MATCH(Tab_Data_Flows[[#This Row],[Name(EN)]],Tab_Def_Flows[Name(EN)],0),18)</f>
        <v>0.5</v>
      </c>
      <c r="AJ77" s="98">
        <f>IF(L77="Yes",AI77*Tab_Data_Flows[[#This Row],[Flow_Py]]*Tab_Data_Flows[[#This Row],[DM_'[%']]],"N.A.")</f>
        <v>70.7</v>
      </c>
      <c r="AK77" s="58" t="str">
        <f>Tab_Data_Flows[[#This Row],[UoM_Flow_Py]]</f>
        <v>Mg</v>
      </c>
    </row>
    <row r="78" spans="1:37" x14ac:dyDescent="0.3">
      <c r="A78" s="57">
        <f t="shared" si="4"/>
        <v>77</v>
      </c>
      <c r="B78" s="48" t="str">
        <f>_xlfn.XLOOKUP(C78,Tab_Def_Flows[Name(EN)],Tab_Def_Flows[Flow_ID],,0,)</f>
        <v>F_00_01</v>
      </c>
      <c r="C78" s="50" t="s">
        <v>107</v>
      </c>
      <c r="D78" s="48"/>
      <c r="E78" s="48" t="str">
        <f>_xlfn.XLOOKUP(C78,Tab_Def_Flows[Name(EN)],Tab_Def_Flows[Output_Process],,0,)</f>
        <v>Biosphere</v>
      </c>
      <c r="F78" s="48" t="str">
        <f>_xlfn.XLOOKUP(C78,Tab_Def_Flows[Name(EN)],Tab_Def_Flows[Process_ID_O],,0,)</f>
        <v>00_Bio_</v>
      </c>
      <c r="G78" s="48" t="str">
        <f>_xlfn.XLOOKUP(C78,Tab_Def_Flows[Name(EN)],Tab_Def_Flows[Input_Process],,0,)</f>
        <v>Raw Material Extraction</v>
      </c>
      <c r="H78" s="58" t="str">
        <f>_xlfn.XLOOKUP(C78,Tab_Def_Flows[Name(EN)],Tab_Def_Flows[Process_ID_I],,0,)</f>
        <v>01_Raw_</v>
      </c>
      <c r="I78" s="48">
        <f>_xlfn.XLOOKUP(C78,Tab_Def_Flows[Name(EN)],Tab_Def_Flows[Value_Source],,0,)</f>
        <v>0</v>
      </c>
      <c r="J78" s="48" t="str">
        <f>_xlfn.XLOOKUP(C78,Tab_Def_Flows[Name(EN)],Tab_Def_Flows[WC?],,0,)</f>
        <v>Yes</v>
      </c>
      <c r="K78" s="48" t="str">
        <f>_xlfn.XLOOKUP(C78,Tab_Def_Flows[Name(EN)],Tab_Def_Flows[DM?],,0,)</f>
        <v>Yes</v>
      </c>
      <c r="L78" s="48" t="str">
        <f>_xlfn.XLOOKUP(C78,Tab_Def_Flows[Name(EN)],Tab_Def_Flows[CC?],,0,)</f>
        <v>Yes</v>
      </c>
      <c r="M78" s="50">
        <v>1996</v>
      </c>
      <c r="N78" s="50"/>
      <c r="O78" s="104">
        <v>38.6</v>
      </c>
      <c r="P78" s="50" t="s">
        <v>85</v>
      </c>
      <c r="Q78" s="50"/>
      <c r="R78" s="50" t="e">
        <f>INDEX(Tab_WC_DM_CC[[Flow_ID]:[CC_source]],MATCH(Tab_Data_Flows[[#This Row],[Name(EN)]],Tab_WC_DM_CC[Name(EN)],0),12)</f>
        <v>#N/A</v>
      </c>
      <c r="S78" s="50" t="e">
        <f>MATCH(Tab_Data_Flows[[#This Row],[Name(EN)]],Tab_WC_DM_CC[Name(EN)],0)</f>
        <v>#N/A</v>
      </c>
      <c r="T78" s="50"/>
      <c r="U78" s="50"/>
      <c r="V78" s="50"/>
      <c r="W78" s="50"/>
      <c r="X78" s="50" t="s">
        <v>84</v>
      </c>
      <c r="Y78" s="50"/>
      <c r="Z78" s="50"/>
      <c r="AA78" s="77">
        <f t="shared" si="5"/>
        <v>38.6</v>
      </c>
      <c r="AB78" s="50" t="s">
        <v>85</v>
      </c>
      <c r="AC78" s="97">
        <f>INDEX(Tab_Def_Flows[[Flow_ID]:[CC_DM_source]],MATCH(Tab_Data_Flows[[#This Row],[Name(EN)]],Tab_Def_Flows[Name(EN)],0),14)</f>
        <v>0</v>
      </c>
      <c r="AD78" s="98">
        <f>IF(J78="Yes",AA78*Tab_Data_Flows[[#This Row],[WC_'[%']]],"N.A.")</f>
        <v>0</v>
      </c>
      <c r="AE78" s="58" t="str">
        <f>Tab_Data_Flows[[#This Row],[UoM_Flow_Py]]</f>
        <v>Mg</v>
      </c>
      <c r="AF78" s="97">
        <f>INDEX(Tab_Def_Flows[[Flow_ID]:[CC_DM_source]],MATCH(Tab_Data_Flows[[#This Row],[Name(EN)]],Tab_Def_Flows[Name(EN)],0),16)</f>
        <v>1</v>
      </c>
      <c r="AG78" s="98">
        <f>IF(K78="Yes",AF78*Tab_Data_Flows[[#This Row],[Flow_Py]],"N.A.")</f>
        <v>38.6</v>
      </c>
      <c r="AH78" s="58" t="str">
        <f>Tab_Data_Flows[[#This Row],[UoM_Flow_Py]]</f>
        <v>Mg</v>
      </c>
      <c r="AI78" s="97">
        <f>INDEX(Tab_Def_Flows[[Flow_ID]:[CC_DM_source]],MATCH(Tab_Data_Flows[[#This Row],[Name(EN)]],Tab_Def_Flows[Name(EN)],0),18)</f>
        <v>0.5</v>
      </c>
      <c r="AJ78" s="98">
        <f>IF(L78="Yes",AI78*Tab_Data_Flows[[#This Row],[Flow_Py]]*Tab_Data_Flows[[#This Row],[DM_'[%']]],"N.A.")</f>
        <v>19.3</v>
      </c>
      <c r="AK78" s="58" t="str">
        <f>Tab_Data_Flows[[#This Row],[UoM_Flow_Py]]</f>
        <v>Mg</v>
      </c>
    </row>
    <row r="79" spans="1:37" x14ac:dyDescent="0.3">
      <c r="A79" s="57">
        <f t="shared" si="4"/>
        <v>78</v>
      </c>
      <c r="B79" s="48" t="str">
        <f>_xlfn.XLOOKUP(C79,Tab_Def_Flows[Name(EN)],Tab_Def_Flows[Flow_ID],,0,)</f>
        <v>F_00_01</v>
      </c>
      <c r="C79" s="50" t="s">
        <v>107</v>
      </c>
      <c r="D79" s="48"/>
      <c r="E79" s="48" t="str">
        <f>_xlfn.XLOOKUP(C79,Tab_Def_Flows[Name(EN)],Tab_Def_Flows[Output_Process],,0,)</f>
        <v>Biosphere</v>
      </c>
      <c r="F79" s="48" t="str">
        <f>_xlfn.XLOOKUP(C79,Tab_Def_Flows[Name(EN)],Tab_Def_Flows[Process_ID_O],,0,)</f>
        <v>00_Bio_</v>
      </c>
      <c r="G79" s="48" t="str">
        <f>_xlfn.XLOOKUP(C79,Tab_Def_Flows[Name(EN)],Tab_Def_Flows[Input_Process],,0,)</f>
        <v>Raw Material Extraction</v>
      </c>
      <c r="H79" s="58" t="str">
        <f>_xlfn.XLOOKUP(C79,Tab_Def_Flows[Name(EN)],Tab_Def_Flows[Process_ID_I],,0,)</f>
        <v>01_Raw_</v>
      </c>
      <c r="I79" s="48">
        <f>_xlfn.XLOOKUP(C79,Tab_Def_Flows[Name(EN)],Tab_Def_Flows[Value_Source],,0,)</f>
        <v>0</v>
      </c>
      <c r="J79" s="48" t="str">
        <f>_xlfn.XLOOKUP(C79,Tab_Def_Flows[Name(EN)],Tab_Def_Flows[WC?],,0,)</f>
        <v>Yes</v>
      </c>
      <c r="K79" s="48" t="str">
        <f>_xlfn.XLOOKUP(C79,Tab_Def_Flows[Name(EN)],Tab_Def_Flows[DM?],,0,)</f>
        <v>Yes</v>
      </c>
      <c r="L79" s="48" t="str">
        <f>_xlfn.XLOOKUP(C79,Tab_Def_Flows[Name(EN)],Tab_Def_Flows[CC?],,0,)</f>
        <v>Yes</v>
      </c>
      <c r="M79" s="50">
        <v>1997</v>
      </c>
      <c r="N79" s="50"/>
      <c r="O79" s="104">
        <v>12.8</v>
      </c>
      <c r="P79" s="50" t="s">
        <v>85</v>
      </c>
      <c r="Q79" s="50"/>
      <c r="R79" s="50" t="e">
        <f>INDEX(Tab_WC_DM_CC[[Flow_ID]:[CC_source]],MATCH(Tab_Data_Flows[[#This Row],[Name(EN)]],Tab_WC_DM_CC[Name(EN)],0),12)</f>
        <v>#N/A</v>
      </c>
      <c r="S79" s="50" t="e">
        <f>MATCH(Tab_Data_Flows[[#This Row],[Name(EN)]],Tab_WC_DM_CC[Name(EN)],0)</f>
        <v>#N/A</v>
      </c>
      <c r="T79" s="50"/>
      <c r="U79" s="50"/>
      <c r="V79" s="50"/>
      <c r="W79" s="50"/>
      <c r="X79" s="50" t="s">
        <v>84</v>
      </c>
      <c r="Y79" s="50"/>
      <c r="Z79" s="50"/>
      <c r="AA79" s="77">
        <f t="shared" si="5"/>
        <v>12.8</v>
      </c>
      <c r="AB79" s="50" t="s">
        <v>85</v>
      </c>
      <c r="AC79" s="97">
        <f>INDEX(Tab_Def_Flows[[Flow_ID]:[CC_DM_source]],MATCH(Tab_Data_Flows[[#This Row],[Name(EN)]],Tab_Def_Flows[Name(EN)],0),14)</f>
        <v>0</v>
      </c>
      <c r="AD79" s="98">
        <f>IF(J79="Yes",AA79*Tab_Data_Flows[[#This Row],[WC_'[%']]],"N.A.")</f>
        <v>0</v>
      </c>
      <c r="AE79" s="58" t="str">
        <f>Tab_Data_Flows[[#This Row],[UoM_Flow_Py]]</f>
        <v>Mg</v>
      </c>
      <c r="AF79" s="97">
        <f>INDEX(Tab_Def_Flows[[Flow_ID]:[CC_DM_source]],MATCH(Tab_Data_Flows[[#This Row],[Name(EN)]],Tab_Def_Flows[Name(EN)],0),16)</f>
        <v>1</v>
      </c>
      <c r="AG79" s="98">
        <f>IF(K79="Yes",AF79*Tab_Data_Flows[[#This Row],[Flow_Py]],"N.A.")</f>
        <v>12.8</v>
      </c>
      <c r="AH79" s="58" t="str">
        <f>Tab_Data_Flows[[#This Row],[UoM_Flow_Py]]</f>
        <v>Mg</v>
      </c>
      <c r="AI79" s="97">
        <f>INDEX(Tab_Def_Flows[[Flow_ID]:[CC_DM_source]],MATCH(Tab_Data_Flows[[#This Row],[Name(EN)]],Tab_Def_Flows[Name(EN)],0),18)</f>
        <v>0.5</v>
      </c>
      <c r="AJ79" s="98">
        <f>IF(L79="Yes",AI79*Tab_Data_Flows[[#This Row],[Flow_Py]]*Tab_Data_Flows[[#This Row],[DM_'[%']]],"N.A.")</f>
        <v>6.4</v>
      </c>
      <c r="AK79" s="58" t="str">
        <f>Tab_Data_Flows[[#This Row],[UoM_Flow_Py]]</f>
        <v>Mg</v>
      </c>
    </row>
    <row r="80" spans="1:37" x14ac:dyDescent="0.3">
      <c r="A80" s="57">
        <f t="shared" si="4"/>
        <v>79</v>
      </c>
      <c r="B80" s="48" t="str">
        <f>_xlfn.XLOOKUP(C80,Tab_Def_Flows[Name(EN)],Tab_Def_Flows[Flow_ID],,0,)</f>
        <v>F_00_01</v>
      </c>
      <c r="C80" s="50" t="s">
        <v>107</v>
      </c>
      <c r="D80" s="48"/>
      <c r="E80" s="48" t="str">
        <f>_xlfn.XLOOKUP(C80,Tab_Def_Flows[Name(EN)],Tab_Def_Flows[Output_Process],,0,)</f>
        <v>Biosphere</v>
      </c>
      <c r="F80" s="48" t="str">
        <f>_xlfn.XLOOKUP(C80,Tab_Def_Flows[Name(EN)],Tab_Def_Flows[Process_ID_O],,0,)</f>
        <v>00_Bio_</v>
      </c>
      <c r="G80" s="48" t="str">
        <f>_xlfn.XLOOKUP(C80,Tab_Def_Flows[Name(EN)],Tab_Def_Flows[Input_Process],,0,)</f>
        <v>Raw Material Extraction</v>
      </c>
      <c r="H80" s="58" t="str">
        <f>_xlfn.XLOOKUP(C80,Tab_Def_Flows[Name(EN)],Tab_Def_Flows[Process_ID_I],,0,)</f>
        <v>01_Raw_</v>
      </c>
      <c r="I80" s="48">
        <f>_xlfn.XLOOKUP(C80,Tab_Def_Flows[Name(EN)],Tab_Def_Flows[Value_Source],,0,)</f>
        <v>0</v>
      </c>
      <c r="J80" s="48" t="str">
        <f>_xlfn.XLOOKUP(C80,Tab_Def_Flows[Name(EN)],Tab_Def_Flows[WC?],,0,)</f>
        <v>Yes</v>
      </c>
      <c r="K80" s="48" t="str">
        <f>_xlfn.XLOOKUP(C80,Tab_Def_Flows[Name(EN)],Tab_Def_Flows[DM?],,0,)</f>
        <v>Yes</v>
      </c>
      <c r="L80" s="48" t="str">
        <f>_xlfn.XLOOKUP(C80,Tab_Def_Flows[Name(EN)],Tab_Def_Flows[CC?],,0,)</f>
        <v>Yes</v>
      </c>
      <c r="M80" s="50">
        <v>1998</v>
      </c>
      <c r="N80" s="50"/>
      <c r="O80" s="104">
        <v>32.200000000000003</v>
      </c>
      <c r="P80" s="50" t="s">
        <v>85</v>
      </c>
      <c r="Q80" s="50"/>
      <c r="R80" s="50" t="e">
        <f>INDEX(Tab_WC_DM_CC[[Flow_ID]:[CC_source]],MATCH(Tab_Data_Flows[[#This Row],[Name(EN)]],Tab_WC_DM_CC[Name(EN)],0),12)</f>
        <v>#N/A</v>
      </c>
      <c r="S80" s="50" t="e">
        <f>MATCH(Tab_Data_Flows[[#This Row],[Name(EN)]],Tab_WC_DM_CC[Name(EN)],0)</f>
        <v>#N/A</v>
      </c>
      <c r="T80" s="50"/>
      <c r="U80" s="50"/>
      <c r="V80" s="50"/>
      <c r="W80" s="50"/>
      <c r="X80" s="50" t="s">
        <v>84</v>
      </c>
      <c r="Y80" s="50"/>
      <c r="Z80" s="50"/>
      <c r="AA80" s="77">
        <f t="shared" si="5"/>
        <v>32.200000000000003</v>
      </c>
      <c r="AB80" s="50" t="s">
        <v>85</v>
      </c>
      <c r="AC80" s="97">
        <f>INDEX(Tab_Def_Flows[[Flow_ID]:[CC_DM_source]],MATCH(Tab_Data_Flows[[#This Row],[Name(EN)]],Tab_Def_Flows[Name(EN)],0),14)</f>
        <v>0</v>
      </c>
      <c r="AD80" s="98">
        <f>IF(J80="Yes",AA80*Tab_Data_Flows[[#This Row],[WC_'[%']]],"N.A.")</f>
        <v>0</v>
      </c>
      <c r="AE80" s="58" t="str">
        <f>Tab_Data_Flows[[#This Row],[UoM_Flow_Py]]</f>
        <v>Mg</v>
      </c>
      <c r="AF80" s="97">
        <f>INDEX(Tab_Def_Flows[[Flow_ID]:[CC_DM_source]],MATCH(Tab_Data_Flows[[#This Row],[Name(EN)]],Tab_Def_Flows[Name(EN)],0),16)</f>
        <v>1</v>
      </c>
      <c r="AG80" s="98">
        <f>IF(K80="Yes",AF80*Tab_Data_Flows[[#This Row],[Flow_Py]],"N.A.")</f>
        <v>32.200000000000003</v>
      </c>
      <c r="AH80" s="58" t="str">
        <f>Tab_Data_Flows[[#This Row],[UoM_Flow_Py]]</f>
        <v>Mg</v>
      </c>
      <c r="AI80" s="97">
        <f>INDEX(Tab_Def_Flows[[Flow_ID]:[CC_DM_source]],MATCH(Tab_Data_Flows[[#This Row],[Name(EN)]],Tab_Def_Flows[Name(EN)],0),18)</f>
        <v>0.5</v>
      </c>
      <c r="AJ80" s="98">
        <f>IF(L80="Yes",AI80*Tab_Data_Flows[[#This Row],[Flow_Py]]*Tab_Data_Flows[[#This Row],[DM_'[%']]],"N.A.")</f>
        <v>16.100000000000001</v>
      </c>
      <c r="AK80" s="58" t="str">
        <f>Tab_Data_Flows[[#This Row],[UoM_Flow_Py]]</f>
        <v>Mg</v>
      </c>
    </row>
    <row r="81" spans="1:37" x14ac:dyDescent="0.3">
      <c r="A81" s="57">
        <f t="shared" si="4"/>
        <v>80</v>
      </c>
      <c r="B81" s="48" t="str">
        <f>_xlfn.XLOOKUP(C81,Tab_Def_Flows[Name(EN)],Tab_Def_Flows[Flow_ID],,0,)</f>
        <v>F_00_01</v>
      </c>
      <c r="C81" s="50" t="s">
        <v>107</v>
      </c>
      <c r="D81" s="48"/>
      <c r="E81" s="48" t="str">
        <f>_xlfn.XLOOKUP(C81,Tab_Def_Flows[Name(EN)],Tab_Def_Flows[Output_Process],,0,)</f>
        <v>Biosphere</v>
      </c>
      <c r="F81" s="48" t="str">
        <f>_xlfn.XLOOKUP(C81,Tab_Def_Flows[Name(EN)],Tab_Def_Flows[Process_ID_O],,0,)</f>
        <v>00_Bio_</v>
      </c>
      <c r="G81" s="48" t="str">
        <f>_xlfn.XLOOKUP(C81,Tab_Def_Flows[Name(EN)],Tab_Def_Flows[Input_Process],,0,)</f>
        <v>Raw Material Extraction</v>
      </c>
      <c r="H81" s="58" t="str">
        <f>_xlfn.XLOOKUP(C81,Tab_Def_Flows[Name(EN)],Tab_Def_Flows[Process_ID_I],,0,)</f>
        <v>01_Raw_</v>
      </c>
      <c r="I81" s="48">
        <f>_xlfn.XLOOKUP(C81,Tab_Def_Flows[Name(EN)],Tab_Def_Flows[Value_Source],,0,)</f>
        <v>0</v>
      </c>
      <c r="J81" s="48" t="str">
        <f>_xlfn.XLOOKUP(C81,Tab_Def_Flows[Name(EN)],Tab_Def_Flows[WC?],,0,)</f>
        <v>Yes</v>
      </c>
      <c r="K81" s="48" t="str">
        <f>_xlfn.XLOOKUP(C81,Tab_Def_Flows[Name(EN)],Tab_Def_Flows[DM?],,0,)</f>
        <v>Yes</v>
      </c>
      <c r="L81" s="48" t="str">
        <f>_xlfn.XLOOKUP(C81,Tab_Def_Flows[Name(EN)],Tab_Def_Flows[CC?],,0,)</f>
        <v>Yes</v>
      </c>
      <c r="M81" s="50">
        <v>1999</v>
      </c>
      <c r="N81" s="50"/>
      <c r="O81" s="104">
        <v>45</v>
      </c>
      <c r="P81" s="50" t="s">
        <v>85</v>
      </c>
      <c r="Q81" s="50"/>
      <c r="R81" s="50" t="e">
        <f>INDEX(Tab_WC_DM_CC[[Flow_ID]:[CC_source]],MATCH(Tab_Data_Flows[[#This Row],[Name(EN)]],Tab_WC_DM_CC[Name(EN)],0),12)</f>
        <v>#N/A</v>
      </c>
      <c r="S81" s="50" t="e">
        <f>MATCH(Tab_Data_Flows[[#This Row],[Name(EN)]],Tab_WC_DM_CC[Name(EN)],0)</f>
        <v>#N/A</v>
      </c>
      <c r="T81" s="50"/>
      <c r="U81" s="50"/>
      <c r="V81" s="50"/>
      <c r="W81" s="50"/>
      <c r="X81" s="50" t="s">
        <v>84</v>
      </c>
      <c r="Y81" s="50"/>
      <c r="Z81" s="50"/>
      <c r="AA81" s="77">
        <f t="shared" si="5"/>
        <v>45</v>
      </c>
      <c r="AB81" s="50" t="s">
        <v>85</v>
      </c>
      <c r="AC81" s="97">
        <f>INDEX(Tab_Def_Flows[[Flow_ID]:[CC_DM_source]],MATCH(Tab_Data_Flows[[#This Row],[Name(EN)]],Tab_Def_Flows[Name(EN)],0),14)</f>
        <v>0</v>
      </c>
      <c r="AD81" s="98">
        <f>IF(J81="Yes",AA81*Tab_Data_Flows[[#This Row],[WC_'[%']]],"N.A.")</f>
        <v>0</v>
      </c>
      <c r="AE81" s="58" t="str">
        <f>Tab_Data_Flows[[#This Row],[UoM_Flow_Py]]</f>
        <v>Mg</v>
      </c>
      <c r="AF81" s="97">
        <f>INDEX(Tab_Def_Flows[[Flow_ID]:[CC_DM_source]],MATCH(Tab_Data_Flows[[#This Row],[Name(EN)]],Tab_Def_Flows[Name(EN)],0),16)</f>
        <v>1</v>
      </c>
      <c r="AG81" s="98">
        <f>IF(K81="Yes",AF81*Tab_Data_Flows[[#This Row],[Flow_Py]],"N.A.")</f>
        <v>45</v>
      </c>
      <c r="AH81" s="58" t="str">
        <f>Tab_Data_Flows[[#This Row],[UoM_Flow_Py]]</f>
        <v>Mg</v>
      </c>
      <c r="AI81" s="97">
        <f>INDEX(Tab_Def_Flows[[Flow_ID]:[CC_DM_source]],MATCH(Tab_Data_Flows[[#This Row],[Name(EN)]],Tab_Def_Flows[Name(EN)],0),18)</f>
        <v>0.5</v>
      </c>
      <c r="AJ81" s="98">
        <f>IF(L81="Yes",AI81*Tab_Data_Flows[[#This Row],[Flow_Py]]*Tab_Data_Flows[[#This Row],[DM_'[%']]],"N.A.")</f>
        <v>22.5</v>
      </c>
      <c r="AK81" s="58" t="str">
        <f>Tab_Data_Flows[[#This Row],[UoM_Flow_Py]]</f>
        <v>Mg</v>
      </c>
    </row>
    <row r="82" spans="1:37" x14ac:dyDescent="0.3">
      <c r="A82" s="57">
        <f t="shared" si="4"/>
        <v>81</v>
      </c>
      <c r="B82" s="48" t="str">
        <f>_xlfn.XLOOKUP(C82,Tab_Def_Flows[Name(EN)],Tab_Def_Flows[Flow_ID],,0,)</f>
        <v>F_00_01</v>
      </c>
      <c r="C82" s="50" t="s">
        <v>107</v>
      </c>
      <c r="D82" s="48"/>
      <c r="E82" s="48" t="str">
        <f>_xlfn.XLOOKUP(C82,Tab_Def_Flows[Name(EN)],Tab_Def_Flows[Output_Process],,0,)</f>
        <v>Biosphere</v>
      </c>
      <c r="F82" s="48" t="str">
        <f>_xlfn.XLOOKUP(C82,Tab_Def_Flows[Name(EN)],Tab_Def_Flows[Process_ID_O],,0,)</f>
        <v>00_Bio_</v>
      </c>
      <c r="G82" s="48" t="str">
        <f>_xlfn.XLOOKUP(C82,Tab_Def_Flows[Name(EN)],Tab_Def_Flows[Input_Process],,0,)</f>
        <v>Raw Material Extraction</v>
      </c>
      <c r="H82" s="58" t="str">
        <f>_xlfn.XLOOKUP(C82,Tab_Def_Flows[Name(EN)],Tab_Def_Flows[Process_ID_I],,0,)</f>
        <v>01_Raw_</v>
      </c>
      <c r="I82" s="48">
        <f>_xlfn.XLOOKUP(C82,Tab_Def_Flows[Name(EN)],Tab_Def_Flows[Value_Source],,0,)</f>
        <v>0</v>
      </c>
      <c r="J82" s="48" t="str">
        <f>_xlfn.XLOOKUP(C82,Tab_Def_Flows[Name(EN)],Tab_Def_Flows[WC?],,0,)</f>
        <v>Yes</v>
      </c>
      <c r="K82" s="48" t="str">
        <f>_xlfn.XLOOKUP(C82,Tab_Def_Flows[Name(EN)],Tab_Def_Flows[DM?],,0,)</f>
        <v>Yes</v>
      </c>
      <c r="L82" s="48" t="str">
        <f>_xlfn.XLOOKUP(C82,Tab_Def_Flows[Name(EN)],Tab_Def_Flows[CC?],,0,)</f>
        <v>Yes</v>
      </c>
      <c r="M82" s="50">
        <v>2000</v>
      </c>
      <c r="N82" s="50"/>
      <c r="O82" s="104">
        <v>19.2</v>
      </c>
      <c r="P82" s="50" t="s">
        <v>85</v>
      </c>
      <c r="Q82" s="50"/>
      <c r="R82" s="50" t="e">
        <f>INDEX(Tab_WC_DM_CC[[Flow_ID]:[CC_source]],MATCH(Tab_Data_Flows[[#This Row],[Name(EN)]],Tab_WC_DM_CC[Name(EN)],0),12)</f>
        <v>#N/A</v>
      </c>
      <c r="S82" s="50" t="e">
        <f>MATCH(Tab_Data_Flows[[#This Row],[Name(EN)]],Tab_WC_DM_CC[Name(EN)],0)</f>
        <v>#N/A</v>
      </c>
      <c r="T82" s="50"/>
      <c r="U82" s="50"/>
      <c r="V82" s="50"/>
      <c r="W82" s="50"/>
      <c r="X82" s="50" t="s">
        <v>84</v>
      </c>
      <c r="Y82" s="50"/>
      <c r="Z82" s="50"/>
      <c r="AA82" s="77">
        <f t="shared" si="5"/>
        <v>19.2</v>
      </c>
      <c r="AB82" s="50" t="s">
        <v>85</v>
      </c>
      <c r="AC82" s="97">
        <f>INDEX(Tab_Def_Flows[[Flow_ID]:[CC_DM_source]],MATCH(Tab_Data_Flows[[#This Row],[Name(EN)]],Tab_Def_Flows[Name(EN)],0),14)</f>
        <v>0</v>
      </c>
      <c r="AD82" s="98">
        <f>IF(J82="Yes",AA82*Tab_Data_Flows[[#This Row],[WC_'[%']]],"N.A.")</f>
        <v>0</v>
      </c>
      <c r="AE82" s="58" t="str">
        <f>Tab_Data_Flows[[#This Row],[UoM_Flow_Py]]</f>
        <v>Mg</v>
      </c>
      <c r="AF82" s="97">
        <f>INDEX(Tab_Def_Flows[[Flow_ID]:[CC_DM_source]],MATCH(Tab_Data_Flows[[#This Row],[Name(EN)]],Tab_Def_Flows[Name(EN)],0),16)</f>
        <v>1</v>
      </c>
      <c r="AG82" s="98">
        <f>IF(K82="Yes",AF82*Tab_Data_Flows[[#This Row],[Flow_Py]],"N.A.")</f>
        <v>19.2</v>
      </c>
      <c r="AH82" s="58" t="str">
        <f>Tab_Data_Flows[[#This Row],[UoM_Flow_Py]]</f>
        <v>Mg</v>
      </c>
      <c r="AI82" s="97">
        <f>INDEX(Tab_Def_Flows[[Flow_ID]:[CC_DM_source]],MATCH(Tab_Data_Flows[[#This Row],[Name(EN)]],Tab_Def_Flows[Name(EN)],0),18)</f>
        <v>0.5</v>
      </c>
      <c r="AJ82" s="98">
        <f>IF(L82="Yes",AI82*Tab_Data_Flows[[#This Row],[Flow_Py]]*Tab_Data_Flows[[#This Row],[DM_'[%']]],"N.A.")</f>
        <v>9.6</v>
      </c>
      <c r="AK82" s="58" t="str">
        <f>Tab_Data_Flows[[#This Row],[UoM_Flow_Py]]</f>
        <v>Mg</v>
      </c>
    </row>
    <row r="83" spans="1:37" x14ac:dyDescent="0.3">
      <c r="A83" s="57">
        <f t="shared" si="4"/>
        <v>82</v>
      </c>
      <c r="B83" s="48" t="str">
        <f>_xlfn.XLOOKUP(C83,Tab_Def_Flows[Name(EN)],Tab_Def_Flows[Flow_ID],,0,)</f>
        <v>F_00_01</v>
      </c>
      <c r="C83" s="50" t="s">
        <v>107</v>
      </c>
      <c r="D83" s="48"/>
      <c r="E83" s="48" t="str">
        <f>_xlfn.XLOOKUP(C83,Tab_Def_Flows[Name(EN)],Tab_Def_Flows[Output_Process],,0,)</f>
        <v>Biosphere</v>
      </c>
      <c r="F83" s="48" t="str">
        <f>_xlfn.XLOOKUP(C83,Tab_Def_Flows[Name(EN)],Tab_Def_Flows[Process_ID_O],,0,)</f>
        <v>00_Bio_</v>
      </c>
      <c r="G83" s="48" t="str">
        <f>_xlfn.XLOOKUP(C83,Tab_Def_Flows[Name(EN)],Tab_Def_Flows[Input_Process],,0,)</f>
        <v>Raw Material Extraction</v>
      </c>
      <c r="H83" s="58" t="str">
        <f>_xlfn.XLOOKUP(C83,Tab_Def_Flows[Name(EN)],Tab_Def_Flows[Process_ID_I],,0,)</f>
        <v>01_Raw_</v>
      </c>
      <c r="I83" s="48">
        <f>_xlfn.XLOOKUP(C83,Tab_Def_Flows[Name(EN)],Tab_Def_Flows[Value_Source],,0,)</f>
        <v>0</v>
      </c>
      <c r="J83" s="48" t="str">
        <f>_xlfn.XLOOKUP(C83,Tab_Def_Flows[Name(EN)],Tab_Def_Flows[WC?],,0,)</f>
        <v>Yes</v>
      </c>
      <c r="K83" s="48" t="str">
        <f>_xlfn.XLOOKUP(C83,Tab_Def_Flows[Name(EN)],Tab_Def_Flows[DM?],,0,)</f>
        <v>Yes</v>
      </c>
      <c r="L83" s="48" t="str">
        <f>_xlfn.XLOOKUP(C83,Tab_Def_Flows[Name(EN)],Tab_Def_Flows[CC?],,0,)</f>
        <v>Yes</v>
      </c>
      <c r="M83" s="50">
        <v>2001</v>
      </c>
      <c r="N83" s="50"/>
      <c r="O83" s="104">
        <v>25.8</v>
      </c>
      <c r="P83" s="50" t="s">
        <v>85</v>
      </c>
      <c r="Q83" s="50"/>
      <c r="R83" s="50" t="e">
        <f>INDEX(Tab_WC_DM_CC[[Flow_ID]:[CC_source]],MATCH(Tab_Data_Flows[[#This Row],[Name(EN)]],Tab_WC_DM_CC[Name(EN)],0),12)</f>
        <v>#N/A</v>
      </c>
      <c r="S83" s="50" t="e">
        <f>MATCH(Tab_Data_Flows[[#This Row],[Name(EN)]],Tab_WC_DM_CC[Name(EN)],0)</f>
        <v>#N/A</v>
      </c>
      <c r="T83" s="50"/>
      <c r="U83" s="50"/>
      <c r="V83" s="50"/>
      <c r="W83" s="50"/>
      <c r="X83" s="50" t="s">
        <v>84</v>
      </c>
      <c r="Y83" s="50"/>
      <c r="Z83" s="50"/>
      <c r="AA83" s="77">
        <f t="shared" si="5"/>
        <v>25.8</v>
      </c>
      <c r="AB83" s="50" t="s">
        <v>85</v>
      </c>
      <c r="AC83" s="97">
        <f>INDEX(Tab_Def_Flows[[Flow_ID]:[CC_DM_source]],MATCH(Tab_Data_Flows[[#This Row],[Name(EN)]],Tab_Def_Flows[Name(EN)],0),14)</f>
        <v>0</v>
      </c>
      <c r="AD83" s="98">
        <f>IF(J83="Yes",AA83*Tab_Data_Flows[[#This Row],[WC_'[%']]],"N.A.")</f>
        <v>0</v>
      </c>
      <c r="AE83" s="58" t="str">
        <f>Tab_Data_Flows[[#This Row],[UoM_Flow_Py]]</f>
        <v>Mg</v>
      </c>
      <c r="AF83" s="97">
        <f>INDEX(Tab_Def_Flows[[Flow_ID]:[CC_DM_source]],MATCH(Tab_Data_Flows[[#This Row],[Name(EN)]],Tab_Def_Flows[Name(EN)],0),16)</f>
        <v>1</v>
      </c>
      <c r="AG83" s="98">
        <f>IF(K83="Yes",AF83*Tab_Data_Flows[[#This Row],[Flow_Py]],"N.A.")</f>
        <v>25.8</v>
      </c>
      <c r="AH83" s="58" t="str">
        <f>Tab_Data_Flows[[#This Row],[UoM_Flow_Py]]</f>
        <v>Mg</v>
      </c>
      <c r="AI83" s="97">
        <f>INDEX(Tab_Def_Flows[[Flow_ID]:[CC_DM_source]],MATCH(Tab_Data_Flows[[#This Row],[Name(EN)]],Tab_Def_Flows[Name(EN)],0),18)</f>
        <v>0.5</v>
      </c>
      <c r="AJ83" s="98">
        <f>IF(L83="Yes",AI83*Tab_Data_Flows[[#This Row],[Flow_Py]]*Tab_Data_Flows[[#This Row],[DM_'[%']]],"N.A.")</f>
        <v>12.9</v>
      </c>
      <c r="AK83" s="58" t="str">
        <f>Tab_Data_Flows[[#This Row],[UoM_Flow_Py]]</f>
        <v>Mg</v>
      </c>
    </row>
    <row r="84" spans="1:37" x14ac:dyDescent="0.3">
      <c r="A84" s="57">
        <f t="shared" si="4"/>
        <v>83</v>
      </c>
      <c r="B84" s="48" t="str">
        <f>_xlfn.XLOOKUP(C84,Tab_Def_Flows[Name(EN)],Tab_Def_Flows[Flow_ID],,0,)</f>
        <v>F_00_01</v>
      </c>
      <c r="C84" s="50" t="s">
        <v>107</v>
      </c>
      <c r="D84" s="48"/>
      <c r="E84" s="48" t="str">
        <f>_xlfn.XLOOKUP(C84,Tab_Def_Flows[Name(EN)],Tab_Def_Flows[Output_Process],,0,)</f>
        <v>Biosphere</v>
      </c>
      <c r="F84" s="48" t="str">
        <f>_xlfn.XLOOKUP(C84,Tab_Def_Flows[Name(EN)],Tab_Def_Flows[Process_ID_O],,0,)</f>
        <v>00_Bio_</v>
      </c>
      <c r="G84" s="48" t="str">
        <f>_xlfn.XLOOKUP(C84,Tab_Def_Flows[Name(EN)],Tab_Def_Flows[Input_Process],,0,)</f>
        <v>Raw Material Extraction</v>
      </c>
      <c r="H84" s="58" t="str">
        <f>_xlfn.XLOOKUP(C84,Tab_Def_Flows[Name(EN)],Tab_Def_Flows[Process_ID_I],,0,)</f>
        <v>01_Raw_</v>
      </c>
      <c r="I84" s="48">
        <f>_xlfn.XLOOKUP(C84,Tab_Def_Flows[Name(EN)],Tab_Def_Flows[Value_Source],,0,)</f>
        <v>0</v>
      </c>
      <c r="J84" s="48" t="str">
        <f>_xlfn.XLOOKUP(C84,Tab_Def_Flows[Name(EN)],Tab_Def_Flows[WC?],,0,)</f>
        <v>Yes</v>
      </c>
      <c r="K84" s="48" t="str">
        <f>_xlfn.XLOOKUP(C84,Tab_Def_Flows[Name(EN)],Tab_Def_Flows[DM?],,0,)</f>
        <v>Yes</v>
      </c>
      <c r="L84" s="48" t="str">
        <f>_xlfn.XLOOKUP(C84,Tab_Def_Flows[Name(EN)],Tab_Def_Flows[CC?],,0,)</f>
        <v>Yes</v>
      </c>
      <c r="M84" s="50">
        <v>2002</v>
      </c>
      <c r="N84" s="50"/>
      <c r="O84" s="104">
        <v>25.8</v>
      </c>
      <c r="P84" s="50" t="s">
        <v>85</v>
      </c>
      <c r="Q84" s="50"/>
      <c r="R84" s="50" t="e">
        <f>INDEX(Tab_WC_DM_CC[[Flow_ID]:[CC_source]],MATCH(Tab_Data_Flows[[#This Row],[Name(EN)]],Tab_WC_DM_CC[Name(EN)],0),12)</f>
        <v>#N/A</v>
      </c>
      <c r="S84" s="50" t="e">
        <f>MATCH(Tab_Data_Flows[[#This Row],[Name(EN)]],Tab_WC_DM_CC[Name(EN)],0)</f>
        <v>#N/A</v>
      </c>
      <c r="T84" s="50"/>
      <c r="U84" s="50"/>
      <c r="V84" s="50"/>
      <c r="W84" s="50"/>
      <c r="X84" s="50" t="s">
        <v>84</v>
      </c>
      <c r="Y84" s="50"/>
      <c r="Z84" s="50"/>
      <c r="AA84" s="77">
        <f t="shared" si="5"/>
        <v>25.8</v>
      </c>
      <c r="AB84" s="50" t="s">
        <v>85</v>
      </c>
      <c r="AC84" s="97">
        <f>INDEX(Tab_Def_Flows[[Flow_ID]:[CC_DM_source]],MATCH(Tab_Data_Flows[[#This Row],[Name(EN)]],Tab_Def_Flows[Name(EN)],0),14)</f>
        <v>0</v>
      </c>
      <c r="AD84" s="98">
        <f>IF(J84="Yes",AA84*Tab_Data_Flows[[#This Row],[WC_'[%']]],"N.A.")</f>
        <v>0</v>
      </c>
      <c r="AE84" s="58" t="str">
        <f>Tab_Data_Flows[[#This Row],[UoM_Flow_Py]]</f>
        <v>Mg</v>
      </c>
      <c r="AF84" s="97">
        <f>INDEX(Tab_Def_Flows[[Flow_ID]:[CC_DM_source]],MATCH(Tab_Data_Flows[[#This Row],[Name(EN)]],Tab_Def_Flows[Name(EN)],0),16)</f>
        <v>1</v>
      </c>
      <c r="AG84" s="98">
        <f>IF(K84="Yes",AF84*Tab_Data_Flows[[#This Row],[Flow_Py]],"N.A.")</f>
        <v>25.8</v>
      </c>
      <c r="AH84" s="58" t="str">
        <f>Tab_Data_Flows[[#This Row],[UoM_Flow_Py]]</f>
        <v>Mg</v>
      </c>
      <c r="AI84" s="97">
        <f>INDEX(Tab_Def_Flows[[Flow_ID]:[CC_DM_source]],MATCH(Tab_Data_Flows[[#This Row],[Name(EN)]],Tab_Def_Flows[Name(EN)],0),18)</f>
        <v>0.5</v>
      </c>
      <c r="AJ84" s="98">
        <f>IF(L84="Yes",AI84*Tab_Data_Flows[[#This Row],[Flow_Py]]*Tab_Data_Flows[[#This Row],[DM_'[%']]],"N.A.")</f>
        <v>12.9</v>
      </c>
      <c r="AK84" s="58" t="str">
        <f>Tab_Data_Flows[[#This Row],[UoM_Flow_Py]]</f>
        <v>Mg</v>
      </c>
    </row>
    <row r="85" spans="1:37" x14ac:dyDescent="0.3">
      <c r="A85" s="57">
        <f t="shared" si="4"/>
        <v>84</v>
      </c>
      <c r="B85" s="48" t="str">
        <f>_xlfn.XLOOKUP(C85,Tab_Def_Flows[Name(EN)],Tab_Def_Flows[Flow_ID],,0,)</f>
        <v>F_00_01</v>
      </c>
      <c r="C85" s="50" t="s">
        <v>107</v>
      </c>
      <c r="D85" s="48"/>
      <c r="E85" s="48" t="str">
        <f>_xlfn.XLOOKUP(C85,Tab_Def_Flows[Name(EN)],Tab_Def_Flows[Output_Process],,0,)</f>
        <v>Biosphere</v>
      </c>
      <c r="F85" s="48" t="str">
        <f>_xlfn.XLOOKUP(C85,Tab_Def_Flows[Name(EN)],Tab_Def_Flows[Process_ID_O],,0,)</f>
        <v>00_Bio_</v>
      </c>
      <c r="G85" s="48" t="str">
        <f>_xlfn.XLOOKUP(C85,Tab_Def_Flows[Name(EN)],Tab_Def_Flows[Input_Process],,0,)</f>
        <v>Raw Material Extraction</v>
      </c>
      <c r="H85" s="58" t="str">
        <f>_xlfn.XLOOKUP(C85,Tab_Def_Flows[Name(EN)],Tab_Def_Flows[Process_ID_I],,0,)</f>
        <v>01_Raw_</v>
      </c>
      <c r="I85" s="48">
        <f>_xlfn.XLOOKUP(C85,Tab_Def_Flows[Name(EN)],Tab_Def_Flows[Value_Source],,0,)</f>
        <v>0</v>
      </c>
      <c r="J85" s="48" t="str">
        <f>_xlfn.XLOOKUP(C85,Tab_Def_Flows[Name(EN)],Tab_Def_Flows[WC?],,0,)</f>
        <v>Yes</v>
      </c>
      <c r="K85" s="48" t="str">
        <f>_xlfn.XLOOKUP(C85,Tab_Def_Flows[Name(EN)],Tab_Def_Flows[DM?],,0,)</f>
        <v>Yes</v>
      </c>
      <c r="L85" s="48" t="str">
        <f>_xlfn.XLOOKUP(C85,Tab_Def_Flows[Name(EN)],Tab_Def_Flows[CC?],,0,)</f>
        <v>Yes</v>
      </c>
      <c r="M85" s="50">
        <v>2003</v>
      </c>
      <c r="N85" s="50"/>
      <c r="O85" s="104">
        <v>6.4</v>
      </c>
      <c r="P85" s="50" t="s">
        <v>85</v>
      </c>
      <c r="Q85" s="50"/>
      <c r="R85" s="50" t="e">
        <f>INDEX(Tab_WC_DM_CC[[Flow_ID]:[CC_source]],MATCH(Tab_Data_Flows[[#This Row],[Name(EN)]],Tab_WC_DM_CC[Name(EN)],0),12)</f>
        <v>#N/A</v>
      </c>
      <c r="S85" s="50" t="e">
        <f>MATCH(Tab_Data_Flows[[#This Row],[Name(EN)]],Tab_WC_DM_CC[Name(EN)],0)</f>
        <v>#N/A</v>
      </c>
      <c r="T85" s="50"/>
      <c r="U85" s="50"/>
      <c r="V85" s="50"/>
      <c r="W85" s="50"/>
      <c r="X85" s="50" t="s">
        <v>84</v>
      </c>
      <c r="Y85" s="50"/>
      <c r="Z85" s="50"/>
      <c r="AA85" s="77">
        <f t="shared" si="5"/>
        <v>6.4</v>
      </c>
      <c r="AB85" s="50" t="s">
        <v>85</v>
      </c>
      <c r="AC85" s="97">
        <f>INDEX(Tab_Def_Flows[[Flow_ID]:[CC_DM_source]],MATCH(Tab_Data_Flows[[#This Row],[Name(EN)]],Tab_Def_Flows[Name(EN)],0),14)</f>
        <v>0</v>
      </c>
      <c r="AD85" s="98">
        <f>IF(J85="Yes",AA85*Tab_Data_Flows[[#This Row],[WC_'[%']]],"N.A.")</f>
        <v>0</v>
      </c>
      <c r="AE85" s="58" t="str">
        <f>Tab_Data_Flows[[#This Row],[UoM_Flow_Py]]</f>
        <v>Mg</v>
      </c>
      <c r="AF85" s="97">
        <f>INDEX(Tab_Def_Flows[[Flow_ID]:[CC_DM_source]],MATCH(Tab_Data_Flows[[#This Row],[Name(EN)]],Tab_Def_Flows[Name(EN)],0),16)</f>
        <v>1</v>
      </c>
      <c r="AG85" s="98">
        <f>IF(K85="Yes",AF85*Tab_Data_Flows[[#This Row],[Flow_Py]],"N.A.")</f>
        <v>6.4</v>
      </c>
      <c r="AH85" s="58" t="str">
        <f>Tab_Data_Flows[[#This Row],[UoM_Flow_Py]]</f>
        <v>Mg</v>
      </c>
      <c r="AI85" s="97">
        <f>INDEX(Tab_Def_Flows[[Flow_ID]:[CC_DM_source]],MATCH(Tab_Data_Flows[[#This Row],[Name(EN)]],Tab_Def_Flows[Name(EN)],0),18)</f>
        <v>0.5</v>
      </c>
      <c r="AJ85" s="98">
        <f>IF(L85="Yes",AI85*Tab_Data_Flows[[#This Row],[Flow_Py]]*Tab_Data_Flows[[#This Row],[DM_'[%']]],"N.A.")</f>
        <v>3.2</v>
      </c>
      <c r="AK85" s="58" t="str">
        <f>Tab_Data_Flows[[#This Row],[UoM_Flow_Py]]</f>
        <v>Mg</v>
      </c>
    </row>
    <row r="86" spans="1:37" x14ac:dyDescent="0.3">
      <c r="A86" s="57">
        <f t="shared" si="4"/>
        <v>85</v>
      </c>
      <c r="B86" s="48" t="str">
        <f>_xlfn.XLOOKUP(C86,Tab_Def_Flows[Name(EN)],Tab_Def_Flows[Flow_ID],,0,)</f>
        <v>F_00_01</v>
      </c>
      <c r="C86" s="50" t="s">
        <v>107</v>
      </c>
      <c r="D86" s="48"/>
      <c r="E86" s="48" t="str">
        <f>_xlfn.XLOOKUP(C86,Tab_Def_Flows[Name(EN)],Tab_Def_Flows[Output_Process],,0,)</f>
        <v>Biosphere</v>
      </c>
      <c r="F86" s="48" t="str">
        <f>_xlfn.XLOOKUP(C86,Tab_Def_Flows[Name(EN)],Tab_Def_Flows[Process_ID_O],,0,)</f>
        <v>00_Bio_</v>
      </c>
      <c r="G86" s="48" t="str">
        <f>_xlfn.XLOOKUP(C86,Tab_Def_Flows[Name(EN)],Tab_Def_Flows[Input_Process],,0,)</f>
        <v>Raw Material Extraction</v>
      </c>
      <c r="H86" s="58" t="str">
        <f>_xlfn.XLOOKUP(C86,Tab_Def_Flows[Name(EN)],Tab_Def_Flows[Process_ID_I],,0,)</f>
        <v>01_Raw_</v>
      </c>
      <c r="I86" s="48">
        <f>_xlfn.XLOOKUP(C86,Tab_Def_Flows[Name(EN)],Tab_Def_Flows[Value_Source],,0,)</f>
        <v>0</v>
      </c>
      <c r="J86" s="48" t="str">
        <f>_xlfn.XLOOKUP(C86,Tab_Def_Flows[Name(EN)],Tab_Def_Flows[WC?],,0,)</f>
        <v>Yes</v>
      </c>
      <c r="K86" s="48" t="str">
        <f>_xlfn.XLOOKUP(C86,Tab_Def_Flows[Name(EN)],Tab_Def_Flows[DM?],,0,)</f>
        <v>Yes</v>
      </c>
      <c r="L86" s="48" t="str">
        <f>_xlfn.XLOOKUP(C86,Tab_Def_Flows[Name(EN)],Tab_Def_Flows[CC?],,0,)</f>
        <v>Yes</v>
      </c>
      <c r="M86" s="50">
        <v>2004</v>
      </c>
      <c r="N86" s="50"/>
      <c r="O86" s="104">
        <v>32.200000000000003</v>
      </c>
      <c r="P86" s="50" t="s">
        <v>85</v>
      </c>
      <c r="Q86" s="50"/>
      <c r="R86" s="50" t="e">
        <f>INDEX(Tab_WC_DM_CC[[Flow_ID]:[CC_source]],MATCH(Tab_Data_Flows[[#This Row],[Name(EN)]],Tab_WC_DM_CC[Name(EN)],0),12)</f>
        <v>#N/A</v>
      </c>
      <c r="S86" s="50" t="e">
        <f>MATCH(Tab_Data_Flows[[#This Row],[Name(EN)]],Tab_WC_DM_CC[Name(EN)],0)</f>
        <v>#N/A</v>
      </c>
      <c r="T86" s="50"/>
      <c r="U86" s="50"/>
      <c r="V86" s="50"/>
      <c r="W86" s="50"/>
      <c r="X86" s="50" t="s">
        <v>84</v>
      </c>
      <c r="Y86" s="50"/>
      <c r="Z86" s="50"/>
      <c r="AA86" s="77">
        <f t="shared" si="5"/>
        <v>32.200000000000003</v>
      </c>
      <c r="AB86" s="50" t="s">
        <v>85</v>
      </c>
      <c r="AC86" s="97">
        <f>INDEX(Tab_Def_Flows[[Flow_ID]:[CC_DM_source]],MATCH(Tab_Data_Flows[[#This Row],[Name(EN)]],Tab_Def_Flows[Name(EN)],0),14)</f>
        <v>0</v>
      </c>
      <c r="AD86" s="98">
        <f>IF(J86="Yes",AA86*Tab_Data_Flows[[#This Row],[WC_'[%']]],"N.A.")</f>
        <v>0</v>
      </c>
      <c r="AE86" s="58" t="str">
        <f>Tab_Data_Flows[[#This Row],[UoM_Flow_Py]]</f>
        <v>Mg</v>
      </c>
      <c r="AF86" s="97">
        <f>INDEX(Tab_Def_Flows[[Flow_ID]:[CC_DM_source]],MATCH(Tab_Data_Flows[[#This Row],[Name(EN)]],Tab_Def_Flows[Name(EN)],0),16)</f>
        <v>1</v>
      </c>
      <c r="AG86" s="98">
        <f>IF(K86="Yes",AF86*Tab_Data_Flows[[#This Row],[Flow_Py]],"N.A.")</f>
        <v>32.200000000000003</v>
      </c>
      <c r="AH86" s="58" t="str">
        <f>Tab_Data_Flows[[#This Row],[UoM_Flow_Py]]</f>
        <v>Mg</v>
      </c>
      <c r="AI86" s="97">
        <f>INDEX(Tab_Def_Flows[[Flow_ID]:[CC_DM_source]],MATCH(Tab_Data_Flows[[#This Row],[Name(EN)]],Tab_Def_Flows[Name(EN)],0),18)</f>
        <v>0.5</v>
      </c>
      <c r="AJ86" s="98">
        <f>IF(L86="Yes",AI86*Tab_Data_Flows[[#This Row],[Flow_Py]]*Tab_Data_Flows[[#This Row],[DM_'[%']]],"N.A.")</f>
        <v>16.100000000000001</v>
      </c>
      <c r="AK86" s="58" t="str">
        <f>Tab_Data_Flows[[#This Row],[UoM_Flow_Py]]</f>
        <v>Mg</v>
      </c>
    </row>
    <row r="87" spans="1:37" x14ac:dyDescent="0.3">
      <c r="A87" s="57">
        <f t="shared" si="4"/>
        <v>86</v>
      </c>
      <c r="B87" s="48" t="str">
        <f>_xlfn.XLOOKUP(C87,Tab_Def_Flows[Name(EN)],Tab_Def_Flows[Flow_ID],,0,)</f>
        <v>F_00_01</v>
      </c>
      <c r="C87" s="50" t="s">
        <v>107</v>
      </c>
      <c r="D87" s="48">
        <f>_xlfn.XLOOKUP(C87,Tab_Def_Flows[Name(EN)],Tab_Def_Flows[Type_Biomass],,0,)</f>
        <v>0</v>
      </c>
      <c r="E87" s="48" t="str">
        <f>_xlfn.XLOOKUP(C87,Tab_Def_Flows[Name(EN)],Tab_Def_Flows[Output_Process],,0,)</f>
        <v>Biosphere</v>
      </c>
      <c r="F87" s="48" t="str">
        <f>_xlfn.XLOOKUP(C87,Tab_Def_Flows[Name(EN)],Tab_Def_Flows[Process_ID_O],,0,)</f>
        <v>00_Bio_</v>
      </c>
      <c r="G87" s="48" t="str">
        <f>_xlfn.XLOOKUP(C87,Tab_Def_Flows[Name(EN)],Tab_Def_Flows[Input_Process],,0,)</f>
        <v>Raw Material Extraction</v>
      </c>
      <c r="H87" s="58" t="str">
        <f>_xlfn.XLOOKUP(C87,Tab_Def_Flows[Name(EN)],Tab_Def_Flows[Process_ID_I],,0,)</f>
        <v>01_Raw_</v>
      </c>
      <c r="I87" s="58">
        <f>_xlfn.XLOOKUP(C87,Tab_Def_Flows[Name(EN)],Tab_Def_Flows[Value_Source],,0,)</f>
        <v>0</v>
      </c>
      <c r="J87" s="58" t="str">
        <f>_xlfn.XLOOKUP(C87,Tab_Def_Flows[Name(EN)],Tab_Def_Flows[WC?],,0,)</f>
        <v>Yes</v>
      </c>
      <c r="K87" s="58" t="str">
        <f>_xlfn.XLOOKUP(C87,Tab_Def_Flows[Name(EN)],Tab_Def_Flows[DM?],,0,)</f>
        <v>Yes</v>
      </c>
      <c r="L87" s="58" t="str">
        <f>_xlfn.XLOOKUP(C87,Tab_Def_Flows[Name(EN)],Tab_Def_Flows[CC?],,0,)</f>
        <v>Yes</v>
      </c>
      <c r="M87" s="50">
        <v>2005</v>
      </c>
      <c r="N87" s="50" t="s">
        <v>82</v>
      </c>
      <c r="O87" s="104">
        <v>90</v>
      </c>
      <c r="P87" s="50" t="s">
        <v>85</v>
      </c>
      <c r="Q87" s="50"/>
      <c r="R87" s="50"/>
      <c r="S87" s="50"/>
      <c r="T87" s="50"/>
      <c r="U87" s="50"/>
      <c r="V87" s="50"/>
      <c r="W87" s="50"/>
      <c r="X87" s="50" t="s">
        <v>84</v>
      </c>
      <c r="Y87" s="94"/>
      <c r="Z87" s="50"/>
      <c r="AA87" s="77">
        <f t="shared" si="5"/>
        <v>90</v>
      </c>
      <c r="AB87" s="50" t="s">
        <v>85</v>
      </c>
      <c r="AC87" s="97">
        <f>INDEX(Tab_Def_Flows[[Flow_ID]:[CC_DM_source]],MATCH(Tab_Data_Flows[[#This Row],[Name(EN)]],Tab_Def_Flows[Name(EN)],0),14)</f>
        <v>0</v>
      </c>
      <c r="AD87" s="98">
        <f>IF(J87="Yes",AA87*Tab_Data_Flows[[#This Row],[WC_'[%']]],"N.A.")</f>
        <v>0</v>
      </c>
      <c r="AE87" s="58" t="str">
        <f>Tab_Data_Flows[[#This Row],[UoM_Flow_Py]]</f>
        <v>Mg</v>
      </c>
      <c r="AF87" s="97">
        <f>INDEX(Tab_Def_Flows[[Flow_ID]:[CC_DM_source]],MATCH(Tab_Data_Flows[[#This Row],[Name(EN)]],Tab_Def_Flows[Name(EN)],0),16)</f>
        <v>1</v>
      </c>
      <c r="AG87" s="98">
        <f>IF(K87="Yes",AF87*Tab_Data_Flows[[#This Row],[Flow_Py]],"N.A.")</f>
        <v>90</v>
      </c>
      <c r="AH87" s="58" t="str">
        <f>Tab_Data_Flows[[#This Row],[UoM_Flow_Py]]</f>
        <v>Mg</v>
      </c>
      <c r="AI87" s="97">
        <f>INDEX(Tab_Def_Flows[[Flow_ID]:[CC_DM_source]],MATCH(Tab_Data_Flows[[#This Row],[Name(EN)]],Tab_Def_Flows[Name(EN)],0),18)</f>
        <v>0.5</v>
      </c>
      <c r="AJ87" s="98">
        <f>IF(L87="Yes",AI87*Tab_Data_Flows[[#This Row],[Flow_Py]]*Tab_Data_Flows[[#This Row],[DM_'[%']]],"N.A.")</f>
        <v>45</v>
      </c>
      <c r="AK87" s="58" t="str">
        <f>Tab_Data_Flows[[#This Row],[UoM_Flow_Py]]</f>
        <v>Mg</v>
      </c>
    </row>
    <row r="88" spans="1:37" x14ac:dyDescent="0.3">
      <c r="A88" s="57">
        <f t="shared" si="4"/>
        <v>87</v>
      </c>
      <c r="B88" s="48" t="str">
        <f>_xlfn.XLOOKUP(C88,Tab_Def_Flows[Name(EN)],Tab_Def_Flows[Flow_ID],,0,)</f>
        <v>F_00_01</v>
      </c>
      <c r="C88" s="50" t="s">
        <v>107</v>
      </c>
      <c r="D88" s="48">
        <f>_xlfn.XLOOKUP(C88,Tab_Def_Flows[Name(EN)],Tab_Def_Flows[Type_Biomass],,0,)</f>
        <v>0</v>
      </c>
      <c r="E88" s="48" t="str">
        <f>_xlfn.XLOOKUP(C88,Tab_Def_Flows[Name(EN)],Tab_Def_Flows[Output_Process],,0,)</f>
        <v>Biosphere</v>
      </c>
      <c r="F88" s="48" t="str">
        <f>_xlfn.XLOOKUP(C88,Tab_Def_Flows[Name(EN)],Tab_Def_Flows[Process_ID_O],,0,)</f>
        <v>00_Bio_</v>
      </c>
      <c r="G88" s="48" t="str">
        <f>_xlfn.XLOOKUP(C88,Tab_Def_Flows[Name(EN)],Tab_Def_Flows[Input_Process],,0,)</f>
        <v>Raw Material Extraction</v>
      </c>
      <c r="H88" s="58" t="str">
        <f>_xlfn.XLOOKUP(C88,Tab_Def_Flows[Name(EN)],Tab_Def_Flows[Process_ID_I],,0,)</f>
        <v>01_Raw_</v>
      </c>
      <c r="I88" s="58">
        <f>_xlfn.XLOOKUP(C88,Tab_Def_Flows[Name(EN)],Tab_Def_Flows[Value_Source],,0,)</f>
        <v>0</v>
      </c>
      <c r="J88" s="58" t="str">
        <f>_xlfn.XLOOKUP(C88,Tab_Def_Flows[Name(EN)],Tab_Def_Flows[WC?],,0,)</f>
        <v>Yes</v>
      </c>
      <c r="K88" s="58" t="str">
        <f>_xlfn.XLOOKUP(C88,Tab_Def_Flows[Name(EN)],Tab_Def_Flows[DM?],,0,)</f>
        <v>Yes</v>
      </c>
      <c r="L88" s="58" t="str">
        <f>_xlfn.XLOOKUP(C88,Tab_Def_Flows[Name(EN)],Tab_Def_Flows[CC?],,0,)</f>
        <v>Yes</v>
      </c>
      <c r="M88" s="50">
        <v>2006</v>
      </c>
      <c r="N88" s="50" t="s">
        <v>82</v>
      </c>
      <c r="O88" s="104">
        <v>64.400000000000006</v>
      </c>
      <c r="P88" s="50" t="s">
        <v>85</v>
      </c>
      <c r="Q88" s="50"/>
      <c r="R88" s="50"/>
      <c r="S88" s="50"/>
      <c r="T88" s="50"/>
      <c r="U88" s="50"/>
      <c r="V88" s="50"/>
      <c r="W88" s="50"/>
      <c r="X88" s="50" t="s">
        <v>84</v>
      </c>
      <c r="Y88" s="94"/>
      <c r="Z88" s="50"/>
      <c r="AA88" s="77">
        <f t="shared" si="5"/>
        <v>64.400000000000006</v>
      </c>
      <c r="AB88" s="50" t="s">
        <v>85</v>
      </c>
      <c r="AC88" s="97">
        <f>INDEX(Tab_Def_Flows[[Flow_ID]:[CC_DM_source]],MATCH(Tab_Data_Flows[[#This Row],[Name(EN)]],Tab_Def_Flows[Name(EN)],0),14)</f>
        <v>0</v>
      </c>
      <c r="AD88" s="98">
        <f>IF(J88="Yes",AA88*Tab_Data_Flows[[#This Row],[WC_'[%']]],"N.A.")</f>
        <v>0</v>
      </c>
      <c r="AE88" s="58" t="str">
        <f>Tab_Data_Flows[[#This Row],[UoM_Flow_Py]]</f>
        <v>Mg</v>
      </c>
      <c r="AF88" s="97">
        <f>INDEX(Tab_Def_Flows[[Flow_ID]:[CC_DM_source]],MATCH(Tab_Data_Flows[[#This Row],[Name(EN)]],Tab_Def_Flows[Name(EN)],0),16)</f>
        <v>1</v>
      </c>
      <c r="AG88" s="98">
        <f>IF(K88="Yes",AF88*Tab_Data_Flows[[#This Row],[Flow_Py]],"N.A.")</f>
        <v>64.400000000000006</v>
      </c>
      <c r="AH88" s="58" t="str">
        <f>Tab_Data_Flows[[#This Row],[UoM_Flow_Py]]</f>
        <v>Mg</v>
      </c>
      <c r="AI88" s="97">
        <f>INDEX(Tab_Def_Flows[[Flow_ID]:[CC_DM_source]],MATCH(Tab_Data_Flows[[#This Row],[Name(EN)]],Tab_Def_Flows[Name(EN)],0),18)</f>
        <v>0.5</v>
      </c>
      <c r="AJ88" s="98">
        <f>IF(L88="Yes",AI88*Tab_Data_Flows[[#This Row],[Flow_Py]]*Tab_Data_Flows[[#This Row],[DM_'[%']]],"N.A.")</f>
        <v>32.200000000000003</v>
      </c>
      <c r="AK88" s="58" t="str">
        <f>Tab_Data_Flows[[#This Row],[UoM_Flow_Py]]</f>
        <v>Mg</v>
      </c>
    </row>
    <row r="89" spans="1:37" x14ac:dyDescent="0.3">
      <c r="A89" s="57">
        <f t="shared" si="4"/>
        <v>88</v>
      </c>
      <c r="B89" s="48" t="str">
        <f>_xlfn.XLOOKUP(C89,Tab_Def_Flows[Name(EN)],Tab_Def_Flows[Flow_ID],,0,)</f>
        <v>F_00_01</v>
      </c>
      <c r="C89" s="50" t="s">
        <v>107</v>
      </c>
      <c r="D89" s="48">
        <f>_xlfn.XLOOKUP(C89,Tab_Def_Flows[Name(EN)],Tab_Def_Flows[Type_Biomass],,0,)</f>
        <v>0</v>
      </c>
      <c r="E89" s="48" t="str">
        <f>_xlfn.XLOOKUP(C89,Tab_Def_Flows[Name(EN)],Tab_Def_Flows[Output_Process],,0,)</f>
        <v>Biosphere</v>
      </c>
      <c r="F89" s="48" t="str">
        <f>_xlfn.XLOOKUP(C89,Tab_Def_Flows[Name(EN)],Tab_Def_Flows[Process_ID_O],,0,)</f>
        <v>00_Bio_</v>
      </c>
      <c r="G89" s="48" t="str">
        <f>_xlfn.XLOOKUP(C89,Tab_Def_Flows[Name(EN)],Tab_Def_Flows[Input_Process],,0,)</f>
        <v>Raw Material Extraction</v>
      </c>
      <c r="H89" s="58" t="str">
        <f>_xlfn.XLOOKUP(C89,Tab_Def_Flows[Name(EN)],Tab_Def_Flows[Process_ID_I],,0,)</f>
        <v>01_Raw_</v>
      </c>
      <c r="I89" s="58">
        <f>_xlfn.XLOOKUP(C89,Tab_Def_Flows[Name(EN)],Tab_Def_Flows[Value_Source],,0,)</f>
        <v>0</v>
      </c>
      <c r="J89" s="58" t="str">
        <f>_xlfn.XLOOKUP(C89,Tab_Def_Flows[Name(EN)],Tab_Def_Flows[WC?],,0,)</f>
        <v>Yes</v>
      </c>
      <c r="K89" s="58" t="str">
        <f>_xlfn.XLOOKUP(C89,Tab_Def_Flows[Name(EN)],Tab_Def_Flows[DM?],,0,)</f>
        <v>Yes</v>
      </c>
      <c r="L89" s="58" t="str">
        <f>_xlfn.XLOOKUP(C89,Tab_Def_Flows[Name(EN)],Tab_Def_Flows[CC?],,0,)</f>
        <v>Yes</v>
      </c>
      <c r="M89" s="50">
        <v>2007</v>
      </c>
      <c r="N89" s="50" t="s">
        <v>82</v>
      </c>
      <c r="O89" s="104">
        <v>32.200000000000003</v>
      </c>
      <c r="P89" s="50" t="s">
        <v>85</v>
      </c>
      <c r="Q89" s="50"/>
      <c r="R89" s="50"/>
      <c r="S89" s="50"/>
      <c r="T89" s="50"/>
      <c r="U89" s="50"/>
      <c r="V89" s="50"/>
      <c r="W89" s="50"/>
      <c r="X89" s="50" t="s">
        <v>84</v>
      </c>
      <c r="Y89" s="94"/>
      <c r="Z89" s="50"/>
      <c r="AA89" s="77">
        <f t="shared" si="5"/>
        <v>32.200000000000003</v>
      </c>
      <c r="AB89" s="50" t="s">
        <v>85</v>
      </c>
      <c r="AC89" s="97">
        <f>INDEX(Tab_Def_Flows[[Flow_ID]:[CC_DM_source]],MATCH(Tab_Data_Flows[[#This Row],[Name(EN)]],Tab_Def_Flows[Name(EN)],0),14)</f>
        <v>0</v>
      </c>
      <c r="AD89" s="98">
        <f>IF(J89="Yes",AA89*Tab_Data_Flows[[#This Row],[WC_'[%']]],"N.A.")</f>
        <v>0</v>
      </c>
      <c r="AE89" s="58" t="str">
        <f>Tab_Data_Flows[[#This Row],[UoM_Flow_Py]]</f>
        <v>Mg</v>
      </c>
      <c r="AF89" s="97">
        <f>INDEX(Tab_Def_Flows[[Flow_ID]:[CC_DM_source]],MATCH(Tab_Data_Flows[[#This Row],[Name(EN)]],Tab_Def_Flows[Name(EN)],0),16)</f>
        <v>1</v>
      </c>
      <c r="AG89" s="98">
        <f>IF(K89="Yes",AF89*Tab_Data_Flows[[#This Row],[Flow_Py]],"N.A.")</f>
        <v>32.200000000000003</v>
      </c>
      <c r="AH89" s="58" t="str">
        <f>Tab_Data_Flows[[#This Row],[UoM_Flow_Py]]</f>
        <v>Mg</v>
      </c>
      <c r="AI89" s="97">
        <f>INDEX(Tab_Def_Flows[[Flow_ID]:[CC_DM_source]],MATCH(Tab_Data_Flows[[#This Row],[Name(EN)]],Tab_Def_Flows[Name(EN)],0),18)</f>
        <v>0.5</v>
      </c>
      <c r="AJ89" s="98">
        <f>IF(L89="Yes",AI89*Tab_Data_Flows[[#This Row],[Flow_Py]]*Tab_Data_Flows[[#This Row],[DM_'[%']]],"N.A.")</f>
        <v>16.100000000000001</v>
      </c>
      <c r="AK89" s="58" t="str">
        <f>Tab_Data_Flows[[#This Row],[UoM_Flow_Py]]</f>
        <v>Mg</v>
      </c>
    </row>
    <row r="90" spans="1:37" x14ac:dyDescent="0.3">
      <c r="A90" s="57">
        <f t="shared" si="4"/>
        <v>89</v>
      </c>
      <c r="B90" s="48" t="str">
        <f>_xlfn.XLOOKUP(C90,Tab_Def_Flows[Name(EN)],Tab_Def_Flows[Flow_ID],,0,)</f>
        <v>F_00_01</v>
      </c>
      <c r="C90" s="50" t="s">
        <v>107</v>
      </c>
      <c r="D90" s="48">
        <f>_xlfn.XLOOKUP(C90,Tab_Def_Flows[Name(EN)],Tab_Def_Flows[Type_Biomass],,0,)</f>
        <v>0</v>
      </c>
      <c r="E90" s="48" t="str">
        <f>_xlfn.XLOOKUP(C90,Tab_Def_Flows[Name(EN)],Tab_Def_Flows[Output_Process],,0,)</f>
        <v>Biosphere</v>
      </c>
      <c r="F90" s="48" t="str">
        <f>_xlfn.XLOOKUP(C90,Tab_Def_Flows[Name(EN)],Tab_Def_Flows[Process_ID_O],,0,)</f>
        <v>00_Bio_</v>
      </c>
      <c r="G90" s="48" t="str">
        <f>_xlfn.XLOOKUP(C90,Tab_Def_Flows[Name(EN)],Tab_Def_Flows[Input_Process],,0,)</f>
        <v>Raw Material Extraction</v>
      </c>
      <c r="H90" s="58" t="str">
        <f>_xlfn.XLOOKUP(C90,Tab_Def_Flows[Name(EN)],Tab_Def_Flows[Process_ID_I],,0,)</f>
        <v>01_Raw_</v>
      </c>
      <c r="I90" s="58">
        <f>_xlfn.XLOOKUP(C90,Tab_Def_Flows[Name(EN)],Tab_Def_Flows[Value_Source],,0,)</f>
        <v>0</v>
      </c>
      <c r="J90" s="58" t="str">
        <f>_xlfn.XLOOKUP(C90,Tab_Def_Flows[Name(EN)],Tab_Def_Flows[WC?],,0,)</f>
        <v>Yes</v>
      </c>
      <c r="K90" s="58" t="str">
        <f>_xlfn.XLOOKUP(C90,Tab_Def_Flows[Name(EN)],Tab_Def_Flows[DM?],,0,)</f>
        <v>Yes</v>
      </c>
      <c r="L90" s="58" t="str">
        <f>_xlfn.XLOOKUP(C90,Tab_Def_Flows[Name(EN)],Tab_Def_Flows[CC?],,0,)</f>
        <v>Yes</v>
      </c>
      <c r="M90" s="50">
        <v>2008</v>
      </c>
      <c r="N90" s="50" t="s">
        <v>82</v>
      </c>
      <c r="O90" s="104">
        <v>25.8</v>
      </c>
      <c r="P90" s="50" t="s">
        <v>85</v>
      </c>
      <c r="Q90" s="50"/>
      <c r="R90" s="50"/>
      <c r="S90" s="50"/>
      <c r="T90" s="50"/>
      <c r="U90" s="50"/>
      <c r="V90" s="50"/>
      <c r="W90" s="50"/>
      <c r="X90" s="50" t="s">
        <v>84</v>
      </c>
      <c r="Y90" s="94"/>
      <c r="Z90" s="50"/>
      <c r="AA90" s="77">
        <f t="shared" si="5"/>
        <v>25.8</v>
      </c>
      <c r="AB90" s="50" t="s">
        <v>85</v>
      </c>
      <c r="AC90" s="97">
        <f>INDEX(Tab_Def_Flows[[Flow_ID]:[CC_DM_source]],MATCH(Tab_Data_Flows[[#This Row],[Name(EN)]],Tab_Def_Flows[Name(EN)],0),14)</f>
        <v>0</v>
      </c>
      <c r="AD90" s="98">
        <f>IF(J90="Yes",AA90*Tab_Data_Flows[[#This Row],[WC_'[%']]],"N.A.")</f>
        <v>0</v>
      </c>
      <c r="AE90" s="58" t="str">
        <f>Tab_Data_Flows[[#This Row],[UoM_Flow_Py]]</f>
        <v>Mg</v>
      </c>
      <c r="AF90" s="97">
        <f>INDEX(Tab_Def_Flows[[Flow_ID]:[CC_DM_source]],MATCH(Tab_Data_Flows[[#This Row],[Name(EN)]],Tab_Def_Flows[Name(EN)],0),16)</f>
        <v>1</v>
      </c>
      <c r="AG90" s="98">
        <f>IF(K90="Yes",AF90*Tab_Data_Flows[[#This Row],[Flow_Py]],"N.A.")</f>
        <v>25.8</v>
      </c>
      <c r="AH90" s="58" t="str">
        <f>Tab_Data_Flows[[#This Row],[UoM_Flow_Py]]</f>
        <v>Mg</v>
      </c>
      <c r="AI90" s="97">
        <f>INDEX(Tab_Def_Flows[[Flow_ID]:[CC_DM_source]],MATCH(Tab_Data_Flows[[#This Row],[Name(EN)]],Tab_Def_Flows[Name(EN)],0),18)</f>
        <v>0.5</v>
      </c>
      <c r="AJ90" s="98">
        <f>IF(L90="Yes",AI90*Tab_Data_Flows[[#This Row],[Flow_Py]]*Tab_Data_Flows[[#This Row],[DM_'[%']]],"N.A.")</f>
        <v>12.9</v>
      </c>
      <c r="AK90" s="58" t="str">
        <f>Tab_Data_Flows[[#This Row],[UoM_Flow_Py]]</f>
        <v>Mg</v>
      </c>
    </row>
    <row r="91" spans="1:37" x14ac:dyDescent="0.3">
      <c r="A91" s="57">
        <f t="shared" si="4"/>
        <v>90</v>
      </c>
      <c r="B91" s="48" t="str">
        <f>_xlfn.XLOOKUP(C91,Tab_Def_Flows[Name(EN)],Tab_Def_Flows[Flow_ID],,0,)</f>
        <v>F_00_01</v>
      </c>
      <c r="C91" s="50" t="s">
        <v>107</v>
      </c>
      <c r="D91" s="48">
        <f>_xlfn.XLOOKUP(C91,Tab_Def_Flows[Name(EN)],Tab_Def_Flows[Type_Biomass],,0,)</f>
        <v>0</v>
      </c>
      <c r="E91" s="48" t="str">
        <f>_xlfn.XLOOKUP(C91,Tab_Def_Flows[Name(EN)],Tab_Def_Flows[Output_Process],,0,)</f>
        <v>Biosphere</v>
      </c>
      <c r="F91" s="48" t="str">
        <f>_xlfn.XLOOKUP(C91,Tab_Def_Flows[Name(EN)],Tab_Def_Flows[Process_ID_O],,0,)</f>
        <v>00_Bio_</v>
      </c>
      <c r="G91" s="48" t="str">
        <f>_xlfn.XLOOKUP(C91,Tab_Def_Flows[Name(EN)],Tab_Def_Flows[Input_Process],,0,)</f>
        <v>Raw Material Extraction</v>
      </c>
      <c r="H91" s="58" t="str">
        <f>_xlfn.XLOOKUP(C91,Tab_Def_Flows[Name(EN)],Tab_Def_Flows[Process_ID_I],,0,)</f>
        <v>01_Raw_</v>
      </c>
      <c r="I91" s="58">
        <f>_xlfn.XLOOKUP(C91,Tab_Def_Flows[Name(EN)],Tab_Def_Flows[Value_Source],,0,)</f>
        <v>0</v>
      </c>
      <c r="J91" s="58" t="str">
        <f>_xlfn.XLOOKUP(C91,Tab_Def_Flows[Name(EN)],Tab_Def_Flows[WC?],,0,)</f>
        <v>Yes</v>
      </c>
      <c r="K91" s="58" t="str">
        <f>_xlfn.XLOOKUP(C91,Tab_Def_Flows[Name(EN)],Tab_Def_Flows[DM?],,0,)</f>
        <v>Yes</v>
      </c>
      <c r="L91" s="58" t="str">
        <f>_xlfn.XLOOKUP(C91,Tab_Def_Flows[Name(EN)],Tab_Def_Flows[CC?],,0,)</f>
        <v>Yes</v>
      </c>
      <c r="M91" s="50">
        <v>2009</v>
      </c>
      <c r="N91" s="50" t="s">
        <v>82</v>
      </c>
      <c r="O91" s="104">
        <v>19.2</v>
      </c>
      <c r="P91" s="50" t="s">
        <v>85</v>
      </c>
      <c r="Q91" s="50"/>
      <c r="R91" s="50"/>
      <c r="S91" s="50"/>
      <c r="T91" s="50"/>
      <c r="U91" s="50"/>
      <c r="V91" s="50"/>
      <c r="W91" s="50"/>
      <c r="X91" s="50" t="s">
        <v>84</v>
      </c>
      <c r="Y91" s="94"/>
      <c r="Z91" s="50"/>
      <c r="AA91" s="77">
        <f t="shared" si="5"/>
        <v>19.2</v>
      </c>
      <c r="AB91" s="50" t="s">
        <v>85</v>
      </c>
      <c r="AC91" s="97">
        <f>INDEX(Tab_Def_Flows[[Flow_ID]:[CC_DM_source]],MATCH(Tab_Data_Flows[[#This Row],[Name(EN)]],Tab_Def_Flows[Name(EN)],0),14)</f>
        <v>0</v>
      </c>
      <c r="AD91" s="98">
        <f>IF(J91="Yes",AA91*Tab_Data_Flows[[#This Row],[WC_'[%']]],"N.A.")</f>
        <v>0</v>
      </c>
      <c r="AE91" s="58" t="str">
        <f>Tab_Data_Flows[[#This Row],[UoM_Flow_Py]]</f>
        <v>Mg</v>
      </c>
      <c r="AF91" s="97">
        <f>INDEX(Tab_Def_Flows[[Flow_ID]:[CC_DM_source]],MATCH(Tab_Data_Flows[[#This Row],[Name(EN)]],Tab_Def_Flows[Name(EN)],0),16)</f>
        <v>1</v>
      </c>
      <c r="AG91" s="98">
        <f>IF(K91="Yes",AF91*Tab_Data_Flows[[#This Row],[Flow_Py]],"N.A.")</f>
        <v>19.2</v>
      </c>
      <c r="AH91" s="58" t="str">
        <f>Tab_Data_Flows[[#This Row],[UoM_Flow_Py]]</f>
        <v>Mg</v>
      </c>
      <c r="AI91" s="97">
        <f>INDEX(Tab_Def_Flows[[Flow_ID]:[CC_DM_source]],MATCH(Tab_Data_Flows[[#This Row],[Name(EN)]],Tab_Def_Flows[Name(EN)],0),18)</f>
        <v>0.5</v>
      </c>
      <c r="AJ91" s="98">
        <f>IF(L91="Yes",AI91*Tab_Data_Flows[[#This Row],[Flow_Py]]*Tab_Data_Flows[[#This Row],[DM_'[%']]],"N.A.")</f>
        <v>9.6</v>
      </c>
      <c r="AK91" s="58" t="str">
        <f>Tab_Data_Flows[[#This Row],[UoM_Flow_Py]]</f>
        <v>Mg</v>
      </c>
    </row>
    <row r="92" spans="1:37" x14ac:dyDescent="0.3">
      <c r="A92" s="57">
        <f t="shared" si="4"/>
        <v>91</v>
      </c>
      <c r="B92" s="48" t="str">
        <f>_xlfn.XLOOKUP(C92,Tab_Def_Flows[Name(EN)],Tab_Def_Flows[Flow_ID],,0,)</f>
        <v>F_00_01</v>
      </c>
      <c r="C92" s="50" t="s">
        <v>107</v>
      </c>
      <c r="D92" s="48">
        <f>_xlfn.XLOOKUP(C92,Tab_Def_Flows[Name(EN)],Tab_Def_Flows[Type_Biomass],,0,)</f>
        <v>0</v>
      </c>
      <c r="E92" s="48" t="str">
        <f>_xlfn.XLOOKUP(C92,Tab_Def_Flows[Name(EN)],Tab_Def_Flows[Output_Process],,0,)</f>
        <v>Biosphere</v>
      </c>
      <c r="F92" s="48" t="str">
        <f>_xlfn.XLOOKUP(C92,Tab_Def_Flows[Name(EN)],Tab_Def_Flows[Process_ID_O],,0,)</f>
        <v>00_Bio_</v>
      </c>
      <c r="G92" s="48" t="str">
        <f>_xlfn.XLOOKUP(C92,Tab_Def_Flows[Name(EN)],Tab_Def_Flows[Input_Process],,0,)</f>
        <v>Raw Material Extraction</v>
      </c>
      <c r="H92" s="58" t="str">
        <f>_xlfn.XLOOKUP(C92,Tab_Def_Flows[Name(EN)],Tab_Def_Flows[Process_ID_I],,0,)</f>
        <v>01_Raw_</v>
      </c>
      <c r="I92" s="58">
        <f>_xlfn.XLOOKUP(C92,Tab_Def_Flows[Name(EN)],Tab_Def_Flows[Value_Source],,0,)</f>
        <v>0</v>
      </c>
      <c r="J92" s="58" t="str">
        <f>_xlfn.XLOOKUP(C92,Tab_Def_Flows[Name(EN)],Tab_Def_Flows[WC?],,0,)</f>
        <v>Yes</v>
      </c>
      <c r="K92" s="58" t="str">
        <f>_xlfn.XLOOKUP(C92,Tab_Def_Flows[Name(EN)],Tab_Def_Flows[DM?],,0,)</f>
        <v>Yes</v>
      </c>
      <c r="L92" s="58" t="str">
        <f>_xlfn.XLOOKUP(C92,Tab_Def_Flows[Name(EN)],Tab_Def_Flows[CC?],,0,)</f>
        <v>Yes</v>
      </c>
      <c r="M92" s="50">
        <v>2010</v>
      </c>
      <c r="N92" s="50" t="s">
        <v>82</v>
      </c>
      <c r="O92" s="104">
        <v>51.4</v>
      </c>
      <c r="P92" s="50" t="s">
        <v>85</v>
      </c>
      <c r="Q92" s="50"/>
      <c r="R92" s="50"/>
      <c r="S92" s="50"/>
      <c r="T92" s="50"/>
      <c r="U92" s="50"/>
      <c r="V92" s="50"/>
      <c r="W92" s="50"/>
      <c r="X92" s="50" t="s">
        <v>84</v>
      </c>
      <c r="Y92" s="94"/>
      <c r="Z92" s="50"/>
      <c r="AA92" s="77">
        <f t="shared" si="5"/>
        <v>51.4</v>
      </c>
      <c r="AB92" s="50" t="s">
        <v>85</v>
      </c>
      <c r="AC92" s="97">
        <f>INDEX(Tab_Def_Flows[[Flow_ID]:[CC_DM_source]],MATCH(Tab_Data_Flows[[#This Row],[Name(EN)]],Tab_Def_Flows[Name(EN)],0),14)</f>
        <v>0</v>
      </c>
      <c r="AD92" s="98">
        <f>IF(J92="Yes",AA92*Tab_Data_Flows[[#This Row],[WC_'[%']]],"N.A.")</f>
        <v>0</v>
      </c>
      <c r="AE92" s="58" t="str">
        <f>Tab_Data_Flows[[#This Row],[UoM_Flow_Py]]</f>
        <v>Mg</v>
      </c>
      <c r="AF92" s="97">
        <f>INDEX(Tab_Def_Flows[[Flow_ID]:[CC_DM_source]],MATCH(Tab_Data_Flows[[#This Row],[Name(EN)]],Tab_Def_Flows[Name(EN)],0),16)</f>
        <v>1</v>
      </c>
      <c r="AG92" s="98">
        <f>IF(K92="Yes",AF92*Tab_Data_Flows[[#This Row],[Flow_Py]],"N.A.")</f>
        <v>51.4</v>
      </c>
      <c r="AH92" s="58" t="str">
        <f>Tab_Data_Flows[[#This Row],[UoM_Flow_Py]]</f>
        <v>Mg</v>
      </c>
      <c r="AI92" s="97">
        <f>INDEX(Tab_Def_Flows[[Flow_ID]:[CC_DM_source]],MATCH(Tab_Data_Flows[[#This Row],[Name(EN)]],Tab_Def_Flows[Name(EN)],0),18)</f>
        <v>0.5</v>
      </c>
      <c r="AJ92" s="98">
        <f>IF(L92="Yes",AI92*Tab_Data_Flows[[#This Row],[Flow_Py]]*Tab_Data_Flows[[#This Row],[DM_'[%']]],"N.A.")</f>
        <v>25.7</v>
      </c>
      <c r="AK92" s="58" t="str">
        <f>Tab_Data_Flows[[#This Row],[UoM_Flow_Py]]</f>
        <v>Mg</v>
      </c>
    </row>
    <row r="93" spans="1:37" x14ac:dyDescent="0.3">
      <c r="A93" s="57">
        <f t="shared" si="4"/>
        <v>92</v>
      </c>
      <c r="B93" s="48" t="str">
        <f>_xlfn.XLOOKUP(C93,Tab_Def_Flows[Name(EN)],Tab_Def_Flows[Flow_ID],,0,)</f>
        <v>F_00_01</v>
      </c>
      <c r="C93" s="50" t="s">
        <v>107</v>
      </c>
      <c r="D93" s="48">
        <f>_xlfn.XLOOKUP(C93,Tab_Def_Flows[Name(EN)],Tab_Def_Flows[Type_Biomass],,0,)</f>
        <v>0</v>
      </c>
      <c r="E93" s="48" t="str">
        <f>_xlfn.XLOOKUP(C93,Tab_Def_Flows[Name(EN)],Tab_Def_Flows[Output_Process],,0,)</f>
        <v>Biosphere</v>
      </c>
      <c r="F93" s="48" t="str">
        <f>_xlfn.XLOOKUP(C93,Tab_Def_Flows[Name(EN)],Tab_Def_Flows[Process_ID_O],,0,)</f>
        <v>00_Bio_</v>
      </c>
      <c r="G93" s="48" t="str">
        <f>_xlfn.XLOOKUP(C93,Tab_Def_Flows[Name(EN)],Tab_Def_Flows[Input_Process],,0,)</f>
        <v>Raw Material Extraction</v>
      </c>
      <c r="H93" s="58" t="str">
        <f>_xlfn.XLOOKUP(C93,Tab_Def_Flows[Name(EN)],Tab_Def_Flows[Process_ID_I],,0,)</f>
        <v>01_Raw_</v>
      </c>
      <c r="I93" s="58">
        <f>_xlfn.XLOOKUP(C93,Tab_Def_Flows[Name(EN)],Tab_Def_Flows[Value_Source],,0,)</f>
        <v>0</v>
      </c>
      <c r="J93" s="58" t="str">
        <f>_xlfn.XLOOKUP(C93,Tab_Def_Flows[Name(EN)],Tab_Def_Flows[WC?],,0,)</f>
        <v>Yes</v>
      </c>
      <c r="K93" s="58" t="str">
        <f>_xlfn.XLOOKUP(C93,Tab_Def_Flows[Name(EN)],Tab_Def_Flows[DM?],,0,)</f>
        <v>Yes</v>
      </c>
      <c r="L93" s="58" t="str">
        <f>_xlfn.XLOOKUP(C93,Tab_Def_Flows[Name(EN)],Tab_Def_Flows[CC?],,0,)</f>
        <v>Yes</v>
      </c>
      <c r="M93" s="50">
        <v>2011</v>
      </c>
      <c r="N93" s="50" t="s">
        <v>82</v>
      </c>
      <c r="O93" s="104">
        <v>25.8</v>
      </c>
      <c r="P93" s="50" t="s">
        <v>85</v>
      </c>
      <c r="Q93" s="50"/>
      <c r="R93" s="50"/>
      <c r="S93" s="50"/>
      <c r="T93" s="50"/>
      <c r="U93" s="50"/>
      <c r="V93" s="50"/>
      <c r="W93" s="50"/>
      <c r="X93" s="50" t="s">
        <v>84</v>
      </c>
      <c r="Y93" s="94"/>
      <c r="Z93" s="50"/>
      <c r="AA93" s="77">
        <f t="shared" si="5"/>
        <v>25.8</v>
      </c>
      <c r="AB93" s="50" t="s">
        <v>85</v>
      </c>
      <c r="AC93" s="97">
        <f>INDEX(Tab_Def_Flows[[Flow_ID]:[CC_DM_source]],MATCH(Tab_Data_Flows[[#This Row],[Name(EN)]],Tab_Def_Flows[Name(EN)],0),14)</f>
        <v>0</v>
      </c>
      <c r="AD93" s="98">
        <f>IF(J93="Yes",AA93*Tab_Data_Flows[[#This Row],[WC_'[%']]],"N.A.")</f>
        <v>0</v>
      </c>
      <c r="AE93" s="58" t="str">
        <f>Tab_Data_Flows[[#This Row],[UoM_Flow_Py]]</f>
        <v>Mg</v>
      </c>
      <c r="AF93" s="97">
        <f>INDEX(Tab_Def_Flows[[Flow_ID]:[CC_DM_source]],MATCH(Tab_Data_Flows[[#This Row],[Name(EN)]],Tab_Def_Flows[Name(EN)],0),16)</f>
        <v>1</v>
      </c>
      <c r="AG93" s="98">
        <f>IF(K93="Yes",AF93*Tab_Data_Flows[[#This Row],[Flow_Py]],"N.A.")</f>
        <v>25.8</v>
      </c>
      <c r="AH93" s="58" t="str">
        <f>Tab_Data_Flows[[#This Row],[UoM_Flow_Py]]</f>
        <v>Mg</v>
      </c>
      <c r="AI93" s="97">
        <f>INDEX(Tab_Def_Flows[[Flow_ID]:[CC_DM_source]],MATCH(Tab_Data_Flows[[#This Row],[Name(EN)]],Tab_Def_Flows[Name(EN)],0),18)</f>
        <v>0.5</v>
      </c>
      <c r="AJ93" s="98">
        <f>IF(L93="Yes",AI93*Tab_Data_Flows[[#This Row],[Flow_Py]]*Tab_Data_Flows[[#This Row],[DM_'[%']]],"N.A.")</f>
        <v>12.9</v>
      </c>
      <c r="AK93" s="58" t="str">
        <f>Tab_Data_Flows[[#This Row],[UoM_Flow_Py]]</f>
        <v>Mg</v>
      </c>
    </row>
    <row r="94" spans="1:37" x14ac:dyDescent="0.3">
      <c r="A94" s="57">
        <f t="shared" si="4"/>
        <v>93</v>
      </c>
      <c r="B94" s="48" t="str">
        <f>_xlfn.XLOOKUP(C94,Tab_Def_Flows[Name(EN)],Tab_Def_Flows[Flow_ID],,0,)</f>
        <v>F_00_01</v>
      </c>
      <c r="C94" s="50" t="s">
        <v>107</v>
      </c>
      <c r="D94" s="48"/>
      <c r="E94" s="48" t="str">
        <f>_xlfn.XLOOKUP(C94,Tab_Def_Flows[Name(EN)],Tab_Def_Flows[Output_Process],,0,)</f>
        <v>Biosphere</v>
      </c>
      <c r="F94" s="48" t="str">
        <f>_xlfn.XLOOKUP(C94,Tab_Def_Flows[Name(EN)],Tab_Def_Flows[Process_ID_O],,0,)</f>
        <v>00_Bio_</v>
      </c>
      <c r="G94" s="48" t="str">
        <f>_xlfn.XLOOKUP(C94,Tab_Def_Flows[Name(EN)],Tab_Def_Flows[Input_Process],,0,)</f>
        <v>Raw Material Extraction</v>
      </c>
      <c r="H94" s="58" t="str">
        <f>_xlfn.XLOOKUP(C94,Tab_Def_Flows[Name(EN)],Tab_Def_Flows[Process_ID_I],,0,)</f>
        <v>01_Raw_</v>
      </c>
      <c r="I94" s="48">
        <f>_xlfn.XLOOKUP(C94,Tab_Def_Flows[Name(EN)],Tab_Def_Flows[Value_Source],,0,)</f>
        <v>0</v>
      </c>
      <c r="J94" s="48" t="str">
        <f>_xlfn.XLOOKUP(C94,Tab_Def_Flows[Name(EN)],Tab_Def_Flows[WC?],,0,)</f>
        <v>Yes</v>
      </c>
      <c r="K94" s="48" t="str">
        <f>_xlfn.XLOOKUP(C94,Tab_Def_Flows[Name(EN)],Tab_Def_Flows[DM?],,0,)</f>
        <v>Yes</v>
      </c>
      <c r="L94" s="48" t="str">
        <f>_xlfn.XLOOKUP(C94,Tab_Def_Flows[Name(EN)],Tab_Def_Flows[CC?],,0,)</f>
        <v>Yes</v>
      </c>
      <c r="M94" s="50">
        <v>2012</v>
      </c>
      <c r="N94" s="50"/>
      <c r="O94" s="104">
        <v>12.8</v>
      </c>
      <c r="P94" s="50" t="s">
        <v>85</v>
      </c>
      <c r="Q94" s="50"/>
      <c r="R94" s="50" t="e">
        <f>INDEX(Tab_WC_DM_CC[[Flow_ID]:[CC_source]],MATCH(Tab_Data_Flows[[#This Row],[Name(EN)]],Tab_WC_DM_CC[Name(EN)],0),12)</f>
        <v>#N/A</v>
      </c>
      <c r="S94" s="50" t="e">
        <f>MATCH(Tab_Data_Flows[[#This Row],[Name(EN)]],Tab_WC_DM_CC[Name(EN)],0)</f>
        <v>#N/A</v>
      </c>
      <c r="T94" s="50"/>
      <c r="U94" s="50"/>
      <c r="V94" s="50"/>
      <c r="W94" s="50"/>
      <c r="X94" s="50" t="s">
        <v>84</v>
      </c>
      <c r="Y94" s="50"/>
      <c r="Z94" s="50"/>
      <c r="AA94" s="77">
        <f t="shared" si="5"/>
        <v>12.8</v>
      </c>
      <c r="AB94" s="50" t="s">
        <v>85</v>
      </c>
      <c r="AC94" s="97">
        <f>INDEX(Tab_Def_Flows[[Flow_ID]:[CC_DM_source]],MATCH(Tab_Data_Flows[[#This Row],[Name(EN)]],Tab_Def_Flows[Name(EN)],0),14)</f>
        <v>0</v>
      </c>
      <c r="AD94" s="98">
        <f>IF(J94="Yes",AA94*Tab_Data_Flows[[#This Row],[WC_'[%']]],"N.A.")</f>
        <v>0</v>
      </c>
      <c r="AE94" s="58" t="str">
        <f>Tab_Data_Flows[[#This Row],[UoM_Flow_Py]]</f>
        <v>Mg</v>
      </c>
      <c r="AF94" s="97">
        <f>INDEX(Tab_Def_Flows[[Flow_ID]:[CC_DM_source]],MATCH(Tab_Data_Flows[[#This Row],[Name(EN)]],Tab_Def_Flows[Name(EN)],0),16)</f>
        <v>1</v>
      </c>
      <c r="AG94" s="98">
        <f>IF(K94="Yes",AF94*Tab_Data_Flows[[#This Row],[Flow_Py]],"N.A.")</f>
        <v>12.8</v>
      </c>
      <c r="AH94" s="58" t="str">
        <f>Tab_Data_Flows[[#This Row],[UoM_Flow_Py]]</f>
        <v>Mg</v>
      </c>
      <c r="AI94" s="97">
        <f>INDEX(Tab_Def_Flows[[Flow_ID]:[CC_DM_source]],MATCH(Tab_Data_Flows[[#This Row],[Name(EN)]],Tab_Def_Flows[Name(EN)],0),18)</f>
        <v>0.5</v>
      </c>
      <c r="AJ94" s="98">
        <f>IF(L94="Yes",AI94*Tab_Data_Flows[[#This Row],[Flow_Py]]*Tab_Data_Flows[[#This Row],[DM_'[%']]],"N.A.")</f>
        <v>6.4</v>
      </c>
      <c r="AK94" s="58" t="str">
        <f>Tab_Data_Flows[[#This Row],[UoM_Flow_Py]]</f>
        <v>Mg</v>
      </c>
    </row>
    <row r="95" spans="1:37" x14ac:dyDescent="0.3">
      <c r="A95" s="57">
        <f t="shared" si="4"/>
        <v>94</v>
      </c>
      <c r="B95" s="48" t="str">
        <f>_xlfn.XLOOKUP(C95,Tab_Def_Flows[Name(EN)],Tab_Def_Flows[Flow_ID],,0,)</f>
        <v>F_00_01</v>
      </c>
      <c r="C95" s="50" t="s">
        <v>107</v>
      </c>
      <c r="D95" s="48"/>
      <c r="E95" s="48" t="str">
        <f>_xlfn.XLOOKUP(C95,Tab_Def_Flows[Name(EN)],Tab_Def_Flows[Output_Process],,0,)</f>
        <v>Biosphere</v>
      </c>
      <c r="F95" s="48" t="str">
        <f>_xlfn.XLOOKUP(C95,Tab_Def_Flows[Name(EN)],Tab_Def_Flows[Process_ID_O],,0,)</f>
        <v>00_Bio_</v>
      </c>
      <c r="G95" s="48" t="str">
        <f>_xlfn.XLOOKUP(C95,Tab_Def_Flows[Name(EN)],Tab_Def_Flows[Input_Process],,0,)</f>
        <v>Raw Material Extraction</v>
      </c>
      <c r="H95" s="58" t="str">
        <f>_xlfn.XLOOKUP(C95,Tab_Def_Flows[Name(EN)],Tab_Def_Flows[Process_ID_I],,0,)</f>
        <v>01_Raw_</v>
      </c>
      <c r="I95" s="48">
        <f>_xlfn.XLOOKUP(C95,Tab_Def_Flows[Name(EN)],Tab_Def_Flows[Value_Source],,0,)</f>
        <v>0</v>
      </c>
      <c r="J95" s="48" t="str">
        <f>_xlfn.XLOOKUP(C95,Tab_Def_Flows[Name(EN)],Tab_Def_Flows[WC?],,0,)</f>
        <v>Yes</v>
      </c>
      <c r="K95" s="48" t="str">
        <f>_xlfn.XLOOKUP(C95,Tab_Def_Flows[Name(EN)],Tab_Def_Flows[DM?],,0,)</f>
        <v>Yes</v>
      </c>
      <c r="L95" s="48" t="str">
        <f>_xlfn.XLOOKUP(C95,Tab_Def_Flows[Name(EN)],Tab_Def_Flows[CC?],,0,)</f>
        <v>Yes</v>
      </c>
      <c r="M95" s="50">
        <v>2013</v>
      </c>
      <c r="N95" s="50"/>
      <c r="O95" s="104">
        <v>6.4</v>
      </c>
      <c r="P95" s="50" t="s">
        <v>85</v>
      </c>
      <c r="Q95" s="50"/>
      <c r="R95" s="50" t="e">
        <f>INDEX(Tab_WC_DM_CC[[Flow_ID]:[CC_source]],MATCH(Tab_Data_Flows[[#This Row],[Name(EN)]],Tab_WC_DM_CC[Name(EN)],0),12)</f>
        <v>#N/A</v>
      </c>
      <c r="S95" s="50" t="e">
        <f>MATCH(Tab_Data_Flows[[#This Row],[Name(EN)]],Tab_WC_DM_CC[Name(EN)],0)</f>
        <v>#N/A</v>
      </c>
      <c r="T95" s="50"/>
      <c r="U95" s="50"/>
      <c r="V95" s="50"/>
      <c r="W95" s="50"/>
      <c r="X95" s="50" t="s">
        <v>84</v>
      </c>
      <c r="Y95" s="50"/>
      <c r="Z95" s="50"/>
      <c r="AA95" s="77">
        <f t="shared" si="5"/>
        <v>6.4</v>
      </c>
      <c r="AB95" s="50" t="s">
        <v>85</v>
      </c>
      <c r="AC95" s="97">
        <f>INDEX(Tab_Def_Flows[[Flow_ID]:[CC_DM_source]],MATCH(Tab_Data_Flows[[#This Row],[Name(EN)]],Tab_Def_Flows[Name(EN)],0),14)</f>
        <v>0</v>
      </c>
      <c r="AD95" s="98">
        <f>IF(J95="Yes",AA95*Tab_Data_Flows[[#This Row],[WC_'[%']]],"N.A.")</f>
        <v>0</v>
      </c>
      <c r="AE95" s="58" t="str">
        <f>Tab_Data_Flows[[#This Row],[UoM_Flow_Py]]</f>
        <v>Mg</v>
      </c>
      <c r="AF95" s="97">
        <f>INDEX(Tab_Def_Flows[[Flow_ID]:[CC_DM_source]],MATCH(Tab_Data_Flows[[#This Row],[Name(EN)]],Tab_Def_Flows[Name(EN)],0),16)</f>
        <v>1</v>
      </c>
      <c r="AG95" s="98">
        <f>IF(K95="Yes",AF95*Tab_Data_Flows[[#This Row],[Flow_Py]],"N.A.")</f>
        <v>6.4</v>
      </c>
      <c r="AH95" s="58" t="str">
        <f>Tab_Data_Flows[[#This Row],[UoM_Flow_Py]]</f>
        <v>Mg</v>
      </c>
      <c r="AI95" s="97">
        <f>INDEX(Tab_Def_Flows[[Flow_ID]:[CC_DM_source]],MATCH(Tab_Data_Flows[[#This Row],[Name(EN)]],Tab_Def_Flows[Name(EN)],0),18)</f>
        <v>0.5</v>
      </c>
      <c r="AJ95" s="98">
        <f>IF(L95="Yes",AI95*Tab_Data_Flows[[#This Row],[Flow_Py]]*Tab_Data_Flows[[#This Row],[DM_'[%']]],"N.A.")</f>
        <v>3.2</v>
      </c>
      <c r="AK95" s="58" t="str">
        <f>Tab_Data_Flows[[#This Row],[UoM_Flow_Py]]</f>
        <v>Mg</v>
      </c>
    </row>
    <row r="96" spans="1:37" x14ac:dyDescent="0.3">
      <c r="A96" s="57">
        <f t="shared" si="4"/>
        <v>95</v>
      </c>
      <c r="B96" s="48" t="str">
        <f>_xlfn.XLOOKUP(C96,Tab_Def_Flows[Name(EN)],Tab_Def_Flows[Flow_ID],,0,)</f>
        <v>F_00_01</v>
      </c>
      <c r="C96" s="50" t="s">
        <v>107</v>
      </c>
      <c r="D96" s="48"/>
      <c r="E96" s="48" t="str">
        <f>_xlfn.XLOOKUP(C96,Tab_Def_Flows[Name(EN)],Tab_Def_Flows[Output_Process],,0,)</f>
        <v>Biosphere</v>
      </c>
      <c r="F96" s="48" t="str">
        <f>_xlfn.XLOOKUP(C96,Tab_Def_Flows[Name(EN)],Tab_Def_Flows[Process_ID_O],,0,)</f>
        <v>00_Bio_</v>
      </c>
      <c r="G96" s="48" t="str">
        <f>_xlfn.XLOOKUP(C96,Tab_Def_Flows[Name(EN)],Tab_Def_Flows[Input_Process],,0,)</f>
        <v>Raw Material Extraction</v>
      </c>
      <c r="H96" s="58" t="str">
        <f>_xlfn.XLOOKUP(C96,Tab_Def_Flows[Name(EN)],Tab_Def_Flows[Process_ID_I],,0,)</f>
        <v>01_Raw_</v>
      </c>
      <c r="I96" s="48">
        <f>_xlfn.XLOOKUP(C96,Tab_Def_Flows[Name(EN)],Tab_Def_Flows[Value_Source],,0,)</f>
        <v>0</v>
      </c>
      <c r="J96" s="48" t="str">
        <f>_xlfn.XLOOKUP(C96,Tab_Def_Flows[Name(EN)],Tab_Def_Flows[WC?],,0,)</f>
        <v>Yes</v>
      </c>
      <c r="K96" s="48" t="str">
        <f>_xlfn.XLOOKUP(C96,Tab_Def_Flows[Name(EN)],Tab_Def_Flows[DM?],,0,)</f>
        <v>Yes</v>
      </c>
      <c r="L96" s="48" t="str">
        <f>_xlfn.XLOOKUP(C96,Tab_Def_Flows[Name(EN)],Tab_Def_Flows[CC?],,0,)</f>
        <v>Yes</v>
      </c>
      <c r="M96" s="50">
        <v>2014</v>
      </c>
      <c r="N96" s="50"/>
      <c r="O96" s="104">
        <v>45</v>
      </c>
      <c r="P96" s="50" t="s">
        <v>85</v>
      </c>
      <c r="Q96" s="50"/>
      <c r="R96" s="50" t="e">
        <f>INDEX(Tab_WC_DM_CC[[Flow_ID]:[CC_source]],MATCH(Tab_Data_Flows[[#This Row],[Name(EN)]],Tab_WC_DM_CC[Name(EN)],0),12)</f>
        <v>#N/A</v>
      </c>
      <c r="S96" s="50" t="e">
        <f>MATCH(Tab_Data_Flows[[#This Row],[Name(EN)]],Tab_WC_DM_CC[Name(EN)],0)</f>
        <v>#N/A</v>
      </c>
      <c r="T96" s="50"/>
      <c r="U96" s="50"/>
      <c r="V96" s="50"/>
      <c r="W96" s="50"/>
      <c r="X96" s="50" t="s">
        <v>84</v>
      </c>
      <c r="Y96" s="50"/>
      <c r="Z96" s="50"/>
      <c r="AA96" s="77">
        <f t="shared" si="5"/>
        <v>45</v>
      </c>
      <c r="AB96" s="50" t="s">
        <v>85</v>
      </c>
      <c r="AC96" s="97">
        <f>INDEX(Tab_Def_Flows[[Flow_ID]:[CC_DM_source]],MATCH(Tab_Data_Flows[[#This Row],[Name(EN)]],Tab_Def_Flows[Name(EN)],0),14)</f>
        <v>0</v>
      </c>
      <c r="AD96" s="98">
        <f>IF(J96="Yes",AA96*Tab_Data_Flows[[#This Row],[WC_'[%']]],"N.A.")</f>
        <v>0</v>
      </c>
      <c r="AE96" s="58" t="str">
        <f>Tab_Data_Flows[[#This Row],[UoM_Flow_Py]]</f>
        <v>Mg</v>
      </c>
      <c r="AF96" s="97">
        <f>INDEX(Tab_Def_Flows[[Flow_ID]:[CC_DM_source]],MATCH(Tab_Data_Flows[[#This Row],[Name(EN)]],Tab_Def_Flows[Name(EN)],0),16)</f>
        <v>1</v>
      </c>
      <c r="AG96" s="98">
        <f>IF(K96="Yes",AF96*Tab_Data_Flows[[#This Row],[Flow_Py]],"N.A.")</f>
        <v>45</v>
      </c>
      <c r="AH96" s="58" t="str">
        <f>Tab_Data_Flows[[#This Row],[UoM_Flow_Py]]</f>
        <v>Mg</v>
      </c>
      <c r="AI96" s="97">
        <f>INDEX(Tab_Def_Flows[[Flow_ID]:[CC_DM_source]],MATCH(Tab_Data_Flows[[#This Row],[Name(EN)]],Tab_Def_Flows[Name(EN)],0),18)</f>
        <v>0.5</v>
      </c>
      <c r="AJ96" s="98">
        <f>IF(L96="Yes",AI96*Tab_Data_Flows[[#This Row],[Flow_Py]]*Tab_Data_Flows[[#This Row],[DM_'[%']]],"N.A.")</f>
        <v>22.5</v>
      </c>
      <c r="AK96" s="58" t="str">
        <f>Tab_Data_Flows[[#This Row],[UoM_Flow_Py]]</f>
        <v>Mg</v>
      </c>
    </row>
    <row r="97" spans="1:37" x14ac:dyDescent="0.3">
      <c r="A97" s="57">
        <f t="shared" si="4"/>
        <v>96</v>
      </c>
      <c r="B97" s="48" t="str">
        <f>_xlfn.XLOOKUP(C97,Tab_Def_Flows[Name(EN)],Tab_Def_Flows[Flow_ID],,0,)</f>
        <v>F_00_01</v>
      </c>
      <c r="C97" s="50" t="s">
        <v>107</v>
      </c>
      <c r="D97" s="48"/>
      <c r="E97" s="48" t="str">
        <f>_xlfn.XLOOKUP(C97,Tab_Def_Flows[Name(EN)],Tab_Def_Flows[Output_Process],,0,)</f>
        <v>Biosphere</v>
      </c>
      <c r="F97" s="48" t="str">
        <f>_xlfn.XLOOKUP(C97,Tab_Def_Flows[Name(EN)],Tab_Def_Flows[Process_ID_O],,0,)</f>
        <v>00_Bio_</v>
      </c>
      <c r="G97" s="48" t="str">
        <f>_xlfn.XLOOKUP(C97,Tab_Def_Flows[Name(EN)],Tab_Def_Flows[Input_Process],,0,)</f>
        <v>Raw Material Extraction</v>
      </c>
      <c r="H97" s="58" t="str">
        <f>_xlfn.XLOOKUP(C97,Tab_Def_Flows[Name(EN)],Tab_Def_Flows[Process_ID_I],,0,)</f>
        <v>01_Raw_</v>
      </c>
      <c r="I97" s="48">
        <f>_xlfn.XLOOKUP(C97,Tab_Def_Flows[Name(EN)],Tab_Def_Flows[Value_Source],,0,)</f>
        <v>0</v>
      </c>
      <c r="J97" s="48" t="str">
        <f>_xlfn.XLOOKUP(C97,Tab_Def_Flows[Name(EN)],Tab_Def_Flows[WC?],,0,)</f>
        <v>Yes</v>
      </c>
      <c r="K97" s="48" t="str">
        <f>_xlfn.XLOOKUP(C97,Tab_Def_Flows[Name(EN)],Tab_Def_Flows[DM?],,0,)</f>
        <v>Yes</v>
      </c>
      <c r="L97" s="48" t="str">
        <f>_xlfn.XLOOKUP(C97,Tab_Def_Flows[Name(EN)],Tab_Def_Flows[CC?],,0,)</f>
        <v>Yes</v>
      </c>
      <c r="M97" s="50">
        <v>2015</v>
      </c>
      <c r="N97" s="50"/>
      <c r="O97" s="104">
        <v>83.6</v>
      </c>
      <c r="P97" s="50" t="s">
        <v>85</v>
      </c>
      <c r="Q97" s="50"/>
      <c r="R97" s="50" t="e">
        <f>INDEX(Tab_WC_DM_CC[[Flow_ID]:[CC_source]],MATCH(Tab_Data_Flows[[#This Row],[Name(EN)]],Tab_WC_DM_CC[Name(EN)],0),12)</f>
        <v>#N/A</v>
      </c>
      <c r="S97" s="50" t="e">
        <f>MATCH(Tab_Data_Flows[[#This Row],[Name(EN)]],Tab_WC_DM_CC[Name(EN)],0)</f>
        <v>#N/A</v>
      </c>
      <c r="T97" s="50"/>
      <c r="U97" s="50"/>
      <c r="V97" s="50"/>
      <c r="W97" s="50"/>
      <c r="X97" s="50" t="s">
        <v>84</v>
      </c>
      <c r="Y97" s="50"/>
      <c r="Z97" s="50"/>
      <c r="AA97" s="77">
        <f t="shared" si="5"/>
        <v>83.6</v>
      </c>
      <c r="AB97" s="50" t="s">
        <v>85</v>
      </c>
      <c r="AC97" s="97">
        <f>INDEX(Tab_Def_Flows[[Flow_ID]:[CC_DM_source]],MATCH(Tab_Data_Flows[[#This Row],[Name(EN)]],Tab_Def_Flows[Name(EN)],0),14)</f>
        <v>0</v>
      </c>
      <c r="AD97" s="98">
        <f>IF(J97="Yes",AA97*Tab_Data_Flows[[#This Row],[WC_'[%']]],"N.A.")</f>
        <v>0</v>
      </c>
      <c r="AE97" s="58" t="str">
        <f>Tab_Data_Flows[[#This Row],[UoM_Flow_Py]]</f>
        <v>Mg</v>
      </c>
      <c r="AF97" s="97">
        <f>INDEX(Tab_Def_Flows[[Flow_ID]:[CC_DM_source]],MATCH(Tab_Data_Flows[[#This Row],[Name(EN)]],Tab_Def_Flows[Name(EN)],0),16)</f>
        <v>1</v>
      </c>
      <c r="AG97" s="98">
        <f>IF(K97="Yes",AF97*Tab_Data_Flows[[#This Row],[Flow_Py]],"N.A.")</f>
        <v>83.6</v>
      </c>
      <c r="AH97" s="58" t="str">
        <f>Tab_Data_Flows[[#This Row],[UoM_Flow_Py]]</f>
        <v>Mg</v>
      </c>
      <c r="AI97" s="97">
        <f>INDEX(Tab_Def_Flows[[Flow_ID]:[CC_DM_source]],MATCH(Tab_Data_Flows[[#This Row],[Name(EN)]],Tab_Def_Flows[Name(EN)],0),18)</f>
        <v>0.5</v>
      </c>
      <c r="AJ97" s="98">
        <f>IF(L97="Yes",AI97*Tab_Data_Flows[[#This Row],[Flow_Py]]*Tab_Data_Flows[[#This Row],[DM_'[%']]],"N.A.")</f>
        <v>41.8</v>
      </c>
      <c r="AK97" s="58" t="str">
        <f>Tab_Data_Flows[[#This Row],[UoM_Flow_Py]]</f>
        <v>Mg</v>
      </c>
    </row>
    <row r="98" spans="1:37" x14ac:dyDescent="0.3">
      <c r="A98" s="57">
        <f t="shared" si="4"/>
        <v>97</v>
      </c>
      <c r="B98" s="48" t="str">
        <f>_xlfn.XLOOKUP(C98,Tab_Def_Flows[Name(EN)],Tab_Def_Flows[Flow_ID],,0,)</f>
        <v>F_00_01</v>
      </c>
      <c r="C98" s="50" t="s">
        <v>107</v>
      </c>
      <c r="D98" s="48"/>
      <c r="E98" s="48" t="str">
        <f>_xlfn.XLOOKUP(C98,Tab_Def_Flows[Name(EN)],Tab_Def_Flows[Output_Process],,0,)</f>
        <v>Biosphere</v>
      </c>
      <c r="F98" s="48" t="str">
        <f>_xlfn.XLOOKUP(C98,Tab_Def_Flows[Name(EN)],Tab_Def_Flows[Process_ID_O],,0,)</f>
        <v>00_Bio_</v>
      </c>
      <c r="G98" s="48" t="str">
        <f>_xlfn.XLOOKUP(C98,Tab_Def_Flows[Name(EN)],Tab_Def_Flows[Input_Process],,0,)</f>
        <v>Raw Material Extraction</v>
      </c>
      <c r="H98" s="58" t="str">
        <f>_xlfn.XLOOKUP(C98,Tab_Def_Flows[Name(EN)],Tab_Def_Flows[Process_ID_I],,0,)</f>
        <v>01_Raw_</v>
      </c>
      <c r="I98" s="48">
        <f>_xlfn.XLOOKUP(C98,Tab_Def_Flows[Name(EN)],Tab_Def_Flows[Value_Source],,0,)</f>
        <v>0</v>
      </c>
      <c r="J98" s="48" t="str">
        <f>_xlfn.XLOOKUP(C98,Tab_Def_Flows[Name(EN)],Tab_Def_Flows[WC?],,0,)</f>
        <v>Yes</v>
      </c>
      <c r="K98" s="48" t="str">
        <f>_xlfn.XLOOKUP(C98,Tab_Def_Flows[Name(EN)],Tab_Def_Flows[DM?],,0,)</f>
        <v>Yes</v>
      </c>
      <c r="L98" s="48" t="str">
        <f>_xlfn.XLOOKUP(C98,Tab_Def_Flows[Name(EN)],Tab_Def_Flows[CC?],,0,)</f>
        <v>Yes</v>
      </c>
      <c r="M98" s="50">
        <v>2016</v>
      </c>
      <c r="N98" s="50"/>
      <c r="O98" s="104">
        <v>12.8</v>
      </c>
      <c r="P98" s="50" t="s">
        <v>85</v>
      </c>
      <c r="Q98" s="50"/>
      <c r="R98" s="50" t="e">
        <f>INDEX(Tab_WC_DM_CC[[Flow_ID]:[CC_source]],MATCH(Tab_Data_Flows[[#This Row],[Name(EN)]],Tab_WC_DM_CC[Name(EN)],0),12)</f>
        <v>#N/A</v>
      </c>
      <c r="S98" s="50" t="e">
        <f>MATCH(Tab_Data_Flows[[#This Row],[Name(EN)]],Tab_WC_DM_CC[Name(EN)],0)</f>
        <v>#N/A</v>
      </c>
      <c r="T98" s="50"/>
      <c r="U98" s="50"/>
      <c r="V98" s="50"/>
      <c r="W98" s="50"/>
      <c r="X98" s="50" t="s">
        <v>84</v>
      </c>
      <c r="Y98" s="50"/>
      <c r="Z98" s="50"/>
      <c r="AA98" s="77">
        <f t="shared" si="5"/>
        <v>12.8</v>
      </c>
      <c r="AB98" s="50" t="s">
        <v>85</v>
      </c>
      <c r="AC98" s="97">
        <f>INDEX(Tab_Def_Flows[[Flow_ID]:[CC_DM_source]],MATCH(Tab_Data_Flows[[#This Row],[Name(EN)]],Tab_Def_Flows[Name(EN)],0),14)</f>
        <v>0</v>
      </c>
      <c r="AD98" s="98">
        <f>IF(J98="Yes",AA98*Tab_Data_Flows[[#This Row],[WC_'[%']]],"N.A.")</f>
        <v>0</v>
      </c>
      <c r="AE98" s="58" t="str">
        <f>Tab_Data_Flows[[#This Row],[UoM_Flow_Py]]</f>
        <v>Mg</v>
      </c>
      <c r="AF98" s="97">
        <f>INDEX(Tab_Def_Flows[[Flow_ID]:[CC_DM_source]],MATCH(Tab_Data_Flows[[#This Row],[Name(EN)]],Tab_Def_Flows[Name(EN)],0),16)</f>
        <v>1</v>
      </c>
      <c r="AG98" s="98">
        <f>IF(K98="Yes",AF98*Tab_Data_Flows[[#This Row],[Flow_Py]],"N.A.")</f>
        <v>12.8</v>
      </c>
      <c r="AH98" s="58" t="str">
        <f>Tab_Data_Flows[[#This Row],[UoM_Flow_Py]]</f>
        <v>Mg</v>
      </c>
      <c r="AI98" s="97">
        <f>INDEX(Tab_Def_Flows[[Flow_ID]:[CC_DM_source]],MATCH(Tab_Data_Flows[[#This Row],[Name(EN)]],Tab_Def_Flows[Name(EN)],0),18)</f>
        <v>0.5</v>
      </c>
      <c r="AJ98" s="98">
        <f>IF(L98="Yes",AI98*Tab_Data_Flows[[#This Row],[Flow_Py]]*Tab_Data_Flows[[#This Row],[DM_'[%']]],"N.A.")</f>
        <v>6.4</v>
      </c>
      <c r="AK98" s="58" t="str">
        <f>Tab_Data_Flows[[#This Row],[UoM_Flow_Py]]</f>
        <v>Mg</v>
      </c>
    </row>
    <row r="99" spans="1:37" x14ac:dyDescent="0.3">
      <c r="A99" s="57">
        <f t="shared" si="4"/>
        <v>98</v>
      </c>
      <c r="B99" s="48" t="str">
        <f>_xlfn.XLOOKUP(C99,Tab_Def_Flows[Name(EN)],Tab_Def_Flows[Flow_ID],,0,)</f>
        <v>F_00_01</v>
      </c>
      <c r="C99" s="50" t="s">
        <v>107</v>
      </c>
      <c r="D99" s="48"/>
      <c r="E99" s="48" t="str">
        <f>_xlfn.XLOOKUP(C99,Tab_Def_Flows[Name(EN)],Tab_Def_Flows[Output_Process],,0,)</f>
        <v>Biosphere</v>
      </c>
      <c r="F99" s="48" t="str">
        <f>_xlfn.XLOOKUP(C99,Tab_Def_Flows[Name(EN)],Tab_Def_Flows[Process_ID_O],,0,)</f>
        <v>00_Bio_</v>
      </c>
      <c r="G99" s="48" t="str">
        <f>_xlfn.XLOOKUP(C99,Tab_Def_Flows[Name(EN)],Tab_Def_Flows[Input_Process],,0,)</f>
        <v>Raw Material Extraction</v>
      </c>
      <c r="H99" s="58" t="str">
        <f>_xlfn.XLOOKUP(C99,Tab_Def_Flows[Name(EN)],Tab_Def_Flows[Process_ID_I],,0,)</f>
        <v>01_Raw_</v>
      </c>
      <c r="I99" s="48">
        <f>_xlfn.XLOOKUP(C99,Tab_Def_Flows[Name(EN)],Tab_Def_Flows[Value_Source],,0,)</f>
        <v>0</v>
      </c>
      <c r="J99" s="48" t="str">
        <f>_xlfn.XLOOKUP(C99,Tab_Def_Flows[Name(EN)],Tab_Def_Flows[WC?],,0,)</f>
        <v>Yes</v>
      </c>
      <c r="K99" s="48" t="str">
        <f>_xlfn.XLOOKUP(C99,Tab_Def_Flows[Name(EN)],Tab_Def_Flows[DM?],,0,)</f>
        <v>Yes</v>
      </c>
      <c r="L99" s="48" t="str">
        <f>_xlfn.XLOOKUP(C99,Tab_Def_Flows[Name(EN)],Tab_Def_Flows[CC?],,0,)</f>
        <v>Yes</v>
      </c>
      <c r="M99" s="50">
        <v>2017</v>
      </c>
      <c r="N99" s="50"/>
      <c r="O99" s="104">
        <v>6.4</v>
      </c>
      <c r="P99" s="50" t="s">
        <v>85</v>
      </c>
      <c r="Q99" s="50"/>
      <c r="R99" s="50" t="e">
        <f>INDEX(Tab_WC_DM_CC[[Flow_ID]:[CC_source]],MATCH(Tab_Data_Flows[[#This Row],[Name(EN)]],Tab_WC_DM_CC[Name(EN)],0),12)</f>
        <v>#N/A</v>
      </c>
      <c r="S99" s="50" t="e">
        <f>MATCH(Tab_Data_Flows[[#This Row],[Name(EN)]],Tab_WC_DM_CC[Name(EN)],0)</f>
        <v>#N/A</v>
      </c>
      <c r="T99" s="50"/>
      <c r="U99" s="50"/>
      <c r="V99" s="50"/>
      <c r="W99" s="50"/>
      <c r="X99" s="50" t="s">
        <v>84</v>
      </c>
      <c r="Y99" s="50"/>
      <c r="Z99" s="50"/>
      <c r="AA99" s="77">
        <f t="shared" si="5"/>
        <v>6.4</v>
      </c>
      <c r="AB99" s="50" t="s">
        <v>85</v>
      </c>
      <c r="AC99" s="97">
        <f>INDEX(Tab_Def_Flows[[Flow_ID]:[CC_DM_source]],MATCH(Tab_Data_Flows[[#This Row],[Name(EN)]],Tab_Def_Flows[Name(EN)],0),14)</f>
        <v>0</v>
      </c>
      <c r="AD99" s="98">
        <f>IF(J99="Yes",AA99*Tab_Data_Flows[[#This Row],[WC_'[%']]],"N.A.")</f>
        <v>0</v>
      </c>
      <c r="AE99" s="58" t="str">
        <f>Tab_Data_Flows[[#This Row],[UoM_Flow_Py]]</f>
        <v>Mg</v>
      </c>
      <c r="AF99" s="97">
        <f>INDEX(Tab_Def_Flows[[Flow_ID]:[CC_DM_source]],MATCH(Tab_Data_Flows[[#This Row],[Name(EN)]],Tab_Def_Flows[Name(EN)],0),16)</f>
        <v>1</v>
      </c>
      <c r="AG99" s="98">
        <f>IF(K99="Yes",AF99*Tab_Data_Flows[[#This Row],[Flow_Py]],"N.A.")</f>
        <v>6.4</v>
      </c>
      <c r="AH99" s="58" t="str">
        <f>Tab_Data_Flows[[#This Row],[UoM_Flow_Py]]</f>
        <v>Mg</v>
      </c>
      <c r="AI99" s="97">
        <f>INDEX(Tab_Def_Flows[[Flow_ID]:[CC_DM_source]],MATCH(Tab_Data_Flows[[#This Row],[Name(EN)]],Tab_Def_Flows[Name(EN)],0),18)</f>
        <v>0.5</v>
      </c>
      <c r="AJ99" s="98">
        <f>IF(L99="Yes",AI99*Tab_Data_Flows[[#This Row],[Flow_Py]]*Tab_Data_Flows[[#This Row],[DM_'[%']]],"N.A.")</f>
        <v>3.2</v>
      </c>
      <c r="AK99" s="58" t="str">
        <f>Tab_Data_Flows[[#This Row],[UoM_Flow_Py]]</f>
        <v>Mg</v>
      </c>
    </row>
    <row r="100" spans="1:37" x14ac:dyDescent="0.3">
      <c r="A100" s="57">
        <f t="shared" si="4"/>
        <v>99</v>
      </c>
      <c r="B100" s="48" t="str">
        <f>_xlfn.XLOOKUP(C100,Tab_Def_Flows[Name(EN)],Tab_Def_Flows[Flow_ID],,0,)</f>
        <v>F_00_01</v>
      </c>
      <c r="C100" s="50" t="s">
        <v>107</v>
      </c>
      <c r="D100" s="48"/>
      <c r="E100" s="48" t="str">
        <f>_xlfn.XLOOKUP(C100,Tab_Def_Flows[Name(EN)],Tab_Def_Flows[Output_Process],,0,)</f>
        <v>Biosphere</v>
      </c>
      <c r="F100" s="48" t="str">
        <f>_xlfn.XLOOKUP(C100,Tab_Def_Flows[Name(EN)],Tab_Def_Flows[Process_ID_O],,0,)</f>
        <v>00_Bio_</v>
      </c>
      <c r="G100" s="48" t="str">
        <f>_xlfn.XLOOKUP(C100,Tab_Def_Flows[Name(EN)],Tab_Def_Flows[Input_Process],,0,)</f>
        <v>Raw Material Extraction</v>
      </c>
      <c r="H100" s="58" t="str">
        <f>_xlfn.XLOOKUP(C100,Tab_Def_Flows[Name(EN)],Tab_Def_Flows[Process_ID_I],,0,)</f>
        <v>01_Raw_</v>
      </c>
      <c r="I100" s="48">
        <f>_xlfn.XLOOKUP(C100,Tab_Def_Flows[Name(EN)],Tab_Def_Flows[Value_Source],,0,)</f>
        <v>0</v>
      </c>
      <c r="J100" s="48" t="str">
        <f>_xlfn.XLOOKUP(C100,Tab_Def_Flows[Name(EN)],Tab_Def_Flows[WC?],,0,)</f>
        <v>Yes</v>
      </c>
      <c r="K100" s="48" t="str">
        <f>_xlfn.XLOOKUP(C100,Tab_Def_Flows[Name(EN)],Tab_Def_Flows[DM?],,0,)</f>
        <v>Yes</v>
      </c>
      <c r="L100" s="48" t="str">
        <f>_xlfn.XLOOKUP(C100,Tab_Def_Flows[Name(EN)],Tab_Def_Flows[CC?],,0,)</f>
        <v>Yes</v>
      </c>
      <c r="M100" s="50">
        <v>2018</v>
      </c>
      <c r="N100" s="50"/>
      <c r="O100" s="104">
        <v>25.8</v>
      </c>
      <c r="P100" s="50" t="s">
        <v>85</v>
      </c>
      <c r="Q100" s="50"/>
      <c r="R100" s="50" t="e">
        <f>INDEX(Tab_WC_DM_CC[[Flow_ID]:[CC_source]],MATCH(Tab_Data_Flows[[#This Row],[Name(EN)]],Tab_WC_DM_CC[Name(EN)],0),12)</f>
        <v>#N/A</v>
      </c>
      <c r="S100" s="50" t="e">
        <f>MATCH(Tab_Data_Flows[[#This Row],[Name(EN)]],Tab_WC_DM_CC[Name(EN)],0)</f>
        <v>#N/A</v>
      </c>
      <c r="T100" s="50"/>
      <c r="U100" s="50"/>
      <c r="V100" s="50"/>
      <c r="W100" s="50"/>
      <c r="X100" s="50" t="s">
        <v>84</v>
      </c>
      <c r="Y100" s="50"/>
      <c r="Z100" s="50"/>
      <c r="AA100" s="77">
        <f t="shared" si="5"/>
        <v>25.8</v>
      </c>
      <c r="AB100" s="50" t="s">
        <v>85</v>
      </c>
      <c r="AC100" s="97">
        <f>INDEX(Tab_Def_Flows[[Flow_ID]:[CC_DM_source]],MATCH(Tab_Data_Flows[[#This Row],[Name(EN)]],Tab_Def_Flows[Name(EN)],0),14)</f>
        <v>0</v>
      </c>
      <c r="AD100" s="98">
        <f>IF(J100="Yes",AA100*Tab_Data_Flows[[#This Row],[WC_'[%']]],"N.A.")</f>
        <v>0</v>
      </c>
      <c r="AE100" s="58" t="str">
        <f>Tab_Data_Flows[[#This Row],[UoM_Flow_Py]]</f>
        <v>Mg</v>
      </c>
      <c r="AF100" s="97">
        <f>INDEX(Tab_Def_Flows[[Flow_ID]:[CC_DM_source]],MATCH(Tab_Data_Flows[[#This Row],[Name(EN)]],Tab_Def_Flows[Name(EN)],0),16)</f>
        <v>1</v>
      </c>
      <c r="AG100" s="98">
        <f>IF(K100="Yes",AF100*Tab_Data_Flows[[#This Row],[Flow_Py]],"N.A.")</f>
        <v>25.8</v>
      </c>
      <c r="AH100" s="58" t="str">
        <f>Tab_Data_Flows[[#This Row],[UoM_Flow_Py]]</f>
        <v>Mg</v>
      </c>
      <c r="AI100" s="97">
        <f>INDEX(Tab_Def_Flows[[Flow_ID]:[CC_DM_source]],MATCH(Tab_Data_Flows[[#This Row],[Name(EN)]],Tab_Def_Flows[Name(EN)],0),18)</f>
        <v>0.5</v>
      </c>
      <c r="AJ100" s="98">
        <f>IF(L100="Yes",AI100*Tab_Data_Flows[[#This Row],[Flow_Py]]*Tab_Data_Flows[[#This Row],[DM_'[%']]],"N.A.")</f>
        <v>12.9</v>
      </c>
      <c r="AK100" s="58" t="str">
        <f>Tab_Data_Flows[[#This Row],[UoM_Flow_Py]]</f>
        <v>Mg</v>
      </c>
    </row>
    <row r="101" spans="1:37" x14ac:dyDescent="0.3">
      <c r="A101" s="57">
        <f t="shared" si="4"/>
        <v>100</v>
      </c>
      <c r="B101" s="48" t="str">
        <f>_xlfn.XLOOKUP(C101,Tab_Def_Flows[Name(EN)],Tab_Def_Flows[Flow_ID],,0,)</f>
        <v>F_00_01</v>
      </c>
      <c r="C101" s="50" t="s">
        <v>107</v>
      </c>
      <c r="D101" s="48"/>
      <c r="E101" s="48" t="str">
        <f>_xlfn.XLOOKUP(C101,Tab_Def_Flows[Name(EN)],Tab_Def_Flows[Output_Process],,0,)</f>
        <v>Biosphere</v>
      </c>
      <c r="F101" s="48" t="str">
        <f>_xlfn.XLOOKUP(C101,Tab_Def_Flows[Name(EN)],Tab_Def_Flows[Process_ID_O],,0,)</f>
        <v>00_Bio_</v>
      </c>
      <c r="G101" s="48" t="str">
        <f>_xlfn.XLOOKUP(C101,Tab_Def_Flows[Name(EN)],Tab_Def_Flows[Input_Process],,0,)</f>
        <v>Raw Material Extraction</v>
      </c>
      <c r="H101" s="58" t="str">
        <f>_xlfn.XLOOKUP(C101,Tab_Def_Flows[Name(EN)],Tab_Def_Flows[Process_ID_I],,0,)</f>
        <v>01_Raw_</v>
      </c>
      <c r="I101" s="48">
        <f>_xlfn.XLOOKUP(C101,Tab_Def_Flows[Name(EN)],Tab_Def_Flows[Value_Source],,0,)</f>
        <v>0</v>
      </c>
      <c r="J101" s="48" t="str">
        <f>_xlfn.XLOOKUP(C101,Tab_Def_Flows[Name(EN)],Tab_Def_Flows[WC?],,0,)</f>
        <v>Yes</v>
      </c>
      <c r="K101" s="48" t="str">
        <f>_xlfn.XLOOKUP(C101,Tab_Def_Flows[Name(EN)],Tab_Def_Flows[DM?],,0,)</f>
        <v>Yes</v>
      </c>
      <c r="L101" s="48" t="str">
        <f>_xlfn.XLOOKUP(C101,Tab_Def_Flows[Name(EN)],Tab_Def_Flows[CC?],,0,)</f>
        <v>Yes</v>
      </c>
      <c r="M101" s="50">
        <v>2019</v>
      </c>
      <c r="N101" s="50"/>
      <c r="O101" s="104">
        <v>19.2</v>
      </c>
      <c r="P101" s="50" t="s">
        <v>85</v>
      </c>
      <c r="Q101" s="50"/>
      <c r="R101" s="50" t="e">
        <f>INDEX(Tab_WC_DM_CC[[Flow_ID]:[CC_source]],MATCH(Tab_Data_Flows[[#This Row],[Name(EN)]],Tab_WC_DM_CC[Name(EN)],0),12)</f>
        <v>#N/A</v>
      </c>
      <c r="S101" s="50" t="e">
        <f>MATCH(Tab_Data_Flows[[#This Row],[Name(EN)]],Tab_WC_DM_CC[Name(EN)],0)</f>
        <v>#N/A</v>
      </c>
      <c r="T101" s="50"/>
      <c r="U101" s="50"/>
      <c r="V101" s="50"/>
      <c r="W101" s="50"/>
      <c r="X101" s="50" t="s">
        <v>84</v>
      </c>
      <c r="Y101" s="50"/>
      <c r="Z101" s="50"/>
      <c r="AA101" s="77">
        <f t="shared" si="5"/>
        <v>19.2</v>
      </c>
      <c r="AB101" s="50" t="s">
        <v>85</v>
      </c>
      <c r="AC101" s="97">
        <f>INDEX(Tab_Def_Flows[[Flow_ID]:[CC_DM_source]],MATCH(Tab_Data_Flows[[#This Row],[Name(EN)]],Tab_Def_Flows[Name(EN)],0),14)</f>
        <v>0</v>
      </c>
      <c r="AD101" s="98">
        <f>IF(J101="Yes",AA101*Tab_Data_Flows[[#This Row],[WC_'[%']]],"N.A.")</f>
        <v>0</v>
      </c>
      <c r="AE101" s="58" t="str">
        <f>Tab_Data_Flows[[#This Row],[UoM_Flow_Py]]</f>
        <v>Mg</v>
      </c>
      <c r="AF101" s="97">
        <f>INDEX(Tab_Def_Flows[[Flow_ID]:[CC_DM_source]],MATCH(Tab_Data_Flows[[#This Row],[Name(EN)]],Tab_Def_Flows[Name(EN)],0),16)</f>
        <v>1</v>
      </c>
      <c r="AG101" s="98">
        <f>IF(K101="Yes",AF101*Tab_Data_Flows[[#This Row],[Flow_Py]],"N.A.")</f>
        <v>19.2</v>
      </c>
      <c r="AH101" s="58" t="str">
        <f>Tab_Data_Flows[[#This Row],[UoM_Flow_Py]]</f>
        <v>Mg</v>
      </c>
      <c r="AI101" s="97">
        <f>INDEX(Tab_Def_Flows[[Flow_ID]:[CC_DM_source]],MATCH(Tab_Data_Flows[[#This Row],[Name(EN)]],Tab_Def_Flows[Name(EN)],0),18)</f>
        <v>0.5</v>
      </c>
      <c r="AJ101" s="98">
        <f>IF(L101="Yes",AI101*Tab_Data_Flows[[#This Row],[Flow_Py]]*Tab_Data_Flows[[#This Row],[DM_'[%']]],"N.A.")</f>
        <v>9.6</v>
      </c>
      <c r="AK101" s="58" t="str">
        <f>Tab_Data_Flows[[#This Row],[UoM_Flow_Py]]</f>
        <v>Mg</v>
      </c>
    </row>
    <row r="102" spans="1:37" x14ac:dyDescent="0.3">
      <c r="A102" s="57">
        <f t="shared" si="4"/>
        <v>101</v>
      </c>
      <c r="B102" s="48" t="str">
        <f>_xlfn.XLOOKUP(C102,Tab_Def_Flows[Name(EN)],Tab_Def_Flows[Flow_ID],,0,)</f>
        <v>F_00_01</v>
      </c>
      <c r="C102" s="50" t="s">
        <v>107</v>
      </c>
      <c r="D102" s="48"/>
      <c r="E102" s="48" t="str">
        <f>_xlfn.XLOOKUP(C102,Tab_Def_Flows[Name(EN)],Tab_Def_Flows[Output_Process],,0,)</f>
        <v>Biosphere</v>
      </c>
      <c r="F102" s="48" t="str">
        <f>_xlfn.XLOOKUP(C102,Tab_Def_Flows[Name(EN)],Tab_Def_Flows[Process_ID_O],,0,)</f>
        <v>00_Bio_</v>
      </c>
      <c r="G102" s="48" t="str">
        <f>_xlfn.XLOOKUP(C102,Tab_Def_Flows[Name(EN)],Tab_Def_Flows[Input_Process],,0,)</f>
        <v>Raw Material Extraction</v>
      </c>
      <c r="H102" s="58" t="str">
        <f>_xlfn.XLOOKUP(C102,Tab_Def_Flows[Name(EN)],Tab_Def_Flows[Process_ID_I],,0,)</f>
        <v>01_Raw_</v>
      </c>
      <c r="I102" s="48">
        <f>_xlfn.XLOOKUP(C102,Tab_Def_Flows[Name(EN)],Tab_Def_Flows[Value_Source],,0,)</f>
        <v>0</v>
      </c>
      <c r="J102" s="48" t="str">
        <f>_xlfn.XLOOKUP(C102,Tab_Def_Flows[Name(EN)],Tab_Def_Flows[WC?],,0,)</f>
        <v>Yes</v>
      </c>
      <c r="K102" s="48" t="str">
        <f>_xlfn.XLOOKUP(C102,Tab_Def_Flows[Name(EN)],Tab_Def_Flows[DM?],,0,)</f>
        <v>Yes</v>
      </c>
      <c r="L102" s="48" t="str">
        <f>_xlfn.XLOOKUP(C102,Tab_Def_Flows[Name(EN)],Tab_Def_Flows[CC?],,0,)</f>
        <v>Yes</v>
      </c>
      <c r="M102" s="50">
        <v>2020</v>
      </c>
      <c r="N102" s="50"/>
      <c r="O102" s="104">
        <v>32.200000000000003</v>
      </c>
      <c r="P102" s="50" t="s">
        <v>85</v>
      </c>
      <c r="Q102" s="50"/>
      <c r="R102" s="50" t="e">
        <f>INDEX(Tab_WC_DM_CC[[Flow_ID]:[CC_source]],MATCH(Tab_Data_Flows[[#This Row],[Name(EN)]],Tab_WC_DM_CC[Name(EN)],0),12)</f>
        <v>#N/A</v>
      </c>
      <c r="S102" s="50" t="e">
        <f>MATCH(Tab_Data_Flows[[#This Row],[Name(EN)]],Tab_WC_DM_CC[Name(EN)],0)</f>
        <v>#N/A</v>
      </c>
      <c r="T102" s="50"/>
      <c r="U102" s="50"/>
      <c r="V102" s="50"/>
      <c r="W102" s="50"/>
      <c r="X102" s="50" t="s">
        <v>84</v>
      </c>
      <c r="Y102" s="50"/>
      <c r="Z102" s="50"/>
      <c r="AA102" s="77">
        <f t="shared" si="5"/>
        <v>32.200000000000003</v>
      </c>
      <c r="AB102" s="50" t="s">
        <v>85</v>
      </c>
      <c r="AC102" s="97">
        <f>INDEX(Tab_Def_Flows[[Flow_ID]:[CC_DM_source]],MATCH(Tab_Data_Flows[[#This Row],[Name(EN)]],Tab_Def_Flows[Name(EN)],0),14)</f>
        <v>0</v>
      </c>
      <c r="AD102" s="98">
        <f>IF(J102="Yes",AA102*Tab_Data_Flows[[#This Row],[WC_'[%']]],"N.A.")</f>
        <v>0</v>
      </c>
      <c r="AE102" s="58" t="str">
        <f>Tab_Data_Flows[[#This Row],[UoM_Flow_Py]]</f>
        <v>Mg</v>
      </c>
      <c r="AF102" s="97">
        <f>INDEX(Tab_Def_Flows[[Flow_ID]:[CC_DM_source]],MATCH(Tab_Data_Flows[[#This Row],[Name(EN)]],Tab_Def_Flows[Name(EN)],0),16)</f>
        <v>1</v>
      </c>
      <c r="AG102" s="98">
        <f>IF(K102="Yes",AF102*Tab_Data_Flows[[#This Row],[Flow_Py]],"N.A.")</f>
        <v>32.200000000000003</v>
      </c>
      <c r="AH102" s="58" t="str">
        <f>Tab_Data_Flows[[#This Row],[UoM_Flow_Py]]</f>
        <v>Mg</v>
      </c>
      <c r="AI102" s="97">
        <f>INDEX(Tab_Def_Flows[[Flow_ID]:[CC_DM_source]],MATCH(Tab_Data_Flows[[#This Row],[Name(EN)]],Tab_Def_Flows[Name(EN)],0),18)</f>
        <v>0.5</v>
      </c>
      <c r="AJ102" s="98">
        <f>IF(L102="Yes",AI102*Tab_Data_Flows[[#This Row],[Flow_Py]]*Tab_Data_Flows[[#This Row],[DM_'[%']]],"N.A.")</f>
        <v>16.100000000000001</v>
      </c>
      <c r="AK102" s="58" t="str">
        <f>Tab_Data_Flows[[#This Row],[UoM_Flow_Py]]</f>
        <v>Mg</v>
      </c>
    </row>
    <row r="103" spans="1:37" x14ac:dyDescent="0.3">
      <c r="A103" s="57">
        <f t="shared" si="4"/>
        <v>102</v>
      </c>
      <c r="B103" s="48" t="str">
        <f>_xlfn.XLOOKUP(C103,Tab_Def_Flows[Name(EN)],Tab_Def_Flows[Flow_ID],,0,)</f>
        <v>F_00_01</v>
      </c>
      <c r="C103" s="50" t="s">
        <v>107</v>
      </c>
      <c r="D103" s="48"/>
      <c r="E103" s="48" t="str">
        <f>_xlfn.XLOOKUP(C103,Tab_Def_Flows[Name(EN)],Tab_Def_Flows[Output_Process],,0,)</f>
        <v>Biosphere</v>
      </c>
      <c r="F103" s="48" t="str">
        <f>_xlfn.XLOOKUP(C103,Tab_Def_Flows[Name(EN)],Tab_Def_Flows[Process_ID_O],,0,)</f>
        <v>00_Bio_</v>
      </c>
      <c r="G103" s="48" t="str">
        <f>_xlfn.XLOOKUP(C103,Tab_Def_Flows[Name(EN)],Tab_Def_Flows[Input_Process],,0,)</f>
        <v>Raw Material Extraction</v>
      </c>
      <c r="H103" s="58" t="str">
        <f>_xlfn.XLOOKUP(C103,Tab_Def_Flows[Name(EN)],Tab_Def_Flows[Process_ID_I],,0,)</f>
        <v>01_Raw_</v>
      </c>
      <c r="I103" s="48">
        <f>_xlfn.XLOOKUP(C103,Tab_Def_Flows[Name(EN)],Tab_Def_Flows[Value_Source],,0,)</f>
        <v>0</v>
      </c>
      <c r="J103" s="48" t="str">
        <f>_xlfn.XLOOKUP(C103,Tab_Def_Flows[Name(EN)],Tab_Def_Flows[WC?],,0,)</f>
        <v>Yes</v>
      </c>
      <c r="K103" s="48" t="str">
        <f>_xlfn.XLOOKUP(C103,Tab_Def_Flows[Name(EN)],Tab_Def_Flows[DM?],,0,)</f>
        <v>Yes</v>
      </c>
      <c r="L103" s="48" t="str">
        <f>_xlfn.XLOOKUP(C103,Tab_Def_Flows[Name(EN)],Tab_Def_Flows[CC?],,0,)</f>
        <v>Yes</v>
      </c>
      <c r="M103" s="50">
        <v>2021</v>
      </c>
      <c r="N103" s="50"/>
      <c r="O103" s="104">
        <v>12.8</v>
      </c>
      <c r="P103" s="50" t="s">
        <v>85</v>
      </c>
      <c r="Q103" s="50"/>
      <c r="R103" s="50" t="e">
        <f>INDEX(Tab_WC_DM_CC[[Flow_ID]:[CC_source]],MATCH(Tab_Data_Flows[[#This Row],[Name(EN)]],Tab_WC_DM_CC[Name(EN)],0),12)</f>
        <v>#N/A</v>
      </c>
      <c r="S103" s="50" t="e">
        <f>MATCH(Tab_Data_Flows[[#This Row],[Name(EN)]],Tab_WC_DM_CC[Name(EN)],0)</f>
        <v>#N/A</v>
      </c>
      <c r="T103" s="50"/>
      <c r="U103" s="50"/>
      <c r="V103" s="50"/>
      <c r="W103" s="50"/>
      <c r="X103" s="50" t="s">
        <v>84</v>
      </c>
      <c r="Y103" s="50"/>
      <c r="Z103" s="50"/>
      <c r="AA103" s="77">
        <f t="shared" si="5"/>
        <v>12.8</v>
      </c>
      <c r="AB103" s="50" t="s">
        <v>85</v>
      </c>
      <c r="AC103" s="97">
        <f>INDEX(Tab_Def_Flows[[Flow_ID]:[CC_DM_source]],MATCH(Tab_Data_Flows[[#This Row],[Name(EN)]],Tab_Def_Flows[Name(EN)],0),14)</f>
        <v>0</v>
      </c>
      <c r="AD103" s="98">
        <f>IF(J103="Yes",AA103*Tab_Data_Flows[[#This Row],[WC_'[%']]],"N.A.")</f>
        <v>0</v>
      </c>
      <c r="AE103" s="58" t="str">
        <f>Tab_Data_Flows[[#This Row],[UoM_Flow_Py]]</f>
        <v>Mg</v>
      </c>
      <c r="AF103" s="97">
        <f>INDEX(Tab_Def_Flows[[Flow_ID]:[CC_DM_source]],MATCH(Tab_Data_Flows[[#This Row],[Name(EN)]],Tab_Def_Flows[Name(EN)],0),16)</f>
        <v>1</v>
      </c>
      <c r="AG103" s="98">
        <f>IF(K103="Yes",AF103*Tab_Data_Flows[[#This Row],[Flow_Py]],"N.A.")</f>
        <v>12.8</v>
      </c>
      <c r="AH103" s="58" t="str">
        <f>Tab_Data_Flows[[#This Row],[UoM_Flow_Py]]</f>
        <v>Mg</v>
      </c>
      <c r="AI103" s="97">
        <f>INDEX(Tab_Def_Flows[[Flow_ID]:[CC_DM_source]],MATCH(Tab_Data_Flows[[#This Row],[Name(EN)]],Tab_Def_Flows[Name(EN)],0),18)</f>
        <v>0.5</v>
      </c>
      <c r="AJ103" s="98">
        <f>IF(L103="Yes",AI103*Tab_Data_Flows[[#This Row],[Flow_Py]]*Tab_Data_Flows[[#This Row],[DM_'[%']]],"N.A.")</f>
        <v>6.4</v>
      </c>
      <c r="AK103" s="58" t="str">
        <f>Tab_Data_Flows[[#This Row],[UoM_Flow_Py]]</f>
        <v>Mg</v>
      </c>
    </row>
    <row r="104" spans="1:37" x14ac:dyDescent="0.3">
      <c r="A104" s="57">
        <f t="shared" si="4"/>
        <v>103</v>
      </c>
      <c r="B104" s="48" t="str">
        <f>_xlfn.XLOOKUP(C104,Tab_Def_Flows[Name(EN)],Tab_Def_Flows[Flow_ID],,0,)</f>
        <v>F_00_01</v>
      </c>
      <c r="C104" s="50" t="s">
        <v>107</v>
      </c>
      <c r="D104" s="48"/>
      <c r="E104" s="48" t="str">
        <f>_xlfn.XLOOKUP(C104,Tab_Def_Flows[Name(EN)],Tab_Def_Flows[Output_Process],,0,)</f>
        <v>Biosphere</v>
      </c>
      <c r="F104" s="48" t="str">
        <f>_xlfn.XLOOKUP(C104,Tab_Def_Flows[Name(EN)],Tab_Def_Flows[Process_ID_O],,0,)</f>
        <v>00_Bio_</v>
      </c>
      <c r="G104" s="48" t="str">
        <f>_xlfn.XLOOKUP(C104,Tab_Def_Flows[Name(EN)],Tab_Def_Flows[Input_Process],,0,)</f>
        <v>Raw Material Extraction</v>
      </c>
      <c r="H104" s="58" t="str">
        <f>_xlfn.XLOOKUP(C104,Tab_Def_Flows[Name(EN)],Tab_Def_Flows[Process_ID_I],,0,)</f>
        <v>01_Raw_</v>
      </c>
      <c r="I104" s="48">
        <f>_xlfn.XLOOKUP(C104,Tab_Def_Flows[Name(EN)],Tab_Def_Flows[Value_Source],,0,)</f>
        <v>0</v>
      </c>
      <c r="J104" s="48" t="str">
        <f>_xlfn.XLOOKUP(C104,Tab_Def_Flows[Name(EN)],Tab_Def_Flows[WC?],,0,)</f>
        <v>Yes</v>
      </c>
      <c r="K104" s="48" t="str">
        <f>_xlfn.XLOOKUP(C104,Tab_Def_Flows[Name(EN)],Tab_Def_Flows[DM?],,0,)</f>
        <v>Yes</v>
      </c>
      <c r="L104" s="48" t="str">
        <f>_xlfn.XLOOKUP(C104,Tab_Def_Flows[Name(EN)],Tab_Def_Flows[CC?],,0,)</f>
        <v>Yes</v>
      </c>
      <c r="M104" s="50">
        <v>2022</v>
      </c>
      <c r="N104" s="50"/>
      <c r="O104" s="104">
        <v>19.2</v>
      </c>
      <c r="P104" s="50" t="s">
        <v>85</v>
      </c>
      <c r="Q104" s="50"/>
      <c r="R104" s="50" t="e">
        <f>INDEX(Tab_WC_DM_CC[[Flow_ID]:[CC_source]],MATCH(Tab_Data_Flows[[#This Row],[Name(EN)]],Tab_WC_DM_CC[Name(EN)],0),12)</f>
        <v>#N/A</v>
      </c>
      <c r="S104" s="50" t="e">
        <f>MATCH(Tab_Data_Flows[[#This Row],[Name(EN)]],Tab_WC_DM_CC[Name(EN)],0)</f>
        <v>#N/A</v>
      </c>
      <c r="T104" s="50"/>
      <c r="U104" s="50"/>
      <c r="V104" s="50"/>
      <c r="W104" s="50"/>
      <c r="X104" s="50" t="s">
        <v>84</v>
      </c>
      <c r="Y104" s="50"/>
      <c r="Z104" s="50"/>
      <c r="AA104" s="77">
        <f t="shared" si="5"/>
        <v>19.2</v>
      </c>
      <c r="AB104" s="50" t="s">
        <v>85</v>
      </c>
      <c r="AC104" s="97">
        <f>INDEX(Tab_Def_Flows[[Flow_ID]:[CC_DM_source]],MATCH(Tab_Data_Flows[[#This Row],[Name(EN)]],Tab_Def_Flows[Name(EN)],0),14)</f>
        <v>0</v>
      </c>
      <c r="AD104" s="98">
        <f>IF(J104="Yes",AA104*Tab_Data_Flows[[#This Row],[WC_'[%']]],"N.A.")</f>
        <v>0</v>
      </c>
      <c r="AE104" s="58" t="str">
        <f>Tab_Data_Flows[[#This Row],[UoM_Flow_Py]]</f>
        <v>Mg</v>
      </c>
      <c r="AF104" s="97">
        <f>INDEX(Tab_Def_Flows[[Flow_ID]:[CC_DM_source]],MATCH(Tab_Data_Flows[[#This Row],[Name(EN)]],Tab_Def_Flows[Name(EN)],0),16)</f>
        <v>1</v>
      </c>
      <c r="AG104" s="98">
        <f>IF(K104="Yes",AF104*Tab_Data_Flows[[#This Row],[Flow_Py]],"N.A.")</f>
        <v>19.2</v>
      </c>
      <c r="AH104" s="58" t="str">
        <f>Tab_Data_Flows[[#This Row],[UoM_Flow_Py]]</f>
        <v>Mg</v>
      </c>
      <c r="AI104" s="97">
        <f>INDEX(Tab_Def_Flows[[Flow_ID]:[CC_DM_source]],MATCH(Tab_Data_Flows[[#This Row],[Name(EN)]],Tab_Def_Flows[Name(EN)],0),18)</f>
        <v>0.5</v>
      </c>
      <c r="AJ104" s="98">
        <f>IF(L104="Yes",AI104*Tab_Data_Flows[[#This Row],[Flow_Py]]*Tab_Data_Flows[[#This Row],[DM_'[%']]],"N.A.")</f>
        <v>9.6</v>
      </c>
      <c r="AK104" s="58" t="str">
        <f>Tab_Data_Flows[[#This Row],[UoM_Flow_Py]]</f>
        <v>Mg</v>
      </c>
    </row>
    <row r="105" spans="1:37" x14ac:dyDescent="0.3">
      <c r="A105" s="57">
        <f t="shared" si="4"/>
        <v>104</v>
      </c>
      <c r="B105" s="48" t="str">
        <f>_xlfn.XLOOKUP(C105,Tab_Def_Flows[Name(EN)],Tab_Def_Flows[Flow_ID],,0,)</f>
        <v>F_00_01</v>
      </c>
      <c r="C105" s="50" t="s">
        <v>107</v>
      </c>
      <c r="D105" s="48"/>
      <c r="E105" s="48" t="str">
        <f>_xlfn.XLOOKUP(C105,Tab_Def_Flows[Name(EN)],Tab_Def_Flows[Output_Process],,0,)</f>
        <v>Biosphere</v>
      </c>
      <c r="F105" s="48" t="str">
        <f>_xlfn.XLOOKUP(C105,Tab_Def_Flows[Name(EN)],Tab_Def_Flows[Process_ID_O],,0,)</f>
        <v>00_Bio_</v>
      </c>
      <c r="G105" s="48" t="str">
        <f>_xlfn.XLOOKUP(C105,Tab_Def_Flows[Name(EN)],Tab_Def_Flows[Input_Process],,0,)</f>
        <v>Raw Material Extraction</v>
      </c>
      <c r="H105" s="58" t="str">
        <f>_xlfn.XLOOKUP(C105,Tab_Def_Flows[Name(EN)],Tab_Def_Flows[Process_ID_I],,0,)</f>
        <v>01_Raw_</v>
      </c>
      <c r="I105" s="48">
        <f>_xlfn.XLOOKUP(C105,Tab_Def_Flows[Name(EN)],Tab_Def_Flows[Value_Source],,0,)</f>
        <v>0</v>
      </c>
      <c r="J105" s="48" t="str">
        <f>_xlfn.XLOOKUP(C105,Tab_Def_Flows[Name(EN)],Tab_Def_Flows[WC?],,0,)</f>
        <v>Yes</v>
      </c>
      <c r="K105" s="48" t="str">
        <f>_xlfn.XLOOKUP(C105,Tab_Def_Flows[Name(EN)],Tab_Def_Flows[DM?],,0,)</f>
        <v>Yes</v>
      </c>
      <c r="L105" s="48" t="str">
        <f>_xlfn.XLOOKUP(C105,Tab_Def_Flows[Name(EN)],Tab_Def_Flows[CC?],,0,)</f>
        <v>Yes</v>
      </c>
      <c r="M105" s="50">
        <v>2023</v>
      </c>
      <c r="N105" s="50"/>
      <c r="O105" s="104">
        <v>12.8</v>
      </c>
      <c r="P105" s="50" t="s">
        <v>85</v>
      </c>
      <c r="Q105" s="50"/>
      <c r="R105" s="50" t="e">
        <f>INDEX(Tab_WC_DM_CC[[Flow_ID]:[CC_source]],MATCH(Tab_Data_Flows[[#This Row],[Name(EN)]],Tab_WC_DM_CC[Name(EN)],0),12)</f>
        <v>#N/A</v>
      </c>
      <c r="S105" s="50" t="e">
        <f>MATCH(Tab_Data_Flows[[#This Row],[Name(EN)]],Tab_WC_DM_CC[Name(EN)],0)</f>
        <v>#N/A</v>
      </c>
      <c r="T105" s="50"/>
      <c r="U105" s="50"/>
      <c r="V105" s="50"/>
      <c r="W105" s="50"/>
      <c r="X105" s="50" t="s">
        <v>84</v>
      </c>
      <c r="Y105" s="50"/>
      <c r="Z105" s="50"/>
      <c r="AA105" s="77">
        <f t="shared" si="5"/>
        <v>12.8</v>
      </c>
      <c r="AB105" s="50" t="s">
        <v>85</v>
      </c>
      <c r="AC105" s="97">
        <f>INDEX(Tab_Def_Flows[[Flow_ID]:[CC_DM_source]],MATCH(Tab_Data_Flows[[#This Row],[Name(EN)]],Tab_Def_Flows[Name(EN)],0),14)</f>
        <v>0</v>
      </c>
      <c r="AD105" s="98">
        <f>IF(J105="Yes",AA105*Tab_Data_Flows[[#This Row],[WC_'[%']]],"N.A.")</f>
        <v>0</v>
      </c>
      <c r="AE105" s="58" t="str">
        <f>Tab_Data_Flows[[#This Row],[UoM_Flow_Py]]</f>
        <v>Mg</v>
      </c>
      <c r="AF105" s="97">
        <f>INDEX(Tab_Def_Flows[[Flow_ID]:[CC_DM_source]],MATCH(Tab_Data_Flows[[#This Row],[Name(EN)]],Tab_Def_Flows[Name(EN)],0),16)</f>
        <v>1</v>
      </c>
      <c r="AG105" s="98">
        <f>IF(K105="Yes",AF105*Tab_Data_Flows[[#This Row],[Flow_Py]],"N.A.")</f>
        <v>12.8</v>
      </c>
      <c r="AH105" s="58" t="str">
        <f>Tab_Data_Flows[[#This Row],[UoM_Flow_Py]]</f>
        <v>Mg</v>
      </c>
      <c r="AI105" s="97">
        <f>INDEX(Tab_Def_Flows[[Flow_ID]:[CC_DM_source]],MATCH(Tab_Data_Flows[[#This Row],[Name(EN)]],Tab_Def_Flows[Name(EN)],0),18)</f>
        <v>0.5</v>
      </c>
      <c r="AJ105" s="98">
        <f>IF(L105="Yes",AI105*Tab_Data_Flows[[#This Row],[Flow_Py]]*Tab_Data_Flows[[#This Row],[DM_'[%']]],"N.A.")</f>
        <v>6.4</v>
      </c>
      <c r="AK105" s="58" t="str">
        <f>Tab_Data_Flows[[#This Row],[UoM_Flow_Py]]</f>
        <v>Mg</v>
      </c>
    </row>
    <row r="106" spans="1:37" x14ac:dyDescent="0.3">
      <c r="A106" s="57">
        <f t="shared" si="4"/>
        <v>105</v>
      </c>
      <c r="B106" s="48" t="str">
        <f>_xlfn.XLOOKUP(C106,Tab_Def_Flows[Name(EN)],Tab_Def_Flows[Flow_ID],,0,)</f>
        <v>F_00_01</v>
      </c>
      <c r="C106" s="50" t="s">
        <v>107</v>
      </c>
      <c r="D106" s="48"/>
      <c r="E106" s="48" t="str">
        <f>_xlfn.XLOOKUP(C106,Tab_Def_Flows[Name(EN)],Tab_Def_Flows[Output_Process],,0,)</f>
        <v>Biosphere</v>
      </c>
      <c r="F106" s="48" t="str">
        <f>_xlfn.XLOOKUP(C106,Tab_Def_Flows[Name(EN)],Tab_Def_Flows[Process_ID_O],,0,)</f>
        <v>00_Bio_</v>
      </c>
      <c r="G106" s="48" t="str">
        <f>_xlfn.XLOOKUP(C106,Tab_Def_Flows[Name(EN)],Tab_Def_Flows[Input_Process],,0,)</f>
        <v>Raw Material Extraction</v>
      </c>
      <c r="H106" s="58" t="str">
        <f>_xlfn.XLOOKUP(C106,Tab_Def_Flows[Name(EN)],Tab_Def_Flows[Process_ID_I],,0,)</f>
        <v>01_Raw_</v>
      </c>
      <c r="I106" s="48">
        <f>_xlfn.XLOOKUP(C106,Tab_Def_Flows[Name(EN)],Tab_Def_Flows[Value_Source],,0,)</f>
        <v>0</v>
      </c>
      <c r="J106" s="48" t="str">
        <f>_xlfn.XLOOKUP(C106,Tab_Def_Flows[Name(EN)],Tab_Def_Flows[WC?],,0,)</f>
        <v>Yes</v>
      </c>
      <c r="K106" s="48" t="str">
        <f>_xlfn.XLOOKUP(C106,Tab_Def_Flows[Name(EN)],Tab_Def_Flows[DM?],,0,)</f>
        <v>Yes</v>
      </c>
      <c r="L106" s="48" t="str">
        <f>_xlfn.XLOOKUP(C106,Tab_Def_Flows[Name(EN)],Tab_Def_Flows[CC?],,0,)</f>
        <v>Yes</v>
      </c>
      <c r="M106" s="50">
        <v>2024</v>
      </c>
      <c r="N106" s="50"/>
      <c r="O106" s="104">
        <v>12.8</v>
      </c>
      <c r="P106" s="50" t="s">
        <v>85</v>
      </c>
      <c r="Q106" s="50"/>
      <c r="R106" s="50" t="e">
        <f>INDEX(Tab_WC_DM_CC[[Flow_ID]:[CC_source]],MATCH(Tab_Data_Flows[[#This Row],[Name(EN)]],Tab_WC_DM_CC[Name(EN)],0),12)</f>
        <v>#N/A</v>
      </c>
      <c r="S106" s="50" t="e">
        <f>MATCH(Tab_Data_Flows[[#This Row],[Name(EN)]],Tab_WC_DM_CC[Name(EN)],0)</f>
        <v>#N/A</v>
      </c>
      <c r="T106" s="50"/>
      <c r="U106" s="50"/>
      <c r="V106" s="50"/>
      <c r="W106" s="50"/>
      <c r="X106" s="50" t="s">
        <v>84</v>
      </c>
      <c r="Y106" s="50"/>
      <c r="Z106" s="50"/>
      <c r="AA106" s="77">
        <f t="shared" si="5"/>
        <v>12.8</v>
      </c>
      <c r="AB106" s="50" t="s">
        <v>85</v>
      </c>
      <c r="AC106" s="97">
        <f>INDEX(Tab_Def_Flows[[Flow_ID]:[CC_DM_source]],MATCH(Tab_Data_Flows[[#This Row],[Name(EN)]],Tab_Def_Flows[Name(EN)],0),14)</f>
        <v>0</v>
      </c>
      <c r="AD106" s="98">
        <f>IF(J106="Yes",AA106*Tab_Data_Flows[[#This Row],[WC_'[%']]],"N.A.")</f>
        <v>0</v>
      </c>
      <c r="AE106" s="58" t="str">
        <f>Tab_Data_Flows[[#This Row],[UoM_Flow_Py]]</f>
        <v>Mg</v>
      </c>
      <c r="AF106" s="97">
        <f>INDEX(Tab_Def_Flows[[Flow_ID]:[CC_DM_source]],MATCH(Tab_Data_Flows[[#This Row],[Name(EN)]],Tab_Def_Flows[Name(EN)],0),16)</f>
        <v>1</v>
      </c>
      <c r="AG106" s="98">
        <f>IF(K106="Yes",AF106*Tab_Data_Flows[[#This Row],[Flow_Py]],"N.A.")</f>
        <v>12.8</v>
      </c>
      <c r="AH106" s="58" t="str">
        <f>Tab_Data_Flows[[#This Row],[UoM_Flow_Py]]</f>
        <v>Mg</v>
      </c>
      <c r="AI106" s="97">
        <f>INDEX(Tab_Def_Flows[[Flow_ID]:[CC_DM_source]],MATCH(Tab_Data_Flows[[#This Row],[Name(EN)]],Tab_Def_Flows[Name(EN)],0),18)</f>
        <v>0.5</v>
      </c>
      <c r="AJ106" s="98">
        <f>IF(L106="Yes",AI106*Tab_Data_Flows[[#This Row],[Flow_Py]]*Tab_Data_Flows[[#This Row],[DM_'[%']]],"N.A.")</f>
        <v>6.4</v>
      </c>
      <c r="AK106" s="58" t="str">
        <f>Tab_Data_Flows[[#This Row],[UoM_Flow_Py]]</f>
        <v>Mg</v>
      </c>
    </row>
    <row r="107" spans="1:37" x14ac:dyDescent="0.3">
      <c r="A107" s="57">
        <f t="shared" si="4"/>
        <v>106</v>
      </c>
      <c r="B107" s="48" t="str">
        <f>_xlfn.XLOOKUP(C107,Tab_Def_Flows[Name(EN)],Tab_Def_Flows[Flow_ID],,0,)</f>
        <v>F_00_01</v>
      </c>
      <c r="C107" s="50" t="s">
        <v>107</v>
      </c>
      <c r="D107" s="48"/>
      <c r="E107" s="48" t="str">
        <f>_xlfn.XLOOKUP(C107,Tab_Def_Flows[Name(EN)],Tab_Def_Flows[Output_Process],,0,)</f>
        <v>Biosphere</v>
      </c>
      <c r="F107" s="48" t="str">
        <f>_xlfn.XLOOKUP(C107,Tab_Def_Flows[Name(EN)],Tab_Def_Flows[Process_ID_O],,0,)</f>
        <v>00_Bio_</v>
      </c>
      <c r="G107" s="48" t="str">
        <f>_xlfn.XLOOKUP(C107,Tab_Def_Flows[Name(EN)],Tab_Def_Flows[Input_Process],,0,)</f>
        <v>Raw Material Extraction</v>
      </c>
      <c r="H107" s="58" t="str">
        <f>_xlfn.XLOOKUP(C107,Tab_Def_Flows[Name(EN)],Tab_Def_Flows[Process_ID_I],,0,)</f>
        <v>01_Raw_</v>
      </c>
      <c r="I107" s="48">
        <f>_xlfn.XLOOKUP(C107,Tab_Def_Flows[Name(EN)],Tab_Def_Flows[Value_Source],,0,)</f>
        <v>0</v>
      </c>
      <c r="J107" s="48" t="str">
        <f>_xlfn.XLOOKUP(C107,Tab_Def_Flows[Name(EN)],Tab_Def_Flows[WC?],,0,)</f>
        <v>Yes</v>
      </c>
      <c r="K107" s="48" t="str">
        <f>_xlfn.XLOOKUP(C107,Tab_Def_Flows[Name(EN)],Tab_Def_Flows[DM?],,0,)</f>
        <v>Yes</v>
      </c>
      <c r="L107" s="48" t="str">
        <f>_xlfn.XLOOKUP(C107,Tab_Def_Flows[Name(EN)],Tab_Def_Flows[CC?],,0,)</f>
        <v>Yes</v>
      </c>
      <c r="M107" s="50">
        <v>2025</v>
      </c>
      <c r="N107" s="50"/>
      <c r="O107" s="104">
        <v>19.2</v>
      </c>
      <c r="P107" s="50" t="s">
        <v>85</v>
      </c>
      <c r="Q107" s="50"/>
      <c r="R107" s="50" t="e">
        <f>INDEX(Tab_WC_DM_CC[[Flow_ID]:[CC_source]],MATCH(Tab_Data_Flows[[#This Row],[Name(EN)]],Tab_WC_DM_CC[Name(EN)],0),12)</f>
        <v>#N/A</v>
      </c>
      <c r="S107" s="50" t="e">
        <f>MATCH(Tab_Data_Flows[[#This Row],[Name(EN)]],Tab_WC_DM_CC[Name(EN)],0)</f>
        <v>#N/A</v>
      </c>
      <c r="T107" s="50"/>
      <c r="U107" s="50"/>
      <c r="V107" s="50"/>
      <c r="W107" s="50"/>
      <c r="X107" s="50" t="s">
        <v>84</v>
      </c>
      <c r="Y107" s="50"/>
      <c r="Z107" s="50"/>
      <c r="AA107" s="77">
        <f t="shared" si="5"/>
        <v>19.2</v>
      </c>
      <c r="AB107" s="50" t="s">
        <v>85</v>
      </c>
      <c r="AC107" s="97">
        <f>INDEX(Tab_Def_Flows[[Flow_ID]:[CC_DM_source]],MATCH(Tab_Data_Flows[[#This Row],[Name(EN)]],Tab_Def_Flows[Name(EN)],0),14)</f>
        <v>0</v>
      </c>
      <c r="AD107" s="98">
        <f>IF(J107="Yes",AA107*Tab_Data_Flows[[#This Row],[WC_'[%']]],"N.A.")</f>
        <v>0</v>
      </c>
      <c r="AE107" s="58" t="str">
        <f>Tab_Data_Flows[[#This Row],[UoM_Flow_Py]]</f>
        <v>Mg</v>
      </c>
      <c r="AF107" s="97">
        <f>INDEX(Tab_Def_Flows[[Flow_ID]:[CC_DM_source]],MATCH(Tab_Data_Flows[[#This Row],[Name(EN)]],Tab_Def_Flows[Name(EN)],0),16)</f>
        <v>1</v>
      </c>
      <c r="AG107" s="98">
        <f>IF(K107="Yes",AF107*Tab_Data_Flows[[#This Row],[Flow_Py]],"N.A.")</f>
        <v>19.2</v>
      </c>
      <c r="AH107" s="58" t="str">
        <f>Tab_Data_Flows[[#This Row],[UoM_Flow_Py]]</f>
        <v>Mg</v>
      </c>
      <c r="AI107" s="97">
        <f>INDEX(Tab_Def_Flows[[Flow_ID]:[CC_DM_source]],MATCH(Tab_Data_Flows[[#This Row],[Name(EN)]],Tab_Def_Flows[Name(EN)],0),18)</f>
        <v>0.5</v>
      </c>
      <c r="AJ107" s="98">
        <f>IF(L107="Yes",AI107*Tab_Data_Flows[[#This Row],[Flow_Py]]*Tab_Data_Flows[[#This Row],[DM_'[%']]],"N.A.")</f>
        <v>9.6</v>
      </c>
      <c r="AK107" s="58" t="str">
        <f>Tab_Data_Flows[[#This Row],[UoM_Flow_Py]]</f>
        <v>Mg</v>
      </c>
    </row>
    <row r="108" spans="1:37" x14ac:dyDescent="0.3">
      <c r="A108" s="57">
        <f t="shared" si="4"/>
        <v>107</v>
      </c>
      <c r="B108" s="48" t="str">
        <f>_xlfn.XLOOKUP(C108,Tab_Def_Flows[Name(EN)],Tab_Def_Flows[Flow_ID],,0,)</f>
        <v>F_00_01</v>
      </c>
      <c r="C108" s="50" t="s">
        <v>107</v>
      </c>
      <c r="D108" s="48"/>
      <c r="E108" s="48" t="str">
        <f>_xlfn.XLOOKUP(C108,Tab_Def_Flows[Name(EN)],Tab_Def_Flows[Output_Process],,0,)</f>
        <v>Biosphere</v>
      </c>
      <c r="F108" s="48" t="str">
        <f>_xlfn.XLOOKUP(C108,Tab_Def_Flows[Name(EN)],Tab_Def_Flows[Process_ID_O],,0,)</f>
        <v>00_Bio_</v>
      </c>
      <c r="G108" s="48" t="str">
        <f>_xlfn.XLOOKUP(C108,Tab_Def_Flows[Name(EN)],Tab_Def_Flows[Input_Process],,0,)</f>
        <v>Raw Material Extraction</v>
      </c>
      <c r="H108" s="58" t="str">
        <f>_xlfn.XLOOKUP(C108,Tab_Def_Flows[Name(EN)],Tab_Def_Flows[Process_ID_I],,0,)</f>
        <v>01_Raw_</v>
      </c>
      <c r="I108" s="48">
        <f>_xlfn.XLOOKUP(C108,Tab_Def_Flows[Name(EN)],Tab_Def_Flows[Value_Source],,0,)</f>
        <v>0</v>
      </c>
      <c r="J108" s="48" t="str">
        <f>_xlfn.XLOOKUP(C108,Tab_Def_Flows[Name(EN)],Tab_Def_Flows[WC?],,0,)</f>
        <v>Yes</v>
      </c>
      <c r="K108" s="48" t="str">
        <f>_xlfn.XLOOKUP(C108,Tab_Def_Flows[Name(EN)],Tab_Def_Flows[DM?],,0,)</f>
        <v>Yes</v>
      </c>
      <c r="L108" s="48" t="str">
        <f>_xlfn.XLOOKUP(C108,Tab_Def_Flows[Name(EN)],Tab_Def_Flows[CC?],,0,)</f>
        <v>Yes</v>
      </c>
      <c r="M108" s="50">
        <v>2026</v>
      </c>
      <c r="N108" s="50"/>
      <c r="O108" s="104">
        <v>12.8</v>
      </c>
      <c r="P108" s="50" t="s">
        <v>85</v>
      </c>
      <c r="Q108" s="50"/>
      <c r="R108" s="50" t="e">
        <f>INDEX(Tab_WC_DM_CC[[Flow_ID]:[CC_source]],MATCH(Tab_Data_Flows[[#This Row],[Name(EN)]],Tab_WC_DM_CC[Name(EN)],0),12)</f>
        <v>#N/A</v>
      </c>
      <c r="S108" s="50" t="e">
        <f>MATCH(Tab_Data_Flows[[#This Row],[Name(EN)]],Tab_WC_DM_CC[Name(EN)],0)</f>
        <v>#N/A</v>
      </c>
      <c r="T108" s="50"/>
      <c r="U108" s="50"/>
      <c r="V108" s="50"/>
      <c r="W108" s="50"/>
      <c r="X108" s="50" t="s">
        <v>84</v>
      </c>
      <c r="Y108" s="50"/>
      <c r="Z108" s="50"/>
      <c r="AA108" s="77">
        <f t="shared" si="5"/>
        <v>12.8</v>
      </c>
      <c r="AB108" s="50" t="s">
        <v>85</v>
      </c>
      <c r="AC108" s="97">
        <f>INDEX(Tab_Def_Flows[[Flow_ID]:[CC_DM_source]],MATCH(Tab_Data_Flows[[#This Row],[Name(EN)]],Tab_Def_Flows[Name(EN)],0),14)</f>
        <v>0</v>
      </c>
      <c r="AD108" s="98">
        <f>IF(J108="Yes",AA108*Tab_Data_Flows[[#This Row],[WC_'[%']]],"N.A.")</f>
        <v>0</v>
      </c>
      <c r="AE108" s="58" t="str">
        <f>Tab_Data_Flows[[#This Row],[UoM_Flow_Py]]</f>
        <v>Mg</v>
      </c>
      <c r="AF108" s="97">
        <f>INDEX(Tab_Def_Flows[[Flow_ID]:[CC_DM_source]],MATCH(Tab_Data_Flows[[#This Row],[Name(EN)]],Tab_Def_Flows[Name(EN)],0),16)</f>
        <v>1</v>
      </c>
      <c r="AG108" s="98">
        <f>IF(K108="Yes",AF108*Tab_Data_Flows[[#This Row],[Flow_Py]],"N.A.")</f>
        <v>12.8</v>
      </c>
      <c r="AH108" s="58" t="str">
        <f>Tab_Data_Flows[[#This Row],[UoM_Flow_Py]]</f>
        <v>Mg</v>
      </c>
      <c r="AI108" s="97">
        <f>INDEX(Tab_Def_Flows[[Flow_ID]:[CC_DM_source]],MATCH(Tab_Data_Flows[[#This Row],[Name(EN)]],Tab_Def_Flows[Name(EN)],0),18)</f>
        <v>0.5</v>
      </c>
      <c r="AJ108" s="98">
        <f>IF(L108="Yes",AI108*Tab_Data_Flows[[#This Row],[Flow_Py]]*Tab_Data_Flows[[#This Row],[DM_'[%']]],"N.A.")</f>
        <v>6.4</v>
      </c>
      <c r="AK108" s="58" t="str">
        <f>Tab_Data_Flows[[#This Row],[UoM_Flow_Py]]</f>
        <v>Mg</v>
      </c>
    </row>
    <row r="109" spans="1:37" x14ac:dyDescent="0.3">
      <c r="A109" s="57">
        <f t="shared" si="4"/>
        <v>108</v>
      </c>
      <c r="B109" s="48" t="str">
        <f>_xlfn.XLOOKUP(C109,Tab_Def_Flows[Name(EN)],Tab_Def_Flows[Flow_ID],,0,)</f>
        <v>F_00_01</v>
      </c>
      <c r="C109" s="50" t="s">
        <v>107</v>
      </c>
      <c r="D109" s="48"/>
      <c r="E109" s="48" t="str">
        <f>_xlfn.XLOOKUP(C109,Tab_Def_Flows[Name(EN)],Tab_Def_Flows[Output_Process],,0,)</f>
        <v>Biosphere</v>
      </c>
      <c r="F109" s="48" t="str">
        <f>_xlfn.XLOOKUP(C109,Tab_Def_Flows[Name(EN)],Tab_Def_Flows[Process_ID_O],,0,)</f>
        <v>00_Bio_</v>
      </c>
      <c r="G109" s="48" t="str">
        <f>_xlfn.XLOOKUP(C109,Tab_Def_Flows[Name(EN)],Tab_Def_Flows[Input_Process],,0,)</f>
        <v>Raw Material Extraction</v>
      </c>
      <c r="H109" s="58" t="str">
        <f>_xlfn.XLOOKUP(C109,Tab_Def_Flows[Name(EN)],Tab_Def_Flows[Process_ID_I],,0,)</f>
        <v>01_Raw_</v>
      </c>
      <c r="I109" s="48">
        <f>_xlfn.XLOOKUP(C109,Tab_Def_Flows[Name(EN)],Tab_Def_Flows[Value_Source],,0,)</f>
        <v>0</v>
      </c>
      <c r="J109" s="48" t="str">
        <f>_xlfn.XLOOKUP(C109,Tab_Def_Flows[Name(EN)],Tab_Def_Flows[WC?],,0,)</f>
        <v>Yes</v>
      </c>
      <c r="K109" s="48" t="str">
        <f>_xlfn.XLOOKUP(C109,Tab_Def_Flows[Name(EN)],Tab_Def_Flows[DM?],,0,)</f>
        <v>Yes</v>
      </c>
      <c r="L109" s="48" t="str">
        <f>_xlfn.XLOOKUP(C109,Tab_Def_Flows[Name(EN)],Tab_Def_Flows[CC?],,0,)</f>
        <v>Yes</v>
      </c>
      <c r="M109" s="50">
        <v>2027</v>
      </c>
      <c r="N109" s="50"/>
      <c r="O109" s="104">
        <v>6.4</v>
      </c>
      <c r="P109" s="50" t="s">
        <v>85</v>
      </c>
      <c r="Q109" s="50"/>
      <c r="R109" s="50" t="e">
        <f>INDEX(Tab_WC_DM_CC[[Flow_ID]:[CC_source]],MATCH(Tab_Data_Flows[[#This Row],[Name(EN)]],Tab_WC_DM_CC[Name(EN)],0),12)</f>
        <v>#N/A</v>
      </c>
      <c r="S109" s="50" t="e">
        <f>MATCH(Tab_Data_Flows[[#This Row],[Name(EN)]],Tab_WC_DM_CC[Name(EN)],0)</f>
        <v>#N/A</v>
      </c>
      <c r="T109" s="50"/>
      <c r="U109" s="50"/>
      <c r="V109" s="50"/>
      <c r="W109" s="50"/>
      <c r="X109" s="50" t="s">
        <v>84</v>
      </c>
      <c r="Y109" s="50"/>
      <c r="Z109" s="50"/>
      <c r="AA109" s="77">
        <f t="shared" si="5"/>
        <v>6.4</v>
      </c>
      <c r="AB109" s="50" t="s">
        <v>85</v>
      </c>
      <c r="AC109" s="97">
        <f>INDEX(Tab_Def_Flows[[Flow_ID]:[CC_DM_source]],MATCH(Tab_Data_Flows[[#This Row],[Name(EN)]],Tab_Def_Flows[Name(EN)],0),14)</f>
        <v>0</v>
      </c>
      <c r="AD109" s="98">
        <f>IF(J109="Yes",AA109*Tab_Data_Flows[[#This Row],[WC_'[%']]],"N.A.")</f>
        <v>0</v>
      </c>
      <c r="AE109" s="58" t="str">
        <f>Tab_Data_Flows[[#This Row],[UoM_Flow_Py]]</f>
        <v>Mg</v>
      </c>
      <c r="AF109" s="97">
        <f>INDEX(Tab_Def_Flows[[Flow_ID]:[CC_DM_source]],MATCH(Tab_Data_Flows[[#This Row],[Name(EN)]],Tab_Def_Flows[Name(EN)],0),16)</f>
        <v>1</v>
      </c>
      <c r="AG109" s="98">
        <f>IF(K109="Yes",AF109*Tab_Data_Flows[[#This Row],[Flow_Py]],"N.A.")</f>
        <v>6.4</v>
      </c>
      <c r="AH109" s="58" t="str">
        <f>Tab_Data_Flows[[#This Row],[UoM_Flow_Py]]</f>
        <v>Mg</v>
      </c>
      <c r="AI109" s="97">
        <f>INDEX(Tab_Def_Flows[[Flow_ID]:[CC_DM_source]],MATCH(Tab_Data_Flows[[#This Row],[Name(EN)]],Tab_Def_Flows[Name(EN)],0),18)</f>
        <v>0.5</v>
      </c>
      <c r="AJ109" s="98">
        <f>IF(L109="Yes",AI109*Tab_Data_Flows[[#This Row],[Flow_Py]]*Tab_Data_Flows[[#This Row],[DM_'[%']]],"N.A.")</f>
        <v>3.2</v>
      </c>
      <c r="AK109" s="58" t="str">
        <f>Tab_Data_Flows[[#This Row],[UoM_Flow_Py]]</f>
        <v>Mg</v>
      </c>
    </row>
    <row r="110" spans="1:37" x14ac:dyDescent="0.3">
      <c r="A110" s="57">
        <f t="shared" si="4"/>
        <v>109</v>
      </c>
      <c r="B110" s="48" t="str">
        <f>_xlfn.XLOOKUP(C110,Tab_Def_Flows[Name(EN)],Tab_Def_Flows[Flow_ID],,0,)</f>
        <v>F_00_01</v>
      </c>
      <c r="C110" s="50" t="s">
        <v>107</v>
      </c>
      <c r="D110" s="48"/>
      <c r="E110" s="48" t="str">
        <f>_xlfn.XLOOKUP(C110,Tab_Def_Flows[Name(EN)],Tab_Def_Flows[Output_Process],,0,)</f>
        <v>Biosphere</v>
      </c>
      <c r="F110" s="48" t="str">
        <f>_xlfn.XLOOKUP(C110,Tab_Def_Flows[Name(EN)],Tab_Def_Flows[Process_ID_O],,0,)</f>
        <v>00_Bio_</v>
      </c>
      <c r="G110" s="48" t="str">
        <f>_xlfn.XLOOKUP(C110,Tab_Def_Flows[Name(EN)],Tab_Def_Flows[Input_Process],,0,)</f>
        <v>Raw Material Extraction</v>
      </c>
      <c r="H110" s="58" t="str">
        <f>_xlfn.XLOOKUP(C110,Tab_Def_Flows[Name(EN)],Tab_Def_Flows[Process_ID_I],,0,)</f>
        <v>01_Raw_</v>
      </c>
      <c r="I110" s="48">
        <f>_xlfn.XLOOKUP(C110,Tab_Def_Flows[Name(EN)],Tab_Def_Flows[Value_Source],,0,)</f>
        <v>0</v>
      </c>
      <c r="J110" s="48" t="str">
        <f>_xlfn.XLOOKUP(C110,Tab_Def_Flows[Name(EN)],Tab_Def_Flows[WC?],,0,)</f>
        <v>Yes</v>
      </c>
      <c r="K110" s="48" t="str">
        <f>_xlfn.XLOOKUP(C110,Tab_Def_Flows[Name(EN)],Tab_Def_Flows[DM?],,0,)</f>
        <v>Yes</v>
      </c>
      <c r="L110" s="48" t="str">
        <f>_xlfn.XLOOKUP(C110,Tab_Def_Flows[Name(EN)],Tab_Def_Flows[CC?],,0,)</f>
        <v>Yes</v>
      </c>
      <c r="M110" s="50">
        <v>2028</v>
      </c>
      <c r="N110" s="50"/>
      <c r="O110" s="104">
        <v>6.4</v>
      </c>
      <c r="P110" s="50" t="s">
        <v>85</v>
      </c>
      <c r="Q110" s="50"/>
      <c r="R110" s="50" t="e">
        <f>INDEX(Tab_WC_DM_CC[[Flow_ID]:[CC_source]],MATCH(Tab_Data_Flows[[#This Row],[Name(EN)]],Tab_WC_DM_CC[Name(EN)],0),12)</f>
        <v>#N/A</v>
      </c>
      <c r="S110" s="50" t="e">
        <f>MATCH(Tab_Data_Flows[[#This Row],[Name(EN)]],Tab_WC_DM_CC[Name(EN)],0)</f>
        <v>#N/A</v>
      </c>
      <c r="T110" s="50"/>
      <c r="U110" s="50"/>
      <c r="V110" s="50"/>
      <c r="W110" s="50"/>
      <c r="X110" s="50" t="s">
        <v>84</v>
      </c>
      <c r="Y110" s="50"/>
      <c r="Z110" s="50"/>
      <c r="AA110" s="77">
        <f t="shared" si="5"/>
        <v>6.4</v>
      </c>
      <c r="AB110" s="50" t="s">
        <v>85</v>
      </c>
      <c r="AC110" s="97">
        <f>INDEX(Tab_Def_Flows[[Flow_ID]:[CC_DM_source]],MATCH(Tab_Data_Flows[[#This Row],[Name(EN)]],Tab_Def_Flows[Name(EN)],0),14)</f>
        <v>0</v>
      </c>
      <c r="AD110" s="98">
        <f>IF(J110="Yes",AA110*Tab_Data_Flows[[#This Row],[WC_'[%']]],"N.A.")</f>
        <v>0</v>
      </c>
      <c r="AE110" s="58" t="str">
        <f>Tab_Data_Flows[[#This Row],[UoM_Flow_Py]]</f>
        <v>Mg</v>
      </c>
      <c r="AF110" s="97">
        <f>INDEX(Tab_Def_Flows[[Flow_ID]:[CC_DM_source]],MATCH(Tab_Data_Flows[[#This Row],[Name(EN)]],Tab_Def_Flows[Name(EN)],0),16)</f>
        <v>1</v>
      </c>
      <c r="AG110" s="98">
        <f>IF(K110="Yes",AF110*Tab_Data_Flows[[#This Row],[Flow_Py]],"N.A.")</f>
        <v>6.4</v>
      </c>
      <c r="AH110" s="58" t="str">
        <f>Tab_Data_Flows[[#This Row],[UoM_Flow_Py]]</f>
        <v>Mg</v>
      </c>
      <c r="AI110" s="97">
        <f>INDEX(Tab_Def_Flows[[Flow_ID]:[CC_DM_source]],MATCH(Tab_Data_Flows[[#This Row],[Name(EN)]],Tab_Def_Flows[Name(EN)],0),18)</f>
        <v>0.5</v>
      </c>
      <c r="AJ110" s="98">
        <f>IF(L110="Yes",AI110*Tab_Data_Flows[[#This Row],[Flow_Py]]*Tab_Data_Flows[[#This Row],[DM_'[%']]],"N.A.")</f>
        <v>3.2</v>
      </c>
      <c r="AK110" s="58" t="str">
        <f>Tab_Data_Flows[[#This Row],[UoM_Flow_Py]]</f>
        <v>Mg</v>
      </c>
    </row>
    <row r="111" spans="1:37" x14ac:dyDescent="0.3">
      <c r="A111" s="57">
        <f t="shared" si="4"/>
        <v>110</v>
      </c>
      <c r="B111" s="48" t="str">
        <f>_xlfn.XLOOKUP(C111,Tab_Def_Flows[Name(EN)],Tab_Def_Flows[Flow_ID],,0,)</f>
        <v>F_00_01</v>
      </c>
      <c r="C111" s="50" t="s">
        <v>107</v>
      </c>
      <c r="D111" s="48"/>
      <c r="E111" s="48" t="str">
        <f>_xlfn.XLOOKUP(C111,Tab_Def_Flows[Name(EN)],Tab_Def_Flows[Output_Process],,0,)</f>
        <v>Biosphere</v>
      </c>
      <c r="F111" s="48" t="str">
        <f>_xlfn.XLOOKUP(C111,Tab_Def_Flows[Name(EN)],Tab_Def_Flows[Process_ID_O],,0,)</f>
        <v>00_Bio_</v>
      </c>
      <c r="G111" s="48" t="str">
        <f>_xlfn.XLOOKUP(C111,Tab_Def_Flows[Name(EN)],Tab_Def_Flows[Input_Process],,0,)</f>
        <v>Raw Material Extraction</v>
      </c>
      <c r="H111" s="58" t="str">
        <f>_xlfn.XLOOKUP(C111,Tab_Def_Flows[Name(EN)],Tab_Def_Flows[Process_ID_I],,0,)</f>
        <v>01_Raw_</v>
      </c>
      <c r="I111" s="48">
        <f>_xlfn.XLOOKUP(C111,Tab_Def_Flows[Name(EN)],Tab_Def_Flows[Value_Source],,0,)</f>
        <v>0</v>
      </c>
      <c r="J111" s="48" t="str">
        <f>_xlfn.XLOOKUP(C111,Tab_Def_Flows[Name(EN)],Tab_Def_Flows[WC?],,0,)</f>
        <v>Yes</v>
      </c>
      <c r="K111" s="48" t="str">
        <f>_xlfn.XLOOKUP(C111,Tab_Def_Flows[Name(EN)],Tab_Def_Flows[DM?],,0,)</f>
        <v>Yes</v>
      </c>
      <c r="L111" s="48" t="str">
        <f>_xlfn.XLOOKUP(C111,Tab_Def_Flows[Name(EN)],Tab_Def_Flows[CC?],,0,)</f>
        <v>Yes</v>
      </c>
      <c r="M111" s="50">
        <v>2029</v>
      </c>
      <c r="N111" s="50"/>
      <c r="O111" s="104">
        <v>6.4</v>
      </c>
      <c r="P111" s="50" t="s">
        <v>85</v>
      </c>
      <c r="Q111" s="50"/>
      <c r="R111" s="50" t="e">
        <f>INDEX(Tab_WC_DM_CC[[Flow_ID]:[CC_source]],MATCH(Tab_Data_Flows[[#This Row],[Name(EN)]],Tab_WC_DM_CC[Name(EN)],0),12)</f>
        <v>#N/A</v>
      </c>
      <c r="S111" s="50" t="e">
        <f>MATCH(Tab_Data_Flows[[#This Row],[Name(EN)]],Tab_WC_DM_CC[Name(EN)],0)</f>
        <v>#N/A</v>
      </c>
      <c r="T111" s="50"/>
      <c r="U111" s="50"/>
      <c r="V111" s="50"/>
      <c r="W111" s="50"/>
      <c r="X111" s="50" t="s">
        <v>84</v>
      </c>
      <c r="Y111" s="50"/>
      <c r="Z111" s="50"/>
      <c r="AA111" s="77">
        <f t="shared" si="5"/>
        <v>6.4</v>
      </c>
      <c r="AB111" s="50" t="s">
        <v>85</v>
      </c>
      <c r="AC111" s="97">
        <f>INDEX(Tab_Def_Flows[[Flow_ID]:[CC_DM_source]],MATCH(Tab_Data_Flows[[#This Row],[Name(EN)]],Tab_Def_Flows[Name(EN)],0),14)</f>
        <v>0</v>
      </c>
      <c r="AD111" s="98">
        <f>IF(J111="Yes",AA111*Tab_Data_Flows[[#This Row],[WC_'[%']]],"N.A.")</f>
        <v>0</v>
      </c>
      <c r="AE111" s="58" t="str">
        <f>Tab_Data_Flows[[#This Row],[UoM_Flow_Py]]</f>
        <v>Mg</v>
      </c>
      <c r="AF111" s="97">
        <f>INDEX(Tab_Def_Flows[[Flow_ID]:[CC_DM_source]],MATCH(Tab_Data_Flows[[#This Row],[Name(EN)]],Tab_Def_Flows[Name(EN)],0),16)</f>
        <v>1</v>
      </c>
      <c r="AG111" s="98">
        <f>IF(K111="Yes",AF111*Tab_Data_Flows[[#This Row],[Flow_Py]],"N.A.")</f>
        <v>6.4</v>
      </c>
      <c r="AH111" s="58" t="str">
        <f>Tab_Data_Flows[[#This Row],[UoM_Flow_Py]]</f>
        <v>Mg</v>
      </c>
      <c r="AI111" s="97">
        <f>INDEX(Tab_Def_Flows[[Flow_ID]:[CC_DM_source]],MATCH(Tab_Data_Flows[[#This Row],[Name(EN)]],Tab_Def_Flows[Name(EN)],0),18)</f>
        <v>0.5</v>
      </c>
      <c r="AJ111" s="98">
        <f>IF(L111="Yes",AI111*Tab_Data_Flows[[#This Row],[Flow_Py]]*Tab_Data_Flows[[#This Row],[DM_'[%']]],"N.A.")</f>
        <v>3.2</v>
      </c>
      <c r="AK111" s="58" t="str">
        <f>Tab_Data_Flows[[#This Row],[UoM_Flow_Py]]</f>
        <v>Mg</v>
      </c>
    </row>
    <row r="112" spans="1:37" x14ac:dyDescent="0.3">
      <c r="A112" s="57">
        <f t="shared" si="4"/>
        <v>111</v>
      </c>
      <c r="B112" s="48" t="str">
        <f>_xlfn.XLOOKUP(C112,Tab_Def_Flows[Name(EN)],Tab_Def_Flows[Flow_ID],,0,)</f>
        <v>F_00_01</v>
      </c>
      <c r="C112" s="50" t="s">
        <v>107</v>
      </c>
      <c r="D112" s="48"/>
      <c r="E112" s="48" t="str">
        <f>_xlfn.XLOOKUP(C112,Tab_Def_Flows[Name(EN)],Tab_Def_Flows[Output_Process],,0,)</f>
        <v>Biosphere</v>
      </c>
      <c r="F112" s="48" t="str">
        <f>_xlfn.XLOOKUP(C112,Tab_Def_Flows[Name(EN)],Tab_Def_Flows[Process_ID_O],,0,)</f>
        <v>00_Bio_</v>
      </c>
      <c r="G112" s="48" t="str">
        <f>_xlfn.XLOOKUP(C112,Tab_Def_Flows[Name(EN)],Tab_Def_Flows[Input_Process],,0,)</f>
        <v>Raw Material Extraction</v>
      </c>
      <c r="H112" s="58" t="str">
        <f>_xlfn.XLOOKUP(C112,Tab_Def_Flows[Name(EN)],Tab_Def_Flows[Process_ID_I],,0,)</f>
        <v>01_Raw_</v>
      </c>
      <c r="I112" s="48">
        <f>_xlfn.XLOOKUP(C112,Tab_Def_Flows[Name(EN)],Tab_Def_Flows[Value_Source],,0,)</f>
        <v>0</v>
      </c>
      <c r="J112" s="48" t="str">
        <f>_xlfn.XLOOKUP(C112,Tab_Def_Flows[Name(EN)],Tab_Def_Flows[WC?],,0,)</f>
        <v>Yes</v>
      </c>
      <c r="K112" s="48" t="str">
        <f>_xlfn.XLOOKUP(C112,Tab_Def_Flows[Name(EN)],Tab_Def_Flows[DM?],,0,)</f>
        <v>Yes</v>
      </c>
      <c r="L112" s="48" t="str">
        <f>_xlfn.XLOOKUP(C112,Tab_Def_Flows[Name(EN)],Tab_Def_Flows[CC?],,0,)</f>
        <v>Yes</v>
      </c>
      <c r="M112" s="50">
        <v>2030</v>
      </c>
      <c r="N112" s="50"/>
      <c r="O112" s="104">
        <v>6.4</v>
      </c>
      <c r="P112" s="50" t="s">
        <v>85</v>
      </c>
      <c r="Q112" s="50"/>
      <c r="R112" s="50" t="e">
        <f>INDEX(Tab_WC_DM_CC[[Flow_ID]:[CC_source]],MATCH(Tab_Data_Flows[[#This Row],[Name(EN)]],Tab_WC_DM_CC[Name(EN)],0),12)</f>
        <v>#N/A</v>
      </c>
      <c r="S112" s="50" t="e">
        <f>MATCH(Tab_Data_Flows[[#This Row],[Name(EN)]],Tab_WC_DM_CC[Name(EN)],0)</f>
        <v>#N/A</v>
      </c>
      <c r="T112" s="50"/>
      <c r="U112" s="50"/>
      <c r="V112" s="50"/>
      <c r="W112" s="50"/>
      <c r="X112" s="50" t="s">
        <v>84</v>
      </c>
      <c r="Y112" s="50"/>
      <c r="Z112" s="50"/>
      <c r="AA112" s="77">
        <f t="shared" si="5"/>
        <v>6.4</v>
      </c>
      <c r="AB112" s="50" t="s">
        <v>85</v>
      </c>
      <c r="AC112" s="97">
        <f>INDEX(Tab_Def_Flows[[Flow_ID]:[CC_DM_source]],MATCH(Tab_Data_Flows[[#This Row],[Name(EN)]],Tab_Def_Flows[Name(EN)],0),14)</f>
        <v>0</v>
      </c>
      <c r="AD112" s="98">
        <f>IF(J112="Yes",AA112*Tab_Data_Flows[[#This Row],[WC_'[%']]],"N.A.")</f>
        <v>0</v>
      </c>
      <c r="AE112" s="58" t="str">
        <f>Tab_Data_Flows[[#This Row],[UoM_Flow_Py]]</f>
        <v>Mg</v>
      </c>
      <c r="AF112" s="97">
        <f>INDEX(Tab_Def_Flows[[Flow_ID]:[CC_DM_source]],MATCH(Tab_Data_Flows[[#This Row],[Name(EN)]],Tab_Def_Flows[Name(EN)],0),16)</f>
        <v>1</v>
      </c>
      <c r="AG112" s="98">
        <f>IF(K112="Yes",AF112*Tab_Data_Flows[[#This Row],[Flow_Py]],"N.A.")</f>
        <v>6.4</v>
      </c>
      <c r="AH112" s="58" t="str">
        <f>Tab_Data_Flows[[#This Row],[UoM_Flow_Py]]</f>
        <v>Mg</v>
      </c>
      <c r="AI112" s="97">
        <f>INDEX(Tab_Def_Flows[[Flow_ID]:[CC_DM_source]],MATCH(Tab_Data_Flows[[#This Row],[Name(EN)]],Tab_Def_Flows[Name(EN)],0),18)</f>
        <v>0.5</v>
      </c>
      <c r="AJ112" s="98">
        <f>IF(L112="Yes",AI112*Tab_Data_Flows[[#This Row],[Flow_Py]]*Tab_Data_Flows[[#This Row],[DM_'[%']]],"N.A.")</f>
        <v>3.2</v>
      </c>
      <c r="AK112" s="58" t="str">
        <f>Tab_Data_Flows[[#This Row],[UoM_Flow_Py]]</f>
        <v>Mg</v>
      </c>
    </row>
    <row r="113" spans="1:37" x14ac:dyDescent="0.3">
      <c r="A113" s="57">
        <f t="shared" si="4"/>
        <v>112</v>
      </c>
      <c r="B113" s="48" t="str">
        <f>_xlfn.XLOOKUP(C113,Tab_Def_Flows[Name(EN)],Tab_Def_Flows[Flow_ID],,0,)</f>
        <v>F_00_01</v>
      </c>
      <c r="C113" s="50" t="s">
        <v>107</v>
      </c>
      <c r="D113" s="48"/>
      <c r="E113" s="48" t="str">
        <f>_xlfn.XLOOKUP(C113,Tab_Def_Flows[Name(EN)],Tab_Def_Flows[Output_Process],,0,)</f>
        <v>Biosphere</v>
      </c>
      <c r="F113" s="48" t="str">
        <f>_xlfn.XLOOKUP(C113,Tab_Def_Flows[Name(EN)],Tab_Def_Flows[Process_ID_O],,0,)</f>
        <v>00_Bio_</v>
      </c>
      <c r="G113" s="48" t="str">
        <f>_xlfn.XLOOKUP(C113,Tab_Def_Flows[Name(EN)],Tab_Def_Flows[Input_Process],,0,)</f>
        <v>Raw Material Extraction</v>
      </c>
      <c r="H113" s="58" t="str">
        <f>_xlfn.XLOOKUP(C113,Tab_Def_Flows[Name(EN)],Tab_Def_Flows[Process_ID_I],,0,)</f>
        <v>01_Raw_</v>
      </c>
      <c r="I113" s="48">
        <f>_xlfn.XLOOKUP(C113,Tab_Def_Flows[Name(EN)],Tab_Def_Flows[Value_Source],,0,)</f>
        <v>0</v>
      </c>
      <c r="J113" s="48" t="str">
        <f>_xlfn.XLOOKUP(C113,Tab_Def_Flows[Name(EN)],Tab_Def_Flows[WC?],,0,)</f>
        <v>Yes</v>
      </c>
      <c r="K113" s="48" t="str">
        <f>_xlfn.XLOOKUP(C113,Tab_Def_Flows[Name(EN)],Tab_Def_Flows[DM?],,0,)</f>
        <v>Yes</v>
      </c>
      <c r="L113" s="48" t="str">
        <f>_xlfn.XLOOKUP(C113,Tab_Def_Flows[Name(EN)],Tab_Def_Flows[CC?],,0,)</f>
        <v>Yes</v>
      </c>
      <c r="M113" s="50">
        <v>2031</v>
      </c>
      <c r="N113" s="50"/>
      <c r="O113" s="104">
        <v>12.8</v>
      </c>
      <c r="P113" s="50" t="s">
        <v>85</v>
      </c>
      <c r="Q113" s="50"/>
      <c r="R113" s="50" t="e">
        <f>INDEX(Tab_WC_DM_CC[[Flow_ID]:[CC_source]],MATCH(Tab_Data_Flows[[#This Row],[Name(EN)]],Tab_WC_DM_CC[Name(EN)],0),12)</f>
        <v>#N/A</v>
      </c>
      <c r="S113" s="50" t="e">
        <f>MATCH(Tab_Data_Flows[[#This Row],[Name(EN)]],Tab_WC_DM_CC[Name(EN)],0)</f>
        <v>#N/A</v>
      </c>
      <c r="T113" s="50"/>
      <c r="U113" s="50"/>
      <c r="V113" s="50"/>
      <c r="W113" s="50"/>
      <c r="X113" s="50" t="s">
        <v>84</v>
      </c>
      <c r="Y113" s="50"/>
      <c r="Z113" s="50"/>
      <c r="AA113" s="77">
        <f t="shared" si="5"/>
        <v>12.8</v>
      </c>
      <c r="AB113" s="50" t="s">
        <v>85</v>
      </c>
      <c r="AC113" s="97">
        <f>INDEX(Tab_Def_Flows[[Flow_ID]:[CC_DM_source]],MATCH(Tab_Data_Flows[[#This Row],[Name(EN)]],Tab_Def_Flows[Name(EN)],0),14)</f>
        <v>0</v>
      </c>
      <c r="AD113" s="98">
        <f>IF(J113="Yes",AA113*Tab_Data_Flows[[#This Row],[WC_'[%']]],"N.A.")</f>
        <v>0</v>
      </c>
      <c r="AE113" s="58" t="str">
        <f>Tab_Data_Flows[[#This Row],[UoM_Flow_Py]]</f>
        <v>Mg</v>
      </c>
      <c r="AF113" s="97">
        <f>INDEX(Tab_Def_Flows[[Flow_ID]:[CC_DM_source]],MATCH(Tab_Data_Flows[[#This Row],[Name(EN)]],Tab_Def_Flows[Name(EN)],0),16)</f>
        <v>1</v>
      </c>
      <c r="AG113" s="98">
        <f>IF(K113="Yes",AF113*Tab_Data_Flows[[#This Row],[Flow_Py]],"N.A.")</f>
        <v>12.8</v>
      </c>
      <c r="AH113" s="58" t="str">
        <f>Tab_Data_Flows[[#This Row],[UoM_Flow_Py]]</f>
        <v>Mg</v>
      </c>
      <c r="AI113" s="97">
        <f>INDEX(Tab_Def_Flows[[Flow_ID]:[CC_DM_source]],MATCH(Tab_Data_Flows[[#This Row],[Name(EN)]],Tab_Def_Flows[Name(EN)],0),18)</f>
        <v>0.5</v>
      </c>
      <c r="AJ113" s="98">
        <f>IF(L113="Yes",AI113*Tab_Data_Flows[[#This Row],[Flow_Py]]*Tab_Data_Flows[[#This Row],[DM_'[%']]],"N.A.")</f>
        <v>6.4</v>
      </c>
      <c r="AK113" s="58" t="str">
        <f>Tab_Data_Flows[[#This Row],[UoM_Flow_Py]]</f>
        <v>Mg</v>
      </c>
    </row>
    <row r="114" spans="1:37" x14ac:dyDescent="0.3">
      <c r="A114" s="57">
        <f t="shared" si="4"/>
        <v>113</v>
      </c>
      <c r="B114" s="48" t="str">
        <f>_xlfn.XLOOKUP(C114,Tab_Def_Flows[Name(EN)],Tab_Def_Flows[Flow_ID],,0,)</f>
        <v>F_00_01</v>
      </c>
      <c r="C114" s="50" t="s">
        <v>107</v>
      </c>
      <c r="D114" s="48"/>
      <c r="E114" s="48" t="str">
        <f>_xlfn.XLOOKUP(C114,Tab_Def_Flows[Name(EN)],Tab_Def_Flows[Output_Process],,0,)</f>
        <v>Biosphere</v>
      </c>
      <c r="F114" s="48" t="str">
        <f>_xlfn.XLOOKUP(C114,Tab_Def_Flows[Name(EN)],Tab_Def_Flows[Process_ID_O],,0,)</f>
        <v>00_Bio_</v>
      </c>
      <c r="G114" s="48" t="str">
        <f>_xlfn.XLOOKUP(C114,Tab_Def_Flows[Name(EN)],Tab_Def_Flows[Input_Process],,0,)</f>
        <v>Raw Material Extraction</v>
      </c>
      <c r="H114" s="58" t="str">
        <f>_xlfn.XLOOKUP(C114,Tab_Def_Flows[Name(EN)],Tab_Def_Flows[Process_ID_I],,0,)</f>
        <v>01_Raw_</v>
      </c>
      <c r="I114" s="48">
        <f>_xlfn.XLOOKUP(C114,Tab_Def_Flows[Name(EN)],Tab_Def_Flows[Value_Source],,0,)</f>
        <v>0</v>
      </c>
      <c r="J114" s="48" t="str">
        <f>_xlfn.XLOOKUP(C114,Tab_Def_Flows[Name(EN)],Tab_Def_Flows[WC?],,0,)</f>
        <v>Yes</v>
      </c>
      <c r="K114" s="48" t="str">
        <f>_xlfn.XLOOKUP(C114,Tab_Def_Flows[Name(EN)],Tab_Def_Flows[DM?],,0,)</f>
        <v>Yes</v>
      </c>
      <c r="L114" s="48" t="str">
        <f>_xlfn.XLOOKUP(C114,Tab_Def_Flows[Name(EN)],Tab_Def_Flows[CC?],,0,)</f>
        <v>Yes</v>
      </c>
      <c r="M114" s="50">
        <v>2032</v>
      </c>
      <c r="N114" s="50"/>
      <c r="O114" s="104">
        <v>19.2</v>
      </c>
      <c r="P114" s="50" t="s">
        <v>85</v>
      </c>
      <c r="Q114" s="50"/>
      <c r="R114" s="50" t="e">
        <f>INDEX(Tab_WC_DM_CC[[Flow_ID]:[CC_source]],MATCH(Tab_Data_Flows[[#This Row],[Name(EN)]],Tab_WC_DM_CC[Name(EN)],0),12)</f>
        <v>#N/A</v>
      </c>
      <c r="S114" s="50" t="e">
        <f>MATCH(Tab_Data_Flows[[#This Row],[Name(EN)]],Tab_WC_DM_CC[Name(EN)],0)</f>
        <v>#N/A</v>
      </c>
      <c r="T114" s="50"/>
      <c r="U114" s="50"/>
      <c r="V114" s="50"/>
      <c r="W114" s="50"/>
      <c r="X114" s="50" t="s">
        <v>84</v>
      </c>
      <c r="Y114" s="50"/>
      <c r="Z114" s="50"/>
      <c r="AA114" s="77">
        <f t="shared" si="5"/>
        <v>19.2</v>
      </c>
      <c r="AB114" s="50" t="s">
        <v>85</v>
      </c>
      <c r="AC114" s="97">
        <f>INDEX(Tab_Def_Flows[[Flow_ID]:[CC_DM_source]],MATCH(Tab_Data_Flows[[#This Row],[Name(EN)]],Tab_Def_Flows[Name(EN)],0),14)</f>
        <v>0</v>
      </c>
      <c r="AD114" s="98">
        <f>IF(J114="Yes",AA114*Tab_Data_Flows[[#This Row],[WC_'[%']]],"N.A.")</f>
        <v>0</v>
      </c>
      <c r="AE114" s="58" t="str">
        <f>Tab_Data_Flows[[#This Row],[UoM_Flow_Py]]</f>
        <v>Mg</v>
      </c>
      <c r="AF114" s="97">
        <f>INDEX(Tab_Def_Flows[[Flow_ID]:[CC_DM_source]],MATCH(Tab_Data_Flows[[#This Row],[Name(EN)]],Tab_Def_Flows[Name(EN)],0),16)</f>
        <v>1</v>
      </c>
      <c r="AG114" s="98">
        <f>IF(K114="Yes",AF114*Tab_Data_Flows[[#This Row],[Flow_Py]],"N.A.")</f>
        <v>19.2</v>
      </c>
      <c r="AH114" s="58" t="str">
        <f>Tab_Data_Flows[[#This Row],[UoM_Flow_Py]]</f>
        <v>Mg</v>
      </c>
      <c r="AI114" s="97">
        <f>INDEX(Tab_Def_Flows[[Flow_ID]:[CC_DM_source]],MATCH(Tab_Data_Flows[[#This Row],[Name(EN)]],Tab_Def_Flows[Name(EN)],0),18)</f>
        <v>0.5</v>
      </c>
      <c r="AJ114" s="98">
        <f>IF(L114="Yes",AI114*Tab_Data_Flows[[#This Row],[Flow_Py]]*Tab_Data_Flows[[#This Row],[DM_'[%']]],"N.A.")</f>
        <v>9.6</v>
      </c>
      <c r="AK114" s="58" t="str">
        <f>Tab_Data_Flows[[#This Row],[UoM_Flow_Py]]</f>
        <v>Mg</v>
      </c>
    </row>
    <row r="115" spans="1:37" x14ac:dyDescent="0.3">
      <c r="A115" s="57">
        <f t="shared" si="4"/>
        <v>114</v>
      </c>
      <c r="B115" s="48" t="str">
        <f>_xlfn.XLOOKUP(C115,Tab_Def_Flows[Name(EN)],Tab_Def_Flows[Flow_ID],,0,)</f>
        <v>F_00_01</v>
      </c>
      <c r="C115" s="50" t="s">
        <v>107</v>
      </c>
      <c r="D115" s="48"/>
      <c r="E115" s="48" t="str">
        <f>_xlfn.XLOOKUP(C115,Tab_Def_Flows[Name(EN)],Tab_Def_Flows[Output_Process],,0,)</f>
        <v>Biosphere</v>
      </c>
      <c r="F115" s="48" t="str">
        <f>_xlfn.XLOOKUP(C115,Tab_Def_Flows[Name(EN)],Tab_Def_Flows[Process_ID_O],,0,)</f>
        <v>00_Bio_</v>
      </c>
      <c r="G115" s="48" t="str">
        <f>_xlfn.XLOOKUP(C115,Tab_Def_Flows[Name(EN)],Tab_Def_Flows[Input_Process],,0,)</f>
        <v>Raw Material Extraction</v>
      </c>
      <c r="H115" s="58" t="str">
        <f>_xlfn.XLOOKUP(C115,Tab_Def_Flows[Name(EN)],Tab_Def_Flows[Process_ID_I],,0,)</f>
        <v>01_Raw_</v>
      </c>
      <c r="I115" s="48">
        <f>_xlfn.XLOOKUP(C115,Tab_Def_Flows[Name(EN)],Tab_Def_Flows[Value_Source],,0,)</f>
        <v>0</v>
      </c>
      <c r="J115" s="48" t="str">
        <f>_xlfn.XLOOKUP(C115,Tab_Def_Flows[Name(EN)],Tab_Def_Flows[WC?],,0,)</f>
        <v>Yes</v>
      </c>
      <c r="K115" s="48" t="str">
        <f>_xlfn.XLOOKUP(C115,Tab_Def_Flows[Name(EN)],Tab_Def_Flows[DM?],,0,)</f>
        <v>Yes</v>
      </c>
      <c r="L115" s="48" t="str">
        <f>_xlfn.XLOOKUP(C115,Tab_Def_Flows[Name(EN)],Tab_Def_Flows[CC?],,0,)</f>
        <v>Yes</v>
      </c>
      <c r="M115" s="50">
        <v>2033</v>
      </c>
      <c r="N115" s="50"/>
      <c r="O115" s="104">
        <v>0</v>
      </c>
      <c r="P115" s="50" t="s">
        <v>85</v>
      </c>
      <c r="Q115" s="50"/>
      <c r="R115" s="50" t="e">
        <f>INDEX(Tab_WC_DM_CC[[Flow_ID]:[CC_source]],MATCH(Tab_Data_Flows[[#This Row],[Name(EN)]],Tab_WC_DM_CC[Name(EN)],0),12)</f>
        <v>#N/A</v>
      </c>
      <c r="S115" s="50" t="e">
        <f>MATCH(Tab_Data_Flows[[#This Row],[Name(EN)]],Tab_WC_DM_CC[Name(EN)],0)</f>
        <v>#N/A</v>
      </c>
      <c r="T115" s="50"/>
      <c r="U115" s="50"/>
      <c r="V115" s="50"/>
      <c r="W115" s="50"/>
      <c r="X115" s="50" t="s">
        <v>84</v>
      </c>
      <c r="Y115" s="50"/>
      <c r="Z115" s="50"/>
      <c r="AA115" s="77">
        <f t="shared" si="5"/>
        <v>0</v>
      </c>
      <c r="AB115" s="50" t="s">
        <v>85</v>
      </c>
      <c r="AC115" s="97">
        <f>INDEX(Tab_Def_Flows[[Flow_ID]:[CC_DM_source]],MATCH(Tab_Data_Flows[[#This Row],[Name(EN)]],Tab_Def_Flows[Name(EN)],0),14)</f>
        <v>0</v>
      </c>
      <c r="AD115" s="98">
        <f>IF(J115="Yes",AA115*Tab_Data_Flows[[#This Row],[WC_'[%']]],"N.A.")</f>
        <v>0</v>
      </c>
      <c r="AE115" s="58" t="str">
        <f>Tab_Data_Flows[[#This Row],[UoM_Flow_Py]]</f>
        <v>Mg</v>
      </c>
      <c r="AF115" s="97">
        <f>INDEX(Tab_Def_Flows[[Flow_ID]:[CC_DM_source]],MATCH(Tab_Data_Flows[[#This Row],[Name(EN)]],Tab_Def_Flows[Name(EN)],0),16)</f>
        <v>1</v>
      </c>
      <c r="AG115" s="98">
        <f>IF(K115="Yes",AF115*Tab_Data_Flows[[#This Row],[Flow_Py]],"N.A.")</f>
        <v>0</v>
      </c>
      <c r="AH115" s="58" t="str">
        <f>Tab_Data_Flows[[#This Row],[UoM_Flow_Py]]</f>
        <v>Mg</v>
      </c>
      <c r="AI115" s="97">
        <f>INDEX(Tab_Def_Flows[[Flow_ID]:[CC_DM_source]],MATCH(Tab_Data_Flows[[#This Row],[Name(EN)]],Tab_Def_Flows[Name(EN)],0),18)</f>
        <v>0.5</v>
      </c>
      <c r="AJ115" s="98">
        <f>IF(L115="Yes",AI115*Tab_Data_Flows[[#This Row],[Flow_Py]]*Tab_Data_Flows[[#This Row],[DM_'[%']]],"N.A.")</f>
        <v>0</v>
      </c>
      <c r="AK115" s="58" t="str">
        <f>Tab_Data_Flows[[#This Row],[UoM_Flow_Py]]</f>
        <v>Mg</v>
      </c>
    </row>
    <row r="116" spans="1:37" x14ac:dyDescent="0.3">
      <c r="A116" s="57">
        <f t="shared" si="4"/>
        <v>115</v>
      </c>
      <c r="B116" s="48" t="str">
        <f>_xlfn.XLOOKUP(C116,Tab_Def_Flows[Name(EN)],Tab_Def_Flows[Flow_ID],,0,)</f>
        <v>F_00_01</v>
      </c>
      <c r="C116" s="50" t="s">
        <v>107</v>
      </c>
      <c r="D116" s="48">
        <f>_xlfn.XLOOKUP(C116,Tab_Def_Flows[Name(EN)],Tab_Def_Flows[Type_Biomass],,0,)</f>
        <v>0</v>
      </c>
      <c r="E116" s="48" t="str">
        <f>_xlfn.XLOOKUP(C116,Tab_Def_Flows[Name(EN)],Tab_Def_Flows[Output_Process],,0,)</f>
        <v>Biosphere</v>
      </c>
      <c r="F116" s="48" t="str">
        <f>_xlfn.XLOOKUP(C116,Tab_Def_Flows[Name(EN)],Tab_Def_Flows[Process_ID_O],,0,)</f>
        <v>00_Bio_</v>
      </c>
      <c r="G116" s="48" t="str">
        <f>_xlfn.XLOOKUP(C116,Tab_Def_Flows[Name(EN)],Tab_Def_Flows[Input_Process],,0,)</f>
        <v>Raw Material Extraction</v>
      </c>
      <c r="H116" s="58" t="str">
        <f>_xlfn.XLOOKUP(C116,Tab_Def_Flows[Name(EN)],Tab_Def_Flows[Process_ID_I],,0,)</f>
        <v>01_Raw_</v>
      </c>
      <c r="I116" s="58">
        <f>_xlfn.XLOOKUP(C116,Tab_Def_Flows[Name(EN)],Tab_Def_Flows[Value_Source],,0,)</f>
        <v>0</v>
      </c>
      <c r="J116" s="58" t="str">
        <f>_xlfn.XLOOKUP(C116,Tab_Def_Flows[Name(EN)],Tab_Def_Flows[WC?],,0,)</f>
        <v>Yes</v>
      </c>
      <c r="K116" s="58" t="str">
        <f>_xlfn.XLOOKUP(C116,Tab_Def_Flows[Name(EN)],Tab_Def_Flows[DM?],,0,)</f>
        <v>Yes</v>
      </c>
      <c r="L116" s="58" t="str">
        <f>_xlfn.XLOOKUP(C116,Tab_Def_Flows[Name(EN)],Tab_Def_Flows[CC?],,0,)</f>
        <v>Yes</v>
      </c>
      <c r="M116" s="50">
        <v>2034</v>
      </c>
      <c r="N116" s="50" t="s">
        <v>82</v>
      </c>
      <c r="O116" s="104">
        <v>12.8</v>
      </c>
      <c r="P116" s="50" t="s">
        <v>85</v>
      </c>
      <c r="Q116" s="50" t="s">
        <v>83</v>
      </c>
      <c r="R116" s="50"/>
      <c r="S116" s="50"/>
      <c r="T116" s="50"/>
      <c r="U116" s="50"/>
      <c r="V116" s="50"/>
      <c r="W116" s="50"/>
      <c r="X116" s="50" t="s">
        <v>84</v>
      </c>
      <c r="Y116" s="94"/>
      <c r="Z116" s="50"/>
      <c r="AA116" s="77">
        <f t="shared" si="5"/>
        <v>12.8</v>
      </c>
      <c r="AB116" s="50" t="s">
        <v>85</v>
      </c>
      <c r="AC116" s="97">
        <f>INDEX(Tab_Def_Flows[[Flow_ID]:[CC_DM_source]],MATCH(Tab_Data_Flows[[#This Row],[Name(EN)]],Tab_Def_Flows[Name(EN)],0),14)</f>
        <v>0</v>
      </c>
      <c r="AD116" s="98">
        <f>IF(J116="Yes",AA116*Tab_Data_Flows[[#This Row],[WC_'[%']]],"N.A.")</f>
        <v>0</v>
      </c>
      <c r="AE116" s="58" t="str">
        <f>Tab_Data_Flows[[#This Row],[UoM_Flow_Py]]</f>
        <v>Mg</v>
      </c>
      <c r="AF116" s="97">
        <f>INDEX(Tab_Def_Flows[[Flow_ID]:[CC_DM_source]],MATCH(Tab_Data_Flows[[#This Row],[Name(EN)]],Tab_Def_Flows[Name(EN)],0),16)</f>
        <v>1</v>
      </c>
      <c r="AG116" s="98">
        <f>IF(K116="Yes",AF116*Tab_Data_Flows[[#This Row],[Flow_Py]],"N.A.")</f>
        <v>12.8</v>
      </c>
      <c r="AH116" s="58" t="str">
        <f>Tab_Data_Flows[[#This Row],[UoM_Flow_Py]]</f>
        <v>Mg</v>
      </c>
      <c r="AI116" s="97">
        <f>INDEX(Tab_Def_Flows[[Flow_ID]:[CC_DM_source]],MATCH(Tab_Data_Flows[[#This Row],[Name(EN)]],Tab_Def_Flows[Name(EN)],0),18)</f>
        <v>0.5</v>
      </c>
      <c r="AJ116" s="98">
        <f>IF(L116="Yes",AI116*Tab_Data_Flows[[#This Row],[Flow_Py]]*Tab_Data_Flows[[#This Row],[DM_'[%']]],"N.A.")</f>
        <v>6.4</v>
      </c>
      <c r="AK116" s="58" t="str">
        <f>Tab_Data_Flows[[#This Row],[UoM_Flow_Py]]</f>
        <v>Mg</v>
      </c>
    </row>
    <row r="117" spans="1:37" x14ac:dyDescent="0.3">
      <c r="A117" s="57">
        <f t="shared" si="4"/>
        <v>116</v>
      </c>
      <c r="B117" s="48" t="str">
        <f>_xlfn.XLOOKUP(C117,Tab_Def_Flows[Name(EN)],Tab_Def_Flows[Flow_ID],,0,)</f>
        <v>F_00_01</v>
      </c>
      <c r="C117" s="50" t="s">
        <v>107</v>
      </c>
      <c r="D117" s="48">
        <f>_xlfn.XLOOKUP(C117,Tab_Def_Flows[Name(EN)],Tab_Def_Flows[Type_Biomass],,0,)</f>
        <v>0</v>
      </c>
      <c r="E117" s="48" t="str">
        <f>_xlfn.XLOOKUP(C117,Tab_Def_Flows[Name(EN)],Tab_Def_Flows[Output_Process],,0,)</f>
        <v>Biosphere</v>
      </c>
      <c r="F117" s="48" t="str">
        <f>_xlfn.XLOOKUP(C117,Tab_Def_Flows[Name(EN)],Tab_Def_Flows[Process_ID_O],,0,)</f>
        <v>00_Bio_</v>
      </c>
      <c r="G117" s="48" t="str">
        <f>_xlfn.XLOOKUP(C117,Tab_Def_Flows[Name(EN)],Tab_Def_Flows[Input_Process],,0,)</f>
        <v>Raw Material Extraction</v>
      </c>
      <c r="H117" s="58" t="str">
        <f>_xlfn.XLOOKUP(C117,Tab_Def_Flows[Name(EN)],Tab_Def_Flows[Process_ID_I],,0,)</f>
        <v>01_Raw_</v>
      </c>
      <c r="I117" s="58">
        <f>_xlfn.XLOOKUP(C117,Tab_Def_Flows[Name(EN)],Tab_Def_Flows[Value_Source],,0,)</f>
        <v>0</v>
      </c>
      <c r="J117" s="58" t="str">
        <f>_xlfn.XLOOKUP(C117,Tab_Def_Flows[Name(EN)],Tab_Def_Flows[WC?],,0,)</f>
        <v>Yes</v>
      </c>
      <c r="K117" s="58" t="str">
        <f>_xlfn.XLOOKUP(C117,Tab_Def_Flows[Name(EN)],Tab_Def_Flows[DM?],,0,)</f>
        <v>Yes</v>
      </c>
      <c r="L117" s="58" t="str">
        <f>_xlfn.XLOOKUP(C117,Tab_Def_Flows[Name(EN)],Tab_Def_Flows[CC?],,0,)</f>
        <v>Yes</v>
      </c>
      <c r="M117" s="50">
        <v>2035</v>
      </c>
      <c r="N117" s="50" t="s">
        <v>82</v>
      </c>
      <c r="O117" s="104">
        <v>6.4</v>
      </c>
      <c r="P117" s="50" t="s">
        <v>85</v>
      </c>
      <c r="Q117" s="50" t="s">
        <v>83</v>
      </c>
      <c r="R117" s="50"/>
      <c r="S117" s="50"/>
      <c r="T117" s="50"/>
      <c r="U117" s="50"/>
      <c r="V117" s="50"/>
      <c r="W117" s="50"/>
      <c r="X117" s="50" t="s">
        <v>84</v>
      </c>
      <c r="Y117" s="94"/>
      <c r="Z117" s="50"/>
      <c r="AA117" s="77">
        <f t="shared" si="5"/>
        <v>6.4</v>
      </c>
      <c r="AB117" s="50" t="s">
        <v>85</v>
      </c>
      <c r="AC117" s="97">
        <f>INDEX(Tab_Def_Flows[[Flow_ID]:[CC_DM_source]],MATCH(Tab_Data_Flows[[#This Row],[Name(EN)]],Tab_Def_Flows[Name(EN)],0),14)</f>
        <v>0</v>
      </c>
      <c r="AD117" s="98">
        <f>IF(J117="Yes",AA117*Tab_Data_Flows[[#This Row],[WC_'[%']]],"N.A.")</f>
        <v>0</v>
      </c>
      <c r="AE117" s="58" t="str">
        <f>Tab_Data_Flows[[#This Row],[UoM_Flow_Py]]</f>
        <v>Mg</v>
      </c>
      <c r="AF117" s="97">
        <f>INDEX(Tab_Def_Flows[[Flow_ID]:[CC_DM_source]],MATCH(Tab_Data_Flows[[#This Row],[Name(EN)]],Tab_Def_Flows[Name(EN)],0),16)</f>
        <v>1</v>
      </c>
      <c r="AG117" s="98">
        <f>IF(K117="Yes",AF117*Tab_Data_Flows[[#This Row],[Flow_Py]],"N.A.")</f>
        <v>6.4</v>
      </c>
      <c r="AH117" s="58" t="str">
        <f>Tab_Data_Flows[[#This Row],[UoM_Flow_Py]]</f>
        <v>Mg</v>
      </c>
      <c r="AI117" s="97">
        <f>INDEX(Tab_Def_Flows[[Flow_ID]:[CC_DM_source]],MATCH(Tab_Data_Flows[[#This Row],[Name(EN)]],Tab_Def_Flows[Name(EN)],0),18)</f>
        <v>0.5</v>
      </c>
      <c r="AJ117" s="98">
        <f>IF(L117="Yes",AI117*Tab_Data_Flows[[#This Row],[Flow_Py]]*Tab_Data_Flows[[#This Row],[DM_'[%']]],"N.A.")</f>
        <v>3.2</v>
      </c>
      <c r="AK117" s="58" t="str">
        <f>Tab_Data_Flows[[#This Row],[UoM_Flow_Py]]</f>
        <v>Mg</v>
      </c>
    </row>
    <row r="118" spans="1:37" x14ac:dyDescent="0.3">
      <c r="A118" s="57">
        <f t="shared" si="4"/>
        <v>117</v>
      </c>
      <c r="B118" s="48" t="str">
        <f>_xlfn.XLOOKUP(C118,Tab_Def_Flows[Name(EN)],Tab_Def_Flows[Flow_ID],,0,)</f>
        <v>F_00_01</v>
      </c>
      <c r="C118" s="50" t="s">
        <v>107</v>
      </c>
      <c r="D118" s="48">
        <f>_xlfn.XLOOKUP(C118,Tab_Def_Flows[Name(EN)],Tab_Def_Flows[Type_Biomass],,0,)</f>
        <v>0</v>
      </c>
      <c r="E118" s="48" t="str">
        <f>_xlfn.XLOOKUP(C118,Tab_Def_Flows[Name(EN)],Tab_Def_Flows[Output_Process],,0,)</f>
        <v>Biosphere</v>
      </c>
      <c r="F118" s="48" t="str">
        <f>_xlfn.XLOOKUP(C118,Tab_Def_Flows[Name(EN)],Tab_Def_Flows[Process_ID_O],,0,)</f>
        <v>00_Bio_</v>
      </c>
      <c r="G118" s="48" t="str">
        <f>_xlfn.XLOOKUP(C118,Tab_Def_Flows[Name(EN)],Tab_Def_Flows[Input_Process],,0,)</f>
        <v>Raw Material Extraction</v>
      </c>
      <c r="H118" s="58" t="str">
        <f>_xlfn.XLOOKUP(C118,Tab_Def_Flows[Name(EN)],Tab_Def_Flows[Process_ID_I],,0,)</f>
        <v>01_Raw_</v>
      </c>
      <c r="I118" s="58">
        <f>_xlfn.XLOOKUP(C118,Tab_Def_Flows[Name(EN)],Tab_Def_Flows[Value_Source],,0,)</f>
        <v>0</v>
      </c>
      <c r="J118" s="58" t="str">
        <f>_xlfn.XLOOKUP(C118,Tab_Def_Flows[Name(EN)],Tab_Def_Flows[WC?],,0,)</f>
        <v>Yes</v>
      </c>
      <c r="K118" s="58" t="str">
        <f>_xlfn.XLOOKUP(C118,Tab_Def_Flows[Name(EN)],Tab_Def_Flows[DM?],,0,)</f>
        <v>Yes</v>
      </c>
      <c r="L118" s="58" t="str">
        <f>_xlfn.XLOOKUP(C118,Tab_Def_Flows[Name(EN)],Tab_Def_Flows[CC?],,0,)</f>
        <v>Yes</v>
      </c>
      <c r="M118" s="50">
        <v>2036</v>
      </c>
      <c r="N118" s="50" t="s">
        <v>82</v>
      </c>
      <c r="O118" s="104">
        <v>12.8</v>
      </c>
      <c r="P118" s="50" t="s">
        <v>85</v>
      </c>
      <c r="Q118" s="50" t="s">
        <v>83</v>
      </c>
      <c r="R118" s="50"/>
      <c r="S118" s="50"/>
      <c r="T118" s="50"/>
      <c r="U118" s="50"/>
      <c r="V118" s="50"/>
      <c r="W118" s="50"/>
      <c r="X118" s="50" t="s">
        <v>84</v>
      </c>
      <c r="Y118" s="94"/>
      <c r="Z118" s="50"/>
      <c r="AA118" s="77">
        <f t="shared" si="5"/>
        <v>12.8</v>
      </c>
      <c r="AB118" s="50" t="s">
        <v>85</v>
      </c>
      <c r="AC118" s="97">
        <f>INDEX(Tab_Def_Flows[[Flow_ID]:[CC_DM_source]],MATCH(Tab_Data_Flows[[#This Row],[Name(EN)]],Tab_Def_Flows[Name(EN)],0),14)</f>
        <v>0</v>
      </c>
      <c r="AD118" s="98">
        <f>IF(J118="Yes",AA118*Tab_Data_Flows[[#This Row],[WC_'[%']]],"N.A.")</f>
        <v>0</v>
      </c>
      <c r="AE118" s="58" t="str">
        <f>Tab_Data_Flows[[#This Row],[UoM_Flow_Py]]</f>
        <v>Mg</v>
      </c>
      <c r="AF118" s="97">
        <f>INDEX(Tab_Def_Flows[[Flow_ID]:[CC_DM_source]],MATCH(Tab_Data_Flows[[#This Row],[Name(EN)]],Tab_Def_Flows[Name(EN)],0),16)</f>
        <v>1</v>
      </c>
      <c r="AG118" s="98">
        <f>IF(K118="Yes",AF118*Tab_Data_Flows[[#This Row],[Flow_Py]],"N.A.")</f>
        <v>12.8</v>
      </c>
      <c r="AH118" s="58" t="str">
        <f>Tab_Data_Flows[[#This Row],[UoM_Flow_Py]]</f>
        <v>Mg</v>
      </c>
      <c r="AI118" s="97">
        <f>INDEX(Tab_Def_Flows[[Flow_ID]:[CC_DM_source]],MATCH(Tab_Data_Flows[[#This Row],[Name(EN)]],Tab_Def_Flows[Name(EN)],0),18)</f>
        <v>0.5</v>
      </c>
      <c r="AJ118" s="98">
        <f>IF(L118="Yes",AI118*Tab_Data_Flows[[#This Row],[Flow_Py]]*Tab_Data_Flows[[#This Row],[DM_'[%']]],"N.A.")</f>
        <v>6.4</v>
      </c>
      <c r="AK118" s="58" t="str">
        <f>Tab_Data_Flows[[#This Row],[UoM_Flow_Py]]</f>
        <v>Mg</v>
      </c>
    </row>
    <row r="119" spans="1:37" x14ac:dyDescent="0.3">
      <c r="A119" s="57">
        <f t="shared" si="4"/>
        <v>118</v>
      </c>
      <c r="B119" s="48" t="str">
        <f>_xlfn.XLOOKUP(C119,Tab_Def_Flows[Name(EN)],Tab_Def_Flows[Flow_ID],,0,)</f>
        <v>F_00_01</v>
      </c>
      <c r="C119" s="50" t="s">
        <v>107</v>
      </c>
      <c r="D119" s="48">
        <f>_xlfn.XLOOKUP(C119,Tab_Def_Flows[Name(EN)],Tab_Def_Flows[Type_Biomass],,0,)</f>
        <v>0</v>
      </c>
      <c r="E119" s="48" t="str">
        <f>_xlfn.XLOOKUP(C119,Tab_Def_Flows[Name(EN)],Tab_Def_Flows[Output_Process],,0,)</f>
        <v>Biosphere</v>
      </c>
      <c r="F119" s="48" t="str">
        <f>_xlfn.XLOOKUP(C119,Tab_Def_Flows[Name(EN)],Tab_Def_Flows[Process_ID_O],,0,)</f>
        <v>00_Bio_</v>
      </c>
      <c r="G119" s="48" t="str">
        <f>_xlfn.XLOOKUP(C119,Tab_Def_Flows[Name(EN)],Tab_Def_Flows[Input_Process],,0,)</f>
        <v>Raw Material Extraction</v>
      </c>
      <c r="H119" s="58" t="str">
        <f>_xlfn.XLOOKUP(C119,Tab_Def_Flows[Name(EN)],Tab_Def_Flows[Process_ID_I],,0,)</f>
        <v>01_Raw_</v>
      </c>
      <c r="I119" s="58">
        <f>_xlfn.XLOOKUP(C119,Tab_Def_Flows[Name(EN)],Tab_Def_Flows[Value_Source],,0,)</f>
        <v>0</v>
      </c>
      <c r="J119" s="58" t="str">
        <f>_xlfn.XLOOKUP(C119,Tab_Def_Flows[Name(EN)],Tab_Def_Flows[WC?],,0,)</f>
        <v>Yes</v>
      </c>
      <c r="K119" s="58" t="str">
        <f>_xlfn.XLOOKUP(C119,Tab_Def_Flows[Name(EN)],Tab_Def_Flows[DM?],,0,)</f>
        <v>Yes</v>
      </c>
      <c r="L119" s="58" t="str">
        <f>_xlfn.XLOOKUP(C119,Tab_Def_Flows[Name(EN)],Tab_Def_Flows[CC?],,0,)</f>
        <v>Yes</v>
      </c>
      <c r="M119" s="50">
        <v>2037</v>
      </c>
      <c r="N119" s="50" t="s">
        <v>82</v>
      </c>
      <c r="O119" s="104">
        <v>6.4</v>
      </c>
      <c r="P119" s="50" t="s">
        <v>85</v>
      </c>
      <c r="Q119" s="50" t="s">
        <v>83</v>
      </c>
      <c r="R119" s="50"/>
      <c r="S119" s="50"/>
      <c r="T119" s="50"/>
      <c r="U119" s="50"/>
      <c r="V119" s="50"/>
      <c r="W119" s="50"/>
      <c r="X119" s="50" t="s">
        <v>84</v>
      </c>
      <c r="Y119" s="94"/>
      <c r="Z119" s="50"/>
      <c r="AA119" s="77">
        <f t="shared" si="5"/>
        <v>6.4</v>
      </c>
      <c r="AB119" s="50" t="s">
        <v>85</v>
      </c>
      <c r="AC119" s="97">
        <f>INDEX(Tab_Def_Flows[[Flow_ID]:[CC_DM_source]],MATCH(Tab_Data_Flows[[#This Row],[Name(EN)]],Tab_Def_Flows[Name(EN)],0),14)</f>
        <v>0</v>
      </c>
      <c r="AD119" s="98">
        <f>IF(J119="Yes",AA119*Tab_Data_Flows[[#This Row],[WC_'[%']]],"N.A.")</f>
        <v>0</v>
      </c>
      <c r="AE119" s="58" t="str">
        <f>Tab_Data_Flows[[#This Row],[UoM_Flow_Py]]</f>
        <v>Mg</v>
      </c>
      <c r="AF119" s="97">
        <f>INDEX(Tab_Def_Flows[[Flow_ID]:[CC_DM_source]],MATCH(Tab_Data_Flows[[#This Row],[Name(EN)]],Tab_Def_Flows[Name(EN)],0),16)</f>
        <v>1</v>
      </c>
      <c r="AG119" s="98">
        <f>IF(K119="Yes",AF119*Tab_Data_Flows[[#This Row],[Flow_Py]],"N.A.")</f>
        <v>6.4</v>
      </c>
      <c r="AH119" s="58" t="str">
        <f>Tab_Data_Flows[[#This Row],[UoM_Flow_Py]]</f>
        <v>Mg</v>
      </c>
      <c r="AI119" s="97">
        <f>INDEX(Tab_Def_Flows[[Flow_ID]:[CC_DM_source]],MATCH(Tab_Data_Flows[[#This Row],[Name(EN)]],Tab_Def_Flows[Name(EN)],0),18)</f>
        <v>0.5</v>
      </c>
      <c r="AJ119" s="98">
        <f>IF(L119="Yes",AI119*Tab_Data_Flows[[#This Row],[Flow_Py]]*Tab_Data_Flows[[#This Row],[DM_'[%']]],"N.A.")</f>
        <v>3.2</v>
      </c>
      <c r="AK119" s="58" t="str">
        <f>Tab_Data_Flows[[#This Row],[UoM_Flow_Py]]</f>
        <v>Mg</v>
      </c>
    </row>
    <row r="120" spans="1:37" x14ac:dyDescent="0.3">
      <c r="A120" s="57">
        <f t="shared" si="4"/>
        <v>119</v>
      </c>
      <c r="B120" s="48" t="str">
        <f>_xlfn.XLOOKUP(C120,Tab_Def_Flows[Name(EN)],Tab_Def_Flows[Flow_ID],,0,)</f>
        <v>F_00_01</v>
      </c>
      <c r="C120" s="50" t="s">
        <v>107</v>
      </c>
      <c r="D120" s="48">
        <f>_xlfn.XLOOKUP(C120,Tab_Def_Flows[Name(EN)],Tab_Def_Flows[Type_Biomass],,0,)</f>
        <v>0</v>
      </c>
      <c r="E120" s="48" t="str">
        <f>_xlfn.XLOOKUP(C120,Tab_Def_Flows[Name(EN)],Tab_Def_Flows[Output_Process],,0,)</f>
        <v>Biosphere</v>
      </c>
      <c r="F120" s="48" t="str">
        <f>_xlfn.XLOOKUP(C120,Tab_Def_Flows[Name(EN)],Tab_Def_Flows[Process_ID_O],,0,)</f>
        <v>00_Bio_</v>
      </c>
      <c r="G120" s="48" t="str">
        <f>_xlfn.XLOOKUP(C120,Tab_Def_Flows[Name(EN)],Tab_Def_Flows[Input_Process],,0,)</f>
        <v>Raw Material Extraction</v>
      </c>
      <c r="H120" s="58" t="str">
        <f>_xlfn.XLOOKUP(C120,Tab_Def_Flows[Name(EN)],Tab_Def_Flows[Process_ID_I],,0,)</f>
        <v>01_Raw_</v>
      </c>
      <c r="I120" s="58">
        <f>_xlfn.XLOOKUP(C120,Tab_Def_Flows[Name(EN)],Tab_Def_Flows[Value_Source],,0,)</f>
        <v>0</v>
      </c>
      <c r="J120" s="58" t="str">
        <f>_xlfn.XLOOKUP(C120,Tab_Def_Flows[Name(EN)],Tab_Def_Flows[WC?],,0,)</f>
        <v>Yes</v>
      </c>
      <c r="K120" s="58" t="str">
        <f>_xlfn.XLOOKUP(C120,Tab_Def_Flows[Name(EN)],Tab_Def_Flows[DM?],,0,)</f>
        <v>Yes</v>
      </c>
      <c r="L120" s="58" t="str">
        <f>_xlfn.XLOOKUP(C120,Tab_Def_Flows[Name(EN)],Tab_Def_Flows[CC?],,0,)</f>
        <v>Yes</v>
      </c>
      <c r="M120" s="50">
        <v>2038</v>
      </c>
      <c r="N120" s="50" t="s">
        <v>82</v>
      </c>
      <c r="O120" s="104">
        <v>6.4</v>
      </c>
      <c r="P120" s="50" t="s">
        <v>85</v>
      </c>
      <c r="Q120" s="50" t="s">
        <v>83</v>
      </c>
      <c r="R120" s="50"/>
      <c r="S120" s="50"/>
      <c r="T120" s="50"/>
      <c r="U120" s="50"/>
      <c r="V120" s="50"/>
      <c r="W120" s="50"/>
      <c r="X120" s="50" t="s">
        <v>84</v>
      </c>
      <c r="Y120" s="94"/>
      <c r="Z120" s="50"/>
      <c r="AA120" s="77">
        <f t="shared" si="5"/>
        <v>6.4</v>
      </c>
      <c r="AB120" s="50" t="s">
        <v>85</v>
      </c>
      <c r="AC120" s="97">
        <f>INDEX(Tab_Def_Flows[[Flow_ID]:[CC_DM_source]],MATCH(Tab_Data_Flows[[#This Row],[Name(EN)]],Tab_Def_Flows[Name(EN)],0),14)</f>
        <v>0</v>
      </c>
      <c r="AD120" s="98">
        <f>IF(J120="Yes",AA120*Tab_Data_Flows[[#This Row],[WC_'[%']]],"N.A.")</f>
        <v>0</v>
      </c>
      <c r="AE120" s="58" t="str">
        <f>Tab_Data_Flows[[#This Row],[UoM_Flow_Py]]</f>
        <v>Mg</v>
      </c>
      <c r="AF120" s="97">
        <f>INDEX(Tab_Def_Flows[[Flow_ID]:[CC_DM_source]],MATCH(Tab_Data_Flows[[#This Row],[Name(EN)]],Tab_Def_Flows[Name(EN)],0),16)</f>
        <v>1</v>
      </c>
      <c r="AG120" s="98">
        <f>IF(K120="Yes",AF120*Tab_Data_Flows[[#This Row],[Flow_Py]],"N.A.")</f>
        <v>6.4</v>
      </c>
      <c r="AH120" s="58" t="str">
        <f>Tab_Data_Flows[[#This Row],[UoM_Flow_Py]]</f>
        <v>Mg</v>
      </c>
      <c r="AI120" s="97">
        <f>INDEX(Tab_Def_Flows[[Flow_ID]:[CC_DM_source]],MATCH(Tab_Data_Flows[[#This Row],[Name(EN)]],Tab_Def_Flows[Name(EN)],0),18)</f>
        <v>0.5</v>
      </c>
      <c r="AJ120" s="98">
        <f>IF(L120="Yes",AI120*Tab_Data_Flows[[#This Row],[Flow_Py]]*Tab_Data_Flows[[#This Row],[DM_'[%']]],"N.A.")</f>
        <v>3.2</v>
      </c>
      <c r="AK120" s="58" t="str">
        <f>Tab_Data_Flows[[#This Row],[UoM_Flow_Py]]</f>
        <v>Mg</v>
      </c>
    </row>
    <row r="121" spans="1:37" x14ac:dyDescent="0.3">
      <c r="A121" s="57">
        <f t="shared" si="4"/>
        <v>120</v>
      </c>
      <c r="B121" s="48" t="str">
        <f>_xlfn.XLOOKUP(C121,Tab_Def_Flows[Name(EN)],Tab_Def_Flows[Flow_ID],,0,)</f>
        <v>F_00_01</v>
      </c>
      <c r="C121" s="50" t="s">
        <v>107</v>
      </c>
      <c r="D121" s="48">
        <f>_xlfn.XLOOKUP(C121,Tab_Def_Flows[Name(EN)],Tab_Def_Flows[Type_Biomass],,0,)</f>
        <v>0</v>
      </c>
      <c r="E121" s="48" t="str">
        <f>_xlfn.XLOOKUP(C121,Tab_Def_Flows[Name(EN)],Tab_Def_Flows[Output_Process],,0,)</f>
        <v>Biosphere</v>
      </c>
      <c r="F121" s="48" t="str">
        <f>_xlfn.XLOOKUP(C121,Tab_Def_Flows[Name(EN)],Tab_Def_Flows[Process_ID_O],,0,)</f>
        <v>00_Bio_</v>
      </c>
      <c r="G121" s="48" t="str">
        <f>_xlfn.XLOOKUP(C121,Tab_Def_Flows[Name(EN)],Tab_Def_Flows[Input_Process],,0,)</f>
        <v>Raw Material Extraction</v>
      </c>
      <c r="H121" s="58" t="str">
        <f>_xlfn.XLOOKUP(C121,Tab_Def_Flows[Name(EN)],Tab_Def_Flows[Process_ID_I],,0,)</f>
        <v>01_Raw_</v>
      </c>
      <c r="I121" s="58">
        <f>_xlfn.XLOOKUP(C121,Tab_Def_Flows[Name(EN)],Tab_Def_Flows[Value_Source],,0,)</f>
        <v>0</v>
      </c>
      <c r="J121" s="58" t="str">
        <f>_xlfn.XLOOKUP(C121,Tab_Def_Flows[Name(EN)],Tab_Def_Flows[WC?],,0,)</f>
        <v>Yes</v>
      </c>
      <c r="K121" s="58" t="str">
        <f>_xlfn.XLOOKUP(C121,Tab_Def_Flows[Name(EN)],Tab_Def_Flows[DM?],,0,)</f>
        <v>Yes</v>
      </c>
      <c r="L121" s="58" t="str">
        <f>_xlfn.XLOOKUP(C121,Tab_Def_Flows[Name(EN)],Tab_Def_Flows[CC?],,0,)</f>
        <v>Yes</v>
      </c>
      <c r="M121" s="50">
        <v>2039</v>
      </c>
      <c r="N121" s="50" t="s">
        <v>82</v>
      </c>
      <c r="O121" s="104">
        <v>32.200000000000003</v>
      </c>
      <c r="P121" s="50" t="s">
        <v>85</v>
      </c>
      <c r="Q121" s="50" t="s">
        <v>83</v>
      </c>
      <c r="R121" s="50"/>
      <c r="S121" s="50"/>
      <c r="T121" s="50"/>
      <c r="U121" s="50"/>
      <c r="V121" s="50"/>
      <c r="W121" s="50"/>
      <c r="X121" s="50" t="s">
        <v>84</v>
      </c>
      <c r="Y121" s="94"/>
      <c r="Z121" s="50"/>
      <c r="AA121" s="77">
        <f t="shared" si="5"/>
        <v>32.200000000000003</v>
      </c>
      <c r="AB121" s="50" t="s">
        <v>85</v>
      </c>
      <c r="AC121" s="97">
        <f>INDEX(Tab_Def_Flows[[Flow_ID]:[CC_DM_source]],MATCH(Tab_Data_Flows[[#This Row],[Name(EN)]],Tab_Def_Flows[Name(EN)],0),14)</f>
        <v>0</v>
      </c>
      <c r="AD121" s="98">
        <f>IF(J121="Yes",AA121*Tab_Data_Flows[[#This Row],[WC_'[%']]],"N.A.")</f>
        <v>0</v>
      </c>
      <c r="AE121" s="58" t="str">
        <f>Tab_Data_Flows[[#This Row],[UoM_Flow_Py]]</f>
        <v>Mg</v>
      </c>
      <c r="AF121" s="97">
        <f>INDEX(Tab_Def_Flows[[Flow_ID]:[CC_DM_source]],MATCH(Tab_Data_Flows[[#This Row],[Name(EN)]],Tab_Def_Flows[Name(EN)],0),16)</f>
        <v>1</v>
      </c>
      <c r="AG121" s="98">
        <f>IF(K121="Yes",AF121*Tab_Data_Flows[[#This Row],[Flow_Py]],"N.A.")</f>
        <v>32.200000000000003</v>
      </c>
      <c r="AH121" s="58" t="str">
        <f>Tab_Data_Flows[[#This Row],[UoM_Flow_Py]]</f>
        <v>Mg</v>
      </c>
      <c r="AI121" s="97">
        <f>INDEX(Tab_Def_Flows[[Flow_ID]:[CC_DM_source]],MATCH(Tab_Data_Flows[[#This Row],[Name(EN)]],Tab_Def_Flows[Name(EN)],0),18)</f>
        <v>0.5</v>
      </c>
      <c r="AJ121" s="98">
        <f>IF(L121="Yes",AI121*Tab_Data_Flows[[#This Row],[Flow_Py]]*Tab_Data_Flows[[#This Row],[DM_'[%']]],"N.A.")</f>
        <v>16.100000000000001</v>
      </c>
      <c r="AK121" s="58" t="str">
        <f>Tab_Data_Flows[[#This Row],[UoM_Flow_Py]]</f>
        <v>Mg</v>
      </c>
    </row>
    <row r="122" spans="1:37" x14ac:dyDescent="0.3">
      <c r="A122" s="57">
        <f t="shared" si="4"/>
        <v>121</v>
      </c>
      <c r="B122" s="48" t="str">
        <f>_xlfn.XLOOKUP(C122,Tab_Def_Flows[Name(EN)],Tab_Def_Flows[Flow_ID],,0,)</f>
        <v>F_00_01</v>
      </c>
      <c r="C122" s="50" t="s">
        <v>107</v>
      </c>
      <c r="D122" s="48">
        <f>_xlfn.XLOOKUP(C122,Tab_Def_Flows[Name(EN)],Tab_Def_Flows[Type_Biomass],,0,)</f>
        <v>0</v>
      </c>
      <c r="E122" s="48" t="str">
        <f>_xlfn.XLOOKUP(C122,Tab_Def_Flows[Name(EN)],Tab_Def_Flows[Output_Process],,0,)</f>
        <v>Biosphere</v>
      </c>
      <c r="F122" s="48" t="str">
        <f>_xlfn.XLOOKUP(C122,Tab_Def_Flows[Name(EN)],Tab_Def_Flows[Process_ID_O],,0,)</f>
        <v>00_Bio_</v>
      </c>
      <c r="G122" s="48" t="str">
        <f>_xlfn.XLOOKUP(C122,Tab_Def_Flows[Name(EN)],Tab_Def_Flows[Input_Process],,0,)</f>
        <v>Raw Material Extraction</v>
      </c>
      <c r="H122" s="58" t="str">
        <f>_xlfn.XLOOKUP(C122,Tab_Def_Flows[Name(EN)],Tab_Def_Flows[Process_ID_I],,0,)</f>
        <v>01_Raw_</v>
      </c>
      <c r="I122" s="58">
        <f>_xlfn.XLOOKUP(C122,Tab_Def_Flows[Name(EN)],Tab_Def_Flows[Value_Source],,0,)</f>
        <v>0</v>
      </c>
      <c r="J122" s="58" t="str">
        <f>_xlfn.XLOOKUP(C122,Tab_Def_Flows[Name(EN)],Tab_Def_Flows[WC?],,0,)</f>
        <v>Yes</v>
      </c>
      <c r="K122" s="58" t="str">
        <f>_xlfn.XLOOKUP(C122,Tab_Def_Flows[Name(EN)],Tab_Def_Flows[DM?],,0,)</f>
        <v>Yes</v>
      </c>
      <c r="L122" s="58" t="str">
        <f>_xlfn.XLOOKUP(C122,Tab_Def_Flows[Name(EN)],Tab_Def_Flows[CC?],,0,)</f>
        <v>Yes</v>
      </c>
      <c r="M122" s="50">
        <v>2040</v>
      </c>
      <c r="N122" s="50" t="s">
        <v>82</v>
      </c>
      <c r="O122" s="104">
        <v>0</v>
      </c>
      <c r="P122" s="50" t="s">
        <v>85</v>
      </c>
      <c r="Q122" s="50" t="s">
        <v>83</v>
      </c>
      <c r="R122" s="50"/>
      <c r="S122" s="50"/>
      <c r="T122" s="50"/>
      <c r="U122" s="50"/>
      <c r="V122" s="50"/>
      <c r="W122" s="50"/>
      <c r="X122" s="50" t="s">
        <v>84</v>
      </c>
      <c r="Y122" s="94"/>
      <c r="Z122" s="50"/>
      <c r="AA122" s="77">
        <f t="shared" si="5"/>
        <v>0</v>
      </c>
      <c r="AB122" s="50" t="s">
        <v>85</v>
      </c>
      <c r="AC122" s="97">
        <f>INDEX(Tab_Def_Flows[[Flow_ID]:[CC_DM_source]],MATCH(Tab_Data_Flows[[#This Row],[Name(EN)]],Tab_Def_Flows[Name(EN)],0),14)</f>
        <v>0</v>
      </c>
      <c r="AD122" s="98">
        <f>IF(J122="Yes",AA122*Tab_Data_Flows[[#This Row],[WC_'[%']]],"N.A.")</f>
        <v>0</v>
      </c>
      <c r="AE122" s="58" t="str">
        <f>Tab_Data_Flows[[#This Row],[UoM_Flow_Py]]</f>
        <v>Mg</v>
      </c>
      <c r="AF122" s="97">
        <f>INDEX(Tab_Def_Flows[[Flow_ID]:[CC_DM_source]],MATCH(Tab_Data_Flows[[#This Row],[Name(EN)]],Tab_Def_Flows[Name(EN)],0),16)</f>
        <v>1</v>
      </c>
      <c r="AG122" s="98">
        <f>IF(K122="Yes",AF122*Tab_Data_Flows[[#This Row],[Flow_Py]],"N.A.")</f>
        <v>0</v>
      </c>
      <c r="AH122" s="58" t="str">
        <f>Tab_Data_Flows[[#This Row],[UoM_Flow_Py]]</f>
        <v>Mg</v>
      </c>
      <c r="AI122" s="97">
        <f>INDEX(Tab_Def_Flows[[Flow_ID]:[CC_DM_source]],MATCH(Tab_Data_Flows[[#This Row],[Name(EN)]],Tab_Def_Flows[Name(EN)],0),18)</f>
        <v>0.5</v>
      </c>
      <c r="AJ122" s="98">
        <f>IF(L122="Yes",AI122*Tab_Data_Flows[[#This Row],[Flow_Py]]*Tab_Data_Flows[[#This Row],[DM_'[%']]],"N.A.")</f>
        <v>0</v>
      </c>
      <c r="AK122" s="58" t="str">
        <f>Tab_Data_Flows[[#This Row],[UoM_Flow_Py]]</f>
        <v>Mg</v>
      </c>
    </row>
    <row r="123" spans="1:37" x14ac:dyDescent="0.3">
      <c r="A123" s="57">
        <f t="shared" si="4"/>
        <v>122</v>
      </c>
      <c r="B123" s="48" t="str">
        <f>_xlfn.XLOOKUP(C123,Tab_Def_Flows[Name(EN)],Tab_Def_Flows[Flow_ID],,0,)</f>
        <v>F_00_01</v>
      </c>
      <c r="C123" s="50" t="s">
        <v>107</v>
      </c>
      <c r="D123" s="48"/>
      <c r="E123" s="48" t="str">
        <f>_xlfn.XLOOKUP(C123,Tab_Def_Flows[Name(EN)],Tab_Def_Flows[Output_Process],,0,)</f>
        <v>Biosphere</v>
      </c>
      <c r="F123" s="48" t="str">
        <f>_xlfn.XLOOKUP(C123,Tab_Def_Flows[Name(EN)],Tab_Def_Flows[Process_ID_O],,0,)</f>
        <v>00_Bio_</v>
      </c>
      <c r="G123" s="48" t="str">
        <f>_xlfn.XLOOKUP(C123,Tab_Def_Flows[Name(EN)],Tab_Def_Flows[Input_Process],,0,)</f>
        <v>Raw Material Extraction</v>
      </c>
      <c r="H123" s="58" t="str">
        <f>_xlfn.XLOOKUP(C123,Tab_Def_Flows[Name(EN)],Tab_Def_Flows[Process_ID_I],,0,)</f>
        <v>01_Raw_</v>
      </c>
      <c r="I123" s="48">
        <f>_xlfn.XLOOKUP(C123,Tab_Def_Flows[Name(EN)],Tab_Def_Flows[Value_Source],,0,)</f>
        <v>0</v>
      </c>
      <c r="J123" s="48" t="str">
        <f>_xlfn.XLOOKUP(C123,Tab_Def_Flows[Name(EN)],Tab_Def_Flows[WC?],,0,)</f>
        <v>Yes</v>
      </c>
      <c r="K123" s="48" t="str">
        <f>_xlfn.XLOOKUP(C123,Tab_Def_Flows[Name(EN)],Tab_Def_Flows[DM?],,0,)</f>
        <v>Yes</v>
      </c>
      <c r="L123" s="48" t="str">
        <f>_xlfn.XLOOKUP(C123,Tab_Def_Flows[Name(EN)],Tab_Def_Flows[CC?],,0,)</f>
        <v>Yes</v>
      </c>
      <c r="M123" s="50">
        <v>2041</v>
      </c>
      <c r="N123" s="50"/>
      <c r="O123" s="104">
        <v>6.4</v>
      </c>
      <c r="P123" s="50" t="s">
        <v>85</v>
      </c>
      <c r="Q123" s="50"/>
      <c r="R123" s="50" t="e">
        <f>INDEX(Tab_WC_DM_CC[[Flow_ID]:[CC_source]],MATCH(Tab_Data_Flows[[#This Row],[Name(EN)]],Tab_WC_DM_CC[Name(EN)],0),12)</f>
        <v>#N/A</v>
      </c>
      <c r="S123" s="50" t="e">
        <f>MATCH(Tab_Data_Flows[[#This Row],[Name(EN)]],Tab_WC_DM_CC[Name(EN)],0)</f>
        <v>#N/A</v>
      </c>
      <c r="T123" s="50"/>
      <c r="U123" s="50"/>
      <c r="V123" s="50"/>
      <c r="W123" s="50"/>
      <c r="X123" s="50" t="s">
        <v>84</v>
      </c>
      <c r="Y123" s="50"/>
      <c r="Z123" s="50"/>
      <c r="AA123" s="77">
        <f t="shared" si="5"/>
        <v>6.4</v>
      </c>
      <c r="AB123" s="50" t="s">
        <v>85</v>
      </c>
      <c r="AC123" s="97">
        <f>INDEX(Tab_Def_Flows[[Flow_ID]:[CC_DM_source]],MATCH(Tab_Data_Flows[[#This Row],[Name(EN)]],Tab_Def_Flows[Name(EN)],0),14)</f>
        <v>0</v>
      </c>
      <c r="AD123" s="98">
        <f>IF(J123="Yes",AA123*Tab_Data_Flows[[#This Row],[WC_'[%']]],"N.A.")</f>
        <v>0</v>
      </c>
      <c r="AE123" s="58" t="str">
        <f>Tab_Data_Flows[[#This Row],[UoM_Flow_Py]]</f>
        <v>Mg</v>
      </c>
      <c r="AF123" s="97">
        <f>INDEX(Tab_Def_Flows[[Flow_ID]:[CC_DM_source]],MATCH(Tab_Data_Flows[[#This Row],[Name(EN)]],Tab_Def_Flows[Name(EN)],0),16)</f>
        <v>1</v>
      </c>
      <c r="AG123" s="98">
        <f>IF(K123="Yes",AF123*Tab_Data_Flows[[#This Row],[Flow_Py]],"N.A.")</f>
        <v>6.4</v>
      </c>
      <c r="AH123" s="58" t="str">
        <f>Tab_Data_Flows[[#This Row],[UoM_Flow_Py]]</f>
        <v>Mg</v>
      </c>
      <c r="AI123" s="97">
        <f>INDEX(Tab_Def_Flows[[Flow_ID]:[CC_DM_source]],MATCH(Tab_Data_Flows[[#This Row],[Name(EN)]],Tab_Def_Flows[Name(EN)],0),18)</f>
        <v>0.5</v>
      </c>
      <c r="AJ123" s="98">
        <f>IF(L123="Yes",AI123*Tab_Data_Flows[[#This Row],[Flow_Py]]*Tab_Data_Flows[[#This Row],[DM_'[%']]],"N.A.")</f>
        <v>3.2</v>
      </c>
      <c r="AK123" s="58" t="str">
        <f>Tab_Data_Flows[[#This Row],[UoM_Flow_Py]]</f>
        <v>Mg</v>
      </c>
    </row>
    <row r="124" spans="1:37" x14ac:dyDescent="0.3">
      <c r="A124" s="57">
        <f t="shared" si="4"/>
        <v>123</v>
      </c>
      <c r="B124" s="48" t="str">
        <f>_xlfn.XLOOKUP(C124,Tab_Def_Flows[Name(EN)],Tab_Def_Flows[Flow_ID],,0,)</f>
        <v>F_00_01</v>
      </c>
      <c r="C124" s="50" t="s">
        <v>107</v>
      </c>
      <c r="D124" s="48"/>
      <c r="E124" s="48" t="str">
        <f>_xlfn.XLOOKUP(C124,Tab_Def_Flows[Name(EN)],Tab_Def_Flows[Output_Process],,0,)</f>
        <v>Biosphere</v>
      </c>
      <c r="F124" s="48" t="str">
        <f>_xlfn.XLOOKUP(C124,Tab_Def_Flows[Name(EN)],Tab_Def_Flows[Process_ID_O],,0,)</f>
        <v>00_Bio_</v>
      </c>
      <c r="G124" s="48" t="str">
        <f>_xlfn.XLOOKUP(C124,Tab_Def_Flows[Name(EN)],Tab_Def_Flows[Input_Process],,0,)</f>
        <v>Raw Material Extraction</v>
      </c>
      <c r="H124" s="58" t="str">
        <f>_xlfn.XLOOKUP(C124,Tab_Def_Flows[Name(EN)],Tab_Def_Flows[Process_ID_I],,0,)</f>
        <v>01_Raw_</v>
      </c>
      <c r="I124" s="48">
        <f>_xlfn.XLOOKUP(C124,Tab_Def_Flows[Name(EN)],Tab_Def_Flows[Value_Source],,0,)</f>
        <v>0</v>
      </c>
      <c r="J124" s="48" t="str">
        <f>_xlfn.XLOOKUP(C124,Tab_Def_Flows[Name(EN)],Tab_Def_Flows[WC?],,0,)</f>
        <v>Yes</v>
      </c>
      <c r="K124" s="48" t="str">
        <f>_xlfn.XLOOKUP(C124,Tab_Def_Flows[Name(EN)],Tab_Def_Flows[DM?],,0,)</f>
        <v>Yes</v>
      </c>
      <c r="L124" s="48" t="str">
        <f>_xlfn.XLOOKUP(C124,Tab_Def_Flows[Name(EN)],Tab_Def_Flows[CC?],,0,)</f>
        <v>Yes</v>
      </c>
      <c r="M124" s="50">
        <v>2042</v>
      </c>
      <c r="N124" s="50"/>
      <c r="O124" s="104">
        <v>0</v>
      </c>
      <c r="P124" s="50" t="s">
        <v>85</v>
      </c>
      <c r="Q124" s="50"/>
      <c r="R124" s="50" t="e">
        <f>INDEX(Tab_WC_DM_CC[[Flow_ID]:[CC_source]],MATCH(Tab_Data_Flows[[#This Row],[Name(EN)]],Tab_WC_DM_CC[Name(EN)],0),12)</f>
        <v>#N/A</v>
      </c>
      <c r="S124" s="50" t="e">
        <f>MATCH(Tab_Data_Flows[[#This Row],[Name(EN)]],Tab_WC_DM_CC[Name(EN)],0)</f>
        <v>#N/A</v>
      </c>
      <c r="T124" s="50"/>
      <c r="U124" s="50"/>
      <c r="V124" s="50"/>
      <c r="W124" s="50"/>
      <c r="X124" s="50" t="s">
        <v>84</v>
      </c>
      <c r="Y124" s="50"/>
      <c r="Z124" s="50"/>
      <c r="AA124" s="77">
        <f t="shared" si="5"/>
        <v>0</v>
      </c>
      <c r="AB124" s="50" t="s">
        <v>85</v>
      </c>
      <c r="AC124" s="97">
        <f>INDEX(Tab_Def_Flows[[Flow_ID]:[CC_DM_source]],MATCH(Tab_Data_Flows[[#This Row],[Name(EN)]],Tab_Def_Flows[Name(EN)],0),14)</f>
        <v>0</v>
      </c>
      <c r="AD124" s="98">
        <f>IF(J124="Yes",AA124*Tab_Data_Flows[[#This Row],[WC_'[%']]],"N.A.")</f>
        <v>0</v>
      </c>
      <c r="AE124" s="58" t="str">
        <f>Tab_Data_Flows[[#This Row],[UoM_Flow_Py]]</f>
        <v>Mg</v>
      </c>
      <c r="AF124" s="97">
        <f>INDEX(Tab_Def_Flows[[Flow_ID]:[CC_DM_source]],MATCH(Tab_Data_Flows[[#This Row],[Name(EN)]],Tab_Def_Flows[Name(EN)],0),16)</f>
        <v>1</v>
      </c>
      <c r="AG124" s="98">
        <f>IF(K124="Yes",AF124*Tab_Data_Flows[[#This Row],[Flow_Py]],"N.A.")</f>
        <v>0</v>
      </c>
      <c r="AH124" s="58" t="str">
        <f>Tab_Data_Flows[[#This Row],[UoM_Flow_Py]]</f>
        <v>Mg</v>
      </c>
      <c r="AI124" s="97">
        <f>INDEX(Tab_Def_Flows[[Flow_ID]:[CC_DM_source]],MATCH(Tab_Data_Flows[[#This Row],[Name(EN)]],Tab_Def_Flows[Name(EN)],0),18)</f>
        <v>0.5</v>
      </c>
      <c r="AJ124" s="98">
        <f>IF(L124="Yes",AI124*Tab_Data_Flows[[#This Row],[Flow_Py]]*Tab_Data_Flows[[#This Row],[DM_'[%']]],"N.A.")</f>
        <v>0</v>
      </c>
      <c r="AK124" s="58" t="str">
        <f>Tab_Data_Flows[[#This Row],[UoM_Flow_Py]]</f>
        <v>Mg</v>
      </c>
    </row>
    <row r="125" spans="1:37" x14ac:dyDescent="0.3">
      <c r="A125" s="57">
        <f t="shared" si="4"/>
        <v>124</v>
      </c>
      <c r="B125" s="48" t="str">
        <f>_xlfn.XLOOKUP(C125,Tab_Def_Flows[Name(EN)],Tab_Def_Flows[Flow_ID],,0,)</f>
        <v>F_00_01</v>
      </c>
      <c r="C125" s="50" t="s">
        <v>107</v>
      </c>
      <c r="D125" s="48"/>
      <c r="E125" s="48" t="str">
        <f>_xlfn.XLOOKUP(C125,Tab_Def_Flows[Name(EN)],Tab_Def_Flows[Output_Process],,0,)</f>
        <v>Biosphere</v>
      </c>
      <c r="F125" s="48" t="str">
        <f>_xlfn.XLOOKUP(C125,Tab_Def_Flows[Name(EN)],Tab_Def_Flows[Process_ID_O],,0,)</f>
        <v>00_Bio_</v>
      </c>
      <c r="G125" s="48" t="str">
        <f>_xlfn.XLOOKUP(C125,Tab_Def_Flows[Name(EN)],Tab_Def_Flows[Input_Process],,0,)</f>
        <v>Raw Material Extraction</v>
      </c>
      <c r="H125" s="58" t="str">
        <f>_xlfn.XLOOKUP(C125,Tab_Def_Flows[Name(EN)],Tab_Def_Flows[Process_ID_I],,0,)</f>
        <v>01_Raw_</v>
      </c>
      <c r="I125" s="48">
        <f>_xlfn.XLOOKUP(C125,Tab_Def_Flows[Name(EN)],Tab_Def_Flows[Value_Source],,0,)</f>
        <v>0</v>
      </c>
      <c r="J125" s="48" t="str">
        <f>_xlfn.XLOOKUP(C125,Tab_Def_Flows[Name(EN)],Tab_Def_Flows[WC?],,0,)</f>
        <v>Yes</v>
      </c>
      <c r="K125" s="48" t="str">
        <f>_xlfn.XLOOKUP(C125,Tab_Def_Flows[Name(EN)],Tab_Def_Flows[DM?],,0,)</f>
        <v>Yes</v>
      </c>
      <c r="L125" s="48" t="str">
        <f>_xlfn.XLOOKUP(C125,Tab_Def_Flows[Name(EN)],Tab_Def_Flows[CC?],,0,)</f>
        <v>Yes</v>
      </c>
      <c r="M125" s="50">
        <v>2043</v>
      </c>
      <c r="N125" s="50"/>
      <c r="O125" s="104">
        <v>25.8</v>
      </c>
      <c r="P125" s="50" t="s">
        <v>85</v>
      </c>
      <c r="Q125" s="50"/>
      <c r="R125" s="50" t="e">
        <f>INDEX(Tab_WC_DM_CC[[Flow_ID]:[CC_source]],MATCH(Tab_Data_Flows[[#This Row],[Name(EN)]],Tab_WC_DM_CC[Name(EN)],0),12)</f>
        <v>#N/A</v>
      </c>
      <c r="S125" s="50" t="e">
        <f>MATCH(Tab_Data_Flows[[#This Row],[Name(EN)]],Tab_WC_DM_CC[Name(EN)],0)</f>
        <v>#N/A</v>
      </c>
      <c r="T125" s="50"/>
      <c r="U125" s="50"/>
      <c r="V125" s="50"/>
      <c r="W125" s="50"/>
      <c r="X125" s="50" t="s">
        <v>84</v>
      </c>
      <c r="Y125" s="50"/>
      <c r="Z125" s="50"/>
      <c r="AA125" s="77">
        <f t="shared" si="5"/>
        <v>25.8</v>
      </c>
      <c r="AB125" s="50" t="s">
        <v>85</v>
      </c>
      <c r="AC125" s="97">
        <f>INDEX(Tab_Def_Flows[[Flow_ID]:[CC_DM_source]],MATCH(Tab_Data_Flows[[#This Row],[Name(EN)]],Tab_Def_Flows[Name(EN)],0),14)</f>
        <v>0</v>
      </c>
      <c r="AD125" s="98">
        <f>IF(J125="Yes",AA125*Tab_Data_Flows[[#This Row],[WC_'[%']]],"N.A.")</f>
        <v>0</v>
      </c>
      <c r="AE125" s="58" t="str">
        <f>Tab_Data_Flows[[#This Row],[UoM_Flow_Py]]</f>
        <v>Mg</v>
      </c>
      <c r="AF125" s="97">
        <f>INDEX(Tab_Def_Flows[[Flow_ID]:[CC_DM_source]],MATCH(Tab_Data_Flows[[#This Row],[Name(EN)]],Tab_Def_Flows[Name(EN)],0),16)</f>
        <v>1</v>
      </c>
      <c r="AG125" s="98">
        <f>IF(K125="Yes",AF125*Tab_Data_Flows[[#This Row],[Flow_Py]],"N.A.")</f>
        <v>25.8</v>
      </c>
      <c r="AH125" s="58" t="str">
        <f>Tab_Data_Flows[[#This Row],[UoM_Flow_Py]]</f>
        <v>Mg</v>
      </c>
      <c r="AI125" s="97">
        <f>INDEX(Tab_Def_Flows[[Flow_ID]:[CC_DM_source]],MATCH(Tab_Data_Flows[[#This Row],[Name(EN)]],Tab_Def_Flows[Name(EN)],0),18)</f>
        <v>0.5</v>
      </c>
      <c r="AJ125" s="98">
        <f>IF(L125="Yes",AI125*Tab_Data_Flows[[#This Row],[Flow_Py]]*Tab_Data_Flows[[#This Row],[DM_'[%']]],"N.A.")</f>
        <v>12.9</v>
      </c>
      <c r="AK125" s="58" t="str">
        <f>Tab_Data_Flows[[#This Row],[UoM_Flow_Py]]</f>
        <v>Mg</v>
      </c>
    </row>
    <row r="126" spans="1:37" x14ac:dyDescent="0.3">
      <c r="A126" s="57">
        <f t="shared" si="4"/>
        <v>125</v>
      </c>
      <c r="B126" s="48" t="str">
        <f>_xlfn.XLOOKUP(C126,Tab_Def_Flows[Name(EN)],Tab_Def_Flows[Flow_ID],,0,)</f>
        <v>F_00_01</v>
      </c>
      <c r="C126" s="50" t="s">
        <v>107</v>
      </c>
      <c r="D126" s="48"/>
      <c r="E126" s="48" t="str">
        <f>_xlfn.XLOOKUP(C126,Tab_Def_Flows[Name(EN)],Tab_Def_Flows[Output_Process],,0,)</f>
        <v>Biosphere</v>
      </c>
      <c r="F126" s="48" t="str">
        <f>_xlfn.XLOOKUP(C126,Tab_Def_Flows[Name(EN)],Tab_Def_Flows[Process_ID_O],,0,)</f>
        <v>00_Bio_</v>
      </c>
      <c r="G126" s="48" t="str">
        <f>_xlfn.XLOOKUP(C126,Tab_Def_Flows[Name(EN)],Tab_Def_Flows[Input_Process],,0,)</f>
        <v>Raw Material Extraction</v>
      </c>
      <c r="H126" s="58" t="str">
        <f>_xlfn.XLOOKUP(C126,Tab_Def_Flows[Name(EN)],Tab_Def_Flows[Process_ID_I],,0,)</f>
        <v>01_Raw_</v>
      </c>
      <c r="I126" s="48">
        <f>_xlfn.XLOOKUP(C126,Tab_Def_Flows[Name(EN)],Tab_Def_Flows[Value_Source],,0,)</f>
        <v>0</v>
      </c>
      <c r="J126" s="48" t="str">
        <f>_xlfn.XLOOKUP(C126,Tab_Def_Flows[Name(EN)],Tab_Def_Flows[WC?],,0,)</f>
        <v>Yes</v>
      </c>
      <c r="K126" s="48" t="str">
        <f>_xlfn.XLOOKUP(C126,Tab_Def_Flows[Name(EN)],Tab_Def_Flows[DM?],,0,)</f>
        <v>Yes</v>
      </c>
      <c r="L126" s="48" t="str">
        <f>_xlfn.XLOOKUP(C126,Tab_Def_Flows[Name(EN)],Tab_Def_Flows[CC?],,0,)</f>
        <v>Yes</v>
      </c>
      <c r="M126" s="50">
        <v>2044</v>
      </c>
      <c r="N126" s="50"/>
      <c r="O126" s="104">
        <v>25.8</v>
      </c>
      <c r="P126" s="50" t="s">
        <v>85</v>
      </c>
      <c r="Q126" s="50"/>
      <c r="R126" s="50" t="e">
        <f>INDEX(Tab_WC_DM_CC[[Flow_ID]:[CC_source]],MATCH(Tab_Data_Flows[[#This Row],[Name(EN)]],Tab_WC_DM_CC[Name(EN)],0),12)</f>
        <v>#N/A</v>
      </c>
      <c r="S126" s="50" t="e">
        <f>MATCH(Tab_Data_Flows[[#This Row],[Name(EN)]],Tab_WC_DM_CC[Name(EN)],0)</f>
        <v>#N/A</v>
      </c>
      <c r="T126" s="50"/>
      <c r="U126" s="50"/>
      <c r="V126" s="50"/>
      <c r="W126" s="50"/>
      <c r="X126" s="50" t="s">
        <v>84</v>
      </c>
      <c r="Y126" s="50"/>
      <c r="Z126" s="50"/>
      <c r="AA126" s="77">
        <f t="shared" si="5"/>
        <v>25.8</v>
      </c>
      <c r="AB126" s="50" t="s">
        <v>85</v>
      </c>
      <c r="AC126" s="97">
        <f>INDEX(Tab_Def_Flows[[Flow_ID]:[CC_DM_source]],MATCH(Tab_Data_Flows[[#This Row],[Name(EN)]],Tab_Def_Flows[Name(EN)],0),14)</f>
        <v>0</v>
      </c>
      <c r="AD126" s="98">
        <f>IF(J126="Yes",AA126*Tab_Data_Flows[[#This Row],[WC_'[%']]],"N.A.")</f>
        <v>0</v>
      </c>
      <c r="AE126" s="58" t="str">
        <f>Tab_Data_Flows[[#This Row],[UoM_Flow_Py]]</f>
        <v>Mg</v>
      </c>
      <c r="AF126" s="97">
        <f>INDEX(Tab_Def_Flows[[Flow_ID]:[CC_DM_source]],MATCH(Tab_Data_Flows[[#This Row],[Name(EN)]],Tab_Def_Flows[Name(EN)],0),16)</f>
        <v>1</v>
      </c>
      <c r="AG126" s="98">
        <f>IF(K126="Yes",AF126*Tab_Data_Flows[[#This Row],[Flow_Py]],"N.A.")</f>
        <v>25.8</v>
      </c>
      <c r="AH126" s="58" t="str">
        <f>Tab_Data_Flows[[#This Row],[UoM_Flow_Py]]</f>
        <v>Mg</v>
      </c>
      <c r="AI126" s="97">
        <f>INDEX(Tab_Def_Flows[[Flow_ID]:[CC_DM_source]],MATCH(Tab_Data_Flows[[#This Row],[Name(EN)]],Tab_Def_Flows[Name(EN)],0),18)</f>
        <v>0.5</v>
      </c>
      <c r="AJ126" s="98">
        <f>IF(L126="Yes",AI126*Tab_Data_Flows[[#This Row],[Flow_Py]]*Tab_Data_Flows[[#This Row],[DM_'[%']]],"N.A.")</f>
        <v>12.9</v>
      </c>
      <c r="AK126" s="58" t="str">
        <f>Tab_Data_Flows[[#This Row],[UoM_Flow_Py]]</f>
        <v>Mg</v>
      </c>
    </row>
    <row r="127" spans="1:37" x14ac:dyDescent="0.3">
      <c r="A127" s="57">
        <f t="shared" si="4"/>
        <v>126</v>
      </c>
      <c r="B127" s="48" t="str">
        <f>_xlfn.XLOOKUP(C127,Tab_Def_Flows[Name(EN)],Tab_Def_Flows[Flow_ID],,0,)</f>
        <v>F_00_01</v>
      </c>
      <c r="C127" s="50" t="s">
        <v>107</v>
      </c>
      <c r="D127" s="50" t="s">
        <v>107</v>
      </c>
      <c r="E127" s="50" t="s">
        <v>107</v>
      </c>
      <c r="F127" s="50" t="s">
        <v>107</v>
      </c>
      <c r="G127" s="50" t="s">
        <v>107</v>
      </c>
      <c r="H127" s="50" t="s">
        <v>107</v>
      </c>
      <c r="I127" s="50" t="s">
        <v>107</v>
      </c>
      <c r="J127" s="50" t="s">
        <v>107</v>
      </c>
      <c r="K127" s="50" t="s">
        <v>107</v>
      </c>
      <c r="L127" s="50" t="s">
        <v>107</v>
      </c>
      <c r="M127" s="50">
        <v>2045</v>
      </c>
      <c r="N127" s="50"/>
      <c r="O127" s="104">
        <v>6.4</v>
      </c>
      <c r="P127" s="50" t="s">
        <v>85</v>
      </c>
      <c r="Q127" s="50"/>
      <c r="R127" s="50" t="e">
        <f>INDEX(Tab_WC_DM_CC[[Flow_ID]:[CC_source]],MATCH(Tab_Data_Flows[[#This Row],[Name(EN)]],Tab_WC_DM_CC[Name(EN)],0),12)</f>
        <v>#N/A</v>
      </c>
      <c r="S127" s="50" t="e">
        <f>MATCH(Tab_Data_Flows[[#This Row],[Name(EN)]],Tab_WC_DM_CC[Name(EN)],0)</f>
        <v>#N/A</v>
      </c>
      <c r="T127" s="50"/>
      <c r="U127" s="50"/>
      <c r="V127" s="50"/>
      <c r="W127" s="50"/>
      <c r="X127" s="50" t="s">
        <v>84</v>
      </c>
      <c r="Y127" s="50"/>
      <c r="Z127" s="50"/>
      <c r="AA127" s="77">
        <f t="shared" si="5"/>
        <v>6.4</v>
      </c>
      <c r="AB127" s="50" t="s">
        <v>85</v>
      </c>
      <c r="AC127" s="97">
        <f>INDEX(Tab_Def_Flows[[Flow_ID]:[CC_DM_source]],MATCH(Tab_Data_Flows[[#This Row],[Name(EN)]],Tab_Def_Flows[Name(EN)],0),14)</f>
        <v>0</v>
      </c>
      <c r="AD127" s="98" t="str">
        <f>IF(J127="Yes",AA127*Tab_Data_Flows[[#This Row],[WC_'[%']]],"N.A.")</f>
        <v>N.A.</v>
      </c>
      <c r="AE127" s="58" t="str">
        <f>Tab_Data_Flows[[#This Row],[UoM_Flow_Py]]</f>
        <v>Mg</v>
      </c>
      <c r="AF127" s="97">
        <f>INDEX(Tab_Def_Flows[[Flow_ID]:[CC_DM_source]],MATCH(Tab_Data_Flows[[#This Row],[Name(EN)]],Tab_Def_Flows[Name(EN)],0),16)</f>
        <v>1</v>
      </c>
      <c r="AG127" s="98" t="str">
        <f>IF(K127="Yes",AF127*Tab_Data_Flows[[#This Row],[Flow_Py]],"N.A.")</f>
        <v>N.A.</v>
      </c>
      <c r="AH127" s="58" t="str">
        <f>Tab_Data_Flows[[#This Row],[UoM_Flow_Py]]</f>
        <v>Mg</v>
      </c>
      <c r="AI127" s="97">
        <f>INDEX(Tab_Def_Flows[[Flow_ID]:[CC_DM_source]],MATCH(Tab_Data_Flows[[#This Row],[Name(EN)]],Tab_Def_Flows[Name(EN)],0),18)</f>
        <v>0.5</v>
      </c>
      <c r="AJ127" s="98" t="str">
        <f>IF(L127="Yes",AI127*Tab_Data_Flows[[#This Row],[Flow_Py]]*Tab_Data_Flows[[#This Row],[DM_'[%']]],"N.A.")</f>
        <v>N.A.</v>
      </c>
      <c r="AK127" s="58" t="str">
        <f>Tab_Data_Flows[[#This Row],[UoM_Flow_Py]]</f>
        <v>Mg</v>
      </c>
    </row>
    <row r="128" spans="1:37" x14ac:dyDescent="0.3">
      <c r="AF128" s="100"/>
      <c r="AK128" s="9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X2:X127</xm:sqref>
        </x14:dataValidation>
        <x14:dataValidation type="list" allowBlank="1" showInputMessage="1" showErrorMessage="1" xr:uid="{A030A264-E9C5-4840-932B-125C397F8D0A}">
          <x14:formula1>
            <xm:f>'1_1_Definition_Flows'!$D$2:$D$15</xm:f>
          </x14:formula1>
          <xm:sqref>C2:C127 D127:L127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topLeftCell="F1" workbookViewId="0">
      <selection activeCell="L2" sqref="L2"/>
    </sheetView>
  </sheetViews>
  <sheetFormatPr baseColWidth="10" defaultColWidth="10.77734375" defaultRowHeight="14.4" x14ac:dyDescent="0.3"/>
  <cols>
    <col min="2" max="4" width="16.44140625" customWidth="1"/>
    <col min="5" max="5" width="35" customWidth="1"/>
    <col min="6" max="6" width="14.44140625" customWidth="1"/>
    <col min="7" max="7" width="32.44140625" customWidth="1"/>
    <col min="8" max="9" width="15.44140625" customWidth="1"/>
    <col min="10" max="10" width="21.44140625" customWidth="1"/>
    <col min="11" max="11" width="15.44140625" customWidth="1"/>
  </cols>
  <sheetData>
    <row r="1" spans="1:13" x14ac:dyDescent="0.3">
      <c r="A1" s="60" t="s">
        <v>134</v>
      </c>
      <c r="B1" s="8" t="s">
        <v>21</v>
      </c>
      <c r="C1" s="47" t="s">
        <v>344</v>
      </c>
      <c r="D1" t="s">
        <v>86</v>
      </c>
      <c r="E1" s="60" t="s">
        <v>345</v>
      </c>
      <c r="F1" t="s">
        <v>23</v>
      </c>
      <c r="G1" t="s">
        <v>24</v>
      </c>
      <c r="H1" t="s">
        <v>87</v>
      </c>
      <c r="I1" t="s">
        <v>88</v>
      </c>
      <c r="J1" s="47" t="s">
        <v>89</v>
      </c>
      <c r="K1" s="24" t="s">
        <v>136</v>
      </c>
      <c r="L1" s="25" t="s">
        <v>56</v>
      </c>
      <c r="M1" s="31" t="s">
        <v>91</v>
      </c>
    </row>
    <row r="2" spans="1:13" x14ac:dyDescent="0.3">
      <c r="A2" s="84" t="b">
        <v>0</v>
      </c>
      <c r="B2" s="48">
        <f t="shared" ref="B2:B33" si="0">ROW()-1</f>
        <v>1</v>
      </c>
      <c r="C2" s="48" t="str">
        <f t="shared" ref="C2:C33" si="1">"D"&amp;LEFT(B2,2)&amp;"_"&amp;LEFT(D2,3)&amp;"_"&amp;LEFT(F2,3)&amp;"_"&amp;LEFT(G2,3)&amp;"_"&amp;LEFT(H2,3)</f>
        <v>D1_00__Bio__0</v>
      </c>
      <c r="D2" s="48" t="str">
        <f>_xlfn.XLOOKUP($F2,Tab_Def_Processes[Name(EN)],Tab_Def_Processes[Process_ID],,0,)</f>
        <v>00_Bio_</v>
      </c>
      <c r="E2" s="48" t="e">
        <f>_xlfn.XLOOKUP(F2,Tab_Def_Processes[Name(EN)],#REF!,,0,)</f>
        <v>#REF!</v>
      </c>
      <c r="F2" s="50" t="s">
        <v>104</v>
      </c>
      <c r="G2" s="48"/>
      <c r="H2" s="48">
        <f>_xlfn.XLOOKUP(F2,Tab_Def_Processes[Name(EN)],Tab_Def_Processes[Carbon_Stock],,0,)</f>
        <v>0</v>
      </c>
      <c r="I2" s="48">
        <f>_xlfn.XLOOKUP(F2,Tab_Def_Processes[Name(EN)],Tab_Def_Processes[Life_Phase],,0,)</f>
        <v>0</v>
      </c>
      <c r="J2" s="48">
        <f>_xlfn.XLOOKUP(F2,Tab_Def_Processes[Name(EN)],Tab_Def_Processes[Description],,0,)</f>
        <v>0</v>
      </c>
      <c r="K2" s="48" t="str">
        <f>_xlfn.XLOOKUP($F2,Tab_Def_Processes[Name(EN)],Tab_Def_Processes[Process_Type],,0,)</f>
        <v>Process</v>
      </c>
      <c r="L2" s="48" t="str">
        <f>_xlfn.XLOOKUP($F2,Tab_Def_Processes[Name(EN)],Tab_Def_Processes[TC?],,0,)</f>
        <v>Yes</v>
      </c>
      <c r="M2" s="48" t="str">
        <f>_xlfn.XLOOKUP($F2,Tab_Def_Processes[Name(EN)],Tab_Def_Processes[Stock?],,0,)</f>
        <v>Yes</v>
      </c>
    </row>
    <row r="3" spans="1:13" x14ac:dyDescent="0.3">
      <c r="A3" s="84" t="b">
        <v>0</v>
      </c>
      <c r="B3" s="48">
        <f t="shared" si="0"/>
        <v>2</v>
      </c>
      <c r="C3" s="48" t="str">
        <f t="shared" si="1"/>
        <v>D2_01__Raw__0</v>
      </c>
      <c r="D3" s="48" t="str">
        <f>_xlfn.XLOOKUP($F3,Tab_Def_Processes[Name(EN)],Tab_Def_Processes[Process_ID],,0,)</f>
        <v>01_Raw_</v>
      </c>
      <c r="E3" s="48" t="e">
        <f>_xlfn.XLOOKUP(F3,Tab_Def_Processes[Name(EN)],#REF!,,0,)</f>
        <v>#REF!</v>
      </c>
      <c r="F3" s="50" t="s">
        <v>103</v>
      </c>
      <c r="G3" s="48"/>
      <c r="H3" s="48">
        <f>_xlfn.XLOOKUP(F3,Tab_Def_Processes[Name(EN)],Tab_Def_Processes[Carbon_Stock],,0,)</f>
        <v>0</v>
      </c>
      <c r="I3" s="48">
        <f>_xlfn.XLOOKUP(F3,Tab_Def_Processes[Name(EN)],Tab_Def_Processes[Life_Phase],,0,)</f>
        <v>0</v>
      </c>
      <c r="J3" s="48">
        <f>_xlfn.XLOOKUP(F3,Tab_Def_Processes[Name(EN)],Tab_Def_Processes[Description],,0,)</f>
        <v>0</v>
      </c>
      <c r="K3" s="48" t="str">
        <f>_xlfn.XLOOKUP($F3,Tab_Def_Processes[Name(EN)],Tab_Def_Processes[Process_Type],,0,)</f>
        <v>Process</v>
      </c>
      <c r="L3" s="48" t="str">
        <f>_xlfn.XLOOKUP($F3,Tab_Def_Processes[Name(EN)],Tab_Def_Processes[TC?],,0,)</f>
        <v>Yes</v>
      </c>
      <c r="M3" s="48" t="str">
        <f>_xlfn.XLOOKUP($F3,Tab_Def_Processes[Name(EN)],Tab_Def_Processes[Stock?],,0,)</f>
        <v>No</v>
      </c>
    </row>
    <row r="4" spans="1:13" x14ac:dyDescent="0.3">
      <c r="A4" s="84" t="b">
        <v>0</v>
      </c>
      <c r="B4" s="48">
        <f t="shared" si="0"/>
        <v>3</v>
      </c>
      <c r="C4" s="48" t="str">
        <f t="shared" si="1"/>
        <v>D3_02__Pro__0</v>
      </c>
      <c r="D4" s="48" t="str">
        <f>_xlfn.XLOOKUP($F4,Tab_Def_Processes[Name(EN)],Tab_Def_Processes[Process_ID],,0,)</f>
        <v>02_Pro_</v>
      </c>
      <c r="E4" s="48" t="e">
        <f>_xlfn.XLOOKUP(F4,Tab_Def_Processes[Name(EN)],#REF!,,0,)</f>
        <v>#REF!</v>
      </c>
      <c r="F4" s="50" t="s">
        <v>108</v>
      </c>
      <c r="G4" s="48"/>
      <c r="H4" s="48">
        <f>_xlfn.XLOOKUP(F4,Tab_Def_Processes[Name(EN)],Tab_Def_Processes[Carbon_Stock],,0,)</f>
        <v>0</v>
      </c>
      <c r="I4" s="48">
        <f>_xlfn.XLOOKUP(F4,Tab_Def_Processes[Name(EN)],Tab_Def_Processes[Life_Phase],,0,)</f>
        <v>0</v>
      </c>
      <c r="J4" s="48">
        <f>_xlfn.XLOOKUP(F4,Tab_Def_Processes[Name(EN)],Tab_Def_Processes[Description],,0,)</f>
        <v>0</v>
      </c>
      <c r="K4" s="48" t="str">
        <f>_xlfn.XLOOKUP($F4,Tab_Def_Processes[Name(EN)],Tab_Def_Processes[Process_Type],,0,)</f>
        <v>Process</v>
      </c>
      <c r="L4" s="48" t="str">
        <f>_xlfn.XLOOKUP($F4,Tab_Def_Processes[Name(EN)],Tab_Def_Processes[TC?],,0,)</f>
        <v>Yes</v>
      </c>
      <c r="M4" s="48" t="str">
        <f>_xlfn.XLOOKUP($F4,Tab_Def_Processes[Name(EN)],Tab_Def_Processes[Stock?],,0,)</f>
        <v>Yes</v>
      </c>
    </row>
    <row r="5" spans="1:13" x14ac:dyDescent="0.3">
      <c r="A5" s="84" t="b">
        <v>0</v>
      </c>
      <c r="B5" s="48">
        <f t="shared" si="0"/>
        <v>4</v>
      </c>
      <c r="C5" s="48" t="str">
        <f t="shared" si="1"/>
        <v>D4_03__Use__0</v>
      </c>
      <c r="D5" s="48" t="str">
        <f>_xlfn.XLOOKUP($F5,Tab_Def_Processes[Name(EN)],Tab_Def_Processes[Process_ID],,0,)</f>
        <v>03_Use_</v>
      </c>
      <c r="E5" s="48" t="e">
        <f>_xlfn.XLOOKUP(F5,Tab_Def_Processes[Name(EN)],#REF!,,0,)</f>
        <v>#REF!</v>
      </c>
      <c r="F5" s="50" t="s">
        <v>112</v>
      </c>
      <c r="G5" s="48"/>
      <c r="H5" s="48">
        <f>_xlfn.XLOOKUP(F5,Tab_Def_Processes[Name(EN)],Tab_Def_Processes[Carbon_Stock],,0,)</f>
        <v>0</v>
      </c>
      <c r="I5" s="48">
        <f>_xlfn.XLOOKUP(F5,Tab_Def_Processes[Name(EN)],Tab_Def_Processes[Life_Phase],,0,)</f>
        <v>0</v>
      </c>
      <c r="J5" s="48">
        <f>_xlfn.XLOOKUP(F5,Tab_Def_Processes[Name(EN)],Tab_Def_Processes[Description],,0,)</f>
        <v>0</v>
      </c>
      <c r="K5" s="48" t="str">
        <f>_xlfn.XLOOKUP($F5,Tab_Def_Processes[Name(EN)],Tab_Def_Processes[Process_Type],,0,)</f>
        <v>Process</v>
      </c>
      <c r="L5" s="48" t="str">
        <f>_xlfn.XLOOKUP($F5,Tab_Def_Processes[Name(EN)],Tab_Def_Processes[TC?],,0,)</f>
        <v>Yes</v>
      </c>
      <c r="M5" s="48" t="str">
        <f>_xlfn.XLOOKUP($F5,Tab_Def_Processes[Name(EN)],Tab_Def_Processes[Stock?],,0,)</f>
        <v>Yes</v>
      </c>
    </row>
    <row r="6" spans="1:13" x14ac:dyDescent="0.3">
      <c r="A6" s="84" t="b">
        <v>0</v>
      </c>
      <c r="B6" s="48">
        <f t="shared" si="0"/>
        <v>5</v>
      </c>
      <c r="C6" s="48" t="str">
        <f t="shared" si="1"/>
        <v>D5_04__Ref__0</v>
      </c>
      <c r="D6" s="48" t="str">
        <f>_xlfn.XLOOKUP($F6,Tab_Def_Processes[Name(EN)],Tab_Def_Processes[Process_ID],,0,)</f>
        <v>04_Ref_</v>
      </c>
      <c r="E6" s="48" t="e">
        <f>_xlfn.XLOOKUP(F6,Tab_Def_Processes[Name(EN)],#REF!,,0,)</f>
        <v>#REF!</v>
      </c>
      <c r="F6" s="50" t="s">
        <v>115</v>
      </c>
      <c r="G6" s="48"/>
      <c r="H6" s="48">
        <f>_xlfn.XLOOKUP(F6,Tab_Def_Processes[Name(EN)],Tab_Def_Processes[Carbon_Stock],,0,)</f>
        <v>0</v>
      </c>
      <c r="I6" s="48">
        <f>_xlfn.XLOOKUP(F6,Tab_Def_Processes[Name(EN)],Tab_Def_Processes[Life_Phase],,0,)</f>
        <v>0</v>
      </c>
      <c r="J6" s="48">
        <f>_xlfn.XLOOKUP(F6,Tab_Def_Processes[Name(EN)],Tab_Def_Processes[Description],,0,)</f>
        <v>0</v>
      </c>
      <c r="K6" s="48" t="str">
        <f>_xlfn.XLOOKUP($F6,Tab_Def_Processes[Name(EN)],Tab_Def_Processes[Process_Type],,0,)</f>
        <v>Process</v>
      </c>
      <c r="L6" s="48" t="str">
        <f>_xlfn.XLOOKUP($F6,Tab_Def_Processes[Name(EN)],Tab_Def_Processes[TC?],,0,)</f>
        <v>Yes</v>
      </c>
      <c r="M6" s="48" t="str">
        <f>_xlfn.XLOOKUP($F6,Tab_Def_Processes[Name(EN)],Tab_Def_Processes[Stock?],,0,)</f>
        <v>No</v>
      </c>
    </row>
    <row r="7" spans="1:13" x14ac:dyDescent="0.3">
      <c r="A7" s="84" t="b">
        <v>0</v>
      </c>
      <c r="B7" s="48">
        <f t="shared" si="0"/>
        <v>6</v>
      </c>
      <c r="C7" s="48" t="str">
        <f t="shared" si="1"/>
        <v>D6_05__Deg__0</v>
      </c>
      <c r="D7" s="48" t="str">
        <f>_xlfn.XLOOKUP($F7,Tab_Def_Processes[Name(EN)],Tab_Def_Processes[Process_ID],,0,)</f>
        <v>05_Deg_</v>
      </c>
      <c r="E7" s="48" t="e">
        <f>_xlfn.XLOOKUP(F7,Tab_Def_Processes[Name(EN)],#REF!,,0,)</f>
        <v>#REF!</v>
      </c>
      <c r="F7" s="50" t="s">
        <v>119</v>
      </c>
      <c r="G7" s="48"/>
      <c r="H7" s="48">
        <f>_xlfn.XLOOKUP(F7,Tab_Def_Processes[Name(EN)],Tab_Def_Processes[Carbon_Stock],,0,)</f>
        <v>0</v>
      </c>
      <c r="I7" s="48">
        <f>_xlfn.XLOOKUP(F7,Tab_Def_Processes[Name(EN)],Tab_Def_Processes[Life_Phase],,0,)</f>
        <v>0</v>
      </c>
      <c r="J7" s="48">
        <f>_xlfn.XLOOKUP(F7,Tab_Def_Processes[Name(EN)],Tab_Def_Processes[Description],,0,)</f>
        <v>0</v>
      </c>
      <c r="K7" s="48" t="str">
        <f>_xlfn.XLOOKUP($F7,Tab_Def_Processes[Name(EN)],Tab_Def_Processes[Process_Type],,0,)</f>
        <v>Process</v>
      </c>
      <c r="L7" s="48" t="str">
        <f>_xlfn.XLOOKUP($F7,Tab_Def_Processes[Name(EN)],Tab_Def_Processes[TC?],,0,)</f>
        <v>Yes</v>
      </c>
      <c r="M7" s="48" t="str">
        <f>_xlfn.XLOOKUP($F7,Tab_Def_Processes[Name(EN)],Tab_Def_Processes[Stock?],,0,)</f>
        <v>No</v>
      </c>
    </row>
    <row r="8" spans="1:13" x14ac:dyDescent="0.3">
      <c r="A8" s="84" t="b">
        <v>0</v>
      </c>
      <c r="B8" s="48">
        <f t="shared" si="0"/>
        <v>7</v>
      </c>
      <c r="C8" s="48" t="str">
        <f t="shared" si="1"/>
        <v>D7_06__Inc__0</v>
      </c>
      <c r="D8" s="48" t="str">
        <f>_xlfn.XLOOKUP($F8,Tab_Def_Processes[Name(EN)],Tab_Def_Processes[Process_ID],,0,)</f>
        <v>06_Inc_</v>
      </c>
      <c r="E8" s="48" t="e">
        <f>_xlfn.XLOOKUP(F8,Tab_Def_Processes[Name(EN)],#REF!,,0,)</f>
        <v>#REF!</v>
      </c>
      <c r="F8" s="50" t="s">
        <v>117</v>
      </c>
      <c r="G8" s="48"/>
      <c r="H8" s="48">
        <f>_xlfn.XLOOKUP(F8,Tab_Def_Processes[Name(EN)],Tab_Def_Processes[Carbon_Stock],,0,)</f>
        <v>0</v>
      </c>
      <c r="I8" s="48">
        <f>_xlfn.XLOOKUP(F8,Tab_Def_Processes[Name(EN)],Tab_Def_Processes[Life_Phase],,0,)</f>
        <v>0</v>
      </c>
      <c r="J8" s="48">
        <f>_xlfn.XLOOKUP(F8,Tab_Def_Processes[Name(EN)],Tab_Def_Processes[Description],,0,)</f>
        <v>0</v>
      </c>
      <c r="K8" s="48" t="str">
        <f>_xlfn.XLOOKUP($F8,Tab_Def_Processes[Name(EN)],Tab_Def_Processes[Process_Type],,0,)</f>
        <v>Process</v>
      </c>
      <c r="L8" s="48" t="str">
        <f>_xlfn.XLOOKUP($F8,Tab_Def_Processes[Name(EN)],Tab_Def_Processes[TC?],,0,)</f>
        <v>Yes</v>
      </c>
      <c r="M8" s="48" t="str">
        <f>_xlfn.XLOOKUP($F8,Tab_Def_Processes[Name(EN)],Tab_Def_Processes[Stock?],,0,)</f>
        <v>No</v>
      </c>
    </row>
    <row r="9" spans="1:13" x14ac:dyDescent="0.3">
      <c r="A9" s="84" t="b">
        <v>0</v>
      </c>
      <c r="B9" s="48">
        <f t="shared" si="0"/>
        <v>8</v>
      </c>
      <c r="C9" s="48" t="str">
        <f t="shared" si="1"/>
        <v>D8_07__Atm__0</v>
      </c>
      <c r="D9" s="48" t="str">
        <f>_xlfn.XLOOKUP($F9,Tab_Def_Processes[Name(EN)],Tab_Def_Processes[Process_ID],,0,)</f>
        <v>07_Atm_</v>
      </c>
      <c r="E9" s="48" t="e">
        <f>_xlfn.XLOOKUP(F9,Tab_Def_Processes[Name(EN)],#REF!,,0,)</f>
        <v>#REF!</v>
      </c>
      <c r="F9" s="50" t="s">
        <v>43</v>
      </c>
      <c r="G9" s="48"/>
      <c r="H9" s="48">
        <f>_xlfn.XLOOKUP(F9,Tab_Def_Processes[Name(EN)],Tab_Def_Processes[Carbon_Stock],,0,)</f>
        <v>0</v>
      </c>
      <c r="I9" s="48">
        <f>_xlfn.XLOOKUP(F9,Tab_Def_Processes[Name(EN)],Tab_Def_Processes[Life_Phase],,0,)</f>
        <v>0</v>
      </c>
      <c r="J9" s="48">
        <f>_xlfn.XLOOKUP(F9,Tab_Def_Processes[Name(EN)],Tab_Def_Processes[Description],,0,)</f>
        <v>0</v>
      </c>
      <c r="K9" s="48" t="str">
        <f>_xlfn.XLOOKUP($F9,Tab_Def_Processes[Name(EN)],Tab_Def_Processes[Process_Type],,0,)</f>
        <v>Process</v>
      </c>
      <c r="L9" s="48" t="str">
        <f>_xlfn.XLOOKUP($F9,Tab_Def_Processes[Name(EN)],Tab_Def_Processes[TC?],,0,)</f>
        <v>No</v>
      </c>
      <c r="M9" s="48" t="str">
        <f>_xlfn.XLOOKUP($F9,Tab_Def_Processes[Name(EN)],Tab_Def_Processes[Stock?],,0,)</f>
        <v>Yes</v>
      </c>
    </row>
    <row r="10" spans="1:13" x14ac:dyDescent="0.3">
      <c r="A10" s="84" t="b">
        <v>0</v>
      </c>
      <c r="B10" s="48">
        <f t="shared" si="0"/>
        <v>9</v>
      </c>
      <c r="C10" s="48" t="str">
        <f t="shared" si="1"/>
        <v>D9_08__Ant__0</v>
      </c>
      <c r="D10" s="48" t="str">
        <f>_xlfn.XLOOKUP($F10,Tab_Def_Processes[Name(EN)],Tab_Def_Processes[Process_ID],,0,)</f>
        <v>08_Ant_</v>
      </c>
      <c r="E10" s="48" t="e">
        <f>_xlfn.XLOOKUP(F10,Tab_Def_Processes[Name(EN)],#REF!,,0,)</f>
        <v>#REF!</v>
      </c>
      <c r="F10" s="50" t="s">
        <v>109</v>
      </c>
      <c r="G10" s="48"/>
      <c r="H10" s="48">
        <f>_xlfn.XLOOKUP(F10,Tab_Def_Processes[Name(EN)],Tab_Def_Processes[Carbon_Stock],,0,)</f>
        <v>0</v>
      </c>
      <c r="I10" s="48">
        <f>_xlfn.XLOOKUP(F10,Tab_Def_Processes[Name(EN)],Tab_Def_Processes[Life_Phase],,0,)</f>
        <v>0</v>
      </c>
      <c r="J10" s="48">
        <f>_xlfn.XLOOKUP(F10,Tab_Def_Processes[Name(EN)],Tab_Def_Processes[Description],,0,)</f>
        <v>0</v>
      </c>
      <c r="K10" s="48" t="str">
        <f>_xlfn.XLOOKUP($F10,Tab_Def_Processes[Name(EN)],Tab_Def_Processes[Process_Type],,0,)</f>
        <v>Process</v>
      </c>
      <c r="L10" s="48" t="str">
        <f>_xlfn.XLOOKUP($F10,Tab_Def_Processes[Name(EN)],Tab_Def_Processes[TC?],,0,)</f>
        <v>No</v>
      </c>
      <c r="M10" s="48" t="str">
        <f>_xlfn.XLOOKUP($F10,Tab_Def_Processes[Name(EN)],Tab_Def_Processes[Stock?],,0,)</f>
        <v>Yes</v>
      </c>
    </row>
    <row r="11" spans="1:13" x14ac:dyDescent="0.3">
      <c r="A11" s="84" t="b">
        <v>0</v>
      </c>
      <c r="B11" s="48">
        <f t="shared" si="0"/>
        <v>10</v>
      </c>
      <c r="C11" s="48" t="e">
        <f t="shared" si="1"/>
        <v>#N/A</v>
      </c>
      <c r="D11" s="48" t="e">
        <f>_xlfn.XLOOKUP($F11,Tab_Def_Processes[Name(EN)],Tab_Def_Processes[Process_ID],,0,)</f>
        <v>#N/A</v>
      </c>
      <c r="E11" s="48" t="e">
        <f>_xlfn.XLOOKUP(F11,Tab_Def_Processes[Name(EN)],#REF!,,0,)</f>
        <v>#REF!</v>
      </c>
      <c r="F11" s="50" t="s">
        <v>55</v>
      </c>
      <c r="G11" s="48"/>
      <c r="H11" s="48" t="e">
        <f>_xlfn.XLOOKUP(F11,Tab_Def_Processes[Name(EN)],Tab_Def_Processes[Carbon_Stock],,0,)</f>
        <v>#N/A</v>
      </c>
      <c r="I11" s="48" t="e">
        <f>_xlfn.XLOOKUP(F11,Tab_Def_Processes[Name(EN)],Tab_Def_Processes[Life_Phase],,0,)</f>
        <v>#N/A</v>
      </c>
      <c r="J11" s="48" t="e">
        <f>_xlfn.XLOOKUP(F11,Tab_Def_Processes[Name(EN)],Tab_Def_Processes[Description],,0,)</f>
        <v>#N/A</v>
      </c>
      <c r="K11" s="48" t="e">
        <f>_xlfn.XLOOKUP($F11,Tab_Def_Processes[Name(EN)],Tab_Def_Processes[Process_Type],,0,)</f>
        <v>#N/A</v>
      </c>
      <c r="L11" s="48" t="e">
        <f>_xlfn.XLOOKUP($F11,Tab_Def_Processes[Name(EN)],Tab_Def_Processes[TC?],,0,)</f>
        <v>#N/A</v>
      </c>
      <c r="M11" s="48" t="e">
        <f>_xlfn.XLOOKUP($F11,Tab_Def_Processes[Name(EN)],Tab_Def_Processes[Stock?],,0,)</f>
        <v>#N/A</v>
      </c>
    </row>
    <row r="12" spans="1:13" x14ac:dyDescent="0.3">
      <c r="A12" s="84" t="b">
        <v>0</v>
      </c>
      <c r="B12" s="48">
        <f t="shared" si="0"/>
        <v>11</v>
      </c>
      <c r="C12" s="48" t="e">
        <f t="shared" si="1"/>
        <v>#N/A</v>
      </c>
      <c r="D12" s="48" t="e">
        <f>_xlfn.XLOOKUP($F12,Tab_Def_Processes[Name(EN)],Tab_Def_Processes[Process_ID],,0,)</f>
        <v>#N/A</v>
      </c>
      <c r="E12" s="48" t="e">
        <f>_xlfn.XLOOKUP(F12,Tab_Def_Processes[Name(EN)],#REF!,,0,)</f>
        <v>#REF!</v>
      </c>
      <c r="F12" s="50" t="s">
        <v>55</v>
      </c>
      <c r="G12" s="48"/>
      <c r="H12" s="48" t="e">
        <f>_xlfn.XLOOKUP(F12,Tab_Def_Processes[Name(EN)],Tab_Def_Processes[Carbon_Stock],,0,)</f>
        <v>#N/A</v>
      </c>
      <c r="I12" s="48" t="e">
        <f>_xlfn.XLOOKUP(F12,Tab_Def_Processes[Name(EN)],Tab_Def_Processes[Life_Phase],,0,)</f>
        <v>#N/A</v>
      </c>
      <c r="J12" s="48" t="e">
        <f>_xlfn.XLOOKUP(F12,Tab_Def_Processes[Name(EN)],Tab_Def_Processes[Description],,0,)</f>
        <v>#N/A</v>
      </c>
      <c r="K12" s="48" t="e">
        <f>_xlfn.XLOOKUP($F12,Tab_Def_Processes[Name(EN)],Tab_Def_Processes[Process_Type],,0,)</f>
        <v>#N/A</v>
      </c>
      <c r="L12" s="48" t="e">
        <f>_xlfn.XLOOKUP($F12,Tab_Def_Processes[Name(EN)],Tab_Def_Processes[TC?],,0,)</f>
        <v>#N/A</v>
      </c>
      <c r="M12" s="48" t="e">
        <f>_xlfn.XLOOKUP($F12,Tab_Def_Processes[Name(EN)],Tab_Def_Processes[Stock?],,0,)</f>
        <v>#N/A</v>
      </c>
    </row>
    <row r="13" spans="1:13" x14ac:dyDescent="0.3">
      <c r="A13" s="84" t="b">
        <v>0</v>
      </c>
      <c r="B13" s="48">
        <f t="shared" si="0"/>
        <v>12</v>
      </c>
      <c r="C13" s="48" t="e">
        <f t="shared" si="1"/>
        <v>#N/A</v>
      </c>
      <c r="D13" s="48" t="e">
        <f>_xlfn.XLOOKUP($F13,Tab_Def_Processes[Name(EN)],Tab_Def_Processes[Process_ID],,0,)</f>
        <v>#N/A</v>
      </c>
      <c r="E13" s="48" t="e">
        <f>_xlfn.XLOOKUP(F13,Tab_Def_Processes[Name(EN)],#REF!,,0,)</f>
        <v>#REF!</v>
      </c>
      <c r="F13" s="50" t="s">
        <v>55</v>
      </c>
      <c r="G13" s="48"/>
      <c r="H13" s="48" t="e">
        <f>_xlfn.XLOOKUP(F13,Tab_Def_Processes[Name(EN)],Tab_Def_Processes[Carbon_Stock],,0,)</f>
        <v>#N/A</v>
      </c>
      <c r="I13" s="48" t="e">
        <f>_xlfn.XLOOKUP(F13,Tab_Def_Processes[Name(EN)],Tab_Def_Processes[Life_Phase],,0,)</f>
        <v>#N/A</v>
      </c>
      <c r="J13" s="48" t="e">
        <f>_xlfn.XLOOKUP(F13,Tab_Def_Processes[Name(EN)],Tab_Def_Processes[Description],,0,)</f>
        <v>#N/A</v>
      </c>
      <c r="K13" s="48" t="e">
        <f>_xlfn.XLOOKUP($F13,Tab_Def_Processes[Name(EN)],Tab_Def_Processes[Process_Type],,0,)</f>
        <v>#N/A</v>
      </c>
      <c r="L13" s="48" t="e">
        <f>_xlfn.XLOOKUP($F13,Tab_Def_Processes[Name(EN)],Tab_Def_Processes[TC?],,0,)</f>
        <v>#N/A</v>
      </c>
      <c r="M13" s="48" t="e">
        <f>_xlfn.XLOOKUP($F13,Tab_Def_Processes[Name(EN)],Tab_Def_Processes[Stock?],,0,)</f>
        <v>#N/A</v>
      </c>
    </row>
    <row r="14" spans="1:13" x14ac:dyDescent="0.3">
      <c r="A14" s="84" t="b">
        <v>0</v>
      </c>
      <c r="B14" s="48">
        <f t="shared" si="0"/>
        <v>13</v>
      </c>
      <c r="C14" s="48" t="e">
        <f t="shared" si="1"/>
        <v>#N/A</v>
      </c>
      <c r="D14" s="48" t="e">
        <f>_xlfn.XLOOKUP($F14,Tab_Def_Processes[Name(EN)],Tab_Def_Processes[Process_ID],,0,)</f>
        <v>#N/A</v>
      </c>
      <c r="E14" s="48" t="e">
        <f>_xlfn.XLOOKUP(F14,Tab_Def_Processes[Name(EN)],#REF!,,0,)</f>
        <v>#REF!</v>
      </c>
      <c r="F14" s="50" t="s">
        <v>55</v>
      </c>
      <c r="G14" s="48"/>
      <c r="H14" s="48" t="e">
        <f>_xlfn.XLOOKUP(F14,Tab_Def_Processes[Name(EN)],Tab_Def_Processes[Carbon_Stock],,0,)</f>
        <v>#N/A</v>
      </c>
      <c r="I14" s="48" t="e">
        <f>_xlfn.XLOOKUP(F14,Tab_Def_Processes[Name(EN)],Tab_Def_Processes[Life_Phase],,0,)</f>
        <v>#N/A</v>
      </c>
      <c r="J14" s="48" t="e">
        <f>_xlfn.XLOOKUP(F14,Tab_Def_Processes[Name(EN)],Tab_Def_Processes[Description],,0,)</f>
        <v>#N/A</v>
      </c>
      <c r="K14" s="48" t="e">
        <f>_xlfn.XLOOKUP($F14,Tab_Def_Processes[Name(EN)],Tab_Def_Processes[Process_Type],,0,)</f>
        <v>#N/A</v>
      </c>
      <c r="L14" s="48" t="e">
        <f>_xlfn.XLOOKUP($F14,Tab_Def_Processes[Name(EN)],Tab_Def_Processes[TC?],,0,)</f>
        <v>#N/A</v>
      </c>
      <c r="M14" s="48" t="e">
        <f>_xlfn.XLOOKUP($F14,Tab_Def_Processes[Name(EN)],Tab_Def_Processes[Stock?],,0,)</f>
        <v>#N/A</v>
      </c>
    </row>
    <row r="15" spans="1:13" x14ac:dyDescent="0.3">
      <c r="A15" s="84" t="b">
        <v>0</v>
      </c>
      <c r="B15" s="48">
        <f t="shared" si="0"/>
        <v>14</v>
      </c>
      <c r="C15" s="48" t="e">
        <f t="shared" si="1"/>
        <v>#N/A</v>
      </c>
      <c r="D15" s="48" t="e">
        <f>_xlfn.XLOOKUP($F15,Tab_Def_Processes[Name(EN)],Tab_Def_Processes[Process_ID],,0,)</f>
        <v>#N/A</v>
      </c>
      <c r="E15" s="48" t="e">
        <f>_xlfn.XLOOKUP(F15,Tab_Def_Processes[Name(EN)],#REF!,,0,)</f>
        <v>#REF!</v>
      </c>
      <c r="F15" s="50" t="s">
        <v>55</v>
      </c>
      <c r="G15" s="48"/>
      <c r="H15" s="48" t="e">
        <f>_xlfn.XLOOKUP(F15,Tab_Def_Processes[Name(EN)],Tab_Def_Processes[Carbon_Stock],,0,)</f>
        <v>#N/A</v>
      </c>
      <c r="I15" s="48" t="e">
        <f>_xlfn.XLOOKUP(F15,Tab_Def_Processes[Name(EN)],Tab_Def_Processes[Life_Phase],,0,)</f>
        <v>#N/A</v>
      </c>
      <c r="J15" s="48" t="e">
        <f>_xlfn.XLOOKUP(F15,Tab_Def_Processes[Name(EN)],Tab_Def_Processes[Description],,0,)</f>
        <v>#N/A</v>
      </c>
      <c r="K15" s="48" t="e">
        <f>_xlfn.XLOOKUP($F15,Tab_Def_Processes[Name(EN)],Tab_Def_Processes[Process_Type],,0,)</f>
        <v>#N/A</v>
      </c>
      <c r="L15" s="48" t="e">
        <f>_xlfn.XLOOKUP($F15,Tab_Def_Processes[Name(EN)],Tab_Def_Processes[TC?],,0,)</f>
        <v>#N/A</v>
      </c>
      <c r="M15" s="48" t="e">
        <f>_xlfn.XLOOKUP($F15,Tab_Def_Processes[Name(EN)],Tab_Def_Processes[Stock?],,0,)</f>
        <v>#N/A</v>
      </c>
    </row>
    <row r="16" spans="1:13" x14ac:dyDescent="0.3">
      <c r="A16" s="84" t="b">
        <v>0</v>
      </c>
      <c r="B16" s="48">
        <f t="shared" si="0"/>
        <v>15</v>
      </c>
      <c r="C16" s="48" t="e">
        <f t="shared" si="1"/>
        <v>#N/A</v>
      </c>
      <c r="D16" s="48" t="e">
        <f>_xlfn.XLOOKUP($F16,Tab_Def_Processes[Name(EN)],Tab_Def_Processes[Process_ID],,0,)</f>
        <v>#N/A</v>
      </c>
      <c r="E16" s="48" t="e">
        <f>_xlfn.XLOOKUP(F16,Tab_Def_Processes[Name(EN)],#REF!,,0,)</f>
        <v>#REF!</v>
      </c>
      <c r="F16" s="50" t="s">
        <v>55</v>
      </c>
      <c r="G16" s="48"/>
      <c r="H16" s="48" t="e">
        <f>_xlfn.XLOOKUP(F16,Tab_Def_Processes[Name(EN)],Tab_Def_Processes[Carbon_Stock],,0,)</f>
        <v>#N/A</v>
      </c>
      <c r="I16" s="48" t="e">
        <f>_xlfn.XLOOKUP(F16,Tab_Def_Processes[Name(EN)],Tab_Def_Processes[Life_Phase],,0,)</f>
        <v>#N/A</v>
      </c>
      <c r="J16" s="48" t="e">
        <f>_xlfn.XLOOKUP(F16,Tab_Def_Processes[Name(EN)],Tab_Def_Processes[Description],,0,)</f>
        <v>#N/A</v>
      </c>
      <c r="K16" s="48" t="e">
        <f>_xlfn.XLOOKUP($F16,Tab_Def_Processes[Name(EN)],Tab_Def_Processes[Process_Type],,0,)</f>
        <v>#N/A</v>
      </c>
      <c r="L16" s="48" t="e">
        <f>_xlfn.XLOOKUP($F16,Tab_Def_Processes[Name(EN)],Tab_Def_Processes[TC?],,0,)</f>
        <v>#N/A</v>
      </c>
      <c r="M16" s="48" t="e">
        <f>_xlfn.XLOOKUP($F16,Tab_Def_Processes[Name(EN)],Tab_Def_Processes[Stock?],,0,)</f>
        <v>#N/A</v>
      </c>
    </row>
    <row r="17" spans="1:13" x14ac:dyDescent="0.3">
      <c r="A17" s="84" t="b">
        <v>0</v>
      </c>
      <c r="B17" s="48">
        <f t="shared" si="0"/>
        <v>16</v>
      </c>
      <c r="C17" s="48" t="e">
        <f t="shared" si="1"/>
        <v>#N/A</v>
      </c>
      <c r="D17" s="48" t="e">
        <f>_xlfn.XLOOKUP($F17,Tab_Def_Processes[Name(EN)],Tab_Def_Processes[Process_ID],,0,)</f>
        <v>#N/A</v>
      </c>
      <c r="E17" s="48" t="e">
        <f>_xlfn.XLOOKUP(F17,Tab_Def_Processes[Name(EN)],#REF!,,0,)</f>
        <v>#REF!</v>
      </c>
      <c r="F17" s="50" t="s">
        <v>55</v>
      </c>
      <c r="G17" s="48"/>
      <c r="H17" s="48" t="e">
        <f>_xlfn.XLOOKUP(F17,Tab_Def_Processes[Name(EN)],Tab_Def_Processes[Carbon_Stock],,0,)</f>
        <v>#N/A</v>
      </c>
      <c r="I17" s="48" t="e">
        <f>_xlfn.XLOOKUP(F17,Tab_Def_Processes[Name(EN)],Tab_Def_Processes[Life_Phase],,0,)</f>
        <v>#N/A</v>
      </c>
      <c r="J17" s="48" t="e">
        <f>_xlfn.XLOOKUP(F17,Tab_Def_Processes[Name(EN)],Tab_Def_Processes[Description],,0,)</f>
        <v>#N/A</v>
      </c>
      <c r="K17" s="48" t="e">
        <f>_xlfn.XLOOKUP($F17,Tab_Def_Processes[Name(EN)],Tab_Def_Processes[Process_Type],,0,)</f>
        <v>#N/A</v>
      </c>
      <c r="L17" s="48" t="e">
        <f>_xlfn.XLOOKUP($F17,Tab_Def_Processes[Name(EN)],Tab_Def_Processes[TC?],,0,)</f>
        <v>#N/A</v>
      </c>
      <c r="M17" s="48" t="e">
        <f>_xlfn.XLOOKUP($F17,Tab_Def_Processes[Name(EN)],Tab_Def_Processes[Stock?],,0,)</f>
        <v>#N/A</v>
      </c>
    </row>
    <row r="18" spans="1:13" x14ac:dyDescent="0.3">
      <c r="A18" s="84" t="b">
        <v>0</v>
      </c>
      <c r="B18" s="48">
        <f t="shared" si="0"/>
        <v>17</v>
      </c>
      <c r="C18" s="48" t="e">
        <f t="shared" si="1"/>
        <v>#N/A</v>
      </c>
      <c r="D18" s="48" t="e">
        <f>_xlfn.XLOOKUP($F18,Tab_Def_Processes[Name(EN)],Tab_Def_Processes[Process_ID],,0,)</f>
        <v>#N/A</v>
      </c>
      <c r="E18" s="48" t="e">
        <f>_xlfn.XLOOKUP(F18,Tab_Def_Processes[Name(EN)],#REF!,,0,)</f>
        <v>#REF!</v>
      </c>
      <c r="F18" s="50" t="s">
        <v>55</v>
      </c>
      <c r="G18" s="48"/>
      <c r="H18" s="48" t="e">
        <f>_xlfn.XLOOKUP(F18,Tab_Def_Processes[Name(EN)],Tab_Def_Processes[Carbon_Stock],,0,)</f>
        <v>#N/A</v>
      </c>
      <c r="I18" s="48" t="e">
        <f>_xlfn.XLOOKUP(F18,Tab_Def_Processes[Name(EN)],Tab_Def_Processes[Life_Phase],,0,)</f>
        <v>#N/A</v>
      </c>
      <c r="J18" s="48" t="e">
        <f>_xlfn.XLOOKUP(F18,Tab_Def_Processes[Name(EN)],Tab_Def_Processes[Description],,0,)</f>
        <v>#N/A</v>
      </c>
      <c r="K18" s="48" t="e">
        <f>_xlfn.XLOOKUP($F18,Tab_Def_Processes[Name(EN)],Tab_Def_Processes[Process_Type],,0,)</f>
        <v>#N/A</v>
      </c>
      <c r="L18" s="48" t="e">
        <f>_xlfn.XLOOKUP($F18,Tab_Def_Processes[Name(EN)],Tab_Def_Processes[TC?],,0,)</f>
        <v>#N/A</v>
      </c>
      <c r="M18" s="48" t="e">
        <f>_xlfn.XLOOKUP($F18,Tab_Def_Processes[Name(EN)],Tab_Def_Processes[Stock?],,0,)</f>
        <v>#N/A</v>
      </c>
    </row>
    <row r="19" spans="1:13" x14ac:dyDescent="0.3">
      <c r="A19" s="84" t="b">
        <v>0</v>
      </c>
      <c r="B19" s="48">
        <f t="shared" si="0"/>
        <v>18</v>
      </c>
      <c r="C19" s="48" t="e">
        <f t="shared" si="1"/>
        <v>#N/A</v>
      </c>
      <c r="D19" s="48" t="e">
        <f>_xlfn.XLOOKUP($F19,Tab_Def_Processes[Name(EN)],Tab_Def_Processes[Process_ID],,0,)</f>
        <v>#N/A</v>
      </c>
      <c r="E19" s="48" t="e">
        <f>_xlfn.XLOOKUP(F19,Tab_Def_Processes[Name(EN)],#REF!,,0,)</f>
        <v>#REF!</v>
      </c>
      <c r="F19" s="50" t="s">
        <v>55</v>
      </c>
      <c r="G19" s="48"/>
      <c r="H19" s="48" t="e">
        <f>_xlfn.XLOOKUP(F19,Tab_Def_Processes[Name(EN)],Tab_Def_Processes[Carbon_Stock],,0,)</f>
        <v>#N/A</v>
      </c>
      <c r="I19" s="48" t="e">
        <f>_xlfn.XLOOKUP(F19,Tab_Def_Processes[Name(EN)],Tab_Def_Processes[Life_Phase],,0,)</f>
        <v>#N/A</v>
      </c>
      <c r="J19" s="48" t="e">
        <f>_xlfn.XLOOKUP(F19,Tab_Def_Processes[Name(EN)],Tab_Def_Processes[Description],,0,)</f>
        <v>#N/A</v>
      </c>
      <c r="K19" s="48" t="e">
        <f>_xlfn.XLOOKUP($F19,Tab_Def_Processes[Name(EN)],Tab_Def_Processes[Process_Type],,0,)</f>
        <v>#N/A</v>
      </c>
      <c r="L19" s="48" t="e">
        <f>_xlfn.XLOOKUP($F19,Tab_Def_Processes[Name(EN)],Tab_Def_Processes[TC?],,0,)</f>
        <v>#N/A</v>
      </c>
      <c r="M19" s="48" t="e">
        <f>_xlfn.XLOOKUP($F19,Tab_Def_Processes[Name(EN)],Tab_Def_Processes[Stock?],,0,)</f>
        <v>#N/A</v>
      </c>
    </row>
    <row r="20" spans="1:13" x14ac:dyDescent="0.3">
      <c r="A20" s="84" t="b">
        <v>0</v>
      </c>
      <c r="B20" s="48">
        <f t="shared" si="0"/>
        <v>19</v>
      </c>
      <c r="C20" s="48" t="e">
        <f t="shared" si="1"/>
        <v>#N/A</v>
      </c>
      <c r="D20" s="48" t="e">
        <f>_xlfn.XLOOKUP($F20,Tab_Def_Processes[Name(EN)],Tab_Def_Processes[Process_ID],,0,)</f>
        <v>#N/A</v>
      </c>
      <c r="E20" s="48" t="e">
        <f>_xlfn.XLOOKUP(F20,Tab_Def_Processes[Name(EN)],#REF!,,0,)</f>
        <v>#REF!</v>
      </c>
      <c r="F20" s="50" t="s">
        <v>55</v>
      </c>
      <c r="G20" s="48"/>
      <c r="H20" s="48" t="e">
        <f>_xlfn.XLOOKUP(F20,Tab_Def_Processes[Name(EN)],Tab_Def_Processes[Carbon_Stock],,0,)</f>
        <v>#N/A</v>
      </c>
      <c r="I20" s="48" t="e">
        <f>_xlfn.XLOOKUP(F20,Tab_Def_Processes[Name(EN)],Tab_Def_Processes[Life_Phase],,0,)</f>
        <v>#N/A</v>
      </c>
      <c r="J20" s="48" t="e">
        <f>_xlfn.XLOOKUP(F20,Tab_Def_Processes[Name(EN)],Tab_Def_Processes[Description],,0,)</f>
        <v>#N/A</v>
      </c>
      <c r="K20" s="48" t="e">
        <f>_xlfn.XLOOKUP($F20,Tab_Def_Processes[Name(EN)],Tab_Def_Processes[Process_Type],,0,)</f>
        <v>#N/A</v>
      </c>
      <c r="L20" s="48" t="e">
        <f>_xlfn.XLOOKUP($F20,Tab_Def_Processes[Name(EN)],Tab_Def_Processes[TC?],,0,)</f>
        <v>#N/A</v>
      </c>
      <c r="M20" s="48" t="e">
        <f>_xlfn.XLOOKUP($F20,Tab_Def_Processes[Name(EN)],Tab_Def_Processes[Stock?],,0,)</f>
        <v>#N/A</v>
      </c>
    </row>
    <row r="21" spans="1:13" x14ac:dyDescent="0.3">
      <c r="A21" s="84" t="b">
        <v>0</v>
      </c>
      <c r="B21" s="48">
        <f t="shared" si="0"/>
        <v>20</v>
      </c>
      <c r="C21" s="48" t="e">
        <f t="shared" si="1"/>
        <v>#N/A</v>
      </c>
      <c r="D21" s="48" t="e">
        <f>_xlfn.XLOOKUP($F21,Tab_Def_Processes[Name(EN)],Tab_Def_Processes[Process_ID],,0,)</f>
        <v>#N/A</v>
      </c>
      <c r="E21" s="48" t="e">
        <f>_xlfn.XLOOKUP(F21,Tab_Def_Processes[Name(EN)],#REF!,,0,)</f>
        <v>#REF!</v>
      </c>
      <c r="F21" s="50" t="s">
        <v>55</v>
      </c>
      <c r="G21" s="48"/>
      <c r="H21" s="48" t="e">
        <f>_xlfn.XLOOKUP(F21,Tab_Def_Processes[Name(EN)],Tab_Def_Processes[Carbon_Stock],,0,)</f>
        <v>#N/A</v>
      </c>
      <c r="I21" s="48" t="e">
        <f>_xlfn.XLOOKUP(F21,Tab_Def_Processes[Name(EN)],Tab_Def_Processes[Life_Phase],,0,)</f>
        <v>#N/A</v>
      </c>
      <c r="J21" s="48" t="e">
        <f>_xlfn.XLOOKUP(F21,Tab_Def_Processes[Name(EN)],Tab_Def_Processes[Description],,0,)</f>
        <v>#N/A</v>
      </c>
      <c r="K21" s="48" t="e">
        <f>_xlfn.XLOOKUP($F21,Tab_Def_Processes[Name(EN)],Tab_Def_Processes[Process_Type],,0,)</f>
        <v>#N/A</v>
      </c>
      <c r="L21" s="48" t="e">
        <f>_xlfn.XLOOKUP($F21,Tab_Def_Processes[Name(EN)],Tab_Def_Processes[TC?],,0,)</f>
        <v>#N/A</v>
      </c>
      <c r="M21" s="48" t="e">
        <f>_xlfn.XLOOKUP($F21,Tab_Def_Processes[Name(EN)],Tab_Def_Processes[Stock?],,0,)</f>
        <v>#N/A</v>
      </c>
    </row>
    <row r="22" spans="1:13" x14ac:dyDescent="0.3">
      <c r="A22" s="84" t="b">
        <v>0</v>
      </c>
      <c r="B22" s="48">
        <f t="shared" si="0"/>
        <v>21</v>
      </c>
      <c r="C22" s="48" t="e">
        <f t="shared" si="1"/>
        <v>#N/A</v>
      </c>
      <c r="D22" s="48" t="e">
        <f>_xlfn.XLOOKUP($F22,Tab_Def_Processes[Name(EN)],Tab_Def_Processes[Process_ID],,0,)</f>
        <v>#N/A</v>
      </c>
      <c r="E22" s="48" t="e">
        <f>_xlfn.XLOOKUP(F22,Tab_Def_Processes[Name(EN)],#REF!,,0,)</f>
        <v>#REF!</v>
      </c>
      <c r="F22" s="50" t="s">
        <v>55</v>
      </c>
      <c r="G22" s="48"/>
      <c r="H22" s="48" t="e">
        <f>_xlfn.XLOOKUP(F22,Tab_Def_Processes[Name(EN)],Tab_Def_Processes[Carbon_Stock],,0,)</f>
        <v>#N/A</v>
      </c>
      <c r="I22" s="48" t="e">
        <f>_xlfn.XLOOKUP(F22,Tab_Def_Processes[Name(EN)],Tab_Def_Processes[Life_Phase],,0,)</f>
        <v>#N/A</v>
      </c>
      <c r="J22" s="48" t="e">
        <f>_xlfn.XLOOKUP(F22,Tab_Def_Processes[Name(EN)],Tab_Def_Processes[Description],,0,)</f>
        <v>#N/A</v>
      </c>
      <c r="K22" s="48" t="e">
        <f>_xlfn.XLOOKUP($F22,Tab_Def_Processes[Name(EN)],Tab_Def_Processes[Process_Type],,0,)</f>
        <v>#N/A</v>
      </c>
      <c r="L22" s="48" t="e">
        <f>_xlfn.XLOOKUP($F22,Tab_Def_Processes[Name(EN)],Tab_Def_Processes[TC?],,0,)</f>
        <v>#N/A</v>
      </c>
      <c r="M22" s="48" t="e">
        <f>_xlfn.XLOOKUP($F22,Tab_Def_Processes[Name(EN)],Tab_Def_Processes[Stock?],,0,)</f>
        <v>#N/A</v>
      </c>
    </row>
    <row r="23" spans="1:13" x14ac:dyDescent="0.3">
      <c r="A23" s="84" t="b">
        <v>0</v>
      </c>
      <c r="B23" s="48">
        <f t="shared" si="0"/>
        <v>22</v>
      </c>
      <c r="C23" s="48" t="e">
        <f t="shared" si="1"/>
        <v>#N/A</v>
      </c>
      <c r="D23" s="48" t="e">
        <f>_xlfn.XLOOKUP($F23,Tab_Def_Processes[Name(EN)],Tab_Def_Processes[Process_ID],,0,)</f>
        <v>#N/A</v>
      </c>
      <c r="E23" s="48" t="e">
        <f>_xlfn.XLOOKUP(F23,Tab_Def_Processes[Name(EN)],#REF!,,0,)</f>
        <v>#REF!</v>
      </c>
      <c r="F23" s="50" t="s">
        <v>55</v>
      </c>
      <c r="G23" s="48"/>
      <c r="H23" s="48" t="e">
        <f>_xlfn.XLOOKUP(F23,Tab_Def_Processes[Name(EN)],Tab_Def_Processes[Carbon_Stock],,0,)</f>
        <v>#N/A</v>
      </c>
      <c r="I23" s="48" t="e">
        <f>_xlfn.XLOOKUP(F23,Tab_Def_Processes[Name(EN)],Tab_Def_Processes[Life_Phase],,0,)</f>
        <v>#N/A</v>
      </c>
      <c r="J23" s="48" t="e">
        <f>_xlfn.XLOOKUP(F23,Tab_Def_Processes[Name(EN)],Tab_Def_Processes[Description],,0,)</f>
        <v>#N/A</v>
      </c>
      <c r="K23" s="48" t="e">
        <f>_xlfn.XLOOKUP($F23,Tab_Def_Processes[Name(EN)],Tab_Def_Processes[Process_Type],,0,)</f>
        <v>#N/A</v>
      </c>
      <c r="L23" s="48" t="e">
        <f>_xlfn.XLOOKUP($F23,Tab_Def_Processes[Name(EN)],Tab_Def_Processes[TC?],,0,)</f>
        <v>#N/A</v>
      </c>
      <c r="M23" s="48" t="e">
        <f>_xlfn.XLOOKUP($F23,Tab_Def_Processes[Name(EN)],Tab_Def_Processes[Stock?],,0,)</f>
        <v>#N/A</v>
      </c>
    </row>
    <row r="24" spans="1:13" x14ac:dyDescent="0.3">
      <c r="A24" s="84" t="b">
        <v>0</v>
      </c>
      <c r="B24" s="48">
        <f t="shared" si="0"/>
        <v>23</v>
      </c>
      <c r="C24" s="48" t="e">
        <f t="shared" si="1"/>
        <v>#N/A</v>
      </c>
      <c r="D24" s="48" t="e">
        <f>_xlfn.XLOOKUP($F24,Tab_Def_Processes[Name(EN)],Tab_Def_Processes[Process_ID],,0,)</f>
        <v>#N/A</v>
      </c>
      <c r="E24" s="48" t="e">
        <f>_xlfn.XLOOKUP(F24,Tab_Def_Processes[Name(EN)],#REF!,,0,)</f>
        <v>#REF!</v>
      </c>
      <c r="F24" s="50" t="s">
        <v>55</v>
      </c>
      <c r="G24" s="48"/>
      <c r="H24" s="48" t="e">
        <f>_xlfn.XLOOKUP(F24,Tab_Def_Processes[Name(EN)],Tab_Def_Processes[Carbon_Stock],,0,)</f>
        <v>#N/A</v>
      </c>
      <c r="I24" s="48" t="e">
        <f>_xlfn.XLOOKUP(F24,Tab_Def_Processes[Name(EN)],Tab_Def_Processes[Life_Phase],,0,)</f>
        <v>#N/A</v>
      </c>
      <c r="J24" s="48" t="e">
        <f>_xlfn.XLOOKUP(F24,Tab_Def_Processes[Name(EN)],Tab_Def_Processes[Description],,0,)</f>
        <v>#N/A</v>
      </c>
      <c r="K24" s="48" t="e">
        <f>_xlfn.XLOOKUP($F24,Tab_Def_Processes[Name(EN)],Tab_Def_Processes[Process_Type],,0,)</f>
        <v>#N/A</v>
      </c>
      <c r="L24" s="48" t="e">
        <f>_xlfn.XLOOKUP($F24,Tab_Def_Processes[Name(EN)],Tab_Def_Processes[TC?],,0,)</f>
        <v>#N/A</v>
      </c>
      <c r="M24" s="48" t="e">
        <f>_xlfn.XLOOKUP($F24,Tab_Def_Processes[Name(EN)],Tab_Def_Processes[Stock?],,0,)</f>
        <v>#N/A</v>
      </c>
    </row>
    <row r="25" spans="1:13" x14ac:dyDescent="0.3">
      <c r="A25" s="84" t="b">
        <v>0</v>
      </c>
      <c r="B25" s="48">
        <f t="shared" si="0"/>
        <v>24</v>
      </c>
      <c r="C25" s="48" t="e">
        <f t="shared" si="1"/>
        <v>#N/A</v>
      </c>
      <c r="D25" s="48" t="e">
        <f>_xlfn.XLOOKUP($F25,Tab_Def_Processes[Name(EN)],Tab_Def_Processes[Process_ID],,0,)</f>
        <v>#N/A</v>
      </c>
      <c r="E25" s="48" t="e">
        <f>_xlfn.XLOOKUP(F25,Tab_Def_Processes[Name(EN)],#REF!,,0,)</f>
        <v>#REF!</v>
      </c>
      <c r="F25" s="50" t="s">
        <v>55</v>
      </c>
      <c r="G25" s="48"/>
      <c r="H25" s="48" t="e">
        <f>_xlfn.XLOOKUP(F25,Tab_Def_Processes[Name(EN)],Tab_Def_Processes[Carbon_Stock],,0,)</f>
        <v>#N/A</v>
      </c>
      <c r="I25" s="48" t="e">
        <f>_xlfn.XLOOKUP(F25,Tab_Def_Processes[Name(EN)],Tab_Def_Processes[Life_Phase],,0,)</f>
        <v>#N/A</v>
      </c>
      <c r="J25" s="48" t="e">
        <f>_xlfn.XLOOKUP(F25,Tab_Def_Processes[Name(EN)],Tab_Def_Processes[Description],,0,)</f>
        <v>#N/A</v>
      </c>
      <c r="K25" s="48" t="e">
        <f>_xlfn.XLOOKUP($F25,Tab_Def_Processes[Name(EN)],Tab_Def_Processes[Process_Type],,0,)</f>
        <v>#N/A</v>
      </c>
      <c r="L25" s="48" t="e">
        <f>_xlfn.XLOOKUP($F25,Tab_Def_Processes[Name(EN)],Tab_Def_Processes[TC?],,0,)</f>
        <v>#N/A</v>
      </c>
      <c r="M25" s="48" t="e">
        <f>_xlfn.XLOOKUP($F25,Tab_Def_Processes[Name(EN)],Tab_Def_Processes[Stock?],,0,)</f>
        <v>#N/A</v>
      </c>
    </row>
    <row r="26" spans="1:13" x14ac:dyDescent="0.3">
      <c r="A26" s="84" t="b">
        <v>0</v>
      </c>
      <c r="B26" s="48">
        <f t="shared" si="0"/>
        <v>25</v>
      </c>
      <c r="C26" s="48" t="e">
        <f t="shared" si="1"/>
        <v>#N/A</v>
      </c>
      <c r="D26" s="48" t="e">
        <f>_xlfn.XLOOKUP($F26,Tab_Def_Processes[Name(EN)],Tab_Def_Processes[Process_ID],,0,)</f>
        <v>#N/A</v>
      </c>
      <c r="E26" s="48" t="e">
        <f>_xlfn.XLOOKUP(F26,Tab_Def_Processes[Name(EN)],#REF!,,0,)</f>
        <v>#REF!</v>
      </c>
      <c r="F26" s="50" t="s">
        <v>55</v>
      </c>
      <c r="G26" s="48"/>
      <c r="H26" s="48" t="e">
        <f>_xlfn.XLOOKUP(F26,Tab_Def_Processes[Name(EN)],Tab_Def_Processes[Carbon_Stock],,0,)</f>
        <v>#N/A</v>
      </c>
      <c r="I26" s="48" t="e">
        <f>_xlfn.XLOOKUP(F26,Tab_Def_Processes[Name(EN)],Tab_Def_Processes[Life_Phase],,0,)</f>
        <v>#N/A</v>
      </c>
      <c r="J26" s="48" t="e">
        <f>_xlfn.XLOOKUP(F26,Tab_Def_Processes[Name(EN)],Tab_Def_Processes[Description],,0,)</f>
        <v>#N/A</v>
      </c>
      <c r="K26" s="48" t="e">
        <f>_xlfn.XLOOKUP($F26,Tab_Def_Processes[Name(EN)],Tab_Def_Processes[Process_Type],,0,)</f>
        <v>#N/A</v>
      </c>
      <c r="L26" s="48" t="e">
        <f>_xlfn.XLOOKUP($F26,Tab_Def_Processes[Name(EN)],Tab_Def_Processes[TC?],,0,)</f>
        <v>#N/A</v>
      </c>
      <c r="M26" s="48" t="e">
        <f>_xlfn.XLOOKUP($F26,Tab_Def_Processes[Name(EN)],Tab_Def_Processes[Stock?],,0,)</f>
        <v>#N/A</v>
      </c>
    </row>
    <row r="27" spans="1:13" x14ac:dyDescent="0.3">
      <c r="A27" s="84" t="b">
        <v>0</v>
      </c>
      <c r="B27" s="48">
        <f t="shared" si="0"/>
        <v>26</v>
      </c>
      <c r="C27" s="48" t="e">
        <f t="shared" si="1"/>
        <v>#N/A</v>
      </c>
      <c r="D27" s="48" t="e">
        <f>_xlfn.XLOOKUP($F27,Tab_Def_Processes[Name(EN)],Tab_Def_Processes[Process_ID],,0,)</f>
        <v>#N/A</v>
      </c>
      <c r="E27" s="48" t="e">
        <f>_xlfn.XLOOKUP(F27,Tab_Def_Processes[Name(EN)],#REF!,,0,)</f>
        <v>#REF!</v>
      </c>
      <c r="F27" s="50" t="s">
        <v>55</v>
      </c>
      <c r="G27" s="48"/>
      <c r="H27" s="48" t="e">
        <f>_xlfn.XLOOKUP(F27,Tab_Def_Processes[Name(EN)],Tab_Def_Processes[Carbon_Stock],,0,)</f>
        <v>#N/A</v>
      </c>
      <c r="I27" s="48" t="e">
        <f>_xlfn.XLOOKUP(F27,Tab_Def_Processes[Name(EN)],Tab_Def_Processes[Life_Phase],,0,)</f>
        <v>#N/A</v>
      </c>
      <c r="J27" s="48" t="e">
        <f>_xlfn.XLOOKUP(F27,Tab_Def_Processes[Name(EN)],Tab_Def_Processes[Description],,0,)</f>
        <v>#N/A</v>
      </c>
      <c r="K27" s="48" t="e">
        <f>_xlfn.XLOOKUP($F27,Tab_Def_Processes[Name(EN)],Tab_Def_Processes[Process_Type],,0,)</f>
        <v>#N/A</v>
      </c>
      <c r="L27" s="48" t="e">
        <f>_xlfn.XLOOKUP($F27,Tab_Def_Processes[Name(EN)],Tab_Def_Processes[TC?],,0,)</f>
        <v>#N/A</v>
      </c>
      <c r="M27" s="48" t="e">
        <f>_xlfn.XLOOKUP($F27,Tab_Def_Processes[Name(EN)],Tab_Def_Processes[Stock?],,0,)</f>
        <v>#N/A</v>
      </c>
    </row>
    <row r="28" spans="1:13" x14ac:dyDescent="0.3">
      <c r="A28" s="84" t="b">
        <v>0</v>
      </c>
      <c r="B28" s="48">
        <f t="shared" si="0"/>
        <v>27</v>
      </c>
      <c r="C28" s="48" t="e">
        <f t="shared" si="1"/>
        <v>#N/A</v>
      </c>
      <c r="D28" s="48" t="e">
        <f>_xlfn.XLOOKUP($F28,Tab_Def_Processes[Name(EN)],Tab_Def_Processes[Process_ID],,0,)</f>
        <v>#N/A</v>
      </c>
      <c r="E28" s="48" t="e">
        <f>_xlfn.XLOOKUP(F28,Tab_Def_Processes[Name(EN)],#REF!,,0,)</f>
        <v>#REF!</v>
      </c>
      <c r="F28" s="50" t="s">
        <v>55</v>
      </c>
      <c r="G28" s="48"/>
      <c r="H28" s="48" t="e">
        <f>_xlfn.XLOOKUP(F28,Tab_Def_Processes[Name(EN)],Tab_Def_Processes[Carbon_Stock],,0,)</f>
        <v>#N/A</v>
      </c>
      <c r="I28" s="48" t="e">
        <f>_xlfn.XLOOKUP(F28,Tab_Def_Processes[Name(EN)],Tab_Def_Processes[Life_Phase],,0,)</f>
        <v>#N/A</v>
      </c>
      <c r="J28" s="48" t="e">
        <f>_xlfn.XLOOKUP(F28,Tab_Def_Processes[Name(EN)],Tab_Def_Processes[Description],,0,)</f>
        <v>#N/A</v>
      </c>
      <c r="K28" s="48" t="e">
        <f>_xlfn.XLOOKUP($F28,Tab_Def_Processes[Name(EN)],Tab_Def_Processes[Process_Type],,0,)</f>
        <v>#N/A</v>
      </c>
      <c r="L28" s="48" t="e">
        <f>_xlfn.XLOOKUP($F28,Tab_Def_Processes[Name(EN)],Tab_Def_Processes[TC?],,0,)</f>
        <v>#N/A</v>
      </c>
      <c r="M28" s="48" t="e">
        <f>_xlfn.XLOOKUP($F28,Tab_Def_Processes[Name(EN)],Tab_Def_Processes[Stock?],,0,)</f>
        <v>#N/A</v>
      </c>
    </row>
    <row r="29" spans="1:13" x14ac:dyDescent="0.3">
      <c r="A29" s="84" t="b">
        <v>0</v>
      </c>
      <c r="B29" s="48">
        <f t="shared" si="0"/>
        <v>28</v>
      </c>
      <c r="C29" s="48" t="e">
        <f t="shared" si="1"/>
        <v>#N/A</v>
      </c>
      <c r="D29" s="48" t="e">
        <f>_xlfn.XLOOKUP($F29,Tab_Def_Processes[Name(EN)],Tab_Def_Processes[Process_ID],,0,)</f>
        <v>#N/A</v>
      </c>
      <c r="E29" s="48" t="e">
        <f>_xlfn.XLOOKUP(F29,Tab_Def_Processes[Name(EN)],#REF!,,0,)</f>
        <v>#REF!</v>
      </c>
      <c r="F29" s="50" t="s">
        <v>55</v>
      </c>
      <c r="G29" s="48"/>
      <c r="H29" s="48" t="e">
        <f>_xlfn.XLOOKUP(F29,Tab_Def_Processes[Name(EN)],Tab_Def_Processes[Carbon_Stock],,0,)</f>
        <v>#N/A</v>
      </c>
      <c r="I29" s="48" t="e">
        <f>_xlfn.XLOOKUP(F29,Tab_Def_Processes[Name(EN)],Tab_Def_Processes[Life_Phase],,0,)</f>
        <v>#N/A</v>
      </c>
      <c r="J29" s="48" t="e">
        <f>_xlfn.XLOOKUP(F29,Tab_Def_Processes[Name(EN)],Tab_Def_Processes[Description],,0,)</f>
        <v>#N/A</v>
      </c>
      <c r="K29" s="48" t="e">
        <f>_xlfn.XLOOKUP($F29,Tab_Def_Processes[Name(EN)],Tab_Def_Processes[Process_Type],,0,)</f>
        <v>#N/A</v>
      </c>
      <c r="L29" s="48" t="e">
        <f>_xlfn.XLOOKUP($F29,Tab_Def_Processes[Name(EN)],Tab_Def_Processes[TC?],,0,)</f>
        <v>#N/A</v>
      </c>
      <c r="M29" s="48" t="e">
        <f>_xlfn.XLOOKUP($F29,Tab_Def_Processes[Name(EN)],Tab_Def_Processes[Stock?],,0,)</f>
        <v>#N/A</v>
      </c>
    </row>
    <row r="30" spans="1:13" x14ac:dyDescent="0.3">
      <c r="A30" s="84" t="b">
        <v>0</v>
      </c>
      <c r="B30" s="48">
        <f t="shared" si="0"/>
        <v>29</v>
      </c>
      <c r="C30" s="48" t="e">
        <f t="shared" si="1"/>
        <v>#N/A</v>
      </c>
      <c r="D30" s="48" t="e">
        <f>_xlfn.XLOOKUP($F30,Tab_Def_Processes[Name(EN)],Tab_Def_Processes[Process_ID],,0,)</f>
        <v>#N/A</v>
      </c>
      <c r="E30" s="48" t="e">
        <f>_xlfn.XLOOKUP(F30,Tab_Def_Processes[Name(EN)],#REF!,,0,)</f>
        <v>#REF!</v>
      </c>
      <c r="F30" s="50" t="s">
        <v>55</v>
      </c>
      <c r="G30" s="48"/>
      <c r="H30" s="48" t="e">
        <f>_xlfn.XLOOKUP(F30,Tab_Def_Processes[Name(EN)],Tab_Def_Processes[Carbon_Stock],,0,)</f>
        <v>#N/A</v>
      </c>
      <c r="I30" s="48" t="e">
        <f>_xlfn.XLOOKUP(F30,Tab_Def_Processes[Name(EN)],Tab_Def_Processes[Life_Phase],,0,)</f>
        <v>#N/A</v>
      </c>
      <c r="J30" s="48" t="e">
        <f>_xlfn.XLOOKUP(F30,Tab_Def_Processes[Name(EN)],Tab_Def_Processes[Description],,0,)</f>
        <v>#N/A</v>
      </c>
      <c r="K30" s="48" t="e">
        <f>_xlfn.XLOOKUP($F30,Tab_Def_Processes[Name(EN)],Tab_Def_Processes[Process_Type],,0,)</f>
        <v>#N/A</v>
      </c>
      <c r="L30" s="48" t="e">
        <f>_xlfn.XLOOKUP($F30,Tab_Def_Processes[Name(EN)],Tab_Def_Processes[TC?],,0,)</f>
        <v>#N/A</v>
      </c>
      <c r="M30" s="48" t="e">
        <f>_xlfn.XLOOKUP($F30,Tab_Def_Processes[Name(EN)],Tab_Def_Processes[Stock?],,0,)</f>
        <v>#N/A</v>
      </c>
    </row>
    <row r="31" spans="1:13" x14ac:dyDescent="0.3">
      <c r="A31" s="84" t="b">
        <v>0</v>
      </c>
      <c r="B31" s="48">
        <f t="shared" si="0"/>
        <v>30</v>
      </c>
      <c r="C31" s="48" t="e">
        <f t="shared" si="1"/>
        <v>#N/A</v>
      </c>
      <c r="D31" s="48" t="e">
        <f>_xlfn.XLOOKUP($F31,Tab_Def_Processes[Name(EN)],Tab_Def_Processes[Process_ID],,0,)</f>
        <v>#N/A</v>
      </c>
      <c r="E31" s="48" t="e">
        <f>_xlfn.XLOOKUP(F31,Tab_Def_Processes[Name(EN)],#REF!,,0,)</f>
        <v>#REF!</v>
      </c>
      <c r="F31" s="50" t="s">
        <v>55</v>
      </c>
      <c r="G31" s="48"/>
      <c r="H31" s="48" t="e">
        <f>_xlfn.XLOOKUP(F31,Tab_Def_Processes[Name(EN)],Tab_Def_Processes[Carbon_Stock],,0,)</f>
        <v>#N/A</v>
      </c>
      <c r="I31" s="48" t="e">
        <f>_xlfn.XLOOKUP(F31,Tab_Def_Processes[Name(EN)],Tab_Def_Processes[Life_Phase],,0,)</f>
        <v>#N/A</v>
      </c>
      <c r="J31" s="48" t="e">
        <f>_xlfn.XLOOKUP(F31,Tab_Def_Processes[Name(EN)],Tab_Def_Processes[Description],,0,)</f>
        <v>#N/A</v>
      </c>
      <c r="K31" s="48" t="e">
        <f>_xlfn.XLOOKUP($F31,Tab_Def_Processes[Name(EN)],Tab_Def_Processes[Process_Type],,0,)</f>
        <v>#N/A</v>
      </c>
      <c r="L31" s="48" t="e">
        <f>_xlfn.XLOOKUP($F31,Tab_Def_Processes[Name(EN)],Tab_Def_Processes[TC?],,0,)</f>
        <v>#N/A</v>
      </c>
      <c r="M31" s="48" t="e">
        <f>_xlfn.XLOOKUP($F31,Tab_Def_Processes[Name(EN)],Tab_Def_Processes[Stock?],,0,)</f>
        <v>#N/A</v>
      </c>
    </row>
    <row r="32" spans="1:13" x14ac:dyDescent="0.3">
      <c r="A32" s="84" t="b">
        <v>0</v>
      </c>
      <c r="B32" s="48">
        <f t="shared" si="0"/>
        <v>31</v>
      </c>
      <c r="C32" s="48" t="e">
        <f t="shared" si="1"/>
        <v>#N/A</v>
      </c>
      <c r="D32" s="48" t="e">
        <f>_xlfn.XLOOKUP($F32,Tab_Def_Processes[Name(EN)],Tab_Def_Processes[Process_ID],,0,)</f>
        <v>#N/A</v>
      </c>
      <c r="E32" s="48" t="e">
        <f>_xlfn.XLOOKUP(F32,Tab_Def_Processes[Name(EN)],#REF!,,0,)</f>
        <v>#REF!</v>
      </c>
      <c r="F32" s="50" t="s">
        <v>55</v>
      </c>
      <c r="G32" s="48"/>
      <c r="H32" s="48" t="e">
        <f>_xlfn.XLOOKUP(F32,Tab_Def_Processes[Name(EN)],Tab_Def_Processes[Carbon_Stock],,0,)</f>
        <v>#N/A</v>
      </c>
      <c r="I32" s="48" t="e">
        <f>_xlfn.XLOOKUP(F32,Tab_Def_Processes[Name(EN)],Tab_Def_Processes[Life_Phase],,0,)</f>
        <v>#N/A</v>
      </c>
      <c r="J32" s="48" t="e">
        <f>_xlfn.XLOOKUP(F32,Tab_Def_Processes[Name(EN)],Tab_Def_Processes[Description],,0,)</f>
        <v>#N/A</v>
      </c>
      <c r="K32" s="48" t="e">
        <f>_xlfn.XLOOKUP($F32,Tab_Def_Processes[Name(EN)],Tab_Def_Processes[Process_Type],,0,)</f>
        <v>#N/A</v>
      </c>
      <c r="L32" s="48" t="e">
        <f>_xlfn.XLOOKUP($F32,Tab_Def_Processes[Name(EN)],Tab_Def_Processes[TC?],,0,)</f>
        <v>#N/A</v>
      </c>
      <c r="M32" s="48" t="e">
        <f>_xlfn.XLOOKUP($F32,Tab_Def_Processes[Name(EN)],Tab_Def_Processes[Stock?],,0,)</f>
        <v>#N/A</v>
      </c>
    </row>
    <row r="33" spans="1:13" x14ac:dyDescent="0.3">
      <c r="A33" s="84" t="b">
        <v>0</v>
      </c>
      <c r="B33" s="48">
        <f t="shared" si="0"/>
        <v>32</v>
      </c>
      <c r="C33" s="48" t="e">
        <f t="shared" si="1"/>
        <v>#N/A</v>
      </c>
      <c r="D33" s="48" t="e">
        <f>_xlfn.XLOOKUP($F33,Tab_Def_Processes[Name(EN)],Tab_Def_Processes[Process_ID],,0,)</f>
        <v>#N/A</v>
      </c>
      <c r="E33" s="48" t="e">
        <f>_xlfn.XLOOKUP(F33,Tab_Def_Processes[Name(EN)],#REF!,,0,)</f>
        <v>#REF!</v>
      </c>
      <c r="F33" s="50" t="s">
        <v>55</v>
      </c>
      <c r="G33" s="48"/>
      <c r="H33" s="48" t="e">
        <f>_xlfn.XLOOKUP(F33,Tab_Def_Processes[Name(EN)],Tab_Def_Processes[Carbon_Stock],,0,)</f>
        <v>#N/A</v>
      </c>
      <c r="I33" s="48" t="e">
        <f>_xlfn.XLOOKUP(F33,Tab_Def_Processes[Name(EN)],Tab_Def_Processes[Life_Phase],,0,)</f>
        <v>#N/A</v>
      </c>
      <c r="J33" s="48" t="e">
        <f>_xlfn.XLOOKUP(F33,Tab_Def_Processes[Name(EN)],Tab_Def_Processes[Description],,0,)</f>
        <v>#N/A</v>
      </c>
      <c r="K33" s="48" t="e">
        <f>_xlfn.XLOOKUP($F33,Tab_Def_Processes[Name(EN)],Tab_Def_Processes[Process_Type],,0,)</f>
        <v>#N/A</v>
      </c>
      <c r="L33" s="48" t="e">
        <f>_xlfn.XLOOKUP($F33,Tab_Def_Processes[Name(EN)],Tab_Def_Processes[TC?],,0,)</f>
        <v>#N/A</v>
      </c>
      <c r="M33" s="48" t="e">
        <f>_xlfn.XLOOKUP($F33,Tab_Def_Processes[Name(EN)],Tab_Def_Processes[Stock?],,0,)</f>
        <v>#N/A</v>
      </c>
    </row>
    <row r="34" spans="1:13" x14ac:dyDescent="0.3">
      <c r="A34" s="84" t="b">
        <v>0</v>
      </c>
      <c r="B34" s="48">
        <f t="shared" ref="B34:B63" si="2">ROW()-1</f>
        <v>33</v>
      </c>
      <c r="C34" s="48" t="e">
        <f t="shared" ref="C34:C63" si="3">"D"&amp;LEFT(B34,2)&amp;"_"&amp;LEFT(D34,3)&amp;"_"&amp;LEFT(F34,3)&amp;"_"&amp;LEFT(G34,3)&amp;"_"&amp;LEFT(H34,3)</f>
        <v>#N/A</v>
      </c>
      <c r="D34" s="48" t="e">
        <f>_xlfn.XLOOKUP($F34,Tab_Def_Processes[Name(EN)],Tab_Def_Processes[Process_ID],,0,)</f>
        <v>#N/A</v>
      </c>
      <c r="E34" s="48" t="e">
        <f>_xlfn.XLOOKUP(F34,Tab_Def_Processes[Name(EN)],#REF!,,0,)</f>
        <v>#REF!</v>
      </c>
      <c r="F34" s="50" t="s">
        <v>55</v>
      </c>
      <c r="G34" s="48"/>
      <c r="H34" s="48" t="e">
        <f>_xlfn.XLOOKUP(F34,Tab_Def_Processes[Name(EN)],Tab_Def_Processes[Carbon_Stock],,0,)</f>
        <v>#N/A</v>
      </c>
      <c r="I34" s="48" t="e">
        <f>_xlfn.XLOOKUP(F34,Tab_Def_Processes[Name(EN)],Tab_Def_Processes[Life_Phase],,0,)</f>
        <v>#N/A</v>
      </c>
      <c r="J34" s="48" t="e">
        <f>_xlfn.XLOOKUP(F34,Tab_Def_Processes[Name(EN)],Tab_Def_Processes[Description],,0,)</f>
        <v>#N/A</v>
      </c>
      <c r="K34" s="48" t="e">
        <f>_xlfn.XLOOKUP($F34,Tab_Def_Processes[Name(EN)],Tab_Def_Processes[Process_Type],,0,)</f>
        <v>#N/A</v>
      </c>
      <c r="L34" s="48" t="e">
        <f>_xlfn.XLOOKUP($F34,Tab_Def_Processes[Name(EN)],Tab_Def_Processes[TC?],,0,)</f>
        <v>#N/A</v>
      </c>
      <c r="M34" s="48" t="e">
        <f>_xlfn.XLOOKUP($F34,Tab_Def_Processes[Name(EN)],Tab_Def_Processes[Stock?],,0,)</f>
        <v>#N/A</v>
      </c>
    </row>
    <row r="35" spans="1:13" x14ac:dyDescent="0.3">
      <c r="A35" s="84" t="b">
        <v>0</v>
      </c>
      <c r="B35" s="48">
        <f t="shared" si="2"/>
        <v>34</v>
      </c>
      <c r="C35" s="48" t="e">
        <f t="shared" si="3"/>
        <v>#N/A</v>
      </c>
      <c r="D35" s="48" t="e">
        <f>_xlfn.XLOOKUP($F35,Tab_Def_Processes[Name(EN)],Tab_Def_Processes[Process_ID],,0,)</f>
        <v>#N/A</v>
      </c>
      <c r="E35" s="48" t="e">
        <f>_xlfn.XLOOKUP(F35,Tab_Def_Processes[Name(EN)],#REF!,,0,)</f>
        <v>#REF!</v>
      </c>
      <c r="F35" s="50" t="s">
        <v>55</v>
      </c>
      <c r="G35" s="48"/>
      <c r="H35" s="48" t="e">
        <f>_xlfn.XLOOKUP(F35,Tab_Def_Processes[Name(EN)],Tab_Def_Processes[Carbon_Stock],,0,)</f>
        <v>#N/A</v>
      </c>
      <c r="I35" s="48" t="e">
        <f>_xlfn.XLOOKUP(F35,Tab_Def_Processes[Name(EN)],Tab_Def_Processes[Life_Phase],,0,)</f>
        <v>#N/A</v>
      </c>
      <c r="J35" s="48" t="e">
        <f>_xlfn.XLOOKUP(F35,Tab_Def_Processes[Name(EN)],Tab_Def_Processes[Description],,0,)</f>
        <v>#N/A</v>
      </c>
      <c r="K35" s="48" t="e">
        <f>_xlfn.XLOOKUP($F35,Tab_Def_Processes[Name(EN)],Tab_Def_Processes[Process_Type],,0,)</f>
        <v>#N/A</v>
      </c>
      <c r="L35" s="48" t="e">
        <f>_xlfn.XLOOKUP($F35,Tab_Def_Processes[Name(EN)],Tab_Def_Processes[TC?],,0,)</f>
        <v>#N/A</v>
      </c>
      <c r="M35" s="48" t="e">
        <f>_xlfn.XLOOKUP($F35,Tab_Def_Processes[Name(EN)],Tab_Def_Processes[Stock?],,0,)</f>
        <v>#N/A</v>
      </c>
    </row>
    <row r="36" spans="1:13" x14ac:dyDescent="0.3">
      <c r="A36" s="84" t="b">
        <v>0</v>
      </c>
      <c r="B36" s="48">
        <f t="shared" si="2"/>
        <v>35</v>
      </c>
      <c r="C36" s="48" t="e">
        <f t="shared" si="3"/>
        <v>#N/A</v>
      </c>
      <c r="D36" s="48" t="e">
        <f>_xlfn.XLOOKUP($F36,Tab_Def_Processes[Name(EN)],Tab_Def_Processes[Process_ID],,0,)</f>
        <v>#N/A</v>
      </c>
      <c r="E36" s="48" t="e">
        <f>_xlfn.XLOOKUP(F36,Tab_Def_Processes[Name(EN)],#REF!,,0,)</f>
        <v>#REF!</v>
      </c>
      <c r="F36" s="50" t="s">
        <v>55</v>
      </c>
      <c r="G36" s="48"/>
      <c r="H36" s="48" t="e">
        <f>_xlfn.XLOOKUP(F36,Tab_Def_Processes[Name(EN)],Tab_Def_Processes[Carbon_Stock],,0,)</f>
        <v>#N/A</v>
      </c>
      <c r="I36" s="48" t="e">
        <f>_xlfn.XLOOKUP(F36,Tab_Def_Processes[Name(EN)],Tab_Def_Processes[Life_Phase],,0,)</f>
        <v>#N/A</v>
      </c>
      <c r="J36" s="48" t="e">
        <f>_xlfn.XLOOKUP(F36,Tab_Def_Processes[Name(EN)],Tab_Def_Processes[Description],,0,)</f>
        <v>#N/A</v>
      </c>
      <c r="K36" s="48" t="e">
        <f>_xlfn.XLOOKUP($F36,Tab_Def_Processes[Name(EN)],Tab_Def_Processes[Process_Type],,0,)</f>
        <v>#N/A</v>
      </c>
      <c r="L36" s="48" t="e">
        <f>_xlfn.XLOOKUP($F36,Tab_Def_Processes[Name(EN)],Tab_Def_Processes[TC?],,0,)</f>
        <v>#N/A</v>
      </c>
      <c r="M36" s="48" t="e">
        <f>_xlfn.XLOOKUP($F36,Tab_Def_Processes[Name(EN)],Tab_Def_Processes[Stock?],,0,)</f>
        <v>#N/A</v>
      </c>
    </row>
    <row r="37" spans="1:13" x14ac:dyDescent="0.3">
      <c r="A37" s="84" t="b">
        <v>0</v>
      </c>
      <c r="B37" s="48">
        <f t="shared" si="2"/>
        <v>36</v>
      </c>
      <c r="C37" s="48" t="e">
        <f t="shared" si="3"/>
        <v>#N/A</v>
      </c>
      <c r="D37" s="48" t="e">
        <f>_xlfn.XLOOKUP($F37,Tab_Def_Processes[Name(EN)],Tab_Def_Processes[Process_ID],,0,)</f>
        <v>#N/A</v>
      </c>
      <c r="E37" s="48" t="e">
        <f>_xlfn.XLOOKUP(F37,Tab_Def_Processes[Name(EN)],#REF!,,0,)</f>
        <v>#REF!</v>
      </c>
      <c r="F37" s="50" t="s">
        <v>55</v>
      </c>
      <c r="G37" s="48"/>
      <c r="H37" s="48" t="e">
        <f>_xlfn.XLOOKUP(F37,Tab_Def_Processes[Name(EN)],Tab_Def_Processes[Carbon_Stock],,0,)</f>
        <v>#N/A</v>
      </c>
      <c r="I37" s="48" t="e">
        <f>_xlfn.XLOOKUP(F37,Tab_Def_Processes[Name(EN)],Tab_Def_Processes[Life_Phase],,0,)</f>
        <v>#N/A</v>
      </c>
      <c r="J37" s="48" t="e">
        <f>_xlfn.XLOOKUP(F37,Tab_Def_Processes[Name(EN)],Tab_Def_Processes[Description],,0,)</f>
        <v>#N/A</v>
      </c>
      <c r="K37" s="48" t="e">
        <f>_xlfn.XLOOKUP($F37,Tab_Def_Processes[Name(EN)],Tab_Def_Processes[Process_Type],,0,)</f>
        <v>#N/A</v>
      </c>
      <c r="L37" s="48" t="e">
        <f>_xlfn.XLOOKUP($F37,Tab_Def_Processes[Name(EN)],Tab_Def_Processes[TC?],,0,)</f>
        <v>#N/A</v>
      </c>
      <c r="M37" s="48" t="e">
        <f>_xlfn.XLOOKUP($F37,Tab_Def_Processes[Name(EN)],Tab_Def_Processes[Stock?],,0,)</f>
        <v>#N/A</v>
      </c>
    </row>
    <row r="38" spans="1:13" x14ac:dyDescent="0.3">
      <c r="A38" s="84" t="b">
        <v>0</v>
      </c>
      <c r="B38" s="48">
        <f t="shared" si="2"/>
        <v>37</v>
      </c>
      <c r="C38" s="48" t="e">
        <f t="shared" si="3"/>
        <v>#N/A</v>
      </c>
      <c r="D38" s="48" t="e">
        <f>_xlfn.XLOOKUP($F38,Tab_Def_Processes[Name(EN)],Tab_Def_Processes[Process_ID],,0,)</f>
        <v>#N/A</v>
      </c>
      <c r="E38" s="48" t="e">
        <f>_xlfn.XLOOKUP(F38,Tab_Def_Processes[Name(EN)],#REF!,,0,)</f>
        <v>#REF!</v>
      </c>
      <c r="F38" s="50" t="s">
        <v>55</v>
      </c>
      <c r="G38" s="48"/>
      <c r="H38" s="48" t="e">
        <f>_xlfn.XLOOKUP(F38,Tab_Def_Processes[Name(EN)],Tab_Def_Processes[Carbon_Stock],,0,)</f>
        <v>#N/A</v>
      </c>
      <c r="I38" s="48" t="e">
        <f>_xlfn.XLOOKUP(F38,Tab_Def_Processes[Name(EN)],Tab_Def_Processes[Life_Phase],,0,)</f>
        <v>#N/A</v>
      </c>
      <c r="J38" s="48" t="e">
        <f>_xlfn.XLOOKUP(F38,Tab_Def_Processes[Name(EN)],Tab_Def_Processes[Description],,0,)</f>
        <v>#N/A</v>
      </c>
      <c r="K38" s="48" t="e">
        <f>_xlfn.XLOOKUP($F38,Tab_Def_Processes[Name(EN)],Tab_Def_Processes[Process_Type],,0,)</f>
        <v>#N/A</v>
      </c>
      <c r="L38" s="48" t="e">
        <f>_xlfn.XLOOKUP($F38,Tab_Def_Processes[Name(EN)],Tab_Def_Processes[TC?],,0,)</f>
        <v>#N/A</v>
      </c>
      <c r="M38" s="48" t="e">
        <f>_xlfn.XLOOKUP($F38,Tab_Def_Processes[Name(EN)],Tab_Def_Processes[Stock?],,0,)</f>
        <v>#N/A</v>
      </c>
    </row>
    <row r="39" spans="1:13" x14ac:dyDescent="0.3">
      <c r="A39" s="84" t="b">
        <v>0</v>
      </c>
      <c r="B39" s="48">
        <f t="shared" si="2"/>
        <v>38</v>
      </c>
      <c r="C39" s="48" t="e">
        <f t="shared" si="3"/>
        <v>#N/A</v>
      </c>
      <c r="D39" s="48" t="e">
        <f>_xlfn.XLOOKUP($F39,Tab_Def_Processes[Name(EN)],Tab_Def_Processes[Process_ID],,0,)</f>
        <v>#N/A</v>
      </c>
      <c r="E39" s="48" t="e">
        <f>_xlfn.XLOOKUP(F39,Tab_Def_Processes[Name(EN)],#REF!,,0,)</f>
        <v>#REF!</v>
      </c>
      <c r="F39" s="50" t="s">
        <v>55</v>
      </c>
      <c r="G39" s="48"/>
      <c r="H39" s="48" t="e">
        <f>_xlfn.XLOOKUP(F39,Tab_Def_Processes[Name(EN)],Tab_Def_Processes[Carbon_Stock],,0,)</f>
        <v>#N/A</v>
      </c>
      <c r="I39" s="48" t="e">
        <f>_xlfn.XLOOKUP(F39,Tab_Def_Processes[Name(EN)],Tab_Def_Processes[Life_Phase],,0,)</f>
        <v>#N/A</v>
      </c>
      <c r="J39" s="48" t="e">
        <f>_xlfn.XLOOKUP(F39,Tab_Def_Processes[Name(EN)],Tab_Def_Processes[Description],,0,)</f>
        <v>#N/A</v>
      </c>
      <c r="K39" s="48" t="e">
        <f>_xlfn.XLOOKUP($F39,Tab_Def_Processes[Name(EN)],Tab_Def_Processes[Process_Type],,0,)</f>
        <v>#N/A</v>
      </c>
      <c r="L39" s="48" t="e">
        <f>_xlfn.XLOOKUP($F39,Tab_Def_Processes[Name(EN)],Tab_Def_Processes[TC?],,0,)</f>
        <v>#N/A</v>
      </c>
      <c r="M39" s="48" t="e">
        <f>_xlfn.XLOOKUP($F39,Tab_Def_Processes[Name(EN)],Tab_Def_Processes[Stock?],,0,)</f>
        <v>#N/A</v>
      </c>
    </row>
    <row r="40" spans="1:13" x14ac:dyDescent="0.3">
      <c r="A40" s="84" t="b">
        <v>0</v>
      </c>
      <c r="B40" s="48">
        <f t="shared" si="2"/>
        <v>39</v>
      </c>
      <c r="C40" s="48" t="e">
        <f t="shared" si="3"/>
        <v>#N/A</v>
      </c>
      <c r="D40" s="48" t="e">
        <f>_xlfn.XLOOKUP($F40,Tab_Def_Processes[Name(EN)],Tab_Def_Processes[Process_ID],,0,)</f>
        <v>#N/A</v>
      </c>
      <c r="E40" s="48" t="e">
        <f>_xlfn.XLOOKUP(F40,Tab_Def_Processes[Name(EN)],#REF!,,0,)</f>
        <v>#REF!</v>
      </c>
      <c r="F40" s="50" t="s">
        <v>55</v>
      </c>
      <c r="G40" s="48"/>
      <c r="H40" s="48" t="e">
        <f>_xlfn.XLOOKUP(F40,Tab_Def_Processes[Name(EN)],Tab_Def_Processes[Carbon_Stock],,0,)</f>
        <v>#N/A</v>
      </c>
      <c r="I40" s="48" t="e">
        <f>_xlfn.XLOOKUP(F40,Tab_Def_Processes[Name(EN)],Tab_Def_Processes[Life_Phase],,0,)</f>
        <v>#N/A</v>
      </c>
      <c r="J40" s="48" t="e">
        <f>_xlfn.XLOOKUP(F40,Tab_Def_Processes[Name(EN)],Tab_Def_Processes[Description],,0,)</f>
        <v>#N/A</v>
      </c>
      <c r="K40" s="48" t="e">
        <f>_xlfn.XLOOKUP($F40,Tab_Def_Processes[Name(EN)],Tab_Def_Processes[Process_Type],,0,)</f>
        <v>#N/A</v>
      </c>
      <c r="L40" s="48" t="e">
        <f>_xlfn.XLOOKUP($F40,Tab_Def_Processes[Name(EN)],Tab_Def_Processes[TC?],,0,)</f>
        <v>#N/A</v>
      </c>
      <c r="M40" s="48" t="e">
        <f>_xlfn.XLOOKUP($F40,Tab_Def_Processes[Name(EN)],Tab_Def_Processes[Stock?],,0,)</f>
        <v>#N/A</v>
      </c>
    </row>
    <row r="41" spans="1:13" x14ac:dyDescent="0.3">
      <c r="A41" s="84" t="b">
        <v>0</v>
      </c>
      <c r="B41" s="48">
        <f t="shared" si="2"/>
        <v>40</v>
      </c>
      <c r="C41" s="48" t="e">
        <f t="shared" si="3"/>
        <v>#N/A</v>
      </c>
      <c r="D41" s="48" t="e">
        <f>_xlfn.XLOOKUP($F41,Tab_Def_Processes[Name(EN)],Tab_Def_Processes[Process_ID],,0,)</f>
        <v>#N/A</v>
      </c>
      <c r="E41" s="48" t="e">
        <f>_xlfn.XLOOKUP(F41,Tab_Def_Processes[Name(EN)],#REF!,,0,)</f>
        <v>#REF!</v>
      </c>
      <c r="F41" s="50" t="s">
        <v>55</v>
      </c>
      <c r="G41" s="48"/>
      <c r="H41" s="48" t="e">
        <f>_xlfn.XLOOKUP(F41,Tab_Def_Processes[Name(EN)],Tab_Def_Processes[Carbon_Stock],,0,)</f>
        <v>#N/A</v>
      </c>
      <c r="I41" s="48" t="e">
        <f>_xlfn.XLOOKUP(F41,Tab_Def_Processes[Name(EN)],Tab_Def_Processes[Life_Phase],,0,)</f>
        <v>#N/A</v>
      </c>
      <c r="J41" s="48" t="e">
        <f>_xlfn.XLOOKUP(F41,Tab_Def_Processes[Name(EN)],Tab_Def_Processes[Description],,0,)</f>
        <v>#N/A</v>
      </c>
      <c r="K41" s="48" t="e">
        <f>_xlfn.XLOOKUP($F41,Tab_Def_Processes[Name(EN)],Tab_Def_Processes[Process_Type],,0,)</f>
        <v>#N/A</v>
      </c>
      <c r="L41" s="48" t="e">
        <f>_xlfn.XLOOKUP($F41,Tab_Def_Processes[Name(EN)],Tab_Def_Processes[TC?],,0,)</f>
        <v>#N/A</v>
      </c>
      <c r="M41" s="48" t="e">
        <f>_xlfn.XLOOKUP($F41,Tab_Def_Processes[Name(EN)],Tab_Def_Processes[Stock?],,0,)</f>
        <v>#N/A</v>
      </c>
    </row>
    <row r="42" spans="1:13" x14ac:dyDescent="0.3">
      <c r="A42" s="84" t="b">
        <v>0</v>
      </c>
      <c r="B42" s="48">
        <f t="shared" si="2"/>
        <v>41</v>
      </c>
      <c r="C42" s="48" t="e">
        <f t="shared" si="3"/>
        <v>#N/A</v>
      </c>
      <c r="D42" s="48" t="e">
        <f>_xlfn.XLOOKUP($F42,Tab_Def_Processes[Name(EN)],Tab_Def_Processes[Process_ID],,0,)</f>
        <v>#N/A</v>
      </c>
      <c r="E42" s="48" t="e">
        <f>_xlfn.XLOOKUP(F42,Tab_Def_Processes[Name(EN)],#REF!,,0,)</f>
        <v>#REF!</v>
      </c>
      <c r="F42" s="50" t="s">
        <v>55</v>
      </c>
      <c r="G42" s="48"/>
      <c r="H42" s="48" t="e">
        <f>_xlfn.XLOOKUP(F42,Tab_Def_Processes[Name(EN)],Tab_Def_Processes[Carbon_Stock],,0,)</f>
        <v>#N/A</v>
      </c>
      <c r="I42" s="48" t="e">
        <f>_xlfn.XLOOKUP(F42,Tab_Def_Processes[Name(EN)],Tab_Def_Processes[Life_Phase],,0,)</f>
        <v>#N/A</v>
      </c>
      <c r="J42" s="48" t="e">
        <f>_xlfn.XLOOKUP(F42,Tab_Def_Processes[Name(EN)],Tab_Def_Processes[Description],,0,)</f>
        <v>#N/A</v>
      </c>
      <c r="K42" s="48" t="e">
        <f>_xlfn.XLOOKUP($F42,Tab_Def_Processes[Name(EN)],Tab_Def_Processes[Process_Type],,0,)</f>
        <v>#N/A</v>
      </c>
      <c r="L42" s="48" t="e">
        <f>_xlfn.XLOOKUP($F42,Tab_Def_Processes[Name(EN)],Tab_Def_Processes[TC?],,0,)</f>
        <v>#N/A</v>
      </c>
      <c r="M42" s="48" t="e">
        <f>_xlfn.XLOOKUP($F42,Tab_Def_Processes[Name(EN)],Tab_Def_Processes[Stock?],,0,)</f>
        <v>#N/A</v>
      </c>
    </row>
    <row r="43" spans="1:13" x14ac:dyDescent="0.3">
      <c r="A43" s="84" t="b">
        <v>0</v>
      </c>
      <c r="B43" s="48">
        <f t="shared" si="2"/>
        <v>42</v>
      </c>
      <c r="C43" s="48" t="e">
        <f t="shared" si="3"/>
        <v>#N/A</v>
      </c>
      <c r="D43" s="48" t="e">
        <f>_xlfn.XLOOKUP($F43,Tab_Def_Processes[Name(EN)],Tab_Def_Processes[Process_ID],,0,)</f>
        <v>#N/A</v>
      </c>
      <c r="E43" s="48" t="e">
        <f>_xlfn.XLOOKUP(F43,Tab_Def_Processes[Name(EN)],#REF!,,0,)</f>
        <v>#REF!</v>
      </c>
      <c r="F43" s="50" t="s">
        <v>55</v>
      </c>
      <c r="G43" s="48"/>
      <c r="H43" s="48" t="e">
        <f>_xlfn.XLOOKUP(F43,Tab_Def_Processes[Name(EN)],Tab_Def_Processes[Carbon_Stock],,0,)</f>
        <v>#N/A</v>
      </c>
      <c r="I43" s="48" t="e">
        <f>_xlfn.XLOOKUP(F43,Tab_Def_Processes[Name(EN)],Tab_Def_Processes[Life_Phase],,0,)</f>
        <v>#N/A</v>
      </c>
      <c r="J43" s="48" t="e">
        <f>_xlfn.XLOOKUP(F43,Tab_Def_Processes[Name(EN)],Tab_Def_Processes[Description],,0,)</f>
        <v>#N/A</v>
      </c>
      <c r="K43" s="48" t="e">
        <f>_xlfn.XLOOKUP($F43,Tab_Def_Processes[Name(EN)],Tab_Def_Processes[Process_Type],,0,)</f>
        <v>#N/A</v>
      </c>
      <c r="L43" s="48" t="e">
        <f>_xlfn.XLOOKUP($F43,Tab_Def_Processes[Name(EN)],Tab_Def_Processes[TC?],,0,)</f>
        <v>#N/A</v>
      </c>
      <c r="M43" s="48" t="e">
        <f>_xlfn.XLOOKUP($F43,Tab_Def_Processes[Name(EN)],Tab_Def_Processes[Stock?],,0,)</f>
        <v>#N/A</v>
      </c>
    </row>
    <row r="44" spans="1:13" x14ac:dyDescent="0.3">
      <c r="A44" s="84" t="b">
        <v>0</v>
      </c>
      <c r="B44" s="48">
        <f t="shared" si="2"/>
        <v>43</v>
      </c>
      <c r="C44" s="48" t="e">
        <f t="shared" si="3"/>
        <v>#N/A</v>
      </c>
      <c r="D44" s="48" t="e">
        <f>_xlfn.XLOOKUP($F44,Tab_Def_Processes[Name(EN)],Tab_Def_Processes[Process_ID],,0,)</f>
        <v>#N/A</v>
      </c>
      <c r="E44" s="48" t="e">
        <f>_xlfn.XLOOKUP(F44,Tab_Def_Processes[Name(EN)],#REF!,,0,)</f>
        <v>#REF!</v>
      </c>
      <c r="F44" s="50" t="s">
        <v>55</v>
      </c>
      <c r="G44" s="48"/>
      <c r="H44" s="48" t="e">
        <f>_xlfn.XLOOKUP(F44,Tab_Def_Processes[Name(EN)],Tab_Def_Processes[Carbon_Stock],,0,)</f>
        <v>#N/A</v>
      </c>
      <c r="I44" s="48" t="e">
        <f>_xlfn.XLOOKUP(F44,Tab_Def_Processes[Name(EN)],Tab_Def_Processes[Life_Phase],,0,)</f>
        <v>#N/A</v>
      </c>
      <c r="J44" s="48" t="e">
        <f>_xlfn.XLOOKUP(F44,Tab_Def_Processes[Name(EN)],Tab_Def_Processes[Description],,0,)</f>
        <v>#N/A</v>
      </c>
      <c r="K44" s="48" t="e">
        <f>_xlfn.XLOOKUP($F44,Tab_Def_Processes[Name(EN)],Tab_Def_Processes[Process_Type],,0,)</f>
        <v>#N/A</v>
      </c>
      <c r="L44" s="48" t="e">
        <f>_xlfn.XLOOKUP($F44,Tab_Def_Processes[Name(EN)],Tab_Def_Processes[TC?],,0,)</f>
        <v>#N/A</v>
      </c>
      <c r="M44" s="48" t="e">
        <f>_xlfn.XLOOKUP($F44,Tab_Def_Processes[Name(EN)],Tab_Def_Processes[Stock?],,0,)</f>
        <v>#N/A</v>
      </c>
    </row>
    <row r="45" spans="1:13" x14ac:dyDescent="0.3">
      <c r="A45" s="84" t="b">
        <v>0</v>
      </c>
      <c r="B45" s="48">
        <f t="shared" si="2"/>
        <v>44</v>
      </c>
      <c r="C45" s="48" t="e">
        <f t="shared" si="3"/>
        <v>#N/A</v>
      </c>
      <c r="D45" s="48" t="e">
        <f>_xlfn.XLOOKUP($F45,Tab_Def_Processes[Name(EN)],Tab_Def_Processes[Process_ID],,0,)</f>
        <v>#N/A</v>
      </c>
      <c r="E45" s="48" t="e">
        <f>_xlfn.XLOOKUP(F45,Tab_Def_Processes[Name(EN)],#REF!,,0,)</f>
        <v>#REF!</v>
      </c>
      <c r="F45" s="50" t="s">
        <v>55</v>
      </c>
      <c r="G45" s="48"/>
      <c r="H45" s="48" t="e">
        <f>_xlfn.XLOOKUP(F45,Tab_Def_Processes[Name(EN)],Tab_Def_Processes[Carbon_Stock],,0,)</f>
        <v>#N/A</v>
      </c>
      <c r="I45" s="48" t="e">
        <f>_xlfn.XLOOKUP(F45,Tab_Def_Processes[Name(EN)],Tab_Def_Processes[Life_Phase],,0,)</f>
        <v>#N/A</v>
      </c>
      <c r="J45" s="48" t="e">
        <f>_xlfn.XLOOKUP(F45,Tab_Def_Processes[Name(EN)],Tab_Def_Processes[Description],,0,)</f>
        <v>#N/A</v>
      </c>
      <c r="K45" s="48" t="e">
        <f>_xlfn.XLOOKUP($F45,Tab_Def_Processes[Name(EN)],Tab_Def_Processes[Process_Type],,0,)</f>
        <v>#N/A</v>
      </c>
      <c r="L45" s="48" t="e">
        <f>_xlfn.XLOOKUP($F45,Tab_Def_Processes[Name(EN)],Tab_Def_Processes[TC?],,0,)</f>
        <v>#N/A</v>
      </c>
      <c r="M45" s="48" t="e">
        <f>_xlfn.XLOOKUP($F45,Tab_Def_Processes[Name(EN)],Tab_Def_Processes[Stock?],,0,)</f>
        <v>#N/A</v>
      </c>
    </row>
    <row r="46" spans="1:13" x14ac:dyDescent="0.3">
      <c r="A46" s="84" t="b">
        <v>0</v>
      </c>
      <c r="B46" s="48">
        <f t="shared" si="2"/>
        <v>45</v>
      </c>
      <c r="C46" s="48" t="e">
        <f t="shared" si="3"/>
        <v>#N/A</v>
      </c>
      <c r="D46" s="48" t="e">
        <f>_xlfn.XLOOKUP($F46,Tab_Def_Processes[Name(EN)],Tab_Def_Processes[Process_ID],,0,)</f>
        <v>#N/A</v>
      </c>
      <c r="E46" s="48" t="e">
        <f>_xlfn.XLOOKUP(F46,Tab_Def_Processes[Name(EN)],#REF!,,0,)</f>
        <v>#REF!</v>
      </c>
      <c r="F46" s="50" t="s">
        <v>55</v>
      </c>
      <c r="G46" s="48"/>
      <c r="H46" s="48" t="e">
        <f>_xlfn.XLOOKUP(F46,Tab_Def_Processes[Name(EN)],Tab_Def_Processes[Carbon_Stock],,0,)</f>
        <v>#N/A</v>
      </c>
      <c r="I46" s="48" t="e">
        <f>_xlfn.XLOOKUP(F46,Tab_Def_Processes[Name(EN)],Tab_Def_Processes[Life_Phase],,0,)</f>
        <v>#N/A</v>
      </c>
      <c r="J46" s="48" t="e">
        <f>_xlfn.XLOOKUP(F46,Tab_Def_Processes[Name(EN)],Tab_Def_Processes[Description],,0,)</f>
        <v>#N/A</v>
      </c>
      <c r="K46" s="48" t="e">
        <f>_xlfn.XLOOKUP($F46,Tab_Def_Processes[Name(EN)],Tab_Def_Processes[Process_Type],,0,)</f>
        <v>#N/A</v>
      </c>
      <c r="L46" s="48" t="e">
        <f>_xlfn.XLOOKUP($F46,Tab_Def_Processes[Name(EN)],Tab_Def_Processes[TC?],,0,)</f>
        <v>#N/A</v>
      </c>
      <c r="M46" s="48" t="e">
        <f>_xlfn.XLOOKUP($F46,Tab_Def_Processes[Name(EN)],Tab_Def_Processes[Stock?],,0,)</f>
        <v>#N/A</v>
      </c>
    </row>
    <row r="47" spans="1:13" x14ac:dyDescent="0.3">
      <c r="A47" s="84" t="b">
        <v>0</v>
      </c>
      <c r="B47" s="48">
        <f t="shared" si="2"/>
        <v>46</v>
      </c>
      <c r="C47" s="48" t="e">
        <f t="shared" si="3"/>
        <v>#N/A</v>
      </c>
      <c r="D47" s="48" t="e">
        <f>_xlfn.XLOOKUP($F47,Tab_Def_Processes[Name(EN)],Tab_Def_Processes[Process_ID],,0,)</f>
        <v>#N/A</v>
      </c>
      <c r="E47" s="48" t="e">
        <f>_xlfn.XLOOKUP(F47,Tab_Def_Processes[Name(EN)],#REF!,,0,)</f>
        <v>#REF!</v>
      </c>
      <c r="F47" s="50" t="s">
        <v>55</v>
      </c>
      <c r="G47" s="48"/>
      <c r="H47" s="48" t="e">
        <f>_xlfn.XLOOKUP(F47,Tab_Def_Processes[Name(EN)],Tab_Def_Processes[Carbon_Stock],,0,)</f>
        <v>#N/A</v>
      </c>
      <c r="I47" s="48" t="e">
        <f>_xlfn.XLOOKUP(F47,Tab_Def_Processes[Name(EN)],Tab_Def_Processes[Life_Phase],,0,)</f>
        <v>#N/A</v>
      </c>
      <c r="J47" s="48" t="e">
        <f>_xlfn.XLOOKUP(F47,Tab_Def_Processes[Name(EN)],Tab_Def_Processes[Description],,0,)</f>
        <v>#N/A</v>
      </c>
      <c r="K47" s="48" t="e">
        <f>_xlfn.XLOOKUP($F47,Tab_Def_Processes[Name(EN)],Tab_Def_Processes[Process_Type],,0,)</f>
        <v>#N/A</v>
      </c>
      <c r="L47" s="48" t="e">
        <f>_xlfn.XLOOKUP($F47,Tab_Def_Processes[Name(EN)],Tab_Def_Processes[TC?],,0,)</f>
        <v>#N/A</v>
      </c>
      <c r="M47" s="48" t="e">
        <f>_xlfn.XLOOKUP($F47,Tab_Def_Processes[Name(EN)],Tab_Def_Processes[Stock?],,0,)</f>
        <v>#N/A</v>
      </c>
    </row>
    <row r="48" spans="1:13" x14ac:dyDescent="0.3">
      <c r="A48" s="84" t="b">
        <v>0</v>
      </c>
      <c r="B48" s="48">
        <f t="shared" si="2"/>
        <v>47</v>
      </c>
      <c r="C48" s="48" t="e">
        <f t="shared" si="3"/>
        <v>#N/A</v>
      </c>
      <c r="D48" s="48" t="e">
        <f>_xlfn.XLOOKUP($F48,Tab_Def_Processes[Name(EN)],Tab_Def_Processes[Process_ID],,0,)</f>
        <v>#N/A</v>
      </c>
      <c r="E48" s="48" t="e">
        <f>_xlfn.XLOOKUP(F48,Tab_Def_Processes[Name(EN)],#REF!,,0,)</f>
        <v>#REF!</v>
      </c>
      <c r="F48" s="50" t="s">
        <v>55</v>
      </c>
      <c r="G48" s="48"/>
      <c r="H48" s="48" t="e">
        <f>_xlfn.XLOOKUP(F48,Tab_Def_Processes[Name(EN)],Tab_Def_Processes[Carbon_Stock],,0,)</f>
        <v>#N/A</v>
      </c>
      <c r="I48" s="48" t="e">
        <f>_xlfn.XLOOKUP(F48,Tab_Def_Processes[Name(EN)],Tab_Def_Processes[Life_Phase],,0,)</f>
        <v>#N/A</v>
      </c>
      <c r="J48" s="48" t="e">
        <f>_xlfn.XLOOKUP(F48,Tab_Def_Processes[Name(EN)],Tab_Def_Processes[Description],,0,)</f>
        <v>#N/A</v>
      </c>
      <c r="K48" s="48" t="e">
        <f>_xlfn.XLOOKUP($F48,Tab_Def_Processes[Name(EN)],Tab_Def_Processes[Process_Type],,0,)</f>
        <v>#N/A</v>
      </c>
      <c r="L48" s="48" t="e">
        <f>_xlfn.XLOOKUP($F48,Tab_Def_Processes[Name(EN)],Tab_Def_Processes[TC?],,0,)</f>
        <v>#N/A</v>
      </c>
      <c r="M48" s="48" t="e">
        <f>_xlfn.XLOOKUP($F48,Tab_Def_Processes[Name(EN)],Tab_Def_Processes[Stock?],,0,)</f>
        <v>#N/A</v>
      </c>
    </row>
    <row r="49" spans="1:13" x14ac:dyDescent="0.3">
      <c r="A49" s="84" t="b">
        <v>0</v>
      </c>
      <c r="B49" s="48">
        <f t="shared" si="2"/>
        <v>48</v>
      </c>
      <c r="C49" s="48" t="e">
        <f t="shared" si="3"/>
        <v>#N/A</v>
      </c>
      <c r="D49" s="48" t="e">
        <f>_xlfn.XLOOKUP($F49,Tab_Def_Processes[Name(EN)],Tab_Def_Processes[Process_ID],,0,)</f>
        <v>#N/A</v>
      </c>
      <c r="E49" s="48" t="e">
        <f>_xlfn.XLOOKUP(F49,Tab_Def_Processes[Name(EN)],#REF!,,0,)</f>
        <v>#REF!</v>
      </c>
      <c r="F49" s="50" t="s">
        <v>55</v>
      </c>
      <c r="G49" s="48"/>
      <c r="H49" s="48" t="e">
        <f>_xlfn.XLOOKUP(F49,Tab_Def_Processes[Name(EN)],Tab_Def_Processes[Carbon_Stock],,0,)</f>
        <v>#N/A</v>
      </c>
      <c r="I49" s="48" t="e">
        <f>_xlfn.XLOOKUP(F49,Tab_Def_Processes[Name(EN)],Tab_Def_Processes[Life_Phase],,0,)</f>
        <v>#N/A</v>
      </c>
      <c r="J49" s="48" t="e">
        <f>_xlfn.XLOOKUP(F49,Tab_Def_Processes[Name(EN)],Tab_Def_Processes[Description],,0,)</f>
        <v>#N/A</v>
      </c>
      <c r="K49" s="48" t="e">
        <f>_xlfn.XLOOKUP($F49,Tab_Def_Processes[Name(EN)],Tab_Def_Processes[Process_Type],,0,)</f>
        <v>#N/A</v>
      </c>
      <c r="L49" s="48" t="e">
        <f>_xlfn.XLOOKUP($F49,Tab_Def_Processes[Name(EN)],Tab_Def_Processes[TC?],,0,)</f>
        <v>#N/A</v>
      </c>
      <c r="M49" s="48" t="e">
        <f>_xlfn.XLOOKUP($F49,Tab_Def_Processes[Name(EN)],Tab_Def_Processes[Stock?],,0,)</f>
        <v>#N/A</v>
      </c>
    </row>
    <row r="50" spans="1:13" x14ac:dyDescent="0.3">
      <c r="A50" s="84" t="b">
        <v>0</v>
      </c>
      <c r="B50" s="48">
        <f t="shared" si="2"/>
        <v>49</v>
      </c>
      <c r="C50" s="48" t="e">
        <f t="shared" si="3"/>
        <v>#N/A</v>
      </c>
      <c r="D50" s="48" t="e">
        <f>_xlfn.XLOOKUP($F50,Tab_Def_Processes[Name(EN)],Tab_Def_Processes[Process_ID],,0,)</f>
        <v>#N/A</v>
      </c>
      <c r="E50" s="48" t="e">
        <f>_xlfn.XLOOKUP(F50,Tab_Def_Processes[Name(EN)],#REF!,,0,)</f>
        <v>#REF!</v>
      </c>
      <c r="F50" s="50" t="s">
        <v>55</v>
      </c>
      <c r="G50" s="48"/>
      <c r="H50" s="48" t="e">
        <f>_xlfn.XLOOKUP(F50,Tab_Def_Processes[Name(EN)],Tab_Def_Processes[Carbon_Stock],,0,)</f>
        <v>#N/A</v>
      </c>
      <c r="I50" s="48" t="e">
        <f>_xlfn.XLOOKUP(F50,Tab_Def_Processes[Name(EN)],Tab_Def_Processes[Life_Phase],,0,)</f>
        <v>#N/A</v>
      </c>
      <c r="J50" s="48" t="e">
        <f>_xlfn.XLOOKUP(F50,Tab_Def_Processes[Name(EN)],Tab_Def_Processes[Description],,0,)</f>
        <v>#N/A</v>
      </c>
      <c r="K50" s="48" t="e">
        <f>_xlfn.XLOOKUP($F50,Tab_Def_Processes[Name(EN)],Tab_Def_Processes[Process_Type],,0,)</f>
        <v>#N/A</v>
      </c>
      <c r="L50" s="48" t="e">
        <f>_xlfn.XLOOKUP($F50,Tab_Def_Processes[Name(EN)],Tab_Def_Processes[TC?],,0,)</f>
        <v>#N/A</v>
      </c>
      <c r="M50" s="48" t="e">
        <f>_xlfn.XLOOKUP($F50,Tab_Def_Processes[Name(EN)],Tab_Def_Processes[Stock?],,0,)</f>
        <v>#N/A</v>
      </c>
    </row>
    <row r="51" spans="1:13" x14ac:dyDescent="0.3">
      <c r="A51" s="84" t="b">
        <v>0</v>
      </c>
      <c r="B51" s="48">
        <f t="shared" si="2"/>
        <v>50</v>
      </c>
      <c r="C51" s="48" t="e">
        <f t="shared" si="3"/>
        <v>#N/A</v>
      </c>
      <c r="D51" s="48" t="e">
        <f>_xlfn.XLOOKUP($F51,Tab_Def_Processes[Name(EN)],Tab_Def_Processes[Process_ID],,0,)</f>
        <v>#N/A</v>
      </c>
      <c r="E51" s="48" t="e">
        <f>_xlfn.XLOOKUP(F51,Tab_Def_Processes[Name(EN)],#REF!,,0,)</f>
        <v>#REF!</v>
      </c>
      <c r="F51" s="50" t="s">
        <v>55</v>
      </c>
      <c r="G51" s="48"/>
      <c r="H51" s="48" t="e">
        <f>_xlfn.XLOOKUP(F51,Tab_Def_Processes[Name(EN)],Tab_Def_Processes[Carbon_Stock],,0,)</f>
        <v>#N/A</v>
      </c>
      <c r="I51" s="48" t="e">
        <f>_xlfn.XLOOKUP(F51,Tab_Def_Processes[Name(EN)],Tab_Def_Processes[Life_Phase],,0,)</f>
        <v>#N/A</v>
      </c>
      <c r="J51" s="48" t="e">
        <f>_xlfn.XLOOKUP(F51,Tab_Def_Processes[Name(EN)],Tab_Def_Processes[Description],,0,)</f>
        <v>#N/A</v>
      </c>
      <c r="K51" s="48" t="e">
        <f>_xlfn.XLOOKUP($F51,Tab_Def_Processes[Name(EN)],Tab_Def_Processes[Process_Type],,0,)</f>
        <v>#N/A</v>
      </c>
      <c r="L51" s="48" t="e">
        <f>_xlfn.XLOOKUP($F51,Tab_Def_Processes[Name(EN)],Tab_Def_Processes[TC?],,0,)</f>
        <v>#N/A</v>
      </c>
      <c r="M51" s="48" t="e">
        <f>_xlfn.XLOOKUP($F51,Tab_Def_Processes[Name(EN)],Tab_Def_Processes[Stock?],,0,)</f>
        <v>#N/A</v>
      </c>
    </row>
    <row r="52" spans="1:13" x14ac:dyDescent="0.3">
      <c r="A52" s="84" t="b">
        <v>0</v>
      </c>
      <c r="B52" s="48">
        <f t="shared" si="2"/>
        <v>51</v>
      </c>
      <c r="C52" s="48" t="e">
        <f t="shared" si="3"/>
        <v>#N/A</v>
      </c>
      <c r="D52" s="48" t="e">
        <f>_xlfn.XLOOKUP($F52,Tab_Def_Processes[Name(EN)],Tab_Def_Processes[Process_ID],,0,)</f>
        <v>#N/A</v>
      </c>
      <c r="E52" s="48" t="e">
        <f>_xlfn.XLOOKUP(F52,Tab_Def_Processes[Name(EN)],#REF!,,0,)</f>
        <v>#REF!</v>
      </c>
      <c r="F52" s="50"/>
      <c r="G52" s="48"/>
      <c r="H52" s="48" t="e">
        <f>_xlfn.XLOOKUP(F52,Tab_Def_Processes[Name(EN)],Tab_Def_Processes[Carbon_Stock],,0,)</f>
        <v>#N/A</v>
      </c>
      <c r="I52" s="48" t="e">
        <f>_xlfn.XLOOKUP(F52,Tab_Def_Processes[Name(EN)],Tab_Def_Processes[Life_Phase],,0,)</f>
        <v>#N/A</v>
      </c>
      <c r="J52" s="48" t="e">
        <f>_xlfn.XLOOKUP(F52,Tab_Def_Processes[Name(EN)],Tab_Def_Processes[Description],,0,)</f>
        <v>#N/A</v>
      </c>
      <c r="K52" s="48" t="e">
        <f>_xlfn.XLOOKUP($F52,Tab_Def_Processes[Name(EN)],Tab_Def_Processes[Process_Type],,0,)</f>
        <v>#N/A</v>
      </c>
      <c r="L52" s="48" t="e">
        <f>_xlfn.XLOOKUP($F52,Tab_Def_Processes[Name(EN)],Tab_Def_Processes[TC?],,0,)</f>
        <v>#N/A</v>
      </c>
      <c r="M52" s="48" t="e">
        <f>_xlfn.XLOOKUP($F52,Tab_Def_Processes[Name(EN)],Tab_Def_Processes[Stock?],,0,)</f>
        <v>#N/A</v>
      </c>
    </row>
    <row r="53" spans="1:13" x14ac:dyDescent="0.3">
      <c r="A53" s="84" t="b">
        <v>0</v>
      </c>
      <c r="B53" s="48">
        <f t="shared" si="2"/>
        <v>52</v>
      </c>
      <c r="C53" s="48" t="e">
        <f t="shared" si="3"/>
        <v>#N/A</v>
      </c>
      <c r="D53" s="48" t="e">
        <f>_xlfn.XLOOKUP($F53,Tab_Def_Processes[Name(EN)],Tab_Def_Processes[Process_ID],,0,)</f>
        <v>#N/A</v>
      </c>
      <c r="E53" s="48" t="e">
        <f>_xlfn.XLOOKUP(F53,Tab_Def_Processes[Name(EN)],#REF!,,0,)</f>
        <v>#REF!</v>
      </c>
      <c r="F53" s="50"/>
      <c r="G53" s="48"/>
      <c r="H53" s="48" t="e">
        <f>_xlfn.XLOOKUP(F53,Tab_Def_Processes[Name(EN)],Tab_Def_Processes[Carbon_Stock],,0,)</f>
        <v>#N/A</v>
      </c>
      <c r="I53" s="48" t="e">
        <f>_xlfn.XLOOKUP(F53,Tab_Def_Processes[Name(EN)],Tab_Def_Processes[Life_Phase],,0,)</f>
        <v>#N/A</v>
      </c>
      <c r="J53" s="48" t="e">
        <f>_xlfn.XLOOKUP(F53,Tab_Def_Processes[Name(EN)],Tab_Def_Processes[Description],,0,)</f>
        <v>#N/A</v>
      </c>
      <c r="K53" s="48" t="e">
        <f>_xlfn.XLOOKUP($F53,Tab_Def_Processes[Name(EN)],Tab_Def_Processes[Process_Type],,0,)</f>
        <v>#N/A</v>
      </c>
      <c r="L53" s="48" t="e">
        <f>_xlfn.XLOOKUP($F53,Tab_Def_Processes[Name(EN)],Tab_Def_Processes[TC?],,0,)</f>
        <v>#N/A</v>
      </c>
      <c r="M53" s="48" t="e">
        <f>_xlfn.XLOOKUP($F53,Tab_Def_Processes[Name(EN)],Tab_Def_Processes[Stock?],,0,)</f>
        <v>#N/A</v>
      </c>
    </row>
    <row r="54" spans="1:13" x14ac:dyDescent="0.3">
      <c r="A54" s="84" t="b">
        <v>0</v>
      </c>
      <c r="B54" s="48">
        <f t="shared" si="2"/>
        <v>53</v>
      </c>
      <c r="C54" s="48" t="e">
        <f t="shared" si="3"/>
        <v>#N/A</v>
      </c>
      <c r="D54" s="48" t="e">
        <f>_xlfn.XLOOKUP($F54,Tab_Def_Processes[Name(EN)],Tab_Def_Processes[Process_ID],,0,)</f>
        <v>#N/A</v>
      </c>
      <c r="E54" s="48" t="e">
        <f>_xlfn.XLOOKUP(F54,Tab_Def_Processes[Name(EN)],#REF!,,0,)</f>
        <v>#REF!</v>
      </c>
      <c r="F54" s="50"/>
      <c r="G54" s="48"/>
      <c r="H54" s="48" t="e">
        <f>_xlfn.XLOOKUP(F54,Tab_Def_Processes[Name(EN)],Tab_Def_Processes[Carbon_Stock],,0,)</f>
        <v>#N/A</v>
      </c>
      <c r="I54" s="48" t="e">
        <f>_xlfn.XLOOKUP(F54,Tab_Def_Processes[Name(EN)],Tab_Def_Processes[Life_Phase],,0,)</f>
        <v>#N/A</v>
      </c>
      <c r="J54" s="48" t="e">
        <f>_xlfn.XLOOKUP(F54,Tab_Def_Processes[Name(EN)],Tab_Def_Processes[Description],,0,)</f>
        <v>#N/A</v>
      </c>
      <c r="K54" s="48" t="e">
        <f>_xlfn.XLOOKUP($F54,Tab_Def_Processes[Name(EN)],Tab_Def_Processes[Process_Type],,0,)</f>
        <v>#N/A</v>
      </c>
      <c r="L54" s="48" t="e">
        <f>_xlfn.XLOOKUP($F54,Tab_Def_Processes[Name(EN)],Tab_Def_Processes[TC?],,0,)</f>
        <v>#N/A</v>
      </c>
      <c r="M54" s="48" t="e">
        <f>_xlfn.XLOOKUP($F54,Tab_Def_Processes[Name(EN)],Tab_Def_Processes[Stock?],,0,)</f>
        <v>#N/A</v>
      </c>
    </row>
    <row r="55" spans="1:13" x14ac:dyDescent="0.3">
      <c r="A55" s="84" t="b">
        <v>0</v>
      </c>
      <c r="B55" s="48">
        <f t="shared" si="2"/>
        <v>54</v>
      </c>
      <c r="C55" s="48" t="e">
        <f t="shared" si="3"/>
        <v>#N/A</v>
      </c>
      <c r="D55" s="48" t="e">
        <f>_xlfn.XLOOKUP($F55,Tab_Def_Processes[Name(EN)],Tab_Def_Processes[Process_ID],,0,)</f>
        <v>#N/A</v>
      </c>
      <c r="E55" s="48" t="e">
        <f>_xlfn.XLOOKUP(F55,Tab_Def_Processes[Name(EN)],#REF!,,0,)</f>
        <v>#REF!</v>
      </c>
      <c r="F55" s="50"/>
      <c r="G55" s="48"/>
      <c r="H55" s="48" t="e">
        <f>_xlfn.XLOOKUP(F55,Tab_Def_Processes[Name(EN)],Tab_Def_Processes[Carbon_Stock],,0,)</f>
        <v>#N/A</v>
      </c>
      <c r="I55" s="48" t="e">
        <f>_xlfn.XLOOKUP(F55,Tab_Def_Processes[Name(EN)],Tab_Def_Processes[Life_Phase],,0,)</f>
        <v>#N/A</v>
      </c>
      <c r="J55" s="48" t="e">
        <f>_xlfn.XLOOKUP(F55,Tab_Def_Processes[Name(EN)],Tab_Def_Processes[Description],,0,)</f>
        <v>#N/A</v>
      </c>
      <c r="K55" s="48" t="e">
        <f>_xlfn.XLOOKUP($F55,Tab_Def_Processes[Name(EN)],Tab_Def_Processes[Process_Type],,0,)</f>
        <v>#N/A</v>
      </c>
      <c r="L55" s="48" t="e">
        <f>_xlfn.XLOOKUP($F55,Tab_Def_Processes[Name(EN)],Tab_Def_Processes[TC?],,0,)</f>
        <v>#N/A</v>
      </c>
      <c r="M55" s="48" t="e">
        <f>_xlfn.XLOOKUP($F55,Tab_Def_Processes[Name(EN)],Tab_Def_Processes[Stock?],,0,)</f>
        <v>#N/A</v>
      </c>
    </row>
    <row r="56" spans="1:13" x14ac:dyDescent="0.3">
      <c r="A56" s="84" t="b">
        <v>0</v>
      </c>
      <c r="B56" s="48">
        <f t="shared" si="2"/>
        <v>55</v>
      </c>
      <c r="C56" s="48" t="e">
        <f t="shared" si="3"/>
        <v>#N/A</v>
      </c>
      <c r="D56" s="48" t="e">
        <f>_xlfn.XLOOKUP($F56,Tab_Def_Processes[Name(EN)],Tab_Def_Processes[Process_ID],,0,)</f>
        <v>#N/A</v>
      </c>
      <c r="E56" s="48" t="e">
        <f>_xlfn.XLOOKUP(F56,Tab_Def_Processes[Name(EN)],#REF!,,0,)</f>
        <v>#REF!</v>
      </c>
      <c r="F56" s="50"/>
      <c r="G56" s="48"/>
      <c r="H56" s="48" t="e">
        <f>_xlfn.XLOOKUP(F56,Tab_Def_Processes[Name(EN)],Tab_Def_Processes[Carbon_Stock],,0,)</f>
        <v>#N/A</v>
      </c>
      <c r="I56" s="48" t="e">
        <f>_xlfn.XLOOKUP(F56,Tab_Def_Processes[Name(EN)],Tab_Def_Processes[Life_Phase],,0,)</f>
        <v>#N/A</v>
      </c>
      <c r="J56" s="48" t="e">
        <f>_xlfn.XLOOKUP(F56,Tab_Def_Processes[Name(EN)],Tab_Def_Processes[Description],,0,)</f>
        <v>#N/A</v>
      </c>
      <c r="K56" s="48" t="e">
        <f>_xlfn.XLOOKUP($F56,Tab_Def_Processes[Name(EN)],Tab_Def_Processes[Process_Type],,0,)</f>
        <v>#N/A</v>
      </c>
      <c r="L56" s="48" t="e">
        <f>_xlfn.XLOOKUP($F56,Tab_Def_Processes[Name(EN)],Tab_Def_Processes[TC?],,0,)</f>
        <v>#N/A</v>
      </c>
      <c r="M56" s="48" t="e">
        <f>_xlfn.XLOOKUP($F56,Tab_Def_Processes[Name(EN)],Tab_Def_Processes[Stock?],,0,)</f>
        <v>#N/A</v>
      </c>
    </row>
    <row r="57" spans="1:13" x14ac:dyDescent="0.3">
      <c r="A57" s="84" t="b">
        <v>0</v>
      </c>
      <c r="B57" s="48">
        <f t="shared" si="2"/>
        <v>56</v>
      </c>
      <c r="C57" s="48" t="e">
        <f t="shared" si="3"/>
        <v>#N/A</v>
      </c>
      <c r="D57" s="48" t="e">
        <f>_xlfn.XLOOKUP($F57,Tab_Def_Processes[Name(EN)],Tab_Def_Processes[Process_ID],,0,)</f>
        <v>#N/A</v>
      </c>
      <c r="E57" s="48" t="e">
        <f>_xlfn.XLOOKUP(F57,Tab_Def_Processes[Name(EN)],#REF!,,0,)</f>
        <v>#REF!</v>
      </c>
      <c r="F57" s="50"/>
      <c r="G57" s="48"/>
      <c r="H57" s="48" t="e">
        <f>_xlfn.XLOOKUP(F57,Tab_Def_Processes[Name(EN)],Tab_Def_Processes[Carbon_Stock],,0,)</f>
        <v>#N/A</v>
      </c>
      <c r="I57" s="48" t="e">
        <f>_xlfn.XLOOKUP(F57,Tab_Def_Processes[Name(EN)],Tab_Def_Processes[Life_Phase],,0,)</f>
        <v>#N/A</v>
      </c>
      <c r="J57" s="48" t="e">
        <f>_xlfn.XLOOKUP(F57,Tab_Def_Processes[Name(EN)],Tab_Def_Processes[Description],,0,)</f>
        <v>#N/A</v>
      </c>
      <c r="K57" s="48" t="e">
        <f>_xlfn.XLOOKUP($F57,Tab_Def_Processes[Name(EN)],Tab_Def_Processes[Process_Type],,0,)</f>
        <v>#N/A</v>
      </c>
      <c r="L57" s="48" t="e">
        <f>_xlfn.XLOOKUP($F57,Tab_Def_Processes[Name(EN)],Tab_Def_Processes[TC?],,0,)</f>
        <v>#N/A</v>
      </c>
      <c r="M57" s="48" t="e">
        <f>_xlfn.XLOOKUP($F57,Tab_Def_Processes[Name(EN)],Tab_Def_Processes[Stock?],,0,)</f>
        <v>#N/A</v>
      </c>
    </row>
    <row r="58" spans="1:13" x14ac:dyDescent="0.3">
      <c r="A58" s="84" t="b">
        <v>0</v>
      </c>
      <c r="B58" s="48">
        <f t="shared" si="2"/>
        <v>57</v>
      </c>
      <c r="C58" s="48" t="e">
        <f t="shared" si="3"/>
        <v>#N/A</v>
      </c>
      <c r="D58" s="48" t="e">
        <f>_xlfn.XLOOKUP($F58,Tab_Def_Processes[Name(EN)],Tab_Def_Processes[Process_ID],,0,)</f>
        <v>#N/A</v>
      </c>
      <c r="E58" s="48" t="e">
        <f>_xlfn.XLOOKUP(F58,Tab_Def_Processes[Name(EN)],#REF!,,0,)</f>
        <v>#REF!</v>
      </c>
      <c r="F58" s="50"/>
      <c r="G58" s="48"/>
      <c r="H58" s="48" t="e">
        <f>_xlfn.XLOOKUP(F58,Tab_Def_Processes[Name(EN)],Tab_Def_Processes[Carbon_Stock],,0,)</f>
        <v>#N/A</v>
      </c>
      <c r="I58" s="48" t="e">
        <f>_xlfn.XLOOKUP(F58,Tab_Def_Processes[Name(EN)],Tab_Def_Processes[Life_Phase],,0,)</f>
        <v>#N/A</v>
      </c>
      <c r="J58" s="48" t="e">
        <f>_xlfn.XLOOKUP(F58,Tab_Def_Processes[Name(EN)],Tab_Def_Processes[Description],,0,)</f>
        <v>#N/A</v>
      </c>
      <c r="K58" s="48" t="e">
        <f>_xlfn.XLOOKUP($F58,Tab_Def_Processes[Name(EN)],Tab_Def_Processes[Process_Type],,0,)</f>
        <v>#N/A</v>
      </c>
      <c r="L58" s="48" t="e">
        <f>_xlfn.XLOOKUP($F58,Tab_Def_Processes[Name(EN)],Tab_Def_Processes[TC?],,0,)</f>
        <v>#N/A</v>
      </c>
      <c r="M58" s="48" t="e">
        <f>_xlfn.XLOOKUP($F58,Tab_Def_Processes[Name(EN)],Tab_Def_Processes[Stock?],,0,)</f>
        <v>#N/A</v>
      </c>
    </row>
    <row r="59" spans="1:13" x14ac:dyDescent="0.3">
      <c r="A59" s="84" t="b">
        <v>0</v>
      </c>
      <c r="B59" s="48">
        <f t="shared" si="2"/>
        <v>58</v>
      </c>
      <c r="C59" s="48" t="e">
        <f t="shared" si="3"/>
        <v>#N/A</v>
      </c>
      <c r="D59" s="48" t="e">
        <f>_xlfn.XLOOKUP($F59,Tab_Def_Processes[Name(EN)],Tab_Def_Processes[Process_ID],,0,)</f>
        <v>#N/A</v>
      </c>
      <c r="E59" s="48" t="e">
        <f>_xlfn.XLOOKUP(F59,Tab_Def_Processes[Name(EN)],#REF!,,0,)</f>
        <v>#REF!</v>
      </c>
      <c r="F59" s="50"/>
      <c r="G59" s="48"/>
      <c r="H59" s="48" t="e">
        <f>_xlfn.XLOOKUP(F59,Tab_Def_Processes[Name(EN)],Tab_Def_Processes[Carbon_Stock],,0,)</f>
        <v>#N/A</v>
      </c>
      <c r="I59" s="48" t="e">
        <f>_xlfn.XLOOKUP(F59,Tab_Def_Processes[Name(EN)],Tab_Def_Processes[Life_Phase],,0,)</f>
        <v>#N/A</v>
      </c>
      <c r="J59" s="48" t="e">
        <f>_xlfn.XLOOKUP(F59,Tab_Def_Processes[Name(EN)],Tab_Def_Processes[Description],,0,)</f>
        <v>#N/A</v>
      </c>
      <c r="K59" s="48" t="e">
        <f>_xlfn.XLOOKUP($F59,Tab_Def_Processes[Name(EN)],Tab_Def_Processes[Process_Type],,0,)</f>
        <v>#N/A</v>
      </c>
      <c r="L59" s="48" t="e">
        <f>_xlfn.XLOOKUP($F59,Tab_Def_Processes[Name(EN)],Tab_Def_Processes[TC?],,0,)</f>
        <v>#N/A</v>
      </c>
      <c r="M59" s="48" t="e">
        <f>_xlfn.XLOOKUP($F59,Tab_Def_Processes[Name(EN)],Tab_Def_Processes[Stock?],,0,)</f>
        <v>#N/A</v>
      </c>
    </row>
    <row r="60" spans="1:13" x14ac:dyDescent="0.3">
      <c r="A60" s="84" t="b">
        <v>0</v>
      </c>
      <c r="B60" s="48">
        <f t="shared" si="2"/>
        <v>59</v>
      </c>
      <c r="C60" s="48" t="e">
        <f t="shared" si="3"/>
        <v>#N/A</v>
      </c>
      <c r="D60" s="48" t="e">
        <f>_xlfn.XLOOKUP($F60,Tab_Def_Processes[Name(EN)],Tab_Def_Processes[Process_ID],,0,)</f>
        <v>#N/A</v>
      </c>
      <c r="E60" s="48" t="e">
        <f>_xlfn.XLOOKUP(F60,Tab_Def_Processes[Name(EN)],#REF!,,0,)</f>
        <v>#REF!</v>
      </c>
      <c r="F60" s="50"/>
      <c r="G60" s="48"/>
      <c r="H60" s="48" t="e">
        <f>_xlfn.XLOOKUP(F60,Tab_Def_Processes[Name(EN)],Tab_Def_Processes[Carbon_Stock],,0,)</f>
        <v>#N/A</v>
      </c>
      <c r="I60" s="48" t="e">
        <f>_xlfn.XLOOKUP(F60,Tab_Def_Processes[Name(EN)],Tab_Def_Processes[Life_Phase],,0,)</f>
        <v>#N/A</v>
      </c>
      <c r="J60" s="48" t="e">
        <f>_xlfn.XLOOKUP(F60,Tab_Def_Processes[Name(EN)],Tab_Def_Processes[Description],,0,)</f>
        <v>#N/A</v>
      </c>
      <c r="K60" s="48" t="e">
        <f>_xlfn.XLOOKUP($F60,Tab_Def_Processes[Name(EN)],Tab_Def_Processes[Process_Type],,0,)</f>
        <v>#N/A</v>
      </c>
      <c r="L60" s="48" t="e">
        <f>_xlfn.XLOOKUP($F60,Tab_Def_Processes[Name(EN)],Tab_Def_Processes[TC?],,0,)</f>
        <v>#N/A</v>
      </c>
      <c r="M60" s="48" t="e">
        <f>_xlfn.XLOOKUP($F60,Tab_Def_Processes[Name(EN)],Tab_Def_Processes[Stock?],,0,)</f>
        <v>#N/A</v>
      </c>
    </row>
    <row r="61" spans="1:13" x14ac:dyDescent="0.3">
      <c r="A61" s="84" t="b">
        <v>0</v>
      </c>
      <c r="B61" s="48">
        <f t="shared" si="2"/>
        <v>60</v>
      </c>
      <c r="C61" s="48" t="e">
        <f t="shared" si="3"/>
        <v>#N/A</v>
      </c>
      <c r="D61" s="48" t="e">
        <f>_xlfn.XLOOKUP($F61,Tab_Def_Processes[Name(EN)],Tab_Def_Processes[Process_ID],,0,)</f>
        <v>#N/A</v>
      </c>
      <c r="E61" s="48" t="e">
        <f>_xlfn.XLOOKUP(F61,Tab_Def_Processes[Name(EN)],#REF!,,0,)</f>
        <v>#REF!</v>
      </c>
      <c r="F61" s="50"/>
      <c r="G61" s="48"/>
      <c r="H61" s="48" t="e">
        <f>_xlfn.XLOOKUP(F61,Tab_Def_Processes[Name(EN)],Tab_Def_Processes[Carbon_Stock],,0,)</f>
        <v>#N/A</v>
      </c>
      <c r="I61" s="48" t="e">
        <f>_xlfn.XLOOKUP(F61,Tab_Def_Processes[Name(EN)],Tab_Def_Processes[Life_Phase],,0,)</f>
        <v>#N/A</v>
      </c>
      <c r="J61" s="48" t="e">
        <f>_xlfn.XLOOKUP(F61,Tab_Def_Processes[Name(EN)],Tab_Def_Processes[Description],,0,)</f>
        <v>#N/A</v>
      </c>
      <c r="K61" s="48" t="e">
        <f>_xlfn.XLOOKUP($F61,Tab_Def_Processes[Name(EN)],Tab_Def_Processes[Process_Type],,0,)</f>
        <v>#N/A</v>
      </c>
      <c r="L61" s="48" t="e">
        <f>_xlfn.XLOOKUP($F61,Tab_Def_Processes[Name(EN)],Tab_Def_Processes[TC?],,0,)</f>
        <v>#N/A</v>
      </c>
      <c r="M61" s="48" t="e">
        <f>_xlfn.XLOOKUP($F61,Tab_Def_Processes[Name(EN)],Tab_Def_Processes[Stock?],,0,)</f>
        <v>#N/A</v>
      </c>
    </row>
    <row r="62" spans="1:13" x14ac:dyDescent="0.3">
      <c r="A62" s="84" t="b">
        <v>0</v>
      </c>
      <c r="B62" s="48">
        <f t="shared" si="2"/>
        <v>61</v>
      </c>
      <c r="C62" s="48" t="e">
        <f t="shared" si="3"/>
        <v>#N/A</v>
      </c>
      <c r="D62" s="48" t="e">
        <f>_xlfn.XLOOKUP($F62,Tab_Def_Processes[Name(EN)],Tab_Def_Processes[Process_ID],,0,)</f>
        <v>#N/A</v>
      </c>
      <c r="E62" s="48" t="e">
        <f>_xlfn.XLOOKUP(F62,Tab_Def_Processes[Name(EN)],#REF!,,0,)</f>
        <v>#REF!</v>
      </c>
      <c r="F62" s="50"/>
      <c r="G62" s="48"/>
      <c r="H62" s="48" t="e">
        <f>_xlfn.XLOOKUP(F62,Tab_Def_Processes[Name(EN)],Tab_Def_Processes[Carbon_Stock],,0,)</f>
        <v>#N/A</v>
      </c>
      <c r="I62" s="48" t="e">
        <f>_xlfn.XLOOKUP(F62,Tab_Def_Processes[Name(EN)],Tab_Def_Processes[Life_Phase],,0,)</f>
        <v>#N/A</v>
      </c>
      <c r="J62" s="48" t="e">
        <f>_xlfn.XLOOKUP(F62,Tab_Def_Processes[Name(EN)],Tab_Def_Processes[Description],,0,)</f>
        <v>#N/A</v>
      </c>
      <c r="K62" s="48" t="e">
        <f>_xlfn.XLOOKUP($F62,Tab_Def_Processes[Name(EN)],Tab_Def_Processes[Process_Type],,0,)</f>
        <v>#N/A</v>
      </c>
      <c r="L62" s="48" t="e">
        <f>_xlfn.XLOOKUP($F62,Tab_Def_Processes[Name(EN)],Tab_Def_Processes[TC?],,0,)</f>
        <v>#N/A</v>
      </c>
      <c r="M62" s="48" t="e">
        <f>_xlfn.XLOOKUP($F62,Tab_Def_Processes[Name(EN)],Tab_Def_Processes[Stock?],,0,)</f>
        <v>#N/A</v>
      </c>
    </row>
    <row r="63" spans="1:13" x14ac:dyDescent="0.3">
      <c r="A63" s="84" t="b">
        <v>0</v>
      </c>
      <c r="B63" s="48">
        <f t="shared" si="2"/>
        <v>62</v>
      </c>
      <c r="C63" s="48" t="e">
        <f t="shared" si="3"/>
        <v>#N/A</v>
      </c>
      <c r="D63" s="48" t="e">
        <f>_xlfn.XLOOKUP($F63,Tab_Def_Processes[Name(EN)],Tab_Def_Processes[Process_ID],,0,)</f>
        <v>#N/A</v>
      </c>
      <c r="E63" s="48" t="e">
        <f>_xlfn.XLOOKUP(F63,Tab_Def_Processes[Name(EN)],#REF!,,0,)</f>
        <v>#REF!</v>
      </c>
      <c r="F63" s="50"/>
      <c r="G63" s="48"/>
      <c r="H63" s="48" t="e">
        <f>_xlfn.XLOOKUP(F63,Tab_Def_Processes[Name(EN)],Tab_Def_Processes[Carbon_Stock],,0,)</f>
        <v>#N/A</v>
      </c>
      <c r="I63" s="48" t="e">
        <f>_xlfn.XLOOKUP(F63,Tab_Def_Processes[Name(EN)],Tab_Def_Processes[Life_Phase],,0,)</f>
        <v>#N/A</v>
      </c>
      <c r="J63" s="48" t="e">
        <f>_xlfn.XLOOKUP(F63,Tab_Def_Processes[Name(EN)],Tab_Def_Processes[Description],,0,)</f>
        <v>#N/A</v>
      </c>
      <c r="K63" s="48" t="e">
        <f>_xlfn.XLOOKUP($F63,Tab_Def_Processes[Name(EN)],Tab_Def_Processes[Process_Type],,0,)</f>
        <v>#N/A</v>
      </c>
      <c r="L63" s="48" t="e">
        <f>_xlfn.XLOOKUP($F63,Tab_Def_Processes[Name(EN)],Tab_Def_Processes[TC?],,0,)</f>
        <v>#N/A</v>
      </c>
      <c r="M63" s="48" t="e">
        <f>_xlfn.XLOOKUP($F63,Tab_Def_Processes[Name(EN)],Tab_Def_Processes[Stock?],,0,)</f>
        <v>#N/A</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'2_1_Definition_Processes'!$D$2:$D$10</xm:f>
          </x14:formula1>
          <xm:sqref>F2:G63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AU10"/>
  <sheetViews>
    <sheetView tabSelected="1" zoomScale="120" zoomScaleNormal="120" workbookViewId="0">
      <pane xSplit="5" topLeftCell="I1" activePane="topRight" state="frozen"/>
      <selection pane="topRight" activeCell="M8" sqref="M8"/>
    </sheetView>
  </sheetViews>
  <sheetFormatPr baseColWidth="10" defaultColWidth="10.77734375" defaultRowHeight="14.4" x14ac:dyDescent="0.3"/>
  <cols>
    <col min="2" max="2" width="4.77734375" bestFit="1" customWidth="1"/>
    <col min="3" max="3" width="11.44140625" bestFit="1" customWidth="1"/>
    <col min="4" max="4" width="10" style="102" bestFit="1" customWidth="1"/>
    <col min="5" max="5" width="21.109375" bestFit="1" customWidth="1"/>
    <col min="6" max="6" width="32.44140625" hidden="1" customWidth="1"/>
    <col min="7" max="8" width="15.44140625" hidden="1" customWidth="1"/>
    <col min="9" max="9" width="12.44140625" bestFit="1" customWidth="1"/>
    <col min="10" max="12" width="15.44140625" customWidth="1"/>
    <col min="13" max="13" width="12.44140625" customWidth="1"/>
    <col min="14" max="14" width="17" hidden="1" customWidth="1"/>
    <col min="15" max="15" width="16.44140625" hidden="1" customWidth="1"/>
    <col min="16" max="16" width="16.109375" hidden="1" customWidth="1"/>
    <col min="17" max="17" width="15.44140625" hidden="1" customWidth="1"/>
    <col min="18" max="18" width="0" hidden="1" customWidth="1"/>
    <col min="19" max="19" width="13.77734375" hidden="1" customWidth="1"/>
    <col min="20" max="26" width="0" hidden="1" customWidth="1"/>
    <col min="27" max="27" width="17.44140625" hidden="1" customWidth="1"/>
    <col min="28" max="29" width="17.77734375" hidden="1" customWidth="1"/>
    <col min="30" max="30" width="17.77734375" customWidth="1"/>
    <col min="31" max="32" width="14" customWidth="1"/>
    <col min="33" max="33" width="14" style="110" customWidth="1"/>
    <col min="34" max="34" width="28.109375" style="110" customWidth="1"/>
    <col min="35" max="37" width="18.44140625" style="110" customWidth="1"/>
    <col min="38" max="38" width="26.109375" style="110" customWidth="1"/>
    <col min="39" max="42" width="17.77734375" style="110" customWidth="1"/>
    <col min="43" max="45" width="17.77734375" customWidth="1"/>
  </cols>
  <sheetData>
    <row r="1" spans="1:47" ht="20.25" customHeight="1" x14ac:dyDescent="0.3">
      <c r="A1" s="61" t="s">
        <v>134</v>
      </c>
      <c r="B1" s="8" t="s">
        <v>21</v>
      </c>
      <c r="C1" s="47" t="s">
        <v>135</v>
      </c>
      <c r="D1" s="102" t="s">
        <v>86</v>
      </c>
      <c r="E1" t="s">
        <v>23</v>
      </c>
      <c r="F1" t="s">
        <v>24</v>
      </c>
      <c r="G1" t="s">
        <v>87</v>
      </c>
      <c r="H1" t="s">
        <v>88</v>
      </c>
      <c r="I1" s="47" t="s">
        <v>89</v>
      </c>
      <c r="J1" s="24" t="s">
        <v>136</v>
      </c>
      <c r="K1" s="25" t="s">
        <v>56</v>
      </c>
      <c r="L1" s="25" t="s">
        <v>120</v>
      </c>
      <c r="M1" s="31" t="s">
        <v>91</v>
      </c>
      <c r="N1" s="54" t="s">
        <v>92</v>
      </c>
      <c r="O1" s="54" t="s">
        <v>93</v>
      </c>
      <c r="P1" s="67" t="s">
        <v>137</v>
      </c>
      <c r="Q1" s="54" t="s">
        <v>94</v>
      </c>
      <c r="R1" s="54" t="s">
        <v>122</v>
      </c>
      <c r="S1" s="67" t="s">
        <v>138</v>
      </c>
      <c r="T1" s="68" t="s">
        <v>121</v>
      </c>
      <c r="U1" s="64" t="s">
        <v>139</v>
      </c>
      <c r="V1" s="70" t="s">
        <v>140</v>
      </c>
      <c r="W1" s="68" t="s">
        <v>123</v>
      </c>
      <c r="X1" s="63" t="s">
        <v>141</v>
      </c>
      <c r="Y1" s="67" t="s">
        <v>142</v>
      </c>
      <c r="Z1" s="68" t="s">
        <v>125</v>
      </c>
      <c r="AA1" s="63" t="s">
        <v>143</v>
      </c>
      <c r="AB1" s="67" t="s">
        <v>144</v>
      </c>
      <c r="AC1" s="66" t="s">
        <v>145</v>
      </c>
      <c r="AD1" s="232" t="s">
        <v>96</v>
      </c>
      <c r="AE1" s="232" t="s">
        <v>97</v>
      </c>
      <c r="AF1" s="232" t="s">
        <v>146</v>
      </c>
      <c r="AG1" s="233" t="s">
        <v>147</v>
      </c>
      <c r="AH1" s="234" t="s">
        <v>98</v>
      </c>
      <c r="AI1" s="234" t="s">
        <v>99</v>
      </c>
      <c r="AJ1" s="232" t="s">
        <v>148</v>
      </c>
      <c r="AK1" s="233" t="s">
        <v>149</v>
      </c>
      <c r="AL1" s="234" t="s">
        <v>100</v>
      </c>
      <c r="AM1" s="234" t="s">
        <v>101</v>
      </c>
      <c r="AN1" s="232" t="s">
        <v>150</v>
      </c>
      <c r="AO1" s="234" t="s">
        <v>151</v>
      </c>
      <c r="AP1" s="107" t="s">
        <v>157</v>
      </c>
      <c r="AQ1" s="78" t="s">
        <v>158</v>
      </c>
      <c r="AR1" s="78" t="s">
        <v>159</v>
      </c>
      <c r="AS1" s="78" t="s">
        <v>160</v>
      </c>
      <c r="AT1" s="78" t="s">
        <v>161</v>
      </c>
      <c r="AU1" s="79" t="s">
        <v>67</v>
      </c>
    </row>
    <row r="2" spans="1:47" ht="19.5" customHeight="1" x14ac:dyDescent="0.3">
      <c r="A2" s="84" t="b">
        <v>1</v>
      </c>
      <c r="B2" s="48">
        <f>ROW()-1</f>
        <v>1</v>
      </c>
      <c r="C2" s="48" t="str">
        <f>"TC"&amp;LEFT(B2,2)&amp;"_"&amp;LEFT(D2,3)&amp;"_"&amp;LEFT(E2,3)</f>
        <v>TC1_00_Bio</v>
      </c>
      <c r="D2" s="103" t="str">
        <f>_xlfn.XLOOKUP($E2,Tab_Def_Processes[Name(EN)],Tab_Def_Processes[ID],,0,)</f>
        <v>00</v>
      </c>
      <c r="E2" s="50" t="s">
        <v>104</v>
      </c>
      <c r="F2" s="48"/>
      <c r="G2" s="48">
        <f>_xlfn.XLOOKUP(E2,Tab_Def_Processes[Name(EN)],Tab_Def_Processes[Carbon_Stock],,0,)</f>
        <v>0</v>
      </c>
      <c r="H2" s="48">
        <f>_xlfn.XLOOKUP(E2,Tab_Def_Processes[Name(EN)],Tab_Def_Processes[Life_Phase],,0,)</f>
        <v>0</v>
      </c>
      <c r="I2" s="48">
        <f>_xlfn.XLOOKUP(E2,Tab_Def_Processes[Name(EN)],Tab_Def_Processes[Description],,0,)</f>
        <v>0</v>
      </c>
      <c r="J2" s="48" t="str">
        <f>_xlfn.XLOOKUP($E2,Tab_Def_Processes[Name(EN)],Tab_Def_Processes[Process_Type],,0,)</f>
        <v>Process</v>
      </c>
      <c r="K2" s="48" t="str">
        <f>_xlfn.XLOOKUP($E2,Tab_Def_Processes[Name(EN)],Tab_Def_Processes[TC?],,0,)</f>
        <v>Yes</v>
      </c>
      <c r="L2" s="48" t="str">
        <f>_xlfn.XLOOKUP($E2,Tab_Def_Processes[Name(EN)],Tab_Def_Processes[Dyn_TC?],,0,)</f>
        <v>Yes</v>
      </c>
      <c r="M2" s="48" t="str">
        <f>_xlfn.XLOOKUP($E2,Tab_Def_Processes[Name(EN)],Tab_Def_Processes[Stock?],,0,)</f>
        <v>Yes</v>
      </c>
      <c r="N2" s="57" t="str">
        <f>_xlfn.XLOOKUP($E2,Tab_Def_Processes[Name(EN)],Tab_Def_Processes[Input_Flow_I_1],,0,)</f>
        <v>N.A.</v>
      </c>
      <c r="O2" s="48" t="e">
        <f>_xlfn.XLOOKUP($E2,Tab_Def_Processes[Name(EN)],Tab_Def_Processes[Flow_ID_I_1],,0,)</f>
        <v>#N/A</v>
      </c>
      <c r="P2" s="235"/>
      <c r="Q2" s="69" t="str">
        <f>_xlfn.XLOOKUP($E2,Tab_Def_Processes[Name(EN)],Tab_Def_Processes[Input_Flow_I_2],,0,)</f>
        <v>N.A.</v>
      </c>
      <c r="R2" s="48" t="e">
        <f>_xlfn.XLOOKUP($E2,Tab_Def_Processes[Name(EN)],Tab_Def_Processes[Flow_ID_I_2],,0,)</f>
        <v>#N/A</v>
      </c>
      <c r="S2" s="235"/>
      <c r="T2" s="69" t="str">
        <f>_xlfn.XLOOKUP($E2,Tab_Def_Processes[Name(EN)],Tab_Def_Processes[Input_Flow_I_3],,0,)</f>
        <v>N.A.</v>
      </c>
      <c r="U2" s="48" t="e">
        <f>_xlfn.XLOOKUP($E2,Tab_Def_Processes[Name(EN)],Tab_Def_Processes[Flow_ID_I_3],,0,)</f>
        <v>#N/A</v>
      </c>
      <c r="V2" s="236"/>
      <c r="W2" s="69" t="str">
        <f>_xlfn.XLOOKUP($E2,Tab_Def_Processes[Name(EN)],Tab_Def_Processes[Input_Flow_I_4],,0,)</f>
        <v>N.A.</v>
      </c>
      <c r="X2" s="48" t="e">
        <f>_xlfn.XLOOKUP($E2,Tab_Def_Processes[Name(EN)],Tab_Def_Processes[Flow_ID_I_4],,0,)</f>
        <v>#N/A</v>
      </c>
      <c r="Y2" s="235"/>
      <c r="Z2" s="69" t="str">
        <f>_xlfn.XLOOKUP($E2,Tab_Def_Processes[Name(EN)],Tab_Def_Processes[Input_Flow_I_5],,0,)</f>
        <v>N.A.</v>
      </c>
      <c r="AA2" s="48" t="e">
        <f>_xlfn.XLOOKUP($E2,Tab_Def_Processes[Name(EN)],Tab_Def_Processes[Flow_ID_I_5],,0,)</f>
        <v>#N/A</v>
      </c>
      <c r="AB2" s="235"/>
      <c r="AC2" s="237">
        <f>Tab_Process_TCs[[#This Row],[Flow_TC_I_1_'[%']]]+Tab_Process_TCs[[#This Row],[Flow_TC_I_2_'[%']]]+Tab_Process_TCs[[#This Row],[Flow_TC_I_3_'[%']]]+Tab_Process_TCs[[#This Row],[Flow_TC_I_4_'[%']]]+Tab_Process_TCs[[#This Row],[Flow_TC_I_5_'[%']]]</f>
        <v>0</v>
      </c>
      <c r="AD2" s="48" t="str">
        <f>_xlfn.XLOOKUP($E2,Tab_Def_Processes[Name(EN)],Tab_Def_Processes[Output_Flow_O_1],,0,)</f>
        <v>Wood</v>
      </c>
      <c r="AE2" s="230" t="str">
        <f>_xlfn.XLOOKUP($E2,Tab_Def_Processes[Name(EN)],Tab_Def_Processes[Flow_ID_O_1],,0,)</f>
        <v>F_00_01</v>
      </c>
      <c r="AF2" s="96" t="str">
        <f>"TC"&amp;"_"&amp;RIGHT(AE2,5)</f>
        <v>TC_00_01</v>
      </c>
      <c r="AG2" s="231">
        <v>1</v>
      </c>
      <c r="AH2" s="225">
        <f>_xlfn.XLOOKUP($E2,Tab_Def_Processes[Name(EN)],Tab_Def_Processes[Output_Flow_O_2],,0,)</f>
        <v>0</v>
      </c>
      <c r="AI2" s="226" t="e">
        <f>_xlfn.XLOOKUP($E2,Tab_Def_Processes[Name(EN)],Tab_Def_Processes[Flow_ID_O_2],,0,)</f>
        <v>#N/A</v>
      </c>
      <c r="AJ2" s="96" t="e">
        <f>"TC"&amp;"_"&amp;RIGHT(AI2,5)</f>
        <v>#N/A</v>
      </c>
      <c r="AK2" s="223"/>
      <c r="AL2" s="109">
        <f>_xlfn.XLOOKUP($E2,Tab_Def_Processes[Name(EN)],Tab_Def_Processes[Output_Flow_O_3],,0,)</f>
        <v>0</v>
      </c>
      <c r="AM2" s="109" t="e">
        <f>_xlfn.XLOOKUP($E2,Tab_Def_Processes[Name(EN)],Tab_Def_Processes[Flow_ID_O_3],,0,)</f>
        <v>#N/A</v>
      </c>
      <c r="AN2" s="96" t="e">
        <f>"TC"&amp;"_"&amp;RIGHT(AM2,5)</f>
        <v>#N/A</v>
      </c>
      <c r="AO2" s="105"/>
      <c r="AP2" s="71">
        <f>SUM(Tab_Process_TCs[[#This Row],[TC_O_1_'[%']]],Tab_Process_TCs[[#This Row],[TC_O_3_'[%']]],Tab_Process_TCs[[#This Row],[TC_O_2_'[%']]])</f>
        <v>1</v>
      </c>
      <c r="AQ2" s="50"/>
      <c r="AR2" s="50"/>
      <c r="AS2" s="50"/>
      <c r="AT2" s="50"/>
      <c r="AU2" s="50"/>
    </row>
    <row r="3" spans="1:47" ht="20.25" customHeight="1" x14ac:dyDescent="0.3">
      <c r="A3" s="84" t="b">
        <v>1</v>
      </c>
      <c r="B3" s="48">
        <f t="shared" ref="B3:B10" si="0">ROW()-1</f>
        <v>2</v>
      </c>
      <c r="C3" s="48" t="str">
        <f t="shared" ref="C3" si="1">"TC"&amp;LEFT(B3,2)&amp;"_"&amp;LEFT(D3,3)&amp;"_"&amp;LEFT(E3,3)</f>
        <v>TC2_01_Raw</v>
      </c>
      <c r="D3" s="103" t="str">
        <f>_xlfn.XLOOKUP($E3,Tab_Def_Processes[Name(EN)],Tab_Def_Processes[ID],,0,)</f>
        <v>01</v>
      </c>
      <c r="E3" s="50" t="s">
        <v>103</v>
      </c>
      <c r="F3" s="48"/>
      <c r="G3" s="48">
        <f>_xlfn.XLOOKUP(E3,Tab_Def_Processes[Name(EN)],Tab_Def_Processes[Carbon_Stock],,0,)</f>
        <v>0</v>
      </c>
      <c r="H3" s="48">
        <f>_xlfn.XLOOKUP(E3,Tab_Def_Processes[Name(EN)],Tab_Def_Processes[Life_Phase],,0,)</f>
        <v>0</v>
      </c>
      <c r="I3" s="48">
        <f>_xlfn.XLOOKUP(E3,Tab_Def_Processes[Name(EN)],Tab_Def_Processes[Description],,0,)</f>
        <v>0</v>
      </c>
      <c r="J3" s="48" t="str">
        <f>_xlfn.XLOOKUP($E3,Tab_Def_Processes[Name(EN)],Tab_Def_Processes[Process_Type],,0,)</f>
        <v>Process</v>
      </c>
      <c r="K3" s="48" t="str">
        <f>_xlfn.XLOOKUP($E3,Tab_Def_Processes[Name(EN)],Tab_Def_Processes[TC?],,0,)</f>
        <v>Yes</v>
      </c>
      <c r="L3" s="48" t="str">
        <f>_xlfn.XLOOKUP($E3,Tab_Def_Processes[Name(EN)],Tab_Def_Processes[Dyn_TC?],,0,)</f>
        <v>Yes</v>
      </c>
      <c r="M3" s="48" t="str">
        <f>_xlfn.XLOOKUP($E3,Tab_Def_Processes[Name(EN)],Tab_Def_Processes[Stock?],,0,)</f>
        <v>No</v>
      </c>
      <c r="N3" s="57" t="str">
        <f>_xlfn.XLOOKUP($E3,Tab_Def_Processes[Name(EN)],Tab_Def_Processes[Input_Flow_I_1],,0,)</f>
        <v>N.A.</v>
      </c>
      <c r="O3" s="48" t="e">
        <f>_xlfn.XLOOKUP($E3,Tab_Def_Processes[Name(EN)],Tab_Def_Processes[Flow_ID_I_1],,0,)</f>
        <v>#N/A</v>
      </c>
      <c r="P3" s="72"/>
      <c r="Q3" s="69" t="str">
        <f>_xlfn.XLOOKUP($E3,Tab_Def_Processes[Name(EN)],Tab_Def_Processes[Input_Flow_I_2],,0,)</f>
        <v>N.A.</v>
      </c>
      <c r="R3" s="48" t="e">
        <f>_xlfn.XLOOKUP($E3,Tab_Def_Processes[Name(EN)],Tab_Def_Processes[Flow_ID_I_2],,0,)</f>
        <v>#N/A</v>
      </c>
      <c r="S3" s="72"/>
      <c r="T3" s="69" t="str">
        <f>_xlfn.XLOOKUP($E3,Tab_Def_Processes[Name(EN)],Tab_Def_Processes[Input_Flow_I_3],,0,)</f>
        <v>N.A.</v>
      </c>
      <c r="U3" s="48" t="e">
        <f>_xlfn.XLOOKUP($E3,Tab_Def_Processes[Name(EN)],Tab_Def_Processes[Flow_ID_I_3],,0,)</f>
        <v>#N/A</v>
      </c>
      <c r="V3" s="72"/>
      <c r="W3" s="69" t="str">
        <f>_xlfn.XLOOKUP($E3,Tab_Def_Processes[Name(EN)],Tab_Def_Processes[Input_Flow_I_4],,0,)</f>
        <v>N.A.</v>
      </c>
      <c r="X3" s="48" t="e">
        <f>_xlfn.XLOOKUP($E3,Tab_Def_Processes[Name(EN)],Tab_Def_Processes[Flow_ID_I_4],,0,)</f>
        <v>#N/A</v>
      </c>
      <c r="Y3" s="72"/>
      <c r="Z3" s="69" t="str">
        <f>_xlfn.XLOOKUP($E3,Tab_Def_Processes[Name(EN)],Tab_Def_Processes[Input_Flow_I_5],,0,)</f>
        <v>N.A.</v>
      </c>
      <c r="AA3" s="48" t="e">
        <f>_xlfn.XLOOKUP($E3,Tab_Def_Processes[Name(EN)],Tab_Def_Processes[Flow_ID_I_5],,0,)</f>
        <v>#N/A</v>
      </c>
      <c r="AB3" s="72"/>
      <c r="AC3" s="71">
        <f>Tab_Process_TCs[[#This Row],[Flow_TC_I_1_'[%']]]+Tab_Process_TCs[[#This Row],[Flow_TC_I_2_'[%']]]+Tab_Process_TCs[[#This Row],[Flow_TC_I_3_'[%']]]+Tab_Process_TCs[[#This Row],[Flow_TC_I_4_'[%']]]+Tab_Process_TCs[[#This Row],[Flow_TC_I_5_'[%']]]</f>
        <v>0</v>
      </c>
      <c r="AD3" s="48" t="str">
        <f>_xlfn.XLOOKUP($E3,Tab_Def_Processes[Name(EN)],Tab_Def_Processes[Output_Flow_O_1],,0,)</f>
        <v>Logs</v>
      </c>
      <c r="AE3" s="57" t="str">
        <f>_xlfn.XLOOKUP($E3,Tab_Def_Processes[Name(EN)],Tab_Def_Processes[Flow_ID_O_1],,0,)</f>
        <v>F_01_02</v>
      </c>
      <c r="AF3" s="96" t="str">
        <f t="shared" ref="AF3" si="2">"TC"&amp;"_"&amp;RIGHT(AE3,5)</f>
        <v>TC_01_02</v>
      </c>
      <c r="AG3" s="231">
        <v>0.7</v>
      </c>
      <c r="AH3" s="227" t="str">
        <f>_xlfn.XLOOKUP($E3,Tab_Def_Processes[Name(EN)],Tab_Def_Processes[Output_Flow_O_2],,0,)</f>
        <v>Forestry Resiudes</v>
      </c>
      <c r="AI3" s="109" t="str">
        <f>_xlfn.XLOOKUP($E3,Tab_Def_Processes[Name(EN)],Tab_Def_Processes[Flow_ID_O_2],,0,)</f>
        <v>F_01_00</v>
      </c>
      <c r="AJ3" s="96" t="str">
        <f t="shared" ref="AJ3" si="3">"TC"&amp;"_"&amp;RIGHT(AI3,5)</f>
        <v>TC_01_00</v>
      </c>
      <c r="AK3" s="224">
        <v>0.3</v>
      </c>
      <c r="AL3" s="109">
        <f>_xlfn.XLOOKUP($E3,Tab_Def_Processes[Name(EN)],Tab_Def_Processes[Output_Flow_O_3],,0,)</f>
        <v>0</v>
      </c>
      <c r="AM3" s="109" t="e">
        <f>_xlfn.XLOOKUP($E3,Tab_Def_Processes[Name(EN)],Tab_Def_Processes[Flow_ID_O_3],,0,)</f>
        <v>#N/A</v>
      </c>
      <c r="AN3" s="96" t="e">
        <f t="shared" ref="AN3" si="4">"TC"&amp;"_"&amp;RIGHT(AM3,5)</f>
        <v>#N/A</v>
      </c>
      <c r="AO3" s="105"/>
      <c r="AP3" s="71">
        <f>SUM(Tab_Process_TCs[[#This Row],[TC_O_1_'[%']]],Tab_Process_TCs[[#This Row],[TC_O_3_'[%']]],Tab_Process_TCs[[#This Row],[TC_O_2_'[%']]])</f>
        <v>1</v>
      </c>
      <c r="AQ3" s="50"/>
      <c r="AR3" s="50"/>
      <c r="AS3" s="50"/>
      <c r="AT3" s="50"/>
      <c r="AU3" s="50"/>
    </row>
    <row r="4" spans="1:47" ht="20.25" customHeight="1" x14ac:dyDescent="0.3">
      <c r="A4" s="84" t="b">
        <v>1</v>
      </c>
      <c r="B4" s="48">
        <f t="shared" si="0"/>
        <v>3</v>
      </c>
      <c r="C4" s="48" t="str">
        <f t="shared" ref="C4:C7" si="5">"TC"&amp;LEFT(B4,2)&amp;"_"&amp;LEFT(D4,3)&amp;"_"&amp;LEFT(E4,3)</f>
        <v>TC3_02_Pro</v>
      </c>
      <c r="D4" s="103" t="str">
        <f>_xlfn.XLOOKUP($E4,Tab_Def_Processes[Name(EN)],Tab_Def_Processes[ID],,0,)</f>
        <v>02</v>
      </c>
      <c r="E4" s="50" t="s">
        <v>108</v>
      </c>
      <c r="F4" s="48"/>
      <c r="G4" s="48">
        <f>_xlfn.XLOOKUP(E4,Tab_Def_Processes[Name(EN)],Tab_Def_Processes[Carbon_Stock],,0,)</f>
        <v>0</v>
      </c>
      <c r="H4" s="48">
        <f>_xlfn.XLOOKUP(E4,Tab_Def_Processes[Name(EN)],Tab_Def_Processes[Life_Phase],,0,)</f>
        <v>0</v>
      </c>
      <c r="I4" s="48">
        <f>_xlfn.XLOOKUP(E4,Tab_Def_Processes[Name(EN)],Tab_Def_Processes[Description],,0,)</f>
        <v>0</v>
      </c>
      <c r="J4" s="48" t="str">
        <f>_xlfn.XLOOKUP($E4,Tab_Def_Processes[Name(EN)],Tab_Def_Processes[Process_Type],,0,)</f>
        <v>Process</v>
      </c>
      <c r="K4" s="48" t="str">
        <f>_xlfn.XLOOKUP($E4,Tab_Def_Processes[Name(EN)],Tab_Def_Processes[TC?],,0,)</f>
        <v>Yes</v>
      </c>
      <c r="L4" s="48" t="str">
        <f>_xlfn.XLOOKUP($E4,Tab_Def_Processes[Name(EN)],Tab_Def_Processes[Dyn_TC?],,0,)</f>
        <v>Yes</v>
      </c>
      <c r="M4" s="48" t="str">
        <f>_xlfn.XLOOKUP($E4,Tab_Def_Processes[Name(EN)],Tab_Def_Processes[Stock?],,0,)</f>
        <v>Yes</v>
      </c>
      <c r="N4" s="57" t="str">
        <f>_xlfn.XLOOKUP($E4,Tab_Def_Processes[Name(EN)],Tab_Def_Processes[Input_Flow_I_1],,0,)</f>
        <v>N.A.</v>
      </c>
      <c r="O4" s="48" t="e">
        <f>_xlfn.XLOOKUP($E4,Tab_Def_Processes[Name(EN)],Tab_Def_Processes[Flow_ID_I_1],,0,)</f>
        <v>#N/A</v>
      </c>
      <c r="P4" s="72"/>
      <c r="Q4" s="69" t="str">
        <f>_xlfn.XLOOKUP($E4,Tab_Def_Processes[Name(EN)],Tab_Def_Processes[Input_Flow_I_2],,0,)</f>
        <v>N.A.</v>
      </c>
      <c r="R4" s="48" t="e">
        <f>_xlfn.XLOOKUP($E4,Tab_Def_Processes[Name(EN)],Tab_Def_Processes[Flow_ID_I_2],,0,)</f>
        <v>#N/A</v>
      </c>
      <c r="S4" s="72"/>
      <c r="T4" s="69" t="str">
        <f>_xlfn.XLOOKUP($E4,Tab_Def_Processes[Name(EN)],Tab_Def_Processes[Input_Flow_I_3],,0,)</f>
        <v>N.A.</v>
      </c>
      <c r="U4" s="48" t="e">
        <f>_xlfn.XLOOKUP($E4,Tab_Def_Processes[Name(EN)],Tab_Def_Processes[Flow_ID_I_3],,0,)</f>
        <v>#N/A</v>
      </c>
      <c r="V4" s="72"/>
      <c r="W4" s="69" t="str">
        <f>_xlfn.XLOOKUP($E4,Tab_Def_Processes[Name(EN)],Tab_Def_Processes[Input_Flow_I_4],,0,)</f>
        <v>N.A.</v>
      </c>
      <c r="X4" s="48" t="e">
        <f>_xlfn.XLOOKUP($E4,Tab_Def_Processes[Name(EN)],Tab_Def_Processes[Flow_ID_I_4],,0,)</f>
        <v>#N/A</v>
      </c>
      <c r="Y4" s="72"/>
      <c r="Z4" s="69" t="str">
        <f>_xlfn.XLOOKUP($E4,Tab_Def_Processes[Name(EN)],Tab_Def_Processes[Input_Flow_I_5],,0,)</f>
        <v>N.A.</v>
      </c>
      <c r="AA4" s="48" t="e">
        <f>_xlfn.XLOOKUP($E4,Tab_Def_Processes[Name(EN)],Tab_Def_Processes[Flow_ID_I_5],,0,)</f>
        <v>#N/A</v>
      </c>
      <c r="AB4" s="72"/>
      <c r="AC4" s="71">
        <f>Tab_Process_TCs[[#This Row],[Flow_TC_I_1_'[%']]]+Tab_Process_TCs[[#This Row],[Flow_TC_I_2_'[%']]]+Tab_Process_TCs[[#This Row],[Flow_TC_I_3_'[%']]]+Tab_Process_TCs[[#This Row],[Flow_TC_I_4_'[%']]]+Tab_Process_TCs[[#This Row],[Flow_TC_I_5_'[%']]]</f>
        <v>0</v>
      </c>
      <c r="AD4" s="48" t="str">
        <f>_xlfn.XLOOKUP($E4,Tab_Def_Processes[Name(EN)],Tab_Def_Processes[Output_Flow_O_1],,0,)</f>
        <v>Timber Truss</v>
      </c>
      <c r="AE4" s="57" t="str">
        <f>_xlfn.XLOOKUP($E4,Tab_Def_Processes[Name(EN)],Tab_Def_Processes[Flow_ID_O_1],,0,)</f>
        <v>F_02_03</v>
      </c>
      <c r="AF4" s="96" t="str">
        <f t="shared" ref="AF4:AF7" si="6">"TC"&amp;"_"&amp;RIGHT(AE4,5)</f>
        <v>TC_02_03</v>
      </c>
      <c r="AG4" s="231">
        <v>0.45</v>
      </c>
      <c r="AH4" s="227" t="str">
        <f>_xlfn.XLOOKUP($E4,Tab_Def_Processes[Name(EN)],Tab_Def_Processes[Output_Flow_O_2],,0,)</f>
        <v>Proc_Wood Cuttings</v>
      </c>
      <c r="AI4" s="109" t="str">
        <f>_xlfn.XLOOKUP($E4,Tab_Def_Processes[Name(EN)],Tab_Def_Processes[Flow_ID_O_2],,0,)</f>
        <v>F_02_08</v>
      </c>
      <c r="AJ4" s="96" t="str">
        <f t="shared" ref="AJ4:AJ7" si="7">"TC"&amp;"_"&amp;RIGHT(AI4,5)</f>
        <v>TC_02_08</v>
      </c>
      <c r="AK4" s="224">
        <v>0.55000000000000004</v>
      </c>
      <c r="AL4" s="109">
        <f>_xlfn.XLOOKUP($E4,Tab_Def_Processes[Name(EN)],Tab_Def_Processes[Output_Flow_O_3],,0,)</f>
        <v>0</v>
      </c>
      <c r="AM4" s="109" t="e">
        <f>_xlfn.XLOOKUP($E4,Tab_Def_Processes[Name(EN)],Tab_Def_Processes[Flow_ID_O_3],,0,)</f>
        <v>#N/A</v>
      </c>
      <c r="AN4" s="96" t="e">
        <f t="shared" ref="AN4:AN7" si="8">"TC"&amp;"_"&amp;RIGHT(AM4,5)</f>
        <v>#N/A</v>
      </c>
      <c r="AO4" s="105"/>
      <c r="AP4" s="71">
        <f>SUM(Tab_Process_TCs[[#This Row],[TC_O_1_'[%']]],Tab_Process_TCs[[#This Row],[TC_O_3_'[%']]],Tab_Process_TCs[[#This Row],[TC_O_2_'[%']]])</f>
        <v>1</v>
      </c>
      <c r="AQ4" s="50"/>
      <c r="AR4" s="50"/>
      <c r="AS4" s="50"/>
      <c r="AT4" s="50"/>
      <c r="AU4" s="50"/>
    </row>
    <row r="5" spans="1:47" x14ac:dyDescent="0.3">
      <c r="A5" s="84" t="b">
        <v>1</v>
      </c>
      <c r="B5" s="48">
        <f t="shared" si="0"/>
        <v>4</v>
      </c>
      <c r="C5" s="48" t="str">
        <f t="shared" si="5"/>
        <v>TC4_03_Use</v>
      </c>
      <c r="D5" s="103" t="str">
        <f>_xlfn.XLOOKUP($E5,Tab_Def_Processes[Name(EN)],Tab_Def_Processes[ID],,0,)</f>
        <v>03</v>
      </c>
      <c r="E5" s="50" t="s">
        <v>112</v>
      </c>
      <c r="F5" s="48"/>
      <c r="G5" s="48">
        <f>_xlfn.XLOOKUP(E5,Tab_Def_Processes[Name(EN)],Tab_Def_Processes[Carbon_Stock],,0,)</f>
        <v>0</v>
      </c>
      <c r="H5" s="48">
        <f>_xlfn.XLOOKUP(E5,Tab_Def_Processes[Name(EN)],Tab_Def_Processes[Life_Phase],,0,)</f>
        <v>0</v>
      </c>
      <c r="I5" s="48">
        <f>_xlfn.XLOOKUP(E5,Tab_Def_Processes[Name(EN)],Tab_Def_Processes[Description],,0,)</f>
        <v>0</v>
      </c>
      <c r="J5" s="48" t="str">
        <f>_xlfn.XLOOKUP($E5,Tab_Def_Processes[Name(EN)],Tab_Def_Processes[Process_Type],,0,)</f>
        <v>Process</v>
      </c>
      <c r="K5" s="48" t="str">
        <f>_xlfn.XLOOKUP($E5,Tab_Def_Processes[Name(EN)],Tab_Def_Processes[TC?],,0,)</f>
        <v>Yes</v>
      </c>
      <c r="L5" s="48" t="str">
        <f>_xlfn.XLOOKUP($E5,Tab_Def_Processes[Name(EN)],Tab_Def_Processes[Dyn_TC?],,0,)</f>
        <v>Yes</v>
      </c>
      <c r="M5" s="48" t="str">
        <f>_xlfn.XLOOKUP($E5,Tab_Def_Processes[Name(EN)],Tab_Def_Processes[Stock?],,0,)</f>
        <v>Yes</v>
      </c>
      <c r="N5" s="57" t="str">
        <f>_xlfn.XLOOKUP($E5,Tab_Def_Processes[Name(EN)],Tab_Def_Processes[Input_Flow_I_1],,0,)</f>
        <v>N.A.</v>
      </c>
      <c r="O5" s="48" t="e">
        <f>_xlfn.XLOOKUP($E5,Tab_Def_Processes[Name(EN)],Tab_Def_Processes[Flow_ID_I_1],,0,)</f>
        <v>#N/A</v>
      </c>
      <c r="P5" s="72"/>
      <c r="Q5" s="69" t="str">
        <f>_xlfn.XLOOKUP($E5,Tab_Def_Processes[Name(EN)],Tab_Def_Processes[Input_Flow_I_2],,0,)</f>
        <v>N.A.</v>
      </c>
      <c r="R5" s="48" t="e">
        <f>_xlfn.XLOOKUP($E5,Tab_Def_Processes[Name(EN)],Tab_Def_Processes[Flow_ID_I_2],,0,)</f>
        <v>#N/A</v>
      </c>
      <c r="S5" s="72"/>
      <c r="T5" s="69" t="str">
        <f>_xlfn.XLOOKUP($E5,Tab_Def_Processes[Name(EN)],Tab_Def_Processes[Input_Flow_I_3],,0,)</f>
        <v>N.A.</v>
      </c>
      <c r="U5" s="48" t="e">
        <f>_xlfn.XLOOKUP($E5,Tab_Def_Processes[Name(EN)],Tab_Def_Processes[Flow_ID_I_3],,0,)</f>
        <v>#N/A</v>
      </c>
      <c r="V5" s="72"/>
      <c r="W5" s="69" t="str">
        <f>_xlfn.XLOOKUP($E5,Tab_Def_Processes[Name(EN)],Tab_Def_Processes[Input_Flow_I_4],,0,)</f>
        <v>N.A.</v>
      </c>
      <c r="X5" s="48" t="e">
        <f>_xlfn.XLOOKUP($E5,Tab_Def_Processes[Name(EN)],Tab_Def_Processes[Flow_ID_I_4],,0,)</f>
        <v>#N/A</v>
      </c>
      <c r="Y5" s="72"/>
      <c r="Z5" s="69" t="str">
        <f>_xlfn.XLOOKUP($E5,Tab_Def_Processes[Name(EN)],Tab_Def_Processes[Input_Flow_I_5],,0,)</f>
        <v>N.A.</v>
      </c>
      <c r="AA5" s="48" t="e">
        <f>_xlfn.XLOOKUP($E5,Tab_Def_Processes[Name(EN)],Tab_Def_Processes[Flow_ID_I_5],,0,)</f>
        <v>#N/A</v>
      </c>
      <c r="AB5" s="72"/>
      <c r="AC5" s="71">
        <f>Tab_Process_TCs[[#This Row],[Flow_TC_I_1_'[%']]]+Tab_Process_TCs[[#This Row],[Flow_TC_I_2_'[%']]]+Tab_Process_TCs[[#This Row],[Flow_TC_I_3_'[%']]]+Tab_Process_TCs[[#This Row],[Flow_TC_I_4_'[%']]]+Tab_Process_TCs[[#This Row],[Flow_TC_I_5_'[%']]]</f>
        <v>0</v>
      </c>
      <c r="AD5" s="48" t="str">
        <f>_xlfn.XLOOKUP($E5,Tab_Def_Processes[Name(EN)],Tab_Def_Processes[Output_Flow_O_1],,0,)</f>
        <v>Inc_Timber Truss</v>
      </c>
      <c r="AE5" s="57" t="str">
        <f>_xlfn.XLOOKUP($E5,Tab_Def_Processes[Name(EN)],Tab_Def_Processes[Flow_ID_O_1],,0,)</f>
        <v>F_03_06</v>
      </c>
      <c r="AF5" s="96" t="str">
        <f t="shared" si="6"/>
        <v>TC_03_06</v>
      </c>
      <c r="AG5" s="231">
        <v>0.7</v>
      </c>
      <c r="AH5" s="227" t="str">
        <f>_xlfn.XLOOKUP($E5,Tab_Def_Processes[Name(EN)],Tab_Def_Processes[Output_Flow_O_2],,0,)</f>
        <v>Wood Beam for Reuse</v>
      </c>
      <c r="AI5" s="109" t="str">
        <f>_xlfn.XLOOKUP($E5,Tab_Def_Processes[Name(EN)],Tab_Def_Processes[Flow_ID_O_2],,0,)</f>
        <v>F_03_04</v>
      </c>
      <c r="AJ5" s="96" t="str">
        <f t="shared" si="7"/>
        <v>TC_03_04</v>
      </c>
      <c r="AK5" s="224">
        <v>0.05</v>
      </c>
      <c r="AL5" s="109" t="str">
        <f>_xlfn.XLOOKUP($E5,Tab_Def_Processes[Name(EN)],Tab_Def_Processes[Output_Flow_O_3],,0,)</f>
        <v>Waste Wood</v>
      </c>
      <c r="AM5" s="109" t="str">
        <f>_xlfn.XLOOKUP($E5,Tab_Def_Processes[Name(EN)],Tab_Def_Processes[Flow_ID_O_3],,0,)</f>
        <v>F_03_05</v>
      </c>
      <c r="AN5" s="96" t="str">
        <f t="shared" si="8"/>
        <v>TC_03_05</v>
      </c>
      <c r="AO5" s="105">
        <v>0.25</v>
      </c>
      <c r="AP5" s="71">
        <f>SUM(Tab_Process_TCs[[#This Row],[TC_O_1_'[%']]],Tab_Process_TCs[[#This Row],[TC_O_3_'[%']]],Tab_Process_TCs[[#This Row],[TC_O_2_'[%']]])</f>
        <v>1</v>
      </c>
      <c r="AQ5" s="50"/>
      <c r="AR5" s="50"/>
      <c r="AS5" s="50"/>
      <c r="AT5" s="50"/>
      <c r="AU5" s="50"/>
    </row>
    <row r="6" spans="1:47" x14ac:dyDescent="0.3">
      <c r="A6" s="84" t="b">
        <v>1</v>
      </c>
      <c r="B6" s="48">
        <f t="shared" si="0"/>
        <v>5</v>
      </c>
      <c r="C6" s="48" t="str">
        <f t="shared" si="5"/>
        <v>TC5_04_Ref</v>
      </c>
      <c r="D6" s="103" t="str">
        <f>_xlfn.XLOOKUP($E6,Tab_Def_Processes[Name(EN)],Tab_Def_Processes[ID],,0,)</f>
        <v>04</v>
      </c>
      <c r="E6" s="50" t="s">
        <v>115</v>
      </c>
      <c r="F6" s="48"/>
      <c r="G6" s="48">
        <f>_xlfn.XLOOKUP(E6,Tab_Def_Processes[Name(EN)],Tab_Def_Processes[Carbon_Stock],,0,)</f>
        <v>0</v>
      </c>
      <c r="H6" s="48">
        <f>_xlfn.XLOOKUP(E6,Tab_Def_Processes[Name(EN)],Tab_Def_Processes[Life_Phase],,0,)</f>
        <v>0</v>
      </c>
      <c r="I6" s="48">
        <f>_xlfn.XLOOKUP(E6,Tab_Def_Processes[Name(EN)],Tab_Def_Processes[Description],,0,)</f>
        <v>0</v>
      </c>
      <c r="J6" s="48" t="str">
        <f>_xlfn.XLOOKUP($E6,Tab_Def_Processes[Name(EN)],Tab_Def_Processes[Process_Type],,0,)</f>
        <v>Process</v>
      </c>
      <c r="K6" s="48" t="str">
        <f>_xlfn.XLOOKUP($E6,Tab_Def_Processes[Name(EN)],Tab_Def_Processes[TC?],,0,)</f>
        <v>Yes</v>
      </c>
      <c r="L6" s="48" t="str">
        <f>_xlfn.XLOOKUP($E6,Tab_Def_Processes[Name(EN)],Tab_Def_Processes[Dyn_TC?],,0,)</f>
        <v>No</v>
      </c>
      <c r="M6" s="48" t="str">
        <f>_xlfn.XLOOKUP($E6,Tab_Def_Processes[Name(EN)],Tab_Def_Processes[Stock?],,0,)</f>
        <v>No</v>
      </c>
      <c r="N6" s="57" t="str">
        <f>_xlfn.XLOOKUP($E6,Tab_Def_Processes[Name(EN)],Tab_Def_Processes[Input_Flow_I_1],,0,)</f>
        <v>N.A.</v>
      </c>
      <c r="O6" s="48" t="e">
        <f>_xlfn.XLOOKUP($E6,Tab_Def_Processes[Name(EN)],Tab_Def_Processes[Flow_ID_I_1],,0,)</f>
        <v>#N/A</v>
      </c>
      <c r="P6" s="72"/>
      <c r="Q6" s="69" t="str">
        <f>_xlfn.XLOOKUP($E6,Tab_Def_Processes[Name(EN)],Tab_Def_Processes[Input_Flow_I_2],,0,)</f>
        <v>N.A.</v>
      </c>
      <c r="R6" s="48" t="e">
        <f>_xlfn.XLOOKUP($E6,Tab_Def_Processes[Name(EN)],Tab_Def_Processes[Flow_ID_I_2],,0,)</f>
        <v>#N/A</v>
      </c>
      <c r="S6" s="72"/>
      <c r="T6" s="69" t="str">
        <f>_xlfn.XLOOKUP($E6,Tab_Def_Processes[Name(EN)],Tab_Def_Processes[Input_Flow_I_3],,0,)</f>
        <v>N.A.</v>
      </c>
      <c r="U6" s="48" t="e">
        <f>_xlfn.XLOOKUP($E6,Tab_Def_Processes[Name(EN)],Tab_Def_Processes[Flow_ID_I_3],,0,)</f>
        <v>#N/A</v>
      </c>
      <c r="V6" s="72"/>
      <c r="W6" s="69" t="str">
        <f>_xlfn.XLOOKUP($E6,Tab_Def_Processes[Name(EN)],Tab_Def_Processes[Input_Flow_I_4],,0,)</f>
        <v>N.A.</v>
      </c>
      <c r="X6" s="48" t="e">
        <f>_xlfn.XLOOKUP($E6,Tab_Def_Processes[Name(EN)],Tab_Def_Processes[Flow_ID_I_4],,0,)</f>
        <v>#N/A</v>
      </c>
      <c r="Y6" s="72"/>
      <c r="Z6" s="69" t="str">
        <f>_xlfn.XLOOKUP($E6,Tab_Def_Processes[Name(EN)],Tab_Def_Processes[Input_Flow_I_5],,0,)</f>
        <v>N.A.</v>
      </c>
      <c r="AA6" s="48" t="e">
        <f>_xlfn.XLOOKUP($E6,Tab_Def_Processes[Name(EN)],Tab_Def_Processes[Flow_ID_I_5],,0,)</f>
        <v>#N/A</v>
      </c>
      <c r="AB6" s="72"/>
      <c r="AC6" s="71">
        <f>Tab_Process_TCs[[#This Row],[Flow_TC_I_1_'[%']]]+Tab_Process_TCs[[#This Row],[Flow_TC_I_2_'[%']]]+Tab_Process_TCs[[#This Row],[Flow_TC_I_3_'[%']]]+Tab_Process_TCs[[#This Row],[Flow_TC_I_4_'[%']]]+Tab_Process_TCs[[#This Row],[Flow_TC_I_5_'[%']]]</f>
        <v>0</v>
      </c>
      <c r="AD6" s="48" t="str">
        <f>_xlfn.XLOOKUP($E6,Tab_Def_Processes[Name(EN)],Tab_Def_Processes[Output_Flow_O_1],,0,)</f>
        <v>Refurbished wood</v>
      </c>
      <c r="AE6" s="57" t="str">
        <f>_xlfn.XLOOKUP($E6,Tab_Def_Processes[Name(EN)],Tab_Def_Processes[Flow_ID_O_1],,0,)</f>
        <v>F_04_03</v>
      </c>
      <c r="AF6" s="96" t="str">
        <f t="shared" si="6"/>
        <v>TC_04_03</v>
      </c>
      <c r="AG6" s="231">
        <v>0.05</v>
      </c>
      <c r="AH6" s="227" t="str">
        <f>_xlfn.XLOOKUP($E6,Tab_Def_Processes[Name(EN)],Tab_Def_Processes[Output_Flow_O_2],,0,)</f>
        <v>SecMaterial</v>
      </c>
      <c r="AI6" s="109" t="str">
        <f>_xlfn.XLOOKUP($E6,Tab_Def_Processes[Name(EN)],Tab_Def_Processes[Flow_ID_O_2],,0,)</f>
        <v>F_04_08</v>
      </c>
      <c r="AJ6" s="96" t="str">
        <f t="shared" si="7"/>
        <v>TC_04_08</v>
      </c>
      <c r="AK6" s="224">
        <v>0.95</v>
      </c>
      <c r="AL6" s="109">
        <f>_xlfn.XLOOKUP($E6,Tab_Def_Processes[Name(EN)],Tab_Def_Processes[Output_Flow_O_3],,0,)</f>
        <v>0</v>
      </c>
      <c r="AM6" s="109" t="e">
        <f>_xlfn.XLOOKUP($E6,Tab_Def_Processes[Name(EN)],Tab_Def_Processes[Flow_ID_O_3],,0,)</f>
        <v>#N/A</v>
      </c>
      <c r="AN6" s="96" t="e">
        <f t="shared" si="8"/>
        <v>#N/A</v>
      </c>
      <c r="AO6" s="105"/>
      <c r="AP6" s="71">
        <f>SUM(Tab_Process_TCs[[#This Row],[TC_O_1_'[%']]],Tab_Process_TCs[[#This Row],[TC_O_3_'[%']]],Tab_Process_TCs[[#This Row],[TC_O_2_'[%']]])</f>
        <v>1</v>
      </c>
      <c r="AQ6" s="50"/>
      <c r="AR6" s="50"/>
      <c r="AS6" s="50"/>
      <c r="AT6" s="50"/>
      <c r="AU6" s="50"/>
    </row>
    <row r="7" spans="1:47" x14ac:dyDescent="0.3">
      <c r="A7" s="84" t="b">
        <v>1</v>
      </c>
      <c r="B7" s="48">
        <f t="shared" si="0"/>
        <v>6</v>
      </c>
      <c r="C7" s="48" t="str">
        <f t="shared" si="5"/>
        <v>TC6_05_Deg</v>
      </c>
      <c r="D7" s="103" t="str">
        <f>_xlfn.XLOOKUP($E7,Tab_Def_Processes[Name(EN)],Tab_Def_Processes[ID],,0,)</f>
        <v>05</v>
      </c>
      <c r="E7" s="50" t="s">
        <v>119</v>
      </c>
      <c r="F7" s="48"/>
      <c r="G7" s="48">
        <f>_xlfn.XLOOKUP(E7,Tab_Def_Processes[Name(EN)],Tab_Def_Processes[Carbon_Stock],,0,)</f>
        <v>0</v>
      </c>
      <c r="H7" s="48">
        <f>_xlfn.XLOOKUP(E7,Tab_Def_Processes[Name(EN)],Tab_Def_Processes[Life_Phase],,0,)</f>
        <v>0</v>
      </c>
      <c r="I7" s="48">
        <f>_xlfn.XLOOKUP(E7,Tab_Def_Processes[Name(EN)],Tab_Def_Processes[Description],,0,)</f>
        <v>0</v>
      </c>
      <c r="J7" s="48" t="str">
        <f>_xlfn.XLOOKUP($E7,Tab_Def_Processes[Name(EN)],Tab_Def_Processes[Process_Type],,0,)</f>
        <v>Process</v>
      </c>
      <c r="K7" s="48" t="str">
        <f>_xlfn.XLOOKUP($E7,Tab_Def_Processes[Name(EN)],Tab_Def_Processes[TC?],,0,)</f>
        <v>Yes</v>
      </c>
      <c r="L7" s="48" t="str">
        <f>_xlfn.XLOOKUP($E7,Tab_Def_Processes[Name(EN)],Tab_Def_Processes[Dyn_TC?],,0,)</f>
        <v>No</v>
      </c>
      <c r="M7" s="48" t="str">
        <f>_xlfn.XLOOKUP($E7,Tab_Def_Processes[Name(EN)],Tab_Def_Processes[Stock?],,0,)</f>
        <v>No</v>
      </c>
      <c r="N7" s="57" t="str">
        <f>_xlfn.XLOOKUP($E7,Tab_Def_Processes[Name(EN)],Tab_Def_Processes[Input_Flow_I_1],,0,)</f>
        <v>N.A.</v>
      </c>
      <c r="O7" s="48" t="e">
        <f>_xlfn.XLOOKUP($E7,Tab_Def_Processes[Name(EN)],Tab_Def_Processes[Flow_ID_I_1],,0,)</f>
        <v>#N/A</v>
      </c>
      <c r="P7" s="72"/>
      <c r="Q7" s="69" t="str">
        <f>_xlfn.XLOOKUP($E7,Tab_Def_Processes[Name(EN)],Tab_Def_Processes[Input_Flow_I_2],,0,)</f>
        <v>N.A.</v>
      </c>
      <c r="R7" s="48" t="e">
        <f>_xlfn.XLOOKUP($E7,Tab_Def_Processes[Name(EN)],Tab_Def_Processes[Flow_ID_I_2],,0,)</f>
        <v>#N/A</v>
      </c>
      <c r="S7" s="72"/>
      <c r="T7" s="69" t="str">
        <f>_xlfn.XLOOKUP($E7,Tab_Def_Processes[Name(EN)],Tab_Def_Processes[Input_Flow_I_3],,0,)</f>
        <v>N.A.</v>
      </c>
      <c r="U7" s="48" t="e">
        <f>_xlfn.XLOOKUP($E7,Tab_Def_Processes[Name(EN)],Tab_Def_Processes[Flow_ID_I_3],,0,)</f>
        <v>#N/A</v>
      </c>
      <c r="V7" s="72"/>
      <c r="W7" s="69" t="str">
        <f>_xlfn.XLOOKUP($E7,Tab_Def_Processes[Name(EN)],Tab_Def_Processes[Input_Flow_I_4],,0,)</f>
        <v>N.A.</v>
      </c>
      <c r="X7" s="48" t="e">
        <f>_xlfn.XLOOKUP($E7,Tab_Def_Processes[Name(EN)],Tab_Def_Processes[Flow_ID_I_4],,0,)</f>
        <v>#N/A</v>
      </c>
      <c r="Y7" s="72"/>
      <c r="Z7" s="69" t="str">
        <f>_xlfn.XLOOKUP($E7,Tab_Def_Processes[Name(EN)],Tab_Def_Processes[Input_Flow_I_5],,0,)</f>
        <v>N.A.</v>
      </c>
      <c r="AA7" s="48" t="e">
        <f>_xlfn.XLOOKUP($E7,Tab_Def_Processes[Name(EN)],Tab_Def_Processes[Flow_ID_I_5],,0,)</f>
        <v>#N/A</v>
      </c>
      <c r="AB7" s="72"/>
      <c r="AC7" s="71">
        <f>Tab_Process_TCs[[#This Row],[Flow_TC_I_1_'[%']]]+Tab_Process_TCs[[#This Row],[Flow_TC_I_2_'[%']]]+Tab_Process_TCs[[#This Row],[Flow_TC_I_3_'[%']]]+Tab_Process_TCs[[#This Row],[Flow_TC_I_4_'[%']]]+Tab_Process_TCs[[#This Row],[Flow_TC_I_5_'[%']]]</f>
        <v>0</v>
      </c>
      <c r="AD7" s="48" t="str">
        <f>_xlfn.XLOOKUP($E7,Tab_Def_Processes[Name(EN)],Tab_Def_Processes[Output_Flow_O_1],,0,)</f>
        <v>Deg_Atm_Carbon</v>
      </c>
      <c r="AE7" s="57" t="str">
        <f>_xlfn.XLOOKUP($E7,Tab_Def_Processes[Name(EN)],Tab_Def_Processes[Flow_ID_O_1],,0,)</f>
        <v>F_05_07</v>
      </c>
      <c r="AF7" s="96" t="str">
        <f t="shared" si="6"/>
        <v>TC_05_07</v>
      </c>
      <c r="AG7" s="231">
        <v>0.95</v>
      </c>
      <c r="AH7" s="227" t="str">
        <f>_xlfn.XLOOKUP($E7,Tab_Def_Processes[Name(EN)],Tab_Def_Processes[Output_Flow_O_2],,0,)</f>
        <v>Deg_Bio</v>
      </c>
      <c r="AI7" s="109" t="str">
        <f>_xlfn.XLOOKUP($E7,Tab_Def_Processes[Name(EN)],Tab_Def_Processes[Flow_ID_O_2],,0,)</f>
        <v>F_05_00</v>
      </c>
      <c r="AJ7" s="96" t="str">
        <f t="shared" si="7"/>
        <v>TC_05_00</v>
      </c>
      <c r="AK7" s="224">
        <v>0.05</v>
      </c>
      <c r="AL7" s="109">
        <f>_xlfn.XLOOKUP($E7,Tab_Def_Processes[Name(EN)],Tab_Def_Processes[Output_Flow_O_3],,0,)</f>
        <v>0</v>
      </c>
      <c r="AM7" s="109" t="e">
        <f>_xlfn.XLOOKUP($E7,Tab_Def_Processes[Name(EN)],Tab_Def_Processes[Flow_ID_O_3],,0,)</f>
        <v>#N/A</v>
      </c>
      <c r="AN7" s="96" t="e">
        <f t="shared" si="8"/>
        <v>#N/A</v>
      </c>
      <c r="AO7" s="105"/>
      <c r="AP7" s="71">
        <f>SUM(Tab_Process_TCs[[#This Row],[TC_O_1_'[%']]],Tab_Process_TCs[[#This Row],[TC_O_3_'[%']]],Tab_Process_TCs[[#This Row],[TC_O_2_'[%']]])</f>
        <v>1</v>
      </c>
      <c r="AQ7" s="50"/>
      <c r="AR7" s="50"/>
      <c r="AS7" s="50"/>
      <c r="AT7" s="50"/>
      <c r="AU7" s="50"/>
    </row>
    <row r="8" spans="1:47" ht="24" customHeight="1" x14ac:dyDescent="0.3">
      <c r="A8" s="84" t="b">
        <v>1</v>
      </c>
      <c r="B8" s="48">
        <f t="shared" si="0"/>
        <v>7</v>
      </c>
      <c r="C8" s="48" t="str">
        <f t="shared" ref="C8:C10" si="9">"TC"&amp;LEFT(B8,2)&amp;"_"&amp;LEFT(D8,3)&amp;"_"&amp;LEFT(E8,3)</f>
        <v>TC7_06_Inc</v>
      </c>
      <c r="D8" s="103" t="str">
        <f>_xlfn.XLOOKUP($E8,Tab_Def_Processes[Name(EN)],Tab_Def_Processes[ID],,0,)</f>
        <v>06</v>
      </c>
      <c r="E8" s="50" t="s">
        <v>117</v>
      </c>
      <c r="F8" s="48"/>
      <c r="G8" s="48">
        <f>_xlfn.XLOOKUP(E8,Tab_Def_Processes[Name(EN)],Tab_Def_Processes[Carbon_Stock],,0,)</f>
        <v>0</v>
      </c>
      <c r="H8" s="48">
        <f>_xlfn.XLOOKUP(E8,Tab_Def_Processes[Name(EN)],Tab_Def_Processes[Life_Phase],,0,)</f>
        <v>0</v>
      </c>
      <c r="I8" s="48">
        <f>_xlfn.XLOOKUP(E8,Tab_Def_Processes[Name(EN)],Tab_Def_Processes[Description],,0,)</f>
        <v>0</v>
      </c>
      <c r="J8" s="48" t="str">
        <f>_xlfn.XLOOKUP($E8,Tab_Def_Processes[Name(EN)],Tab_Def_Processes[Process_Type],,0,)</f>
        <v>Process</v>
      </c>
      <c r="K8" s="48" t="str">
        <f>_xlfn.XLOOKUP($E8,Tab_Def_Processes[Name(EN)],Tab_Def_Processes[TC?],,0,)</f>
        <v>Yes</v>
      </c>
      <c r="L8" s="48" t="str">
        <f>_xlfn.XLOOKUP($E8,Tab_Def_Processes[Name(EN)],Tab_Def_Processes[Dyn_TC?],,0,)</f>
        <v>No</v>
      </c>
      <c r="M8" s="48" t="str">
        <f>_xlfn.XLOOKUP($E8,Tab_Def_Processes[Name(EN)],Tab_Def_Processes[Stock?],,0,)</f>
        <v>No</v>
      </c>
      <c r="N8" s="57" t="str">
        <f>_xlfn.XLOOKUP($E8,Tab_Def_Processes[Name(EN)],Tab_Def_Processes[Input_Flow_I_1],,0,)</f>
        <v>N.A.</v>
      </c>
      <c r="O8" s="48" t="e">
        <f>_xlfn.XLOOKUP($E8,Tab_Def_Processes[Name(EN)],Tab_Def_Processes[Flow_ID_I_1],,0,)</f>
        <v>#N/A</v>
      </c>
      <c r="P8" s="72"/>
      <c r="Q8" s="69" t="str">
        <f>_xlfn.XLOOKUP($E8,Tab_Def_Processes[Name(EN)],Tab_Def_Processes[Input_Flow_I_2],,0,)</f>
        <v>N.A.</v>
      </c>
      <c r="R8" s="48" t="e">
        <f>_xlfn.XLOOKUP($E8,Tab_Def_Processes[Name(EN)],Tab_Def_Processes[Flow_ID_I_2],,0,)</f>
        <v>#N/A</v>
      </c>
      <c r="S8" s="72"/>
      <c r="T8" s="69" t="str">
        <f>_xlfn.XLOOKUP($E8,Tab_Def_Processes[Name(EN)],Tab_Def_Processes[Input_Flow_I_3],,0,)</f>
        <v>N.A.</v>
      </c>
      <c r="U8" s="48" t="e">
        <f>_xlfn.XLOOKUP($E8,Tab_Def_Processes[Name(EN)],Tab_Def_Processes[Flow_ID_I_3],,0,)</f>
        <v>#N/A</v>
      </c>
      <c r="V8" s="72"/>
      <c r="W8" s="69" t="str">
        <f>_xlfn.XLOOKUP($E8,Tab_Def_Processes[Name(EN)],Tab_Def_Processes[Input_Flow_I_4],,0,)</f>
        <v>N.A.</v>
      </c>
      <c r="X8" s="48" t="e">
        <f>_xlfn.XLOOKUP($E8,Tab_Def_Processes[Name(EN)],Tab_Def_Processes[Flow_ID_I_4],,0,)</f>
        <v>#N/A</v>
      </c>
      <c r="Y8" s="72"/>
      <c r="Z8" s="69" t="str">
        <f>_xlfn.XLOOKUP($E8,Tab_Def_Processes[Name(EN)],Tab_Def_Processes[Input_Flow_I_5],,0,)</f>
        <v>N.A.</v>
      </c>
      <c r="AA8" s="48" t="e">
        <f>_xlfn.XLOOKUP($E8,Tab_Def_Processes[Name(EN)],Tab_Def_Processes[Flow_ID_I_5],,0,)</f>
        <v>#N/A</v>
      </c>
      <c r="AB8" s="72"/>
      <c r="AC8" s="71">
        <f>Tab_Process_TCs[[#This Row],[Flow_TC_I_1_'[%']]]+Tab_Process_TCs[[#This Row],[Flow_TC_I_2_'[%']]]+Tab_Process_TCs[[#This Row],[Flow_TC_I_3_'[%']]]+Tab_Process_TCs[[#This Row],[Flow_TC_I_4_'[%']]]+Tab_Process_TCs[[#This Row],[Flow_TC_I_5_'[%']]]</f>
        <v>0</v>
      </c>
      <c r="AD8" s="48" t="str">
        <f>_xlfn.XLOOKUP($E8,Tab_Def_Processes[Name(EN)],Tab_Def_Processes[Output_Flow_O_1],,0,)</f>
        <v>Inc_Ash_Ant</v>
      </c>
      <c r="AE8" s="57" t="str">
        <f>_xlfn.XLOOKUP($E8,Tab_Def_Processes[Name(EN)],Tab_Def_Processes[Flow_ID_O_1],,0,)</f>
        <v>F_06_08</v>
      </c>
      <c r="AF8" s="96" t="str">
        <f t="shared" ref="AF8:AF10" si="10">"TC"&amp;"_"&amp;RIGHT(AE8,5)</f>
        <v>TC_06_08</v>
      </c>
      <c r="AG8" s="231">
        <v>0.01</v>
      </c>
      <c r="AH8" s="227" t="str">
        <f>_xlfn.XLOOKUP($E8,Tab_Def_Processes[Name(EN)],Tab_Def_Processes[Output_Flow_O_2],,0,)</f>
        <v>Inc_Carbon_Atm</v>
      </c>
      <c r="AI8" s="109" t="str">
        <f>_xlfn.XLOOKUP($E8,Tab_Def_Processes[Name(EN)],Tab_Def_Processes[Flow_ID_O_2],,0,)</f>
        <v>F_06_07</v>
      </c>
      <c r="AJ8" s="96" t="str">
        <f t="shared" ref="AJ8:AJ10" si="11">"TC"&amp;"_"&amp;RIGHT(AI8,5)</f>
        <v>TC_06_07</v>
      </c>
      <c r="AK8" s="224">
        <v>0.99</v>
      </c>
      <c r="AL8" s="109">
        <f>_xlfn.XLOOKUP($E8,Tab_Def_Processes[Name(EN)],Tab_Def_Processes[Output_Flow_O_3],,0,)</f>
        <v>0</v>
      </c>
      <c r="AM8" s="109" t="e">
        <f>_xlfn.XLOOKUP($E8,Tab_Def_Processes[Name(EN)],Tab_Def_Processes[Flow_ID_O_3],,0,)</f>
        <v>#N/A</v>
      </c>
      <c r="AN8" s="96" t="e">
        <f t="shared" ref="AN8:AN10" si="12">"TC"&amp;"_"&amp;RIGHT(AM8,5)</f>
        <v>#N/A</v>
      </c>
      <c r="AO8" s="105"/>
      <c r="AP8" s="71">
        <f>SUM(Tab_Process_TCs[[#This Row],[TC_O_1_'[%']]],Tab_Process_TCs[[#This Row],[TC_O_3_'[%']]],Tab_Process_TCs[[#This Row],[TC_O_2_'[%']]])</f>
        <v>1</v>
      </c>
      <c r="AQ8" s="50"/>
      <c r="AR8" s="50"/>
      <c r="AS8" s="50"/>
      <c r="AT8" s="50"/>
      <c r="AU8" s="50"/>
    </row>
    <row r="9" spans="1:47" ht="27.75" customHeight="1" x14ac:dyDescent="0.3">
      <c r="A9" s="84" t="b">
        <v>1</v>
      </c>
      <c r="B9" s="48">
        <f t="shared" si="0"/>
        <v>8</v>
      </c>
      <c r="C9" s="48" t="str">
        <f t="shared" si="9"/>
        <v>TC8_07_Atm</v>
      </c>
      <c r="D9" s="103" t="str">
        <f>_xlfn.XLOOKUP($E9,Tab_Def_Processes[Name(EN)],Tab_Def_Processes[ID],,0,)</f>
        <v>07</v>
      </c>
      <c r="E9" s="50" t="s">
        <v>43</v>
      </c>
      <c r="F9" s="48"/>
      <c r="G9" s="48">
        <f>_xlfn.XLOOKUP(E9,Tab_Def_Processes[Name(EN)],Tab_Def_Processes[Carbon_Stock],,0,)</f>
        <v>0</v>
      </c>
      <c r="H9" s="48">
        <f>_xlfn.XLOOKUP(E9,Tab_Def_Processes[Name(EN)],Tab_Def_Processes[Life_Phase],,0,)</f>
        <v>0</v>
      </c>
      <c r="I9" s="48">
        <f>_xlfn.XLOOKUP(E9,Tab_Def_Processes[Name(EN)],Tab_Def_Processes[Description],,0,)</f>
        <v>0</v>
      </c>
      <c r="J9" s="48" t="str">
        <f>_xlfn.XLOOKUP($E9,Tab_Def_Processes[Name(EN)],Tab_Def_Processes[Process_Type],,0,)</f>
        <v>Process</v>
      </c>
      <c r="K9" s="48" t="str">
        <f>_xlfn.XLOOKUP($E9,Tab_Def_Processes[Name(EN)],Tab_Def_Processes[TC?],,0,)</f>
        <v>No</v>
      </c>
      <c r="L9" s="48" t="str">
        <f>_xlfn.XLOOKUP($E9,Tab_Def_Processes[Name(EN)],Tab_Def_Processes[Dyn_TC?],,0,)</f>
        <v>No</v>
      </c>
      <c r="M9" s="48" t="str">
        <f>_xlfn.XLOOKUP($E9,Tab_Def_Processes[Name(EN)],Tab_Def_Processes[Stock?],,0,)</f>
        <v>Yes</v>
      </c>
      <c r="N9" s="57" t="str">
        <f>_xlfn.XLOOKUP($E9,Tab_Def_Processes[Name(EN)],Tab_Def_Processes[Input_Flow_I_1],,0,)</f>
        <v>N.A.</v>
      </c>
      <c r="O9" s="48" t="e">
        <f>_xlfn.XLOOKUP($E9,Tab_Def_Processes[Name(EN)],Tab_Def_Processes[Flow_ID_I_1],,0,)</f>
        <v>#N/A</v>
      </c>
      <c r="P9" s="72"/>
      <c r="Q9" s="69" t="str">
        <f>_xlfn.XLOOKUP($E9,Tab_Def_Processes[Name(EN)],Tab_Def_Processes[Input_Flow_I_2],,0,)</f>
        <v>N.A.</v>
      </c>
      <c r="R9" s="48" t="e">
        <f>_xlfn.XLOOKUP($E9,Tab_Def_Processes[Name(EN)],Tab_Def_Processes[Flow_ID_I_2],,0,)</f>
        <v>#N/A</v>
      </c>
      <c r="S9" s="72"/>
      <c r="T9" s="69" t="str">
        <f>_xlfn.XLOOKUP($E9,Tab_Def_Processes[Name(EN)],Tab_Def_Processes[Input_Flow_I_3],,0,)</f>
        <v>N.A.</v>
      </c>
      <c r="U9" s="48" t="e">
        <f>_xlfn.XLOOKUP($E9,Tab_Def_Processes[Name(EN)],Tab_Def_Processes[Flow_ID_I_3],,0,)</f>
        <v>#N/A</v>
      </c>
      <c r="V9" s="72"/>
      <c r="W9" s="69" t="str">
        <f>_xlfn.XLOOKUP($E9,Tab_Def_Processes[Name(EN)],Tab_Def_Processes[Input_Flow_I_4],,0,)</f>
        <v>N.A.</v>
      </c>
      <c r="X9" s="48" t="e">
        <f>_xlfn.XLOOKUP($E9,Tab_Def_Processes[Name(EN)],Tab_Def_Processes[Flow_ID_I_4],,0,)</f>
        <v>#N/A</v>
      </c>
      <c r="Y9" s="72"/>
      <c r="Z9" s="69" t="str">
        <f>_xlfn.XLOOKUP($E9,Tab_Def_Processes[Name(EN)],Tab_Def_Processes[Input_Flow_I_5],,0,)</f>
        <v>N.A.</v>
      </c>
      <c r="AA9" s="48" t="e">
        <f>_xlfn.XLOOKUP($E9,Tab_Def_Processes[Name(EN)],Tab_Def_Processes[Flow_ID_I_5],,0,)</f>
        <v>#N/A</v>
      </c>
      <c r="AB9" s="72"/>
      <c r="AC9" s="71">
        <f>Tab_Process_TCs[[#This Row],[Flow_TC_I_1_'[%']]]+Tab_Process_TCs[[#This Row],[Flow_TC_I_2_'[%']]]+Tab_Process_TCs[[#This Row],[Flow_TC_I_3_'[%']]]+Tab_Process_TCs[[#This Row],[Flow_TC_I_4_'[%']]]+Tab_Process_TCs[[#This Row],[Flow_TC_I_5_'[%']]]</f>
        <v>0</v>
      </c>
      <c r="AD9" s="48" t="str">
        <f>_xlfn.XLOOKUP($E9,Tab_Def_Processes[Name(EN)],Tab_Def_Processes[Output_Flow_O_1],,0,)</f>
        <v>Atm_Bio</v>
      </c>
      <c r="AE9" s="57" t="str">
        <f>_xlfn.XLOOKUP($E9,Tab_Def_Processes[Name(EN)],Tab_Def_Processes[Flow_ID_O_1],,0,)</f>
        <v>F_07_00</v>
      </c>
      <c r="AF9" s="96" t="str">
        <f t="shared" si="10"/>
        <v>TC_07_00</v>
      </c>
      <c r="AG9" s="231">
        <v>1</v>
      </c>
      <c r="AH9" s="227">
        <f>_xlfn.XLOOKUP($E9,Tab_Def_Processes[Name(EN)],Tab_Def_Processes[Output_Flow_O_2],,0,)</f>
        <v>0</v>
      </c>
      <c r="AI9" s="109" t="e">
        <f>_xlfn.XLOOKUP($E9,Tab_Def_Processes[Name(EN)],Tab_Def_Processes[Flow_ID_O_2],,0,)</f>
        <v>#N/A</v>
      </c>
      <c r="AJ9" s="96" t="e">
        <f t="shared" si="11"/>
        <v>#N/A</v>
      </c>
      <c r="AK9" s="224"/>
      <c r="AL9" s="109">
        <f>_xlfn.XLOOKUP($E9,Tab_Def_Processes[Name(EN)],Tab_Def_Processes[Output_Flow_O_3],,0,)</f>
        <v>0</v>
      </c>
      <c r="AM9" s="109" t="e">
        <f>_xlfn.XLOOKUP($E9,Tab_Def_Processes[Name(EN)],Tab_Def_Processes[Flow_ID_O_3],,0,)</f>
        <v>#N/A</v>
      </c>
      <c r="AN9" s="96" t="e">
        <f t="shared" si="12"/>
        <v>#N/A</v>
      </c>
      <c r="AO9" s="105"/>
      <c r="AP9" s="71">
        <f>SUM(Tab_Process_TCs[[#This Row],[TC_O_1_'[%']]],Tab_Process_TCs[[#This Row],[TC_O_3_'[%']]],Tab_Process_TCs[[#This Row],[TC_O_2_'[%']]])</f>
        <v>1</v>
      </c>
      <c r="AQ9" s="50"/>
      <c r="AR9" s="50"/>
      <c r="AS9" s="50"/>
      <c r="AT9" s="50"/>
      <c r="AU9" s="50"/>
    </row>
    <row r="10" spans="1:47" ht="29.25" customHeight="1" x14ac:dyDescent="0.3">
      <c r="A10" s="84" t="b">
        <v>1</v>
      </c>
      <c r="B10" s="48">
        <f t="shared" si="0"/>
        <v>9</v>
      </c>
      <c r="C10" s="48" t="str">
        <f t="shared" si="9"/>
        <v>TC9_08_Ant</v>
      </c>
      <c r="D10" s="103" t="str">
        <f>_xlfn.XLOOKUP($E10,Tab_Def_Processes[Name(EN)],Tab_Def_Processes[ID],,0,)</f>
        <v>08</v>
      </c>
      <c r="E10" s="50" t="s">
        <v>109</v>
      </c>
      <c r="F10" s="48"/>
      <c r="G10" s="48">
        <f>_xlfn.XLOOKUP(E10,Tab_Def_Processes[Name(EN)],Tab_Def_Processes[Carbon_Stock],,0,)</f>
        <v>0</v>
      </c>
      <c r="H10" s="48">
        <f>_xlfn.XLOOKUP(E10,Tab_Def_Processes[Name(EN)],Tab_Def_Processes[Life_Phase],,0,)</f>
        <v>0</v>
      </c>
      <c r="I10" s="48">
        <f>_xlfn.XLOOKUP(E10,Tab_Def_Processes[Name(EN)],Tab_Def_Processes[Description],,0,)</f>
        <v>0</v>
      </c>
      <c r="J10" s="48" t="str">
        <f>_xlfn.XLOOKUP($E10,Tab_Def_Processes[Name(EN)],Tab_Def_Processes[Process_Type],,0,)</f>
        <v>Process</v>
      </c>
      <c r="K10" s="48" t="str">
        <f>_xlfn.XLOOKUP($E10,Tab_Def_Processes[Name(EN)],Tab_Def_Processes[TC?],,0,)</f>
        <v>No</v>
      </c>
      <c r="L10" s="48" t="str">
        <f>_xlfn.XLOOKUP($E10,Tab_Def_Processes[Name(EN)],Tab_Def_Processes[Dyn_TC?],,0,)</f>
        <v>No</v>
      </c>
      <c r="M10" s="48" t="str">
        <f>_xlfn.XLOOKUP($E10,Tab_Def_Processes[Name(EN)],Tab_Def_Processes[Stock?],,0,)</f>
        <v>Yes</v>
      </c>
      <c r="N10" s="57" t="str">
        <f>_xlfn.XLOOKUP($E10,Tab_Def_Processes[Name(EN)],Tab_Def_Processes[Input_Flow_I_1],,0,)</f>
        <v>N.A.</v>
      </c>
      <c r="O10" s="48" t="e">
        <f>_xlfn.XLOOKUP($E10,Tab_Def_Processes[Name(EN)],Tab_Def_Processes[Flow_ID_I_1],,0,)</f>
        <v>#N/A</v>
      </c>
      <c r="P10" s="72"/>
      <c r="Q10" s="69" t="str">
        <f>_xlfn.XLOOKUP($E10,Tab_Def_Processes[Name(EN)],Tab_Def_Processes[Input_Flow_I_2],,0,)</f>
        <v>N.A.</v>
      </c>
      <c r="R10" s="48" t="e">
        <f>_xlfn.XLOOKUP($E10,Tab_Def_Processes[Name(EN)],Tab_Def_Processes[Flow_ID_I_2],,0,)</f>
        <v>#N/A</v>
      </c>
      <c r="S10" s="72"/>
      <c r="T10" s="69" t="str">
        <f>_xlfn.XLOOKUP($E10,Tab_Def_Processes[Name(EN)],Tab_Def_Processes[Input_Flow_I_3],,0,)</f>
        <v>N.A.</v>
      </c>
      <c r="U10" s="48" t="e">
        <f>_xlfn.XLOOKUP($E10,Tab_Def_Processes[Name(EN)],Tab_Def_Processes[Flow_ID_I_3],,0,)</f>
        <v>#N/A</v>
      </c>
      <c r="V10" s="72"/>
      <c r="W10" s="69" t="str">
        <f>_xlfn.XLOOKUP($E10,Tab_Def_Processes[Name(EN)],Tab_Def_Processes[Input_Flow_I_4],,0,)</f>
        <v>N.A.</v>
      </c>
      <c r="X10" s="48" t="e">
        <f>_xlfn.XLOOKUP($E10,Tab_Def_Processes[Name(EN)],Tab_Def_Processes[Flow_ID_I_4],,0,)</f>
        <v>#N/A</v>
      </c>
      <c r="Y10" s="72"/>
      <c r="Z10" s="69" t="str">
        <f>_xlfn.XLOOKUP($E10,Tab_Def_Processes[Name(EN)],Tab_Def_Processes[Input_Flow_I_5],,0,)</f>
        <v>N.A.</v>
      </c>
      <c r="AA10" s="48" t="e">
        <f>_xlfn.XLOOKUP($E10,Tab_Def_Processes[Name(EN)],Tab_Def_Processes[Flow_ID_I_5],,0,)</f>
        <v>#N/A</v>
      </c>
      <c r="AB10" s="72"/>
      <c r="AC10" s="71">
        <f>Tab_Process_TCs[[#This Row],[Flow_TC_I_1_'[%']]]+Tab_Process_TCs[[#This Row],[Flow_TC_I_2_'[%']]]+Tab_Process_TCs[[#This Row],[Flow_TC_I_3_'[%']]]+Tab_Process_TCs[[#This Row],[Flow_TC_I_4_'[%']]]+Tab_Process_TCs[[#This Row],[Flow_TC_I_5_'[%']]]</f>
        <v>0</v>
      </c>
      <c r="AD10" s="48">
        <f>_xlfn.XLOOKUP($E10,Tab_Def_Processes[Name(EN)],Tab_Def_Processes[Output_Flow_O_1],,0,)</f>
        <v>0</v>
      </c>
      <c r="AE10" s="57" t="e">
        <f>_xlfn.XLOOKUP($E10,Tab_Def_Processes[Name(EN)],Tab_Def_Processes[Flow_ID_O_1],,0,)</f>
        <v>#N/A</v>
      </c>
      <c r="AF10" s="96" t="e">
        <f t="shared" si="10"/>
        <v>#N/A</v>
      </c>
      <c r="AG10" s="231"/>
      <c r="AH10" s="227">
        <f>_xlfn.XLOOKUP($E10,Tab_Def_Processes[Name(EN)],Tab_Def_Processes[Output_Flow_O_2],,0,)</f>
        <v>0</v>
      </c>
      <c r="AI10" s="109" t="e">
        <f>_xlfn.XLOOKUP($E10,Tab_Def_Processes[Name(EN)],Tab_Def_Processes[Flow_ID_O_2],,0,)</f>
        <v>#N/A</v>
      </c>
      <c r="AJ10" s="96" t="e">
        <f t="shared" si="11"/>
        <v>#N/A</v>
      </c>
      <c r="AK10" s="224"/>
      <c r="AL10" s="109">
        <f>_xlfn.XLOOKUP($E10,Tab_Def_Processes[Name(EN)],Tab_Def_Processes[Output_Flow_O_3],,0,)</f>
        <v>0</v>
      </c>
      <c r="AM10" s="109" t="e">
        <f>_xlfn.XLOOKUP($E10,Tab_Def_Processes[Name(EN)],Tab_Def_Processes[Flow_ID_O_3],,0,)</f>
        <v>#N/A</v>
      </c>
      <c r="AN10" s="96" t="e">
        <f t="shared" si="12"/>
        <v>#N/A</v>
      </c>
      <c r="AO10" s="105"/>
      <c r="AP10" s="71">
        <f>SUM(Tab_Process_TCs[[#This Row],[TC_O_1_'[%']]],Tab_Process_TCs[[#This Row],[TC_O_3_'[%']]],Tab_Process_TCs[[#This Row],[TC_O_2_'[%']]])</f>
        <v>0</v>
      </c>
      <c r="AQ10" s="50"/>
      <c r="AR10" s="50"/>
      <c r="AS10" s="50"/>
      <c r="AT10" s="50"/>
      <c r="AU10" s="50"/>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D660546-B6E2-4E7D-B18F-B330E78B22EC}">
          <x14:formula1>
            <xm:f>'2_1_Definition_Processes'!$D$2:$D$10</xm:f>
          </x14:formula1>
          <xm:sqref>F2:F10 E1:E1048576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X10"/>
  <sheetViews>
    <sheetView topLeftCell="E1" zoomScale="115" zoomScaleNormal="115" workbookViewId="0">
      <selection activeCell="L14" sqref="L14"/>
    </sheetView>
  </sheetViews>
  <sheetFormatPr baseColWidth="10" defaultColWidth="10.77734375" defaultRowHeight="14.4" x14ac:dyDescent="0.3"/>
  <cols>
    <col min="2" max="2" width="5.109375" bestFit="1" customWidth="1"/>
    <col min="3" max="4" width="20.44140625" customWidth="1"/>
    <col min="5" max="6" width="14.44140625" customWidth="1"/>
    <col min="7" max="7" width="32.44140625" customWidth="1"/>
    <col min="8" max="9" width="15.44140625" customWidth="1"/>
    <col min="10" max="10" width="21.44140625" customWidth="1"/>
    <col min="11" max="11" width="15.44140625" customWidth="1"/>
    <col min="13" max="13" width="25.77734375" customWidth="1"/>
    <col min="14" max="14" width="22.44140625" customWidth="1"/>
    <col min="17" max="17" width="21.44140625" customWidth="1"/>
    <col min="18" max="18" width="20" customWidth="1"/>
    <col min="19" max="19" width="32.77734375" customWidth="1"/>
    <col min="23" max="23" width="17.77734375" customWidth="1"/>
  </cols>
  <sheetData>
    <row r="1" spans="1:24" x14ac:dyDescent="0.3">
      <c r="A1" s="61" t="s">
        <v>243</v>
      </c>
      <c r="B1" s="8" t="s">
        <v>21</v>
      </c>
      <c r="C1" t="s">
        <v>244</v>
      </c>
      <c r="D1" s="60" t="s">
        <v>86</v>
      </c>
      <c r="E1" s="60" t="s">
        <v>23</v>
      </c>
      <c r="F1" t="s">
        <v>24</v>
      </c>
      <c r="G1" t="s">
        <v>87</v>
      </c>
      <c r="H1" t="s">
        <v>88</v>
      </c>
      <c r="I1" s="47" t="s">
        <v>89</v>
      </c>
      <c r="J1" s="24" t="s">
        <v>136</v>
      </c>
      <c r="K1" s="25" t="s">
        <v>56</v>
      </c>
      <c r="L1" s="31" t="s">
        <v>91</v>
      </c>
      <c r="M1" s="61" t="s">
        <v>164</v>
      </c>
      <c r="N1" s="61" t="s">
        <v>245</v>
      </c>
      <c r="O1" s="61" t="s">
        <v>246</v>
      </c>
      <c r="P1" s="61" t="s">
        <v>247</v>
      </c>
      <c r="Q1" s="61" t="s">
        <v>248</v>
      </c>
      <c r="R1" s="61" t="s">
        <v>249</v>
      </c>
      <c r="S1" s="61" t="s">
        <v>250</v>
      </c>
      <c r="T1" s="61" t="s">
        <v>251</v>
      </c>
      <c r="U1" s="61" t="s">
        <v>252</v>
      </c>
      <c r="V1" s="61" t="s">
        <v>160</v>
      </c>
      <c r="W1" s="61" t="s">
        <v>161</v>
      </c>
      <c r="X1" s="61" t="s">
        <v>67</v>
      </c>
    </row>
    <row r="2" spans="1:24" x14ac:dyDescent="0.3">
      <c r="A2" s="84" t="b">
        <v>0</v>
      </c>
      <c r="B2" s="48">
        <f t="shared" ref="B2:B10" si="0">ROW()-1</f>
        <v>1</v>
      </c>
      <c r="C2" s="48" t="str">
        <f t="shared" ref="C2:C6" si="1">LEFT(B2,2)&amp;"_"&amp;LEFT(M2,4)&amp;"_"&amp;LEFT(D2,12)</f>
        <v>1_1920_00_Bio_</v>
      </c>
      <c r="D2" s="48" t="str">
        <f>_xlfn.XLOOKUP($E2,Tab_Def_Processes[Name(EN)],Tab_Def_Processes[Process_ID],,0,)</f>
        <v>00_Bio_</v>
      </c>
      <c r="E2" s="50" t="s">
        <v>104</v>
      </c>
      <c r="F2" s="48">
        <f>_xlfn.XLOOKUP(E2,Tab_Def_Processes[Name(EN)],Tab_Def_Processes[Region],,0,)</f>
        <v>0</v>
      </c>
      <c r="G2" s="48">
        <f>_xlfn.XLOOKUP(E2,Tab_Def_Processes[Name(EN)],Tab_Def_Processes[Carbon_Stock],,0,)</f>
        <v>0</v>
      </c>
      <c r="H2" s="48">
        <f>_xlfn.XLOOKUP(E2,Tab_Def_Processes[Name(EN)],Tab_Def_Processes[Life_Phase],,0,)</f>
        <v>0</v>
      </c>
      <c r="I2" s="48">
        <f>_xlfn.XLOOKUP(E2,Tab_Def_Processes[Name(EN)],Tab_Def_Processes[Description],,0,)</f>
        <v>0</v>
      </c>
      <c r="J2" s="48" t="str">
        <f>_xlfn.XLOOKUP($E2,Tab_Def_Processes[Name(EN)],Tab_Def_Processes[Process_Type],,0,)</f>
        <v>Process</v>
      </c>
      <c r="K2" s="48" t="str">
        <f>_xlfn.XLOOKUP($E2,Tab_Def_Processes[Name(EN)],Tab_Def_Processes[TC?],,0,)</f>
        <v>Yes</v>
      </c>
      <c r="L2" s="48" t="str">
        <f>_xlfn.XLOOKUP($E2,Tab_Def_Processes[Name(EN)],Tab_Def_Processes[Stock?],,0,)</f>
        <v>Yes</v>
      </c>
      <c r="M2" s="50">
        <v>1920</v>
      </c>
      <c r="N2" s="50"/>
      <c r="O2" s="50">
        <v>1000</v>
      </c>
      <c r="P2" s="50" t="s">
        <v>85</v>
      </c>
      <c r="Q2" s="50"/>
      <c r="R2" s="50"/>
      <c r="S2" s="50" t="s">
        <v>85</v>
      </c>
      <c r="T2" s="50"/>
      <c r="U2" s="50"/>
      <c r="V2" s="50"/>
      <c r="W2" s="50"/>
      <c r="X2" s="50"/>
    </row>
    <row r="3" spans="1:24" x14ac:dyDescent="0.3">
      <c r="A3" s="84" t="b">
        <v>0</v>
      </c>
      <c r="B3" s="48">
        <f t="shared" si="0"/>
        <v>2</v>
      </c>
      <c r="C3" s="48" t="str">
        <f t="shared" si="1"/>
        <v>2_2025_01_Raw_</v>
      </c>
      <c r="D3" s="48" t="str">
        <f>_xlfn.XLOOKUP($E3,Tab_Def_Processes[Name(EN)],Tab_Def_Processes[Process_ID],,0,)</f>
        <v>01_Raw_</v>
      </c>
      <c r="E3" s="50" t="s">
        <v>103</v>
      </c>
      <c r="F3" s="48">
        <f>_xlfn.XLOOKUP(E3,Tab_Def_Processes[Name(EN)],Tab_Def_Processes[Region],,0,)</f>
        <v>0</v>
      </c>
      <c r="G3" s="48">
        <f>_xlfn.XLOOKUP(E3,Tab_Def_Processes[Name(EN)],Tab_Def_Processes[Carbon_Stock],,0,)</f>
        <v>0</v>
      </c>
      <c r="H3" s="48">
        <f>_xlfn.XLOOKUP(E3,Tab_Def_Processes[Name(EN)],Tab_Def_Processes[Life_Phase],,0,)</f>
        <v>0</v>
      </c>
      <c r="I3" s="48">
        <f>_xlfn.XLOOKUP(E3,Tab_Def_Processes[Name(EN)],Tab_Def_Processes[Description],,0,)</f>
        <v>0</v>
      </c>
      <c r="J3" s="48" t="str">
        <f>_xlfn.XLOOKUP($E3,Tab_Def_Processes[Name(EN)],Tab_Def_Processes[Process_Type],,0,)</f>
        <v>Process</v>
      </c>
      <c r="K3" s="48" t="str">
        <f>_xlfn.XLOOKUP($E3,Tab_Def_Processes[Name(EN)],Tab_Def_Processes[TC?],,0,)</f>
        <v>Yes</v>
      </c>
      <c r="L3" s="48" t="str">
        <f>_xlfn.XLOOKUP($E3,Tab_Def_Processes[Name(EN)],Tab_Def_Processes[Stock?],,0,)</f>
        <v>No</v>
      </c>
      <c r="M3" s="50">
        <v>2025</v>
      </c>
      <c r="N3" s="50"/>
      <c r="O3" s="50"/>
      <c r="P3" s="50"/>
      <c r="Q3" s="50"/>
      <c r="R3" s="50"/>
      <c r="S3" s="50"/>
      <c r="T3" s="50"/>
      <c r="U3" s="50"/>
      <c r="V3" s="50"/>
      <c r="W3" s="50"/>
      <c r="X3" s="50"/>
    </row>
    <row r="4" spans="1:24" x14ac:dyDescent="0.3">
      <c r="A4" s="84" t="b">
        <v>0</v>
      </c>
      <c r="B4" s="48">
        <f t="shared" si="0"/>
        <v>3</v>
      </c>
      <c r="C4" s="48" t="str">
        <f t="shared" si="1"/>
        <v>3_1920_02_Pro_</v>
      </c>
      <c r="D4" s="48" t="str">
        <f>_xlfn.XLOOKUP($E4,Tab_Def_Processes[Name(EN)],Tab_Def_Processes[Process_ID],,0,)</f>
        <v>02_Pro_</v>
      </c>
      <c r="E4" s="50" t="s">
        <v>108</v>
      </c>
      <c r="F4" s="48">
        <f>_xlfn.XLOOKUP(E4,Tab_Def_Processes[Name(EN)],Tab_Def_Processes[Region],,0,)</f>
        <v>0</v>
      </c>
      <c r="G4" s="48">
        <f>_xlfn.XLOOKUP(E4,Tab_Def_Processes[Name(EN)],Tab_Def_Processes[Carbon_Stock],,0,)</f>
        <v>0</v>
      </c>
      <c r="H4" s="48">
        <f>_xlfn.XLOOKUP(E4,Tab_Def_Processes[Name(EN)],Tab_Def_Processes[Life_Phase],,0,)</f>
        <v>0</v>
      </c>
      <c r="I4" s="48">
        <f>_xlfn.XLOOKUP(E4,Tab_Def_Processes[Name(EN)],Tab_Def_Processes[Description],,0,)</f>
        <v>0</v>
      </c>
      <c r="J4" s="48" t="str">
        <f>_xlfn.XLOOKUP($E4,Tab_Def_Processes[Name(EN)],Tab_Def_Processes[Process_Type],,0,)</f>
        <v>Process</v>
      </c>
      <c r="K4" s="48" t="str">
        <f>_xlfn.XLOOKUP($E4,Tab_Def_Processes[Name(EN)],Tab_Def_Processes[TC?],,0,)</f>
        <v>Yes</v>
      </c>
      <c r="L4" s="48" t="str">
        <f>_xlfn.XLOOKUP($E4,Tab_Def_Processes[Name(EN)],Tab_Def_Processes[Stock?],,0,)</f>
        <v>Yes</v>
      </c>
      <c r="M4" s="50">
        <v>1920</v>
      </c>
      <c r="N4" s="50"/>
      <c r="O4" s="50">
        <v>1000</v>
      </c>
      <c r="P4" s="50" t="s">
        <v>85</v>
      </c>
      <c r="Q4" s="50"/>
      <c r="R4" s="50"/>
      <c r="S4" s="50" t="s">
        <v>85</v>
      </c>
      <c r="T4" s="50"/>
      <c r="U4" s="50"/>
      <c r="V4" s="50"/>
      <c r="W4" s="50"/>
      <c r="X4" s="50"/>
    </row>
    <row r="5" spans="1:24" x14ac:dyDescent="0.3">
      <c r="A5" s="84" t="b">
        <v>0</v>
      </c>
      <c r="B5" s="48">
        <f t="shared" si="0"/>
        <v>4</v>
      </c>
      <c r="C5" s="48" t="str">
        <f t="shared" si="1"/>
        <v>4_1920_03_Use_</v>
      </c>
      <c r="D5" s="48" t="str">
        <f>_xlfn.XLOOKUP($E5,Tab_Def_Processes[Name(EN)],Tab_Def_Processes[Process_ID],,0,)</f>
        <v>03_Use_</v>
      </c>
      <c r="E5" s="50" t="s">
        <v>112</v>
      </c>
      <c r="F5" s="48">
        <f>_xlfn.XLOOKUP(E5,Tab_Def_Processes[Name(EN)],Tab_Def_Processes[Region],,0,)</f>
        <v>0</v>
      </c>
      <c r="G5" s="48">
        <f>_xlfn.XLOOKUP(E5,Tab_Def_Processes[Name(EN)],Tab_Def_Processes[Carbon_Stock],,0,)</f>
        <v>0</v>
      </c>
      <c r="H5" s="48">
        <f>_xlfn.XLOOKUP(E5,Tab_Def_Processes[Name(EN)],Tab_Def_Processes[Life_Phase],,0,)</f>
        <v>0</v>
      </c>
      <c r="I5" s="48">
        <f>_xlfn.XLOOKUP(E5,Tab_Def_Processes[Name(EN)],Tab_Def_Processes[Description],,0,)</f>
        <v>0</v>
      </c>
      <c r="J5" s="48" t="str">
        <f>_xlfn.XLOOKUP($E5,Tab_Def_Processes[Name(EN)],Tab_Def_Processes[Process_Type],,0,)</f>
        <v>Process</v>
      </c>
      <c r="K5" s="48" t="str">
        <f>_xlfn.XLOOKUP($E5,Tab_Def_Processes[Name(EN)],Tab_Def_Processes[TC?],,0,)</f>
        <v>Yes</v>
      </c>
      <c r="L5" s="48" t="str">
        <f>_xlfn.XLOOKUP($E5,Tab_Def_Processes[Name(EN)],Tab_Def_Processes[Stock?],,0,)</f>
        <v>Yes</v>
      </c>
      <c r="M5" s="50">
        <v>1920</v>
      </c>
      <c r="N5" s="50"/>
      <c r="O5" s="62">
        <v>1000</v>
      </c>
      <c r="P5" s="50" t="s">
        <v>85</v>
      </c>
      <c r="Q5" s="50"/>
      <c r="R5" s="50"/>
      <c r="S5" s="50" t="s">
        <v>85</v>
      </c>
      <c r="T5" s="50"/>
      <c r="U5" s="50"/>
      <c r="V5" s="50"/>
      <c r="W5" s="50"/>
      <c r="X5" s="50"/>
    </row>
    <row r="6" spans="1:24" x14ac:dyDescent="0.3">
      <c r="A6" s="84" t="b">
        <v>0</v>
      </c>
      <c r="B6" s="48">
        <f t="shared" si="0"/>
        <v>5</v>
      </c>
      <c r="C6" s="48" t="str">
        <f t="shared" si="1"/>
        <v>5_2025_04_Ref_</v>
      </c>
      <c r="D6" s="48" t="str">
        <f>_xlfn.XLOOKUP($E6,Tab_Def_Processes[Name(EN)],Tab_Def_Processes[Process_ID],,0,)</f>
        <v>04_Ref_</v>
      </c>
      <c r="E6" s="50" t="s">
        <v>115</v>
      </c>
      <c r="F6" s="48">
        <f>_xlfn.XLOOKUP(E6,Tab_Def_Processes[Name(EN)],Tab_Def_Processes[Region],,0,)</f>
        <v>0</v>
      </c>
      <c r="G6" s="48">
        <f>_xlfn.XLOOKUP(E6,Tab_Def_Processes[Name(EN)],Tab_Def_Processes[Carbon_Stock],,0,)</f>
        <v>0</v>
      </c>
      <c r="H6" s="48">
        <f>_xlfn.XLOOKUP(E6,Tab_Def_Processes[Name(EN)],Tab_Def_Processes[Life_Phase],,0,)</f>
        <v>0</v>
      </c>
      <c r="I6" s="48">
        <f>_xlfn.XLOOKUP(E6,Tab_Def_Processes[Name(EN)],Tab_Def_Processes[Description],,0,)</f>
        <v>0</v>
      </c>
      <c r="J6" s="48" t="str">
        <f>_xlfn.XLOOKUP($E6,Tab_Def_Processes[Name(EN)],Tab_Def_Processes[Process_Type],,0,)</f>
        <v>Process</v>
      </c>
      <c r="K6" s="48" t="str">
        <f>_xlfn.XLOOKUP($E6,Tab_Def_Processes[Name(EN)],Tab_Def_Processes[TC?],,0,)</f>
        <v>Yes</v>
      </c>
      <c r="L6" s="48" t="str">
        <f>_xlfn.XLOOKUP($E6,Tab_Def_Processes[Name(EN)],Tab_Def_Processes[Stock?],,0,)</f>
        <v>No</v>
      </c>
      <c r="M6" s="50">
        <v>2025</v>
      </c>
      <c r="N6" s="50"/>
      <c r="O6" s="50"/>
      <c r="P6" s="50"/>
      <c r="Q6" s="50"/>
      <c r="R6" s="50"/>
      <c r="S6" s="50"/>
      <c r="T6" s="50"/>
      <c r="U6" s="50"/>
      <c r="V6" s="50"/>
      <c r="W6" s="50"/>
      <c r="X6" s="50"/>
    </row>
    <row r="7" spans="1:24" x14ac:dyDescent="0.3">
      <c r="A7" s="84" t="b">
        <v>0</v>
      </c>
      <c r="B7" s="48">
        <f t="shared" si="0"/>
        <v>6</v>
      </c>
      <c r="C7" s="48" t="str">
        <f t="shared" ref="C7:C10" si="2">LEFT(B7,2)&amp;"_"&amp;LEFT(M7,4)&amp;"_"&amp;LEFT(D7,12)</f>
        <v>6_2026_05_Deg_</v>
      </c>
      <c r="D7" s="48" t="str">
        <f>_xlfn.XLOOKUP($E7,Tab_Def_Processes[Name(EN)],Tab_Def_Processes[Process_ID],,0,)</f>
        <v>05_Deg_</v>
      </c>
      <c r="E7" s="50" t="s">
        <v>119</v>
      </c>
      <c r="F7" s="48">
        <f>_xlfn.XLOOKUP(E7,Tab_Def_Processes[Name(EN)],Tab_Def_Processes[Region],,0,)</f>
        <v>0</v>
      </c>
      <c r="G7" s="48">
        <f>_xlfn.XLOOKUP(E7,Tab_Def_Processes[Name(EN)],Tab_Def_Processes[Carbon_Stock],,0,)</f>
        <v>0</v>
      </c>
      <c r="H7" s="48">
        <f>_xlfn.XLOOKUP(E7,Tab_Def_Processes[Name(EN)],Tab_Def_Processes[Life_Phase],,0,)</f>
        <v>0</v>
      </c>
      <c r="I7" s="48">
        <f>_xlfn.XLOOKUP(E7,Tab_Def_Processes[Name(EN)],Tab_Def_Processes[Description],,0,)</f>
        <v>0</v>
      </c>
      <c r="J7" s="48" t="str">
        <f>_xlfn.XLOOKUP($E7,Tab_Def_Processes[Name(EN)],Tab_Def_Processes[Process_Type],,0,)</f>
        <v>Process</v>
      </c>
      <c r="K7" s="48" t="str">
        <f>_xlfn.XLOOKUP($E7,Tab_Def_Processes[Name(EN)],Tab_Def_Processes[TC?],,0,)</f>
        <v>Yes</v>
      </c>
      <c r="L7" s="48" t="str">
        <f>_xlfn.XLOOKUP($E7,Tab_Def_Processes[Name(EN)],Tab_Def_Processes[Stock?],,0,)</f>
        <v>No</v>
      </c>
      <c r="M7" s="50">
        <v>2026</v>
      </c>
      <c r="N7" s="50"/>
      <c r="O7" s="50"/>
      <c r="P7" s="50"/>
      <c r="Q7" s="50"/>
      <c r="R7" s="50"/>
      <c r="S7" s="50"/>
      <c r="T7" s="50"/>
      <c r="U7" s="50"/>
      <c r="V7" s="50"/>
      <c r="W7" s="50"/>
      <c r="X7" s="50"/>
    </row>
    <row r="8" spans="1:24" x14ac:dyDescent="0.3">
      <c r="A8" s="84" t="b">
        <v>0</v>
      </c>
      <c r="B8" s="48">
        <f t="shared" si="0"/>
        <v>7</v>
      </c>
      <c r="C8" s="48" t="str">
        <f t="shared" si="2"/>
        <v>7_2027_06_Inc_</v>
      </c>
      <c r="D8" s="48" t="str">
        <f>_xlfn.XLOOKUP($E8,Tab_Def_Processes[Name(EN)],Tab_Def_Processes[Process_ID],,0,)</f>
        <v>06_Inc_</v>
      </c>
      <c r="E8" s="50" t="s">
        <v>117</v>
      </c>
      <c r="F8" s="48">
        <f>_xlfn.XLOOKUP(E8,Tab_Def_Processes[Name(EN)],Tab_Def_Processes[Region],,0,)</f>
        <v>0</v>
      </c>
      <c r="G8" s="48">
        <f>_xlfn.XLOOKUP(E8,Tab_Def_Processes[Name(EN)],Tab_Def_Processes[Carbon_Stock],,0,)</f>
        <v>0</v>
      </c>
      <c r="H8" s="48">
        <f>_xlfn.XLOOKUP(E8,Tab_Def_Processes[Name(EN)],Tab_Def_Processes[Life_Phase],,0,)</f>
        <v>0</v>
      </c>
      <c r="I8" s="48">
        <f>_xlfn.XLOOKUP(E8,Tab_Def_Processes[Name(EN)],Tab_Def_Processes[Description],,0,)</f>
        <v>0</v>
      </c>
      <c r="J8" s="48" t="str">
        <f>_xlfn.XLOOKUP($E8,Tab_Def_Processes[Name(EN)],Tab_Def_Processes[Process_Type],,0,)</f>
        <v>Process</v>
      </c>
      <c r="K8" s="48" t="str">
        <f>_xlfn.XLOOKUP($E8,Tab_Def_Processes[Name(EN)],Tab_Def_Processes[TC?],,0,)</f>
        <v>Yes</v>
      </c>
      <c r="L8" s="48" t="str">
        <f>_xlfn.XLOOKUP($E8,Tab_Def_Processes[Name(EN)],Tab_Def_Processes[Stock?],,0,)</f>
        <v>No</v>
      </c>
      <c r="M8" s="50">
        <v>2027</v>
      </c>
      <c r="N8" s="50"/>
      <c r="O8" s="50"/>
      <c r="P8" s="50"/>
      <c r="Q8" s="50"/>
      <c r="R8" s="50"/>
      <c r="S8" s="50"/>
      <c r="T8" s="50"/>
      <c r="U8" s="50"/>
      <c r="V8" s="50"/>
      <c r="W8" s="50"/>
      <c r="X8" s="50"/>
    </row>
    <row r="9" spans="1:24" x14ac:dyDescent="0.3">
      <c r="A9" s="84" t="b">
        <v>0</v>
      </c>
      <c r="B9" s="48">
        <f t="shared" si="0"/>
        <v>8</v>
      </c>
      <c r="C9" s="48" t="str">
        <f t="shared" si="2"/>
        <v>8_1920_07_Atm_</v>
      </c>
      <c r="D9" s="48" t="str">
        <f>_xlfn.XLOOKUP($E9,Tab_Def_Processes[Name(EN)],Tab_Def_Processes[Process_ID],,0,)</f>
        <v>07_Atm_</v>
      </c>
      <c r="E9" s="50" t="s">
        <v>43</v>
      </c>
      <c r="F9" s="48">
        <f>_xlfn.XLOOKUP(E9,Tab_Def_Processes[Name(EN)],Tab_Def_Processes[Region],,0,)</f>
        <v>0</v>
      </c>
      <c r="G9" s="48">
        <f>_xlfn.XLOOKUP(E9,Tab_Def_Processes[Name(EN)],Tab_Def_Processes[Carbon_Stock],,0,)</f>
        <v>0</v>
      </c>
      <c r="H9" s="48">
        <f>_xlfn.XLOOKUP(E9,Tab_Def_Processes[Name(EN)],Tab_Def_Processes[Life_Phase],,0,)</f>
        <v>0</v>
      </c>
      <c r="I9" s="48">
        <f>_xlfn.XLOOKUP(E9,Tab_Def_Processes[Name(EN)],Tab_Def_Processes[Description],,0,)</f>
        <v>0</v>
      </c>
      <c r="J9" s="48" t="str">
        <f>_xlfn.XLOOKUP($E9,Tab_Def_Processes[Name(EN)],Tab_Def_Processes[Process_Type],,0,)</f>
        <v>Process</v>
      </c>
      <c r="K9" s="48" t="str">
        <f>_xlfn.XLOOKUP($E9,Tab_Def_Processes[Name(EN)],Tab_Def_Processes[TC?],,0,)</f>
        <v>No</v>
      </c>
      <c r="L9" s="48" t="str">
        <f>_xlfn.XLOOKUP($E9,Tab_Def_Processes[Name(EN)],Tab_Def_Processes[Stock?],,0,)</f>
        <v>Yes</v>
      </c>
      <c r="M9" s="50">
        <v>1920</v>
      </c>
      <c r="N9" s="50"/>
      <c r="O9" s="50">
        <v>1000</v>
      </c>
      <c r="P9" s="50" t="s">
        <v>85</v>
      </c>
      <c r="Q9" s="50"/>
      <c r="R9" s="50"/>
      <c r="S9" s="50" t="s">
        <v>85</v>
      </c>
      <c r="T9" s="50"/>
      <c r="U9" s="50"/>
      <c r="V9" s="50"/>
      <c r="W9" s="50"/>
      <c r="X9" s="50"/>
    </row>
    <row r="10" spans="1:24" x14ac:dyDescent="0.3">
      <c r="A10" s="84" t="b">
        <v>0</v>
      </c>
      <c r="B10" s="48">
        <f t="shared" si="0"/>
        <v>9</v>
      </c>
      <c r="C10" s="48" t="str">
        <f t="shared" si="2"/>
        <v>9_2029_08_Ant_</v>
      </c>
      <c r="D10" s="48" t="str">
        <f>_xlfn.XLOOKUP($E10,Tab_Def_Processes[Name(EN)],Tab_Def_Processes[Process_ID],,0,)</f>
        <v>08_Ant_</v>
      </c>
      <c r="E10" s="50" t="s">
        <v>109</v>
      </c>
      <c r="F10" s="48">
        <f>_xlfn.XLOOKUP(E10,Tab_Def_Processes[Name(EN)],Tab_Def_Processes[Region],,0,)</f>
        <v>0</v>
      </c>
      <c r="G10" s="48">
        <f>_xlfn.XLOOKUP(E10,Tab_Def_Processes[Name(EN)],Tab_Def_Processes[Carbon_Stock],,0,)</f>
        <v>0</v>
      </c>
      <c r="H10" s="48">
        <f>_xlfn.XLOOKUP(E10,Tab_Def_Processes[Name(EN)],Tab_Def_Processes[Life_Phase],,0,)</f>
        <v>0</v>
      </c>
      <c r="I10" s="48">
        <f>_xlfn.XLOOKUP(E10,Tab_Def_Processes[Name(EN)],Tab_Def_Processes[Description],,0,)</f>
        <v>0</v>
      </c>
      <c r="J10" s="48" t="str">
        <f>_xlfn.XLOOKUP($E10,Tab_Def_Processes[Name(EN)],Tab_Def_Processes[Process_Type],,0,)</f>
        <v>Process</v>
      </c>
      <c r="K10" s="48" t="str">
        <f>_xlfn.XLOOKUP($E10,Tab_Def_Processes[Name(EN)],Tab_Def_Processes[TC?],,0,)</f>
        <v>No</v>
      </c>
      <c r="L10" s="48" t="str">
        <f>_xlfn.XLOOKUP($E10,Tab_Def_Processes[Name(EN)],Tab_Def_Processes[Stock?],,0,)</f>
        <v>Yes</v>
      </c>
      <c r="M10" s="50">
        <v>2029</v>
      </c>
      <c r="N10" s="50"/>
      <c r="O10" s="50"/>
      <c r="P10" s="50"/>
      <c r="Q10" s="50"/>
      <c r="R10" s="50"/>
      <c r="S10" s="50"/>
      <c r="T10" s="50"/>
      <c r="U10" s="50"/>
      <c r="V10" s="50"/>
      <c r="W10" s="50"/>
      <c r="X10" s="50"/>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'2_1_Definition_Processes'!$D$2:$D$10</xm:f>
          </x14:formula1>
          <xm:sqref>E2:E10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Q31"/>
  <sheetViews>
    <sheetView zoomScale="79" zoomScaleNormal="120" workbookViewId="0">
      <pane xSplit="5" topLeftCell="F1" activePane="topRight" state="frozen"/>
      <selection activeCell="A86" sqref="A86"/>
      <selection pane="topRight" activeCell="E7" sqref="E7"/>
    </sheetView>
  </sheetViews>
  <sheetFormatPr baseColWidth="10" defaultColWidth="10.77734375" defaultRowHeight="14.4" x14ac:dyDescent="0.3"/>
  <cols>
    <col min="2" max="2" width="5.33203125" bestFit="1" customWidth="1"/>
    <col min="3" max="3" width="9.44140625" bestFit="1" customWidth="1"/>
    <col min="4" max="4" width="12.6640625" style="102" bestFit="1" customWidth="1"/>
    <col min="5" max="5" width="26.109375" bestFit="1" customWidth="1"/>
    <col min="6" max="6" width="6.33203125" bestFit="1" customWidth="1"/>
    <col min="7" max="7" width="9.33203125" bestFit="1" customWidth="1"/>
    <col min="8" max="8" width="16.44140625" customWidth="1"/>
    <col min="9" max="9" width="8.6640625" bestFit="1" customWidth="1"/>
    <col min="10" max="10" width="6.77734375" bestFit="1" customWidth="1"/>
    <col min="11" max="11" width="12" bestFit="1" customWidth="1"/>
    <col min="12" max="12" width="8.6640625" bestFit="1" customWidth="1"/>
    <col min="13" max="14" width="12.44140625" hidden="1" customWidth="1"/>
    <col min="15" max="15" width="17" hidden="1" customWidth="1"/>
    <col min="16" max="16" width="16.44140625" hidden="1" customWidth="1"/>
    <col min="17" max="17" width="16.109375" hidden="1" customWidth="1"/>
    <col min="18" max="18" width="15.44140625" hidden="1" customWidth="1"/>
    <col min="19" max="19" width="0" hidden="1" customWidth="1"/>
    <col min="20" max="20" width="13.77734375" hidden="1" customWidth="1"/>
    <col min="21" max="27" width="0" hidden="1" customWidth="1"/>
    <col min="28" max="28" width="17.44140625" hidden="1" customWidth="1"/>
    <col min="29" max="34" width="17.77734375" hidden="1" customWidth="1"/>
    <col min="35" max="35" width="17.77734375" style="110" hidden="1" customWidth="1"/>
    <col min="36" max="36" width="42" style="110" hidden="1" customWidth="1"/>
    <col min="37" max="40" width="17.77734375" style="110" hidden="1" customWidth="1"/>
    <col min="41" max="41" width="26.109375" style="110" hidden="1" customWidth="1"/>
    <col min="42" max="56" width="17.77734375" style="110" hidden="1" customWidth="1"/>
    <col min="57" max="60" width="17.77734375" hidden="1" customWidth="1"/>
    <col min="61" max="66" width="0" hidden="1" customWidth="1"/>
  </cols>
  <sheetData>
    <row r="1" spans="1:69" x14ac:dyDescent="0.3">
      <c r="A1" s="61" t="s">
        <v>134</v>
      </c>
      <c r="B1" s="8" t="s">
        <v>21</v>
      </c>
      <c r="C1" s="102" t="s">
        <v>86</v>
      </c>
      <c r="D1" t="s">
        <v>23</v>
      </c>
      <c r="E1" s="47" t="s">
        <v>162</v>
      </c>
      <c r="F1" s="25" t="s">
        <v>56</v>
      </c>
      <c r="G1" s="25" t="s">
        <v>163</v>
      </c>
      <c r="H1" t="s">
        <v>22</v>
      </c>
      <c r="I1" t="s">
        <v>135</v>
      </c>
      <c r="J1" s="25" t="s">
        <v>164</v>
      </c>
      <c r="K1" s="25" t="s">
        <v>165</v>
      </c>
      <c r="L1" s="31" t="s">
        <v>91</v>
      </c>
      <c r="M1" s="25" t="s">
        <v>166</v>
      </c>
      <c r="N1" s="54" t="s">
        <v>92</v>
      </c>
      <c r="O1" s="54" t="s">
        <v>93</v>
      </c>
      <c r="P1" s="67" t="s">
        <v>137</v>
      </c>
      <c r="Q1" s="54" t="s">
        <v>94</v>
      </c>
      <c r="R1" s="54" t="s">
        <v>122</v>
      </c>
      <c r="S1" s="67" t="s">
        <v>138</v>
      </c>
      <c r="T1" s="68" t="s">
        <v>121</v>
      </c>
      <c r="U1" s="64" t="s">
        <v>139</v>
      </c>
      <c r="V1" s="70" t="s">
        <v>140</v>
      </c>
      <c r="W1" s="68" t="s">
        <v>123</v>
      </c>
      <c r="X1" s="63" t="s">
        <v>141</v>
      </c>
      <c r="Y1" s="67" t="s">
        <v>142</v>
      </c>
      <c r="Z1" s="68" t="s">
        <v>125</v>
      </c>
      <c r="AA1" s="63" t="s">
        <v>143</v>
      </c>
      <c r="AB1" s="67" t="s">
        <v>144</v>
      </c>
      <c r="AC1" s="63" t="s">
        <v>145</v>
      </c>
      <c r="AD1" s="232" t="s">
        <v>96</v>
      </c>
      <c r="AE1" s="232" t="s">
        <v>97</v>
      </c>
      <c r="AF1" s="232" t="s">
        <v>167</v>
      </c>
      <c r="AG1" s="232" t="s">
        <v>146</v>
      </c>
      <c r="AH1" s="233" t="s">
        <v>147</v>
      </c>
      <c r="AI1" s="234" t="s">
        <v>98</v>
      </c>
      <c r="AJ1" s="234" t="s">
        <v>99</v>
      </c>
      <c r="AK1" s="234" t="s">
        <v>168</v>
      </c>
      <c r="AL1" s="232" t="s">
        <v>148</v>
      </c>
      <c r="AM1" s="233" t="s">
        <v>149</v>
      </c>
      <c r="AN1" s="234" t="s">
        <v>100</v>
      </c>
      <c r="AO1" s="234" t="s">
        <v>101</v>
      </c>
      <c r="AP1" s="234" t="s">
        <v>169</v>
      </c>
      <c r="AQ1" s="232" t="s">
        <v>150</v>
      </c>
      <c r="AR1" s="234" t="s">
        <v>151</v>
      </c>
      <c r="AS1" s="234" t="s">
        <v>127</v>
      </c>
      <c r="AT1" s="234" t="s">
        <v>128</v>
      </c>
      <c r="AU1" s="234" t="s">
        <v>170</v>
      </c>
      <c r="AV1" s="232" t="s">
        <v>152</v>
      </c>
      <c r="AW1" s="234" t="s">
        <v>153</v>
      </c>
      <c r="AX1" s="234" t="s">
        <v>129</v>
      </c>
      <c r="AY1" s="234" t="s">
        <v>130</v>
      </c>
      <c r="AZ1" s="234" t="s">
        <v>171</v>
      </c>
      <c r="BA1" s="232" t="s">
        <v>154</v>
      </c>
      <c r="BB1" s="234" t="s">
        <v>155</v>
      </c>
      <c r="BC1" s="106" t="s">
        <v>131</v>
      </c>
      <c r="BD1" s="106" t="s">
        <v>132</v>
      </c>
      <c r="BE1" s="106" t="s">
        <v>172</v>
      </c>
      <c r="BF1" s="65" t="s">
        <v>156</v>
      </c>
      <c r="BG1" s="106" t="s">
        <v>173</v>
      </c>
      <c r="BH1" s="107" t="s">
        <v>157</v>
      </c>
      <c r="BI1" s="78" t="s">
        <v>158</v>
      </c>
      <c r="BJ1" s="228" t="s">
        <v>159</v>
      </c>
      <c r="BK1" s="228" t="s">
        <v>160</v>
      </c>
      <c r="BL1" s="228" t="s">
        <v>161</v>
      </c>
      <c r="BM1" s="229" t="s">
        <v>67</v>
      </c>
      <c r="BP1" s="102"/>
      <c r="BQ1" s="251"/>
    </row>
    <row r="2" spans="1:69" x14ac:dyDescent="0.3">
      <c r="A2" s="84" t="b">
        <v>0</v>
      </c>
      <c r="B2" s="48">
        <f t="shared" ref="B2:B26" si="0">ROW()-1</f>
        <v>1</v>
      </c>
      <c r="C2" s="103" t="str">
        <f>_xlfn.XLOOKUP($D2,Tab_Process_TCs[Name(EN)],Tab_Process_TCs[Process_ID],,0,)</f>
        <v>02</v>
      </c>
      <c r="D2" s="50" t="s">
        <v>108</v>
      </c>
      <c r="E2" s="50" t="s">
        <v>528</v>
      </c>
      <c r="F2" s="48" t="str">
        <f>_xlfn.XLOOKUP($D2,Tab_Process_TCs[Name(EN)],Tab_Process_TCs[TC?],,0,)</f>
        <v>Yes</v>
      </c>
      <c r="G2" s="48" t="str">
        <f>_xlfn.XLOOKUP($D2,Tab_Process_TCs[Name(EN)],Tab_Process_TCs[Dyn_TC?],,0,)</f>
        <v>Yes</v>
      </c>
      <c r="H2" s="48" t="str">
        <f>_xlfn.XLOOKUP($E2,Tab_Def_Flows[Name(EN)],Tab_Def_Flows[Flow_ID],,0,1)</f>
        <v>F_02_08</v>
      </c>
      <c r="I2" s="50" t="str">
        <f>IF(Tab_Process_TCs2527[[#This Row],[Name(EN)]]="N.A.","N.A.","TC"&amp;"_"&amp;RIGHT(H2,5))</f>
        <v>TC_02_08</v>
      </c>
      <c r="J2" s="50">
        <v>1920</v>
      </c>
      <c r="K2" s="113">
        <f>'2_3_Process_TCs'!AK4</f>
        <v>0.55000000000000004</v>
      </c>
      <c r="L2" s="50" t="str">
        <f>_xlfn.XLOOKUP($D2,Tab_Def_Processes[Name(EN)],Tab_Def_Processes[Stock?],,0,)</f>
        <v>Yes</v>
      </c>
      <c r="M2" s="48"/>
      <c r="N2" s="57" t="str">
        <f>_xlfn.XLOOKUP($D2,Tab_Def_Processes[Name(EN)],Tab_Def_Processes[Input_Flow_I_1],,0,)</f>
        <v>N.A.</v>
      </c>
      <c r="O2" s="48" t="e">
        <f>_xlfn.XLOOKUP($D2,Tab_Def_Processes[Name(EN)],Tab_Def_Processes[Flow_ID_I_1],,0,)</f>
        <v>#N/A</v>
      </c>
      <c r="P2" s="72"/>
      <c r="Q2" s="69" t="str">
        <f>_xlfn.XLOOKUP($D2,Tab_Def_Processes[Name(EN)],Tab_Def_Processes[Input_Flow_I_2],,0,)</f>
        <v>N.A.</v>
      </c>
      <c r="R2" s="48" t="e">
        <f>_xlfn.XLOOKUP($D2,Tab_Def_Processes[Name(EN)],Tab_Def_Processes[Flow_ID_I_2],,0,)</f>
        <v>#N/A</v>
      </c>
      <c r="S2" s="72"/>
      <c r="T2" s="69" t="str">
        <f>_xlfn.XLOOKUP($D2,Tab_Def_Processes[Name(EN)],Tab_Def_Processes[Input_Flow_I_3],,0,)</f>
        <v>N.A.</v>
      </c>
      <c r="U2" s="48" t="e">
        <f>_xlfn.XLOOKUP($D2,Tab_Def_Processes[Name(EN)],Tab_Def_Processes[Flow_ID_I_3],,0,)</f>
        <v>#N/A</v>
      </c>
      <c r="V2" s="72"/>
      <c r="W2" s="69" t="str">
        <f>_xlfn.XLOOKUP($D2,Tab_Def_Processes[Name(EN)],Tab_Def_Processes[Input_Flow_I_4],,0,)</f>
        <v>N.A.</v>
      </c>
      <c r="X2" s="48" t="e">
        <f>_xlfn.XLOOKUP($D2,Tab_Def_Processes[Name(EN)],Tab_Def_Processes[Flow_ID_I_4],,0,)</f>
        <v>#N/A</v>
      </c>
      <c r="Y2" s="72"/>
      <c r="Z2" s="69" t="str">
        <f>_xlfn.XLOOKUP($D2,Tab_Def_Processes[Name(EN)],Tab_Def_Processes[Input_Flow_I_5],,0,)</f>
        <v>N.A.</v>
      </c>
      <c r="AA2" s="48" t="e">
        <f>_xlfn.XLOOKUP($D2,Tab_Def_Processes[Name(EN)],Tab_Def_Processes[Flow_ID_I_5],,0,)</f>
        <v>#N/A</v>
      </c>
      <c r="AB2" s="72"/>
      <c r="AC2" s="71">
        <f>Tab_Process_TCs2527[[#This Row],[Flow_TC_I_1_'[%']]]+Tab_Process_TCs2527[[#This Row],[Flow_TC_I_2_'[%']]]+Tab_Process_TCs2527[[#This Row],[Flow_TC_I_3_'[%']]]+Tab_Process_TCs2527[[#This Row],[Flow_TC_I_4_'[%']]]+Tab_Process_TCs2527[[#This Row],[Flow_TC_I_5_'[%']]]</f>
        <v>0</v>
      </c>
      <c r="AD2" s="57" t="e">
        <f>_xlfn.XLOOKUP($D2,Tab_Process_TCs[TC_ID],Tab_Process_TCs[Output_Flow_O_1],,0,)</f>
        <v>#N/A</v>
      </c>
      <c r="AE2" s="48" t="e">
        <f>_xlfn.XLOOKUP($D2,Tab_Process_TCs[TC_ID],Tab_Process_TCs[Flow_ID_O_1],,0,)</f>
        <v>#N/A</v>
      </c>
      <c r="AF2" s="96" t="str">
        <f>Tab_Process_TCs2527[[#This Row],[Flow_ID]]</f>
        <v>F_02_08</v>
      </c>
      <c r="AG2" s="48" t="e">
        <f t="shared" ref="AG2:AG26" si="1">"TC"&amp;"_"&amp;RIGHT(AE2,5)</f>
        <v>#N/A</v>
      </c>
      <c r="AH2" s="105">
        <v>0.2</v>
      </c>
      <c r="AI2" s="57" t="e">
        <f>_xlfn.XLOOKUP($D2,Tab_Process_TCs[TC_ID],Tab_Process_TCs[Output_Flow_O_2],,0,)</f>
        <v>#N/A</v>
      </c>
      <c r="AJ2" s="48" t="e">
        <f>_xlfn.XLOOKUP($D2,Tab_Process_TCs[TC_ID],Tab_Process_TCs[Flow_ID_O_2],,0,)</f>
        <v>#N/A</v>
      </c>
      <c r="AK2" s="96" t="str">
        <f>Tab_Process_TCs2527[[#This Row],[Flow_ID]]</f>
        <v>F_02_08</v>
      </c>
      <c r="AL2" s="48" t="e">
        <f t="shared" ref="AL2:AL26" si="2">"TC"&amp;"_"&amp;RIGHT(AJ2,5)</f>
        <v>#N/A</v>
      </c>
      <c r="AM2" s="231">
        <v>0.8</v>
      </c>
      <c r="AN2" s="57" t="e">
        <f>_xlfn.XLOOKUP($D2,Tab_Process_TCs[TC_ID],Tab_Process_TCs[Output_Flow_O_3],,0,)</f>
        <v>#N/A</v>
      </c>
      <c r="AO2" s="48" t="e">
        <f>_xlfn.XLOOKUP($D2,Tab_Process_TCs[TC_ID],Tab_Process_TCs[Flow_ID_O_3],,0,)</f>
        <v>#N/A</v>
      </c>
      <c r="AP2" s="96" t="str">
        <f>Tab_Process_TCs2527[[#This Row],[Flow_ID]]</f>
        <v>F_02_08</v>
      </c>
      <c r="AQ2" s="48" t="e">
        <f t="shared" ref="AQ2:AQ26" si="3">"TC"&amp;"_"&amp;RIGHT(AO2,5)</f>
        <v>#N/A</v>
      </c>
      <c r="AR2" s="224"/>
      <c r="AS2" s="57" t="e">
        <f>_xlfn.XLOOKUP($D2,Tab_Process_TCs[TC_ID],#REF!,,0,)</f>
        <v>#REF!</v>
      </c>
      <c r="AT2" s="48" t="e">
        <f>_xlfn.XLOOKUP($D2,Tab_Process_TCs[TC_ID],#REF!,,0,)</f>
        <v>#REF!</v>
      </c>
      <c r="AU2" s="96" t="str">
        <f>Tab_Process_TCs2527[[#This Row],[Flow_ID]]</f>
        <v>F_02_08</v>
      </c>
      <c r="AV2" s="96" t="e">
        <f t="shared" ref="AV2:AV26" si="4">"TC"&amp;"_"&amp;RIGHT(AO2,5)</f>
        <v>#N/A</v>
      </c>
      <c r="AW2" s="224"/>
      <c r="AX2" s="57" t="e">
        <f>_xlfn.XLOOKUP($D2,Tab_Process_TCs[TC_ID],#REF!,,0,)</f>
        <v>#REF!</v>
      </c>
      <c r="AY2" s="48" t="e">
        <f>_xlfn.XLOOKUP($D2,Tab_Process_TCs[TC_ID],#REF!,,0,)</f>
        <v>#REF!</v>
      </c>
      <c r="AZ2" s="96" t="str">
        <f>Tab_Process_TCs2527[[#This Row],[Flow_ID]]</f>
        <v>F_02_08</v>
      </c>
      <c r="BA2" s="96" t="e">
        <f t="shared" ref="BA2:BA26" si="5">"TC"&amp;"_"&amp;RIGHT(AY2,5)</f>
        <v>#REF!</v>
      </c>
      <c r="BB2" s="224"/>
      <c r="BC2" s="48" t="e">
        <f>_xlfn.XLOOKUP($D2,Tab_Process_TCs[TC_ID],#REF!,,0,)</f>
        <v>#REF!</v>
      </c>
      <c r="BD2" s="48" t="e">
        <f>_xlfn.XLOOKUP($D2,Tab_Process_TCs[TC_ID],#REF!,,0,)</f>
        <v>#REF!</v>
      </c>
      <c r="BE2" s="96" t="str">
        <f>Tab_Process_TCs2527[[#This Row],[Flow_ID]]</f>
        <v>F_02_08</v>
      </c>
      <c r="BF2" s="96" t="e">
        <f t="shared" ref="BF2:BF26" si="6">"TC"&amp;"_"&amp;RIGHT(BD2,5)</f>
        <v>#REF!</v>
      </c>
      <c r="BG2" s="105"/>
      <c r="BH2" s="108">
        <f>Tab_Process_TCs2527[[#This Row],[TC O_6_'[%']]]+Tab_Process_TCs2527[[#This Row],[TC O_5_'[%']]]+Tab_Process_TCs2527[[#This Row],[TC_O_4_'[%']]]+Tab_Process_TCs2527[[#This Row],[TC_O_3_'[%']]]+Tab_Process_TCs2527[[#This Row],[TC_O_2_'[%']]]+Tab_Process_TCs2527[[#This Row],[TC_O_1_'[%']]]</f>
        <v>1</v>
      </c>
      <c r="BI2" s="50"/>
      <c r="BJ2" s="50"/>
      <c r="BK2" s="50"/>
      <c r="BL2" s="50"/>
      <c r="BM2" s="50"/>
    </row>
    <row r="3" spans="1:69" x14ac:dyDescent="0.3">
      <c r="A3" s="84" t="b">
        <v>0</v>
      </c>
      <c r="B3" s="48">
        <f t="shared" si="0"/>
        <v>2</v>
      </c>
      <c r="C3" s="103" t="str">
        <f>_xlfn.XLOOKUP($D3,Tab_Process_TCs[Name(EN)],Tab_Process_TCs[Process_ID],,0,)</f>
        <v>02</v>
      </c>
      <c r="D3" s="50" t="s">
        <v>108</v>
      </c>
      <c r="E3" s="50" t="s">
        <v>111</v>
      </c>
      <c r="F3" s="48" t="str">
        <f>_xlfn.XLOOKUP($D3,Tab_Process_TCs[Name(EN)],Tab_Process_TCs[TC?],,0,)</f>
        <v>Yes</v>
      </c>
      <c r="G3" s="48" t="str">
        <f>_xlfn.XLOOKUP($D3,Tab_Process_TCs[Name(EN)],Tab_Process_TCs[Dyn_TC?],,0,)</f>
        <v>Yes</v>
      </c>
      <c r="H3" s="48" t="str">
        <f>_xlfn.XLOOKUP($E3,Tab_Def_Flows[Name(EN)],Tab_Def_Flows[Flow_ID],,0,1)</f>
        <v>F_02_03</v>
      </c>
      <c r="I3" s="50" t="str">
        <f>IF(Tab_Process_TCs2527[[#This Row],[Name(EN)]]="N.A.","N.A.","TC"&amp;"_"&amp;RIGHT(H3,5))</f>
        <v>TC_02_03</v>
      </c>
      <c r="J3" s="50">
        <v>1920</v>
      </c>
      <c r="K3" s="113">
        <f>'2_3_Process_TCs'!AG4</f>
        <v>0.45</v>
      </c>
      <c r="L3" s="50" t="str">
        <f>_xlfn.XLOOKUP($D3,Tab_Def_Processes[Name(EN)],Tab_Def_Processes[Stock?],,0,)</f>
        <v>Yes</v>
      </c>
      <c r="M3" s="48"/>
      <c r="N3" s="57" t="str">
        <f>_xlfn.XLOOKUP($D3,Tab_Def_Processes[Name(EN)],Tab_Def_Processes[Input_Flow_I_1],,0,)</f>
        <v>N.A.</v>
      </c>
      <c r="O3" s="48" t="e">
        <f>_xlfn.XLOOKUP($D3,Tab_Def_Processes[Name(EN)],Tab_Def_Processes[Flow_ID_I_1],,0,)</f>
        <v>#N/A</v>
      </c>
      <c r="P3" s="72"/>
      <c r="Q3" s="69" t="str">
        <f>_xlfn.XLOOKUP($D3,Tab_Def_Processes[Name(EN)],Tab_Def_Processes[Input_Flow_I_2],,0,)</f>
        <v>N.A.</v>
      </c>
      <c r="R3" s="48" t="e">
        <f>_xlfn.XLOOKUP($D3,Tab_Def_Processes[Name(EN)],Tab_Def_Processes[Flow_ID_I_2],,0,)</f>
        <v>#N/A</v>
      </c>
      <c r="S3" s="72"/>
      <c r="T3" s="69" t="str">
        <f>_xlfn.XLOOKUP($D3,Tab_Def_Processes[Name(EN)],Tab_Def_Processes[Input_Flow_I_3],,0,)</f>
        <v>N.A.</v>
      </c>
      <c r="U3" s="48" t="e">
        <f>_xlfn.XLOOKUP($D3,Tab_Def_Processes[Name(EN)],Tab_Def_Processes[Flow_ID_I_3],,0,)</f>
        <v>#N/A</v>
      </c>
      <c r="V3" s="72"/>
      <c r="W3" s="69" t="str">
        <f>_xlfn.XLOOKUP($D3,Tab_Def_Processes[Name(EN)],Tab_Def_Processes[Input_Flow_I_4],,0,)</f>
        <v>N.A.</v>
      </c>
      <c r="X3" s="48" t="e">
        <f>_xlfn.XLOOKUP($D3,Tab_Def_Processes[Name(EN)],Tab_Def_Processes[Flow_ID_I_4],,0,)</f>
        <v>#N/A</v>
      </c>
      <c r="Y3" s="72"/>
      <c r="Z3" s="69" t="str">
        <f>_xlfn.XLOOKUP($D3,Tab_Def_Processes[Name(EN)],Tab_Def_Processes[Input_Flow_I_5],,0,)</f>
        <v>N.A.</v>
      </c>
      <c r="AA3" s="48" t="e">
        <f>_xlfn.XLOOKUP($D3,Tab_Def_Processes[Name(EN)],Tab_Def_Processes[Flow_ID_I_5],,0,)</f>
        <v>#N/A</v>
      </c>
      <c r="AB3" s="72"/>
      <c r="AC3" s="71">
        <f>Tab_Process_TCs2527[[#This Row],[Flow_TC_I_1_'[%']]]+Tab_Process_TCs2527[[#This Row],[Flow_TC_I_2_'[%']]]+Tab_Process_TCs2527[[#This Row],[Flow_TC_I_3_'[%']]]+Tab_Process_TCs2527[[#This Row],[Flow_TC_I_4_'[%']]]+Tab_Process_TCs2527[[#This Row],[Flow_TC_I_5_'[%']]]</f>
        <v>0</v>
      </c>
      <c r="AD3" s="57" t="e">
        <f>_xlfn.XLOOKUP($D3,Tab_Process_TCs[TC_ID],Tab_Process_TCs[Output_Flow_O_1],,0,)</f>
        <v>#N/A</v>
      </c>
      <c r="AE3" s="48" t="e">
        <f>_xlfn.XLOOKUP($D3,Tab_Process_TCs[TC_ID],Tab_Process_TCs[Flow_ID_O_1],,0,)</f>
        <v>#N/A</v>
      </c>
      <c r="AF3" s="96" t="str">
        <f>Tab_Process_TCs2527[[#This Row],[Flow_ID]]</f>
        <v>F_02_03</v>
      </c>
      <c r="AG3" s="48" t="e">
        <f t="shared" si="1"/>
        <v>#N/A</v>
      </c>
      <c r="AH3" s="105">
        <v>0.2</v>
      </c>
      <c r="AI3" s="57" t="e">
        <f>_xlfn.XLOOKUP($D3,Tab_Process_TCs[TC_ID],Tab_Process_TCs[Output_Flow_O_2],,0,)</f>
        <v>#N/A</v>
      </c>
      <c r="AJ3" s="48" t="e">
        <f>_xlfn.XLOOKUP($D3,Tab_Process_TCs[TC_ID],Tab_Process_TCs[Flow_ID_O_2],,0,)</f>
        <v>#N/A</v>
      </c>
      <c r="AK3" s="96" t="str">
        <f>Tab_Process_TCs2527[[#This Row],[Flow_ID]]</f>
        <v>F_02_03</v>
      </c>
      <c r="AL3" s="48" t="e">
        <f t="shared" si="2"/>
        <v>#N/A</v>
      </c>
      <c r="AM3" s="231">
        <v>0.8</v>
      </c>
      <c r="AN3" s="57" t="e">
        <f>_xlfn.XLOOKUP($D3,Tab_Process_TCs[TC_ID],Tab_Process_TCs[Output_Flow_O_3],,0,)</f>
        <v>#N/A</v>
      </c>
      <c r="AO3" s="48" t="e">
        <f>_xlfn.XLOOKUP($D3,Tab_Process_TCs[TC_ID],Tab_Process_TCs[Flow_ID_O_3],,0,)</f>
        <v>#N/A</v>
      </c>
      <c r="AP3" s="96" t="str">
        <f>Tab_Process_TCs2527[[#This Row],[Flow_ID]]</f>
        <v>F_02_03</v>
      </c>
      <c r="AQ3" s="48" t="e">
        <f t="shared" si="3"/>
        <v>#N/A</v>
      </c>
      <c r="AR3" s="224"/>
      <c r="AS3" s="57" t="e">
        <f>_xlfn.XLOOKUP($D3,Tab_Process_TCs[TC_ID],#REF!,,0,)</f>
        <v>#REF!</v>
      </c>
      <c r="AT3" s="48" t="e">
        <f>_xlfn.XLOOKUP($D3,Tab_Process_TCs[TC_ID],#REF!,,0,)</f>
        <v>#REF!</v>
      </c>
      <c r="AU3" s="96" t="str">
        <f>Tab_Process_TCs2527[[#This Row],[Flow_ID]]</f>
        <v>F_02_03</v>
      </c>
      <c r="AV3" s="96" t="e">
        <f t="shared" si="4"/>
        <v>#N/A</v>
      </c>
      <c r="AW3" s="224"/>
      <c r="AX3" s="57" t="e">
        <f>_xlfn.XLOOKUP($D3,Tab_Process_TCs[TC_ID],#REF!,,0,)</f>
        <v>#REF!</v>
      </c>
      <c r="AY3" s="48" t="e">
        <f>_xlfn.XLOOKUP($D3,Tab_Process_TCs[TC_ID],#REF!,,0,)</f>
        <v>#REF!</v>
      </c>
      <c r="AZ3" s="96" t="str">
        <f>Tab_Process_TCs2527[[#This Row],[Flow_ID]]</f>
        <v>F_02_03</v>
      </c>
      <c r="BA3" s="96" t="e">
        <f t="shared" si="5"/>
        <v>#REF!</v>
      </c>
      <c r="BB3" s="224"/>
      <c r="BC3" s="48" t="e">
        <f>_xlfn.XLOOKUP($D3,Tab_Process_TCs[TC_ID],#REF!,,0,)</f>
        <v>#REF!</v>
      </c>
      <c r="BD3" s="48" t="e">
        <f>_xlfn.XLOOKUP($D3,Tab_Process_TCs[TC_ID],#REF!,,0,)</f>
        <v>#REF!</v>
      </c>
      <c r="BE3" s="96" t="str">
        <f>Tab_Process_TCs2527[[#This Row],[Flow_ID]]</f>
        <v>F_02_03</v>
      </c>
      <c r="BF3" s="96" t="e">
        <f t="shared" si="6"/>
        <v>#REF!</v>
      </c>
      <c r="BG3" s="105"/>
      <c r="BH3" s="108">
        <f>Tab_Process_TCs2527[[#This Row],[TC O_6_'[%']]]+Tab_Process_TCs2527[[#This Row],[TC O_5_'[%']]]+Tab_Process_TCs2527[[#This Row],[TC_O_4_'[%']]]+Tab_Process_TCs2527[[#This Row],[TC_O_3_'[%']]]+Tab_Process_TCs2527[[#This Row],[TC_O_2_'[%']]]+Tab_Process_TCs2527[[#This Row],[TC_O_1_'[%']]]</f>
        <v>1</v>
      </c>
      <c r="BI3" s="50"/>
      <c r="BJ3" s="50"/>
      <c r="BK3" s="50"/>
      <c r="BL3" s="50"/>
      <c r="BM3" s="50"/>
    </row>
    <row r="4" spans="1:69" x14ac:dyDescent="0.3">
      <c r="A4" s="84" t="b">
        <v>0</v>
      </c>
      <c r="B4" s="48">
        <f t="shared" si="0"/>
        <v>3</v>
      </c>
      <c r="C4" s="103" t="str">
        <f>_xlfn.XLOOKUP($D4,Tab_Process_TCs[Name(EN)],Tab_Process_TCs[Process_ID],,0,)</f>
        <v>03</v>
      </c>
      <c r="D4" s="50" t="s">
        <v>112</v>
      </c>
      <c r="E4" s="50" t="s">
        <v>531</v>
      </c>
      <c r="F4" s="48" t="str">
        <f>_xlfn.XLOOKUP($D4,Tab_Process_TCs[Name(EN)],Tab_Process_TCs[TC?],,0,)</f>
        <v>Yes</v>
      </c>
      <c r="G4" s="48" t="str">
        <f>_xlfn.XLOOKUP($D4,Tab_Process_TCs[Name(EN)],Tab_Process_TCs[Dyn_TC?],,0,)</f>
        <v>Yes</v>
      </c>
      <c r="H4" s="48" t="str">
        <f>_xlfn.XLOOKUP($E4,Tab_Def_Flows[Name(EN)],Tab_Def_Flows[Flow_ID],,0,1)</f>
        <v>F_03_06</v>
      </c>
      <c r="I4" s="50" t="str">
        <f>IF(Tab_Process_TCs2527[[#This Row],[Name(EN)]]="N.A.","N.A.","TC"&amp;"_"&amp;RIGHT(H4,5))</f>
        <v>TC_03_06</v>
      </c>
      <c r="J4" s="50">
        <v>1920</v>
      </c>
      <c r="K4" s="113">
        <f>'2_3_Process_TCs'!AG5</f>
        <v>0.7</v>
      </c>
      <c r="L4" s="50" t="str">
        <f>_xlfn.XLOOKUP($D4,Tab_Def_Processes[Name(EN)],Tab_Def_Processes[Stock?],,0,)</f>
        <v>Yes</v>
      </c>
      <c r="M4" s="48"/>
      <c r="N4" s="57" t="str">
        <f>_xlfn.XLOOKUP($D4,Tab_Def_Processes[Name(EN)],Tab_Def_Processes[Input_Flow_I_1],,0,)</f>
        <v>N.A.</v>
      </c>
      <c r="O4" s="48" t="e">
        <f>_xlfn.XLOOKUP($D4,Tab_Def_Processes[Name(EN)],Tab_Def_Processes[Flow_ID_I_1],,0,)</f>
        <v>#N/A</v>
      </c>
      <c r="P4" s="72"/>
      <c r="Q4" s="69" t="str">
        <f>_xlfn.XLOOKUP($D4,Tab_Def_Processes[Name(EN)],Tab_Def_Processes[Input_Flow_I_2],,0,)</f>
        <v>N.A.</v>
      </c>
      <c r="R4" s="48" t="e">
        <f>_xlfn.XLOOKUP($D4,Tab_Def_Processes[Name(EN)],Tab_Def_Processes[Flow_ID_I_2],,0,)</f>
        <v>#N/A</v>
      </c>
      <c r="S4" s="72"/>
      <c r="T4" s="69" t="str">
        <f>_xlfn.XLOOKUP($D4,Tab_Def_Processes[Name(EN)],Tab_Def_Processes[Input_Flow_I_3],,0,)</f>
        <v>N.A.</v>
      </c>
      <c r="U4" s="48" t="e">
        <f>_xlfn.XLOOKUP($D4,Tab_Def_Processes[Name(EN)],Tab_Def_Processes[Flow_ID_I_3],,0,)</f>
        <v>#N/A</v>
      </c>
      <c r="V4" s="72"/>
      <c r="W4" s="69" t="str">
        <f>_xlfn.XLOOKUP($D4,Tab_Def_Processes[Name(EN)],Tab_Def_Processes[Input_Flow_I_4],,0,)</f>
        <v>N.A.</v>
      </c>
      <c r="X4" s="48" t="e">
        <f>_xlfn.XLOOKUP($D4,Tab_Def_Processes[Name(EN)],Tab_Def_Processes[Flow_ID_I_4],,0,)</f>
        <v>#N/A</v>
      </c>
      <c r="Y4" s="72"/>
      <c r="Z4" s="69" t="str">
        <f>_xlfn.XLOOKUP($D4,Tab_Def_Processes[Name(EN)],Tab_Def_Processes[Input_Flow_I_5],,0,)</f>
        <v>N.A.</v>
      </c>
      <c r="AA4" s="48" t="e">
        <f>_xlfn.XLOOKUP($D4,Tab_Def_Processes[Name(EN)],Tab_Def_Processes[Flow_ID_I_5],,0,)</f>
        <v>#N/A</v>
      </c>
      <c r="AB4" s="72"/>
      <c r="AC4" s="71">
        <f>Tab_Process_TCs2527[[#This Row],[Flow_TC_I_1_'[%']]]+Tab_Process_TCs2527[[#This Row],[Flow_TC_I_2_'[%']]]+Tab_Process_TCs2527[[#This Row],[Flow_TC_I_3_'[%']]]+Tab_Process_TCs2527[[#This Row],[Flow_TC_I_4_'[%']]]+Tab_Process_TCs2527[[#This Row],[Flow_TC_I_5_'[%']]]</f>
        <v>0</v>
      </c>
      <c r="AD4" s="57" t="e">
        <f>_xlfn.XLOOKUP($D4,Tab_Process_TCs[TC_ID],Tab_Process_TCs[Output_Flow_O_1],,0,)</f>
        <v>#N/A</v>
      </c>
      <c r="AE4" s="48" t="e">
        <f>_xlfn.XLOOKUP($D4,Tab_Process_TCs[TC_ID],Tab_Process_TCs[Flow_ID_O_1],,0,)</f>
        <v>#N/A</v>
      </c>
      <c r="AF4" s="96" t="str">
        <f>Tab_Process_TCs2527[[#This Row],[Flow_ID]]</f>
        <v>F_03_06</v>
      </c>
      <c r="AG4" s="48" t="e">
        <f t="shared" si="1"/>
        <v>#N/A</v>
      </c>
      <c r="AH4" s="105">
        <v>0.2</v>
      </c>
      <c r="AI4" s="57" t="e">
        <f>_xlfn.XLOOKUP($D4,Tab_Process_TCs[TC_ID],Tab_Process_TCs[Output_Flow_O_2],,0,)</f>
        <v>#N/A</v>
      </c>
      <c r="AJ4" s="48" t="e">
        <f>_xlfn.XLOOKUP($D4,Tab_Process_TCs[TC_ID],Tab_Process_TCs[Flow_ID_O_2],,0,)</f>
        <v>#N/A</v>
      </c>
      <c r="AK4" s="96" t="str">
        <f>Tab_Process_TCs2527[[#This Row],[Flow_ID]]</f>
        <v>F_03_06</v>
      </c>
      <c r="AL4" s="48" t="e">
        <f t="shared" si="2"/>
        <v>#N/A</v>
      </c>
      <c r="AM4" s="231">
        <v>0.8</v>
      </c>
      <c r="AN4" s="57" t="e">
        <f>_xlfn.XLOOKUP($D4,Tab_Process_TCs[TC_ID],Tab_Process_TCs[Output_Flow_O_3],,0,)</f>
        <v>#N/A</v>
      </c>
      <c r="AO4" s="48" t="e">
        <f>_xlfn.XLOOKUP($D4,Tab_Process_TCs[TC_ID],Tab_Process_TCs[Flow_ID_O_3],,0,)</f>
        <v>#N/A</v>
      </c>
      <c r="AP4" s="96" t="str">
        <f>Tab_Process_TCs2527[[#This Row],[Flow_ID]]</f>
        <v>F_03_06</v>
      </c>
      <c r="AQ4" s="48" t="e">
        <f t="shared" si="3"/>
        <v>#N/A</v>
      </c>
      <c r="AR4" s="224"/>
      <c r="AS4" s="57" t="e">
        <f>_xlfn.XLOOKUP($D4,Tab_Process_TCs[TC_ID],#REF!,,0,)</f>
        <v>#REF!</v>
      </c>
      <c r="AT4" s="48" t="e">
        <f>_xlfn.XLOOKUP($D4,Tab_Process_TCs[TC_ID],#REF!,,0,)</f>
        <v>#REF!</v>
      </c>
      <c r="AU4" s="96" t="str">
        <f>Tab_Process_TCs2527[[#This Row],[Flow_ID]]</f>
        <v>F_03_06</v>
      </c>
      <c r="AV4" s="96" t="e">
        <f t="shared" si="4"/>
        <v>#N/A</v>
      </c>
      <c r="AW4" s="224"/>
      <c r="AX4" s="57" t="e">
        <f>_xlfn.XLOOKUP($D4,Tab_Process_TCs[TC_ID],#REF!,,0,)</f>
        <v>#REF!</v>
      </c>
      <c r="AY4" s="48" t="e">
        <f>_xlfn.XLOOKUP($D4,Tab_Process_TCs[TC_ID],#REF!,,0,)</f>
        <v>#REF!</v>
      </c>
      <c r="AZ4" s="96" t="str">
        <f>Tab_Process_TCs2527[[#This Row],[Flow_ID]]</f>
        <v>F_03_06</v>
      </c>
      <c r="BA4" s="96" t="e">
        <f t="shared" si="5"/>
        <v>#REF!</v>
      </c>
      <c r="BB4" s="224"/>
      <c r="BC4" s="48" t="e">
        <f>_xlfn.XLOOKUP($D4,Tab_Process_TCs[TC_ID],#REF!,,0,)</f>
        <v>#REF!</v>
      </c>
      <c r="BD4" s="48" t="e">
        <f>_xlfn.XLOOKUP($D4,Tab_Process_TCs[TC_ID],#REF!,,0,)</f>
        <v>#REF!</v>
      </c>
      <c r="BE4" s="96" t="str">
        <f>Tab_Process_TCs2527[[#This Row],[Flow_ID]]</f>
        <v>F_03_06</v>
      </c>
      <c r="BF4" s="96" t="e">
        <f t="shared" si="6"/>
        <v>#REF!</v>
      </c>
      <c r="BG4" s="105"/>
      <c r="BH4" s="108">
        <f>Tab_Process_TCs2527[[#This Row],[TC O_6_'[%']]]+Tab_Process_TCs2527[[#This Row],[TC O_5_'[%']]]+Tab_Process_TCs2527[[#This Row],[TC_O_4_'[%']]]+Tab_Process_TCs2527[[#This Row],[TC_O_3_'[%']]]+Tab_Process_TCs2527[[#This Row],[TC_O_2_'[%']]]+Tab_Process_TCs2527[[#This Row],[TC_O_1_'[%']]]</f>
        <v>1</v>
      </c>
      <c r="BI4" s="50"/>
      <c r="BJ4" s="50"/>
      <c r="BK4" s="50"/>
      <c r="BL4" s="50"/>
      <c r="BM4" s="50"/>
    </row>
    <row r="5" spans="1:69" x14ac:dyDescent="0.3">
      <c r="A5" s="84" t="b">
        <v>0</v>
      </c>
      <c r="B5" s="48">
        <f t="shared" si="0"/>
        <v>4</v>
      </c>
      <c r="C5" s="103" t="str">
        <f>_xlfn.XLOOKUP($D5,Tab_Process_TCs[Name(EN)],Tab_Process_TCs[Process_ID],,0,)</f>
        <v>03</v>
      </c>
      <c r="D5" s="50" t="s">
        <v>112</v>
      </c>
      <c r="E5" s="50" t="s">
        <v>401</v>
      </c>
      <c r="F5" s="48" t="str">
        <f>_xlfn.XLOOKUP($D5,Tab_Process_TCs[Name(EN)],Tab_Process_TCs[TC?],,0,)</f>
        <v>Yes</v>
      </c>
      <c r="G5" s="48" t="str">
        <f>_xlfn.XLOOKUP($D5,Tab_Process_TCs[Name(EN)],Tab_Process_TCs[Dyn_TC?],,0,)</f>
        <v>Yes</v>
      </c>
      <c r="H5" s="48" t="str">
        <f>_xlfn.XLOOKUP($E5,Tab_Def_Flows[Name(EN)],Tab_Def_Flows[Flow_ID],,0,1)</f>
        <v>F_03_05</v>
      </c>
      <c r="I5" s="50" t="str">
        <f>IF(Tab_Process_TCs2527[[#This Row],[Name(EN)]]="N.A.","N.A.","TC"&amp;"_"&amp;RIGHT(H5,5))</f>
        <v>TC_03_05</v>
      </c>
      <c r="J5" s="50">
        <v>1920</v>
      </c>
      <c r="K5" s="113">
        <f>'2_3_Process_TCs'!AO5</f>
        <v>0.25</v>
      </c>
      <c r="L5" s="50" t="str">
        <f>_xlfn.XLOOKUP($D5,Tab_Def_Processes[Name(EN)],Tab_Def_Processes[Stock?],,0,)</f>
        <v>Yes</v>
      </c>
      <c r="M5" s="48"/>
      <c r="N5" s="57" t="str">
        <f>_xlfn.XLOOKUP($D5,Tab_Def_Processes[Name(EN)],Tab_Def_Processes[Input_Flow_I_1],,0,)</f>
        <v>N.A.</v>
      </c>
      <c r="O5" s="48" t="e">
        <f>_xlfn.XLOOKUP($D5,Tab_Def_Processes[Name(EN)],Tab_Def_Processes[Flow_ID_I_1],,0,)</f>
        <v>#N/A</v>
      </c>
      <c r="P5" s="72"/>
      <c r="Q5" s="69" t="str">
        <f>_xlfn.XLOOKUP($D5,Tab_Def_Processes[Name(EN)],Tab_Def_Processes[Input_Flow_I_2],,0,)</f>
        <v>N.A.</v>
      </c>
      <c r="R5" s="48" t="e">
        <f>_xlfn.XLOOKUP($D5,Tab_Def_Processes[Name(EN)],Tab_Def_Processes[Flow_ID_I_2],,0,)</f>
        <v>#N/A</v>
      </c>
      <c r="S5" s="72"/>
      <c r="T5" s="69" t="str">
        <f>_xlfn.XLOOKUP($D5,Tab_Def_Processes[Name(EN)],Tab_Def_Processes[Input_Flow_I_3],,0,)</f>
        <v>N.A.</v>
      </c>
      <c r="U5" s="48" t="e">
        <f>_xlfn.XLOOKUP($D5,Tab_Def_Processes[Name(EN)],Tab_Def_Processes[Flow_ID_I_3],,0,)</f>
        <v>#N/A</v>
      </c>
      <c r="V5" s="72"/>
      <c r="W5" s="69" t="str">
        <f>_xlfn.XLOOKUP($D5,Tab_Def_Processes[Name(EN)],Tab_Def_Processes[Input_Flow_I_4],,0,)</f>
        <v>N.A.</v>
      </c>
      <c r="X5" s="48" t="e">
        <f>_xlfn.XLOOKUP($D5,Tab_Def_Processes[Name(EN)],Tab_Def_Processes[Flow_ID_I_4],,0,)</f>
        <v>#N/A</v>
      </c>
      <c r="Y5" s="72"/>
      <c r="Z5" s="69" t="str">
        <f>_xlfn.XLOOKUP($D5,Tab_Def_Processes[Name(EN)],Tab_Def_Processes[Input_Flow_I_5],,0,)</f>
        <v>N.A.</v>
      </c>
      <c r="AA5" s="48" t="e">
        <f>_xlfn.XLOOKUP($D5,Tab_Def_Processes[Name(EN)],Tab_Def_Processes[Flow_ID_I_5],,0,)</f>
        <v>#N/A</v>
      </c>
      <c r="AB5" s="72"/>
      <c r="AC5" s="71">
        <f>Tab_Process_TCs2527[[#This Row],[Flow_TC_I_1_'[%']]]+Tab_Process_TCs2527[[#This Row],[Flow_TC_I_2_'[%']]]+Tab_Process_TCs2527[[#This Row],[Flow_TC_I_3_'[%']]]+Tab_Process_TCs2527[[#This Row],[Flow_TC_I_4_'[%']]]+Tab_Process_TCs2527[[#This Row],[Flow_TC_I_5_'[%']]]</f>
        <v>0</v>
      </c>
      <c r="AD5" s="57" t="e">
        <f>_xlfn.XLOOKUP($D5,Tab_Process_TCs[TC_ID],Tab_Process_TCs[Output_Flow_O_1],,0,)</f>
        <v>#N/A</v>
      </c>
      <c r="AE5" s="48" t="e">
        <f>_xlfn.XLOOKUP($D5,Tab_Process_TCs[TC_ID],Tab_Process_TCs[Flow_ID_O_1],,0,)</f>
        <v>#N/A</v>
      </c>
      <c r="AF5" s="96" t="str">
        <f>Tab_Process_TCs2527[[#This Row],[Flow_ID]]</f>
        <v>F_03_05</v>
      </c>
      <c r="AG5" s="48" t="e">
        <f t="shared" si="1"/>
        <v>#N/A</v>
      </c>
      <c r="AH5" s="105">
        <v>0.2</v>
      </c>
      <c r="AI5" s="57" t="e">
        <f>_xlfn.XLOOKUP($D5,Tab_Process_TCs[TC_ID],Tab_Process_TCs[Output_Flow_O_2],,0,)</f>
        <v>#N/A</v>
      </c>
      <c r="AJ5" s="48" t="e">
        <f>_xlfn.XLOOKUP($D5,Tab_Process_TCs[TC_ID],Tab_Process_TCs[Flow_ID_O_2],,0,)</f>
        <v>#N/A</v>
      </c>
      <c r="AK5" s="96" t="str">
        <f>Tab_Process_TCs2527[[#This Row],[Flow_ID]]</f>
        <v>F_03_05</v>
      </c>
      <c r="AL5" s="48" t="e">
        <f t="shared" si="2"/>
        <v>#N/A</v>
      </c>
      <c r="AM5" s="231">
        <v>0.8</v>
      </c>
      <c r="AN5" s="57" t="e">
        <f>_xlfn.XLOOKUP($D5,Tab_Process_TCs[TC_ID],Tab_Process_TCs[Output_Flow_O_3],,0,)</f>
        <v>#N/A</v>
      </c>
      <c r="AO5" s="48" t="e">
        <f>_xlfn.XLOOKUP($D5,Tab_Process_TCs[TC_ID],Tab_Process_TCs[Flow_ID_O_3],,0,)</f>
        <v>#N/A</v>
      </c>
      <c r="AP5" s="96" t="str">
        <f>Tab_Process_TCs2527[[#This Row],[Flow_ID]]</f>
        <v>F_03_05</v>
      </c>
      <c r="AQ5" s="48" t="e">
        <f t="shared" si="3"/>
        <v>#N/A</v>
      </c>
      <c r="AR5" s="224"/>
      <c r="AS5" s="57" t="e">
        <f>_xlfn.XLOOKUP($D5,Tab_Process_TCs[TC_ID],#REF!,,0,)</f>
        <v>#REF!</v>
      </c>
      <c r="AT5" s="48" t="e">
        <f>_xlfn.XLOOKUP($D5,Tab_Process_TCs[TC_ID],#REF!,,0,)</f>
        <v>#REF!</v>
      </c>
      <c r="AU5" s="96" t="str">
        <f>Tab_Process_TCs2527[[#This Row],[Flow_ID]]</f>
        <v>F_03_05</v>
      </c>
      <c r="AV5" s="96" t="e">
        <f t="shared" si="4"/>
        <v>#N/A</v>
      </c>
      <c r="AW5" s="224"/>
      <c r="AX5" s="57" t="e">
        <f>_xlfn.XLOOKUP($D5,Tab_Process_TCs[TC_ID],#REF!,,0,)</f>
        <v>#REF!</v>
      </c>
      <c r="AY5" s="48" t="e">
        <f>_xlfn.XLOOKUP($D5,Tab_Process_TCs[TC_ID],#REF!,,0,)</f>
        <v>#REF!</v>
      </c>
      <c r="AZ5" s="96" t="str">
        <f>Tab_Process_TCs2527[[#This Row],[Flow_ID]]</f>
        <v>F_03_05</v>
      </c>
      <c r="BA5" s="96" t="e">
        <f t="shared" si="5"/>
        <v>#REF!</v>
      </c>
      <c r="BB5" s="224"/>
      <c r="BC5" s="48" t="e">
        <f>_xlfn.XLOOKUP($D5,Tab_Process_TCs[TC_ID],#REF!,,0,)</f>
        <v>#REF!</v>
      </c>
      <c r="BD5" s="48" t="e">
        <f>_xlfn.XLOOKUP($D5,Tab_Process_TCs[TC_ID],#REF!,,0,)</f>
        <v>#REF!</v>
      </c>
      <c r="BE5" s="96" t="str">
        <f>Tab_Process_TCs2527[[#This Row],[Flow_ID]]</f>
        <v>F_03_05</v>
      </c>
      <c r="BF5" s="96" t="e">
        <f t="shared" si="6"/>
        <v>#REF!</v>
      </c>
      <c r="BG5" s="105"/>
      <c r="BH5" s="108">
        <f>Tab_Process_TCs2527[[#This Row],[TC O_6_'[%']]]+Tab_Process_TCs2527[[#This Row],[TC O_5_'[%']]]+Tab_Process_TCs2527[[#This Row],[TC_O_4_'[%']]]+Tab_Process_TCs2527[[#This Row],[TC_O_3_'[%']]]+Tab_Process_TCs2527[[#This Row],[TC_O_2_'[%']]]+Tab_Process_TCs2527[[#This Row],[TC_O_1_'[%']]]</f>
        <v>1</v>
      </c>
      <c r="BI5" s="50"/>
      <c r="BJ5" s="50"/>
      <c r="BK5" s="50"/>
      <c r="BL5" s="50"/>
      <c r="BM5" s="50"/>
    </row>
    <row r="6" spans="1:69" x14ac:dyDescent="0.3">
      <c r="A6" s="84" t="b">
        <v>0</v>
      </c>
      <c r="B6" s="48">
        <f t="shared" si="0"/>
        <v>5</v>
      </c>
      <c r="C6" s="103" t="str">
        <f>_xlfn.XLOOKUP($D6,Tab_Process_TCs[Name(EN)],Tab_Process_TCs[Process_ID],,0,)</f>
        <v>03</v>
      </c>
      <c r="D6" s="50" t="s">
        <v>112</v>
      </c>
      <c r="E6" s="50" t="s">
        <v>114</v>
      </c>
      <c r="F6" s="48" t="str">
        <f>_xlfn.XLOOKUP($D6,Tab_Process_TCs[Name(EN)],Tab_Process_TCs[TC?],,0,)</f>
        <v>Yes</v>
      </c>
      <c r="G6" s="48" t="str">
        <f>_xlfn.XLOOKUP($D6,Tab_Process_TCs[Name(EN)],Tab_Process_TCs[Dyn_TC?],,0,)</f>
        <v>Yes</v>
      </c>
      <c r="H6" s="48" t="str">
        <f>_xlfn.XLOOKUP($E6,Tab_Def_Flows[Name(EN)],Tab_Def_Flows[Flow_ID],,0,1)</f>
        <v>F_03_04</v>
      </c>
      <c r="I6" s="50" t="str">
        <f>IF(Tab_Process_TCs2527[[#This Row],[Name(EN)]]="N.A.","N.A.","TC"&amp;"_"&amp;RIGHT(H6,5))</f>
        <v>TC_03_04</v>
      </c>
      <c r="J6" s="50">
        <v>1920</v>
      </c>
      <c r="K6" s="113">
        <f>'2_3_Process_TCs'!AK5</f>
        <v>0.05</v>
      </c>
      <c r="L6" s="50" t="str">
        <f>_xlfn.XLOOKUP($D6,Tab_Def_Processes[Name(EN)],Tab_Def_Processes[Stock?],,0,)</f>
        <v>Yes</v>
      </c>
      <c r="M6" s="48"/>
      <c r="N6" s="57" t="str">
        <f>_xlfn.XLOOKUP($D6,Tab_Def_Processes[Name(EN)],Tab_Def_Processes[Input_Flow_I_1],,0,)</f>
        <v>N.A.</v>
      </c>
      <c r="O6" s="48" t="e">
        <f>_xlfn.XLOOKUP($D6,Tab_Def_Processes[Name(EN)],Tab_Def_Processes[Flow_ID_I_1],,0,)</f>
        <v>#N/A</v>
      </c>
      <c r="P6" s="72"/>
      <c r="Q6" s="69" t="str">
        <f>_xlfn.XLOOKUP($D6,Tab_Def_Processes[Name(EN)],Tab_Def_Processes[Input_Flow_I_2],,0,)</f>
        <v>N.A.</v>
      </c>
      <c r="R6" s="48" t="e">
        <f>_xlfn.XLOOKUP($D6,Tab_Def_Processes[Name(EN)],Tab_Def_Processes[Flow_ID_I_2],,0,)</f>
        <v>#N/A</v>
      </c>
      <c r="S6" s="72"/>
      <c r="T6" s="69" t="str">
        <f>_xlfn.XLOOKUP($D6,Tab_Def_Processes[Name(EN)],Tab_Def_Processes[Input_Flow_I_3],,0,)</f>
        <v>N.A.</v>
      </c>
      <c r="U6" s="48" t="e">
        <f>_xlfn.XLOOKUP($D6,Tab_Def_Processes[Name(EN)],Tab_Def_Processes[Flow_ID_I_3],,0,)</f>
        <v>#N/A</v>
      </c>
      <c r="V6" s="72"/>
      <c r="W6" s="69" t="str">
        <f>_xlfn.XLOOKUP($D6,Tab_Def_Processes[Name(EN)],Tab_Def_Processes[Input_Flow_I_4],,0,)</f>
        <v>N.A.</v>
      </c>
      <c r="X6" s="48" t="e">
        <f>_xlfn.XLOOKUP($D6,Tab_Def_Processes[Name(EN)],Tab_Def_Processes[Flow_ID_I_4],,0,)</f>
        <v>#N/A</v>
      </c>
      <c r="Y6" s="72"/>
      <c r="Z6" s="69" t="str">
        <f>_xlfn.XLOOKUP($D6,Tab_Def_Processes[Name(EN)],Tab_Def_Processes[Input_Flow_I_5],,0,)</f>
        <v>N.A.</v>
      </c>
      <c r="AA6" s="48" t="e">
        <f>_xlfn.XLOOKUP($D6,Tab_Def_Processes[Name(EN)],Tab_Def_Processes[Flow_ID_I_5],,0,)</f>
        <v>#N/A</v>
      </c>
      <c r="AB6" s="72"/>
      <c r="AC6" s="71">
        <f>Tab_Process_TCs2527[[#This Row],[Flow_TC_I_1_'[%']]]+Tab_Process_TCs2527[[#This Row],[Flow_TC_I_2_'[%']]]+Tab_Process_TCs2527[[#This Row],[Flow_TC_I_3_'[%']]]+Tab_Process_TCs2527[[#This Row],[Flow_TC_I_4_'[%']]]+Tab_Process_TCs2527[[#This Row],[Flow_TC_I_5_'[%']]]</f>
        <v>0</v>
      </c>
      <c r="AD6" s="57" t="e">
        <f>_xlfn.XLOOKUP($D6,Tab_Process_TCs[TC_ID],Tab_Process_TCs[Output_Flow_O_1],,0,)</f>
        <v>#N/A</v>
      </c>
      <c r="AE6" s="48" t="e">
        <f>_xlfn.XLOOKUP($D6,Tab_Process_TCs[TC_ID],Tab_Process_TCs[Flow_ID_O_1],,0,)</f>
        <v>#N/A</v>
      </c>
      <c r="AF6" s="96" t="str">
        <f>Tab_Process_TCs2527[[#This Row],[Flow_ID]]</f>
        <v>F_03_04</v>
      </c>
      <c r="AG6" s="48" t="e">
        <f t="shared" si="1"/>
        <v>#N/A</v>
      </c>
      <c r="AH6" s="105">
        <v>0.2</v>
      </c>
      <c r="AI6" s="57" t="e">
        <f>_xlfn.XLOOKUP($D6,Tab_Process_TCs[TC_ID],Tab_Process_TCs[Output_Flow_O_2],,0,)</f>
        <v>#N/A</v>
      </c>
      <c r="AJ6" s="48" t="e">
        <f>_xlfn.XLOOKUP($D6,Tab_Process_TCs[TC_ID],Tab_Process_TCs[Flow_ID_O_2],,0,)</f>
        <v>#N/A</v>
      </c>
      <c r="AK6" s="96" t="str">
        <f>Tab_Process_TCs2527[[#This Row],[Flow_ID]]</f>
        <v>F_03_04</v>
      </c>
      <c r="AL6" s="48" t="e">
        <f t="shared" si="2"/>
        <v>#N/A</v>
      </c>
      <c r="AM6" s="231">
        <v>0.8</v>
      </c>
      <c r="AN6" s="57" t="e">
        <f>_xlfn.XLOOKUP($D6,Tab_Process_TCs[TC_ID],Tab_Process_TCs[Output_Flow_O_3],,0,)</f>
        <v>#N/A</v>
      </c>
      <c r="AO6" s="48" t="e">
        <f>_xlfn.XLOOKUP($D6,Tab_Process_TCs[TC_ID],Tab_Process_TCs[Flow_ID_O_3],,0,)</f>
        <v>#N/A</v>
      </c>
      <c r="AP6" s="96" t="str">
        <f>Tab_Process_TCs2527[[#This Row],[Flow_ID]]</f>
        <v>F_03_04</v>
      </c>
      <c r="AQ6" s="48" t="e">
        <f t="shared" si="3"/>
        <v>#N/A</v>
      </c>
      <c r="AR6" s="224"/>
      <c r="AS6" s="57" t="e">
        <f>_xlfn.XLOOKUP($D6,Tab_Process_TCs[TC_ID],#REF!,,0,)</f>
        <v>#REF!</v>
      </c>
      <c r="AT6" s="48" t="e">
        <f>_xlfn.XLOOKUP($D6,Tab_Process_TCs[TC_ID],#REF!,,0,)</f>
        <v>#REF!</v>
      </c>
      <c r="AU6" s="96" t="str">
        <f>Tab_Process_TCs2527[[#This Row],[Flow_ID]]</f>
        <v>F_03_04</v>
      </c>
      <c r="AV6" s="96" t="e">
        <f t="shared" si="4"/>
        <v>#N/A</v>
      </c>
      <c r="AW6" s="224"/>
      <c r="AX6" s="57" t="e">
        <f>_xlfn.XLOOKUP($D6,Tab_Process_TCs[TC_ID],#REF!,,0,)</f>
        <v>#REF!</v>
      </c>
      <c r="AY6" s="48" t="e">
        <f>_xlfn.XLOOKUP($D6,Tab_Process_TCs[TC_ID],#REF!,,0,)</f>
        <v>#REF!</v>
      </c>
      <c r="AZ6" s="96" t="str">
        <f>Tab_Process_TCs2527[[#This Row],[Flow_ID]]</f>
        <v>F_03_04</v>
      </c>
      <c r="BA6" s="96" t="e">
        <f t="shared" si="5"/>
        <v>#REF!</v>
      </c>
      <c r="BB6" s="224"/>
      <c r="BC6" s="48" t="e">
        <f>_xlfn.XLOOKUP($D6,Tab_Process_TCs[TC_ID],#REF!,,0,)</f>
        <v>#REF!</v>
      </c>
      <c r="BD6" s="48" t="e">
        <f>_xlfn.XLOOKUP($D6,Tab_Process_TCs[TC_ID],#REF!,,0,)</f>
        <v>#REF!</v>
      </c>
      <c r="BE6" s="96" t="str">
        <f>Tab_Process_TCs2527[[#This Row],[Flow_ID]]</f>
        <v>F_03_04</v>
      </c>
      <c r="BF6" s="96" t="e">
        <f t="shared" si="6"/>
        <v>#REF!</v>
      </c>
      <c r="BG6" s="105"/>
      <c r="BH6" s="108">
        <f>Tab_Process_TCs2527[[#This Row],[TC O_6_'[%']]]+Tab_Process_TCs2527[[#This Row],[TC O_5_'[%']]]+Tab_Process_TCs2527[[#This Row],[TC_O_4_'[%']]]+Tab_Process_TCs2527[[#This Row],[TC_O_3_'[%']]]+Tab_Process_TCs2527[[#This Row],[TC_O_2_'[%']]]+Tab_Process_TCs2527[[#This Row],[TC_O_1_'[%']]]</f>
        <v>1</v>
      </c>
      <c r="BI6" s="50"/>
      <c r="BJ6" s="50"/>
      <c r="BK6" s="50"/>
      <c r="BL6" s="50"/>
      <c r="BM6" s="50"/>
    </row>
    <row r="7" spans="1:69" x14ac:dyDescent="0.3">
      <c r="A7" s="84" t="b">
        <v>0</v>
      </c>
      <c r="B7" s="48">
        <f t="shared" si="0"/>
        <v>6</v>
      </c>
      <c r="C7" s="103" t="str">
        <f>_xlfn.XLOOKUP($D7,Tab_Process_TCs[Name(EN)],Tab_Process_TCs[Process_ID],,0,)</f>
        <v>02</v>
      </c>
      <c r="D7" s="50" t="s">
        <v>108</v>
      </c>
      <c r="E7" s="50" t="s">
        <v>528</v>
      </c>
      <c r="F7" s="48" t="str">
        <f>_xlfn.XLOOKUP($D7,Tab_Process_TCs[Name(EN)],Tab_Process_TCs[TC?],,0,)</f>
        <v>Yes</v>
      </c>
      <c r="G7" s="48" t="str">
        <f>_xlfn.XLOOKUP($D7,Tab_Process_TCs[Name(EN)],Tab_Process_TCs[Dyn_TC?],,0,)</f>
        <v>Yes</v>
      </c>
      <c r="H7" s="48" t="str">
        <f>_xlfn.XLOOKUP($E7,Tab_Def_Flows[Name(EN)],Tab_Def_Flows[Flow_ID],,0,1)</f>
        <v>F_02_08</v>
      </c>
      <c r="I7" s="50" t="str">
        <f>IF(Tab_Process_TCs2527[[#This Row],[Name(EN)]]="N.A.","N.A.","TC"&amp;"_"&amp;RIGHT(H7,5))</f>
        <v>TC_02_08</v>
      </c>
      <c r="J7" s="50">
        <v>1945</v>
      </c>
      <c r="K7" s="238">
        <v>0.45</v>
      </c>
      <c r="L7" s="50" t="str">
        <f>_xlfn.XLOOKUP($D7,Tab_Def_Processes[Name(EN)],Tab_Def_Processes[Stock?],,0,)</f>
        <v>Yes</v>
      </c>
      <c r="M7" s="48"/>
      <c r="N7" s="57" t="str">
        <f>_xlfn.XLOOKUP($D7,Tab_Def_Processes[Name(EN)],Tab_Def_Processes[Input_Flow_I_1],,0,)</f>
        <v>N.A.</v>
      </c>
      <c r="O7" s="48" t="e">
        <f>_xlfn.XLOOKUP($D7,Tab_Def_Processes[Name(EN)],Tab_Def_Processes[Flow_ID_I_1],,0,)</f>
        <v>#N/A</v>
      </c>
      <c r="P7" s="72"/>
      <c r="Q7" s="69" t="str">
        <f>_xlfn.XLOOKUP($D7,Tab_Def_Processes[Name(EN)],Tab_Def_Processes[Input_Flow_I_2],,0,)</f>
        <v>N.A.</v>
      </c>
      <c r="R7" s="48" t="e">
        <f>_xlfn.XLOOKUP($D7,Tab_Def_Processes[Name(EN)],Tab_Def_Processes[Flow_ID_I_2],,0,)</f>
        <v>#N/A</v>
      </c>
      <c r="S7" s="72"/>
      <c r="T7" s="69" t="str">
        <f>_xlfn.XLOOKUP($D7,Tab_Def_Processes[Name(EN)],Tab_Def_Processes[Input_Flow_I_3],,0,)</f>
        <v>N.A.</v>
      </c>
      <c r="U7" s="48" t="e">
        <f>_xlfn.XLOOKUP($D7,Tab_Def_Processes[Name(EN)],Tab_Def_Processes[Flow_ID_I_3],,0,)</f>
        <v>#N/A</v>
      </c>
      <c r="V7" s="72"/>
      <c r="W7" s="69" t="str">
        <f>_xlfn.XLOOKUP($D7,Tab_Def_Processes[Name(EN)],Tab_Def_Processes[Input_Flow_I_4],,0,)</f>
        <v>N.A.</v>
      </c>
      <c r="X7" s="48" t="e">
        <f>_xlfn.XLOOKUP($D7,Tab_Def_Processes[Name(EN)],Tab_Def_Processes[Flow_ID_I_4],,0,)</f>
        <v>#N/A</v>
      </c>
      <c r="Y7" s="72"/>
      <c r="Z7" s="69" t="str">
        <f>_xlfn.XLOOKUP($D7,Tab_Def_Processes[Name(EN)],Tab_Def_Processes[Input_Flow_I_5],,0,)</f>
        <v>N.A.</v>
      </c>
      <c r="AA7" s="48" t="e">
        <f>_xlfn.XLOOKUP($D7,Tab_Def_Processes[Name(EN)],Tab_Def_Processes[Flow_ID_I_5],,0,)</f>
        <v>#N/A</v>
      </c>
      <c r="AB7" s="72"/>
      <c r="AC7" s="71">
        <f>Tab_Process_TCs2527[[#This Row],[Flow_TC_I_1_'[%']]]+Tab_Process_TCs2527[[#This Row],[Flow_TC_I_2_'[%']]]+Tab_Process_TCs2527[[#This Row],[Flow_TC_I_3_'[%']]]+Tab_Process_TCs2527[[#This Row],[Flow_TC_I_4_'[%']]]+Tab_Process_TCs2527[[#This Row],[Flow_TC_I_5_'[%']]]</f>
        <v>0</v>
      </c>
      <c r="AD7" s="57" t="e">
        <f>_xlfn.XLOOKUP($D7,Tab_Process_TCs[TC_ID],Tab_Process_TCs[Output_Flow_O_1],,0,)</f>
        <v>#N/A</v>
      </c>
      <c r="AE7" s="48" t="e">
        <f>_xlfn.XLOOKUP($D7,Tab_Process_TCs[TC_ID],Tab_Process_TCs[Flow_ID_O_1],,0,)</f>
        <v>#N/A</v>
      </c>
      <c r="AF7" s="96" t="str">
        <f>Tab_Process_TCs2527[[#This Row],[Flow_ID]]</f>
        <v>F_02_08</v>
      </c>
      <c r="AG7" s="48" t="e">
        <f t="shared" si="1"/>
        <v>#N/A</v>
      </c>
      <c r="AH7" s="105">
        <v>0.5</v>
      </c>
      <c r="AI7" s="227" t="e">
        <f>_xlfn.XLOOKUP($D7,Tab_Process_TCs[TC_ID],Tab_Process_TCs[Output_Flow_O_2],,0,)</f>
        <v>#N/A</v>
      </c>
      <c r="AJ7" s="109" t="e">
        <f>_xlfn.XLOOKUP($D7,Tab_Process_TCs[TC_ID],Tab_Process_TCs[Flow_ID_O_2],,0,)</f>
        <v>#N/A</v>
      </c>
      <c r="AK7" s="96" t="str">
        <f>Tab_Process_TCs2527[[#This Row],[Flow_ID]]</f>
        <v>F_02_08</v>
      </c>
      <c r="AL7" s="48" t="e">
        <f t="shared" si="2"/>
        <v>#N/A</v>
      </c>
      <c r="AM7" s="231">
        <v>0.2</v>
      </c>
      <c r="AN7" s="57" t="e">
        <f>_xlfn.XLOOKUP($D7,Tab_Process_TCs[TC_ID],Tab_Process_TCs[Output_Flow_O_3],,0,)</f>
        <v>#N/A</v>
      </c>
      <c r="AO7" s="48" t="e">
        <f>_xlfn.XLOOKUP($D7,Tab_Process_TCs[TC_ID],Tab_Process_TCs[Flow_ID_O_3],,0,)</f>
        <v>#N/A</v>
      </c>
      <c r="AP7" s="96" t="str">
        <f>Tab_Process_TCs2527[[#This Row],[Flow_ID]]</f>
        <v>F_02_08</v>
      </c>
      <c r="AQ7" s="48" t="e">
        <f t="shared" si="3"/>
        <v>#N/A</v>
      </c>
      <c r="AR7" s="224">
        <v>0.3</v>
      </c>
      <c r="AS7" s="57" t="e">
        <f>_xlfn.XLOOKUP($D7,Tab_Process_TCs[TC_ID],#REF!,,0,)</f>
        <v>#REF!</v>
      </c>
      <c r="AT7" s="48" t="e">
        <f>_xlfn.XLOOKUP($D7,Tab_Process_TCs[TC_ID],#REF!,,0,)</f>
        <v>#REF!</v>
      </c>
      <c r="AU7" s="96" t="str">
        <f>Tab_Process_TCs2527[[#This Row],[Flow_ID]]</f>
        <v>F_02_08</v>
      </c>
      <c r="AV7" s="96" t="e">
        <f t="shared" si="4"/>
        <v>#N/A</v>
      </c>
      <c r="AW7" s="224"/>
      <c r="AX7" s="57" t="e">
        <f>_xlfn.XLOOKUP($D7,Tab_Process_TCs[TC_ID],#REF!,,0,)</f>
        <v>#REF!</v>
      </c>
      <c r="AY7" s="48" t="e">
        <f>_xlfn.XLOOKUP($D7,Tab_Process_TCs[TC_ID],#REF!,,0,)</f>
        <v>#REF!</v>
      </c>
      <c r="AZ7" s="96" t="str">
        <f>Tab_Process_TCs2527[[#This Row],[Flow_ID]]</f>
        <v>F_02_08</v>
      </c>
      <c r="BA7" s="96" t="e">
        <f t="shared" si="5"/>
        <v>#REF!</v>
      </c>
      <c r="BB7" s="224"/>
      <c r="BC7" s="48" t="e">
        <f>_xlfn.XLOOKUP($D7,Tab_Process_TCs[TC_ID],#REF!,,0,)</f>
        <v>#REF!</v>
      </c>
      <c r="BD7" s="48" t="e">
        <f>_xlfn.XLOOKUP($D7,Tab_Process_TCs[TC_ID],#REF!,,0,)</f>
        <v>#REF!</v>
      </c>
      <c r="BE7" s="96" t="str">
        <f>Tab_Process_TCs2527[[#This Row],[Flow_ID]]</f>
        <v>F_02_08</v>
      </c>
      <c r="BF7" s="96" t="e">
        <f t="shared" si="6"/>
        <v>#REF!</v>
      </c>
      <c r="BG7" s="105"/>
      <c r="BH7" s="108">
        <f>Tab_Process_TCs2527[[#This Row],[TC O_6_'[%']]]+Tab_Process_TCs2527[[#This Row],[TC O_5_'[%']]]+Tab_Process_TCs2527[[#This Row],[TC_O_4_'[%']]]+Tab_Process_TCs2527[[#This Row],[TC_O_3_'[%']]]+Tab_Process_TCs2527[[#This Row],[TC_O_2_'[%']]]+Tab_Process_TCs2527[[#This Row],[TC_O_1_'[%']]]</f>
        <v>1</v>
      </c>
      <c r="BI7" s="50"/>
      <c r="BJ7" s="50"/>
      <c r="BK7" s="50"/>
      <c r="BL7" s="50"/>
      <c r="BM7" s="50"/>
    </row>
    <row r="8" spans="1:69" x14ac:dyDescent="0.3">
      <c r="A8" s="84" t="b">
        <v>0</v>
      </c>
      <c r="B8" s="48">
        <f t="shared" si="0"/>
        <v>7</v>
      </c>
      <c r="C8" s="103" t="str">
        <f>_xlfn.XLOOKUP($D8,Tab_Process_TCs[Name(EN)],Tab_Process_TCs[Process_ID],,0,)</f>
        <v>02</v>
      </c>
      <c r="D8" s="50" t="s">
        <v>108</v>
      </c>
      <c r="E8" s="50" t="s">
        <v>111</v>
      </c>
      <c r="F8" s="48" t="str">
        <f>_xlfn.XLOOKUP($D8,Tab_Process_TCs[Name(EN)],Tab_Process_TCs[TC?],,0,)</f>
        <v>Yes</v>
      </c>
      <c r="G8" s="48" t="str">
        <f>_xlfn.XLOOKUP($D8,Tab_Process_TCs[Name(EN)],Tab_Process_TCs[Dyn_TC?],,0,)</f>
        <v>Yes</v>
      </c>
      <c r="H8" s="48" t="str">
        <f>_xlfn.XLOOKUP($E8,Tab_Def_Flows[Name(EN)],Tab_Def_Flows[Flow_ID],,0,1)</f>
        <v>F_02_03</v>
      </c>
      <c r="I8" s="50" t="str">
        <f>IF(Tab_Process_TCs2527[[#This Row],[Name(EN)]]="N.A.","N.A.","TC"&amp;"_"&amp;RIGHT(H8,5))</f>
        <v>TC_02_03</v>
      </c>
      <c r="J8" s="50">
        <v>1945</v>
      </c>
      <c r="K8" s="238">
        <v>0.55000000000000004</v>
      </c>
      <c r="L8" s="50" t="str">
        <f>_xlfn.XLOOKUP($D8,Tab_Def_Processes[Name(EN)],Tab_Def_Processes[Stock?],,0,)</f>
        <v>Yes</v>
      </c>
      <c r="M8" s="48"/>
      <c r="N8" s="57" t="str">
        <f>_xlfn.XLOOKUP($D8,Tab_Def_Processes[Name(EN)],Tab_Def_Processes[Input_Flow_I_1],,0,)</f>
        <v>N.A.</v>
      </c>
      <c r="O8" s="48" t="e">
        <f>_xlfn.XLOOKUP($D8,Tab_Def_Processes[Name(EN)],Tab_Def_Processes[Flow_ID_I_1],,0,)</f>
        <v>#N/A</v>
      </c>
      <c r="P8" s="72"/>
      <c r="Q8" s="69" t="str">
        <f>_xlfn.XLOOKUP($D8,Tab_Def_Processes[Name(EN)],Tab_Def_Processes[Input_Flow_I_2],,0,)</f>
        <v>N.A.</v>
      </c>
      <c r="R8" s="48" t="e">
        <f>_xlfn.XLOOKUP($D8,Tab_Def_Processes[Name(EN)],Tab_Def_Processes[Flow_ID_I_2],,0,)</f>
        <v>#N/A</v>
      </c>
      <c r="S8" s="72"/>
      <c r="T8" s="69" t="str">
        <f>_xlfn.XLOOKUP($D8,Tab_Def_Processes[Name(EN)],Tab_Def_Processes[Input_Flow_I_3],,0,)</f>
        <v>N.A.</v>
      </c>
      <c r="U8" s="48" t="e">
        <f>_xlfn.XLOOKUP($D8,Tab_Def_Processes[Name(EN)],Tab_Def_Processes[Flow_ID_I_3],,0,)</f>
        <v>#N/A</v>
      </c>
      <c r="V8" s="72"/>
      <c r="W8" s="69" t="str">
        <f>_xlfn.XLOOKUP($D8,Tab_Def_Processes[Name(EN)],Tab_Def_Processes[Input_Flow_I_4],,0,)</f>
        <v>N.A.</v>
      </c>
      <c r="X8" s="48" t="e">
        <f>_xlfn.XLOOKUP($D8,Tab_Def_Processes[Name(EN)],Tab_Def_Processes[Flow_ID_I_4],,0,)</f>
        <v>#N/A</v>
      </c>
      <c r="Y8" s="72"/>
      <c r="Z8" s="69" t="str">
        <f>_xlfn.XLOOKUP($D8,Tab_Def_Processes[Name(EN)],Tab_Def_Processes[Input_Flow_I_5],,0,)</f>
        <v>N.A.</v>
      </c>
      <c r="AA8" s="48" t="e">
        <f>_xlfn.XLOOKUP($D8,Tab_Def_Processes[Name(EN)],Tab_Def_Processes[Flow_ID_I_5],,0,)</f>
        <v>#N/A</v>
      </c>
      <c r="AB8" s="72"/>
      <c r="AC8" s="71">
        <f>Tab_Process_TCs2527[[#This Row],[Flow_TC_I_1_'[%']]]+Tab_Process_TCs2527[[#This Row],[Flow_TC_I_2_'[%']]]+Tab_Process_TCs2527[[#This Row],[Flow_TC_I_3_'[%']]]+Tab_Process_TCs2527[[#This Row],[Flow_TC_I_4_'[%']]]+Tab_Process_TCs2527[[#This Row],[Flow_TC_I_5_'[%']]]</f>
        <v>0</v>
      </c>
      <c r="AD8" s="57" t="e">
        <f>_xlfn.XLOOKUP($D8,Tab_Process_TCs[TC_ID],Tab_Process_TCs[Output_Flow_O_1],,0,)</f>
        <v>#N/A</v>
      </c>
      <c r="AE8" s="48" t="e">
        <f>_xlfn.XLOOKUP($D8,Tab_Process_TCs[TC_ID],Tab_Process_TCs[Flow_ID_O_1],,0,)</f>
        <v>#N/A</v>
      </c>
      <c r="AF8" s="96" t="str">
        <f>Tab_Process_TCs2527[[#This Row],[Flow_ID]]</f>
        <v>F_02_03</v>
      </c>
      <c r="AG8" s="48" t="e">
        <f t="shared" si="1"/>
        <v>#N/A</v>
      </c>
      <c r="AH8" s="105">
        <v>0.5</v>
      </c>
      <c r="AI8" s="57" t="e">
        <f>_xlfn.XLOOKUP($D8,Tab_Process_TCs[TC_ID],Tab_Process_TCs[Output_Flow_O_2],,0,)</f>
        <v>#N/A</v>
      </c>
      <c r="AJ8" s="48" t="e">
        <f>_xlfn.XLOOKUP($D8,Tab_Process_TCs[TC_ID],Tab_Process_TCs[Flow_ID_O_2],,0,)</f>
        <v>#N/A</v>
      </c>
      <c r="AK8" s="96" t="str">
        <f>Tab_Process_TCs2527[[#This Row],[Flow_ID]]</f>
        <v>F_02_03</v>
      </c>
      <c r="AL8" s="48" t="e">
        <f t="shared" si="2"/>
        <v>#N/A</v>
      </c>
      <c r="AM8" s="231">
        <v>0.2</v>
      </c>
      <c r="AN8" s="57" t="e">
        <f>_xlfn.XLOOKUP($D8,Tab_Process_TCs[TC_ID],Tab_Process_TCs[Output_Flow_O_3],,0,)</f>
        <v>#N/A</v>
      </c>
      <c r="AO8" s="48" t="e">
        <f>_xlfn.XLOOKUP($D8,Tab_Process_TCs[TC_ID],Tab_Process_TCs[Flow_ID_O_3],,0,)</f>
        <v>#N/A</v>
      </c>
      <c r="AP8" s="96" t="str">
        <f>Tab_Process_TCs2527[[#This Row],[Flow_ID]]</f>
        <v>F_02_03</v>
      </c>
      <c r="AQ8" s="48" t="e">
        <f t="shared" si="3"/>
        <v>#N/A</v>
      </c>
      <c r="AR8" s="224">
        <v>0.3</v>
      </c>
      <c r="AS8" s="57" t="e">
        <f>_xlfn.XLOOKUP($D8,Tab_Process_TCs[TC_ID],#REF!,,0,)</f>
        <v>#REF!</v>
      </c>
      <c r="AT8" s="48" t="e">
        <f>_xlfn.XLOOKUP($D8,Tab_Process_TCs[TC_ID],#REF!,,0,)</f>
        <v>#REF!</v>
      </c>
      <c r="AU8" s="96" t="str">
        <f>Tab_Process_TCs2527[[#This Row],[Flow_ID]]</f>
        <v>F_02_03</v>
      </c>
      <c r="AV8" s="96" t="e">
        <f t="shared" si="4"/>
        <v>#N/A</v>
      </c>
      <c r="AW8" s="224"/>
      <c r="AX8" s="57" t="e">
        <f>_xlfn.XLOOKUP($D8,Tab_Process_TCs[TC_ID],#REF!,,0,)</f>
        <v>#REF!</v>
      </c>
      <c r="AY8" s="48" t="e">
        <f>_xlfn.XLOOKUP($D8,Tab_Process_TCs[TC_ID],#REF!,,0,)</f>
        <v>#REF!</v>
      </c>
      <c r="AZ8" s="96" t="str">
        <f>Tab_Process_TCs2527[[#This Row],[Flow_ID]]</f>
        <v>F_02_03</v>
      </c>
      <c r="BA8" s="96" t="e">
        <f t="shared" si="5"/>
        <v>#REF!</v>
      </c>
      <c r="BB8" s="224"/>
      <c r="BC8" s="48" t="e">
        <f>_xlfn.XLOOKUP($D8,Tab_Process_TCs[TC_ID],#REF!,,0,)</f>
        <v>#REF!</v>
      </c>
      <c r="BD8" s="48" t="e">
        <f>_xlfn.XLOOKUP($D8,Tab_Process_TCs[TC_ID],#REF!,,0,)</f>
        <v>#REF!</v>
      </c>
      <c r="BE8" s="96" t="str">
        <f>Tab_Process_TCs2527[[#This Row],[Flow_ID]]</f>
        <v>F_02_03</v>
      </c>
      <c r="BF8" s="96" t="e">
        <f t="shared" si="6"/>
        <v>#REF!</v>
      </c>
      <c r="BG8" s="105"/>
      <c r="BH8" s="108">
        <f>Tab_Process_TCs2527[[#This Row],[TC O_6_'[%']]]+Tab_Process_TCs2527[[#This Row],[TC O_5_'[%']]]+Tab_Process_TCs2527[[#This Row],[TC_O_4_'[%']]]+Tab_Process_TCs2527[[#This Row],[TC_O_3_'[%']]]+Tab_Process_TCs2527[[#This Row],[TC_O_2_'[%']]]+Tab_Process_TCs2527[[#This Row],[TC_O_1_'[%']]]</f>
        <v>1</v>
      </c>
      <c r="BI8" s="50"/>
      <c r="BJ8" s="50"/>
      <c r="BK8" s="50"/>
      <c r="BL8" s="50"/>
      <c r="BM8" s="50"/>
    </row>
    <row r="9" spans="1:69" x14ac:dyDescent="0.3">
      <c r="A9" s="84" t="b">
        <v>0</v>
      </c>
      <c r="B9" s="48">
        <f t="shared" si="0"/>
        <v>8</v>
      </c>
      <c r="C9" s="103" t="str">
        <f>_xlfn.XLOOKUP($D9,Tab_Process_TCs[Name(EN)],Tab_Process_TCs[Process_ID],,0,)</f>
        <v>03</v>
      </c>
      <c r="D9" s="50" t="s">
        <v>112</v>
      </c>
      <c r="E9" s="50" t="s">
        <v>531</v>
      </c>
      <c r="F9" s="48" t="str">
        <f>_xlfn.XLOOKUP($D9,Tab_Process_TCs[Name(EN)],Tab_Process_TCs[TC?],,0,)</f>
        <v>Yes</v>
      </c>
      <c r="G9" s="48" t="str">
        <f>_xlfn.XLOOKUP($D9,Tab_Process_TCs[Name(EN)],Tab_Process_TCs[Dyn_TC?],,0,)</f>
        <v>Yes</v>
      </c>
      <c r="H9" s="48" t="str">
        <f>_xlfn.XLOOKUP($E9,Tab_Def_Flows[Name(EN)],Tab_Def_Flows[Flow_ID],,0,1)</f>
        <v>F_03_06</v>
      </c>
      <c r="I9" s="50" t="str">
        <f>IF(Tab_Process_TCs2527[[#This Row],[Name(EN)]]="N.A.","N.A.","TC"&amp;"_"&amp;RIGHT(H9,5))</f>
        <v>TC_03_06</v>
      </c>
      <c r="J9" s="50">
        <v>1945</v>
      </c>
      <c r="K9" s="238">
        <v>0.75</v>
      </c>
      <c r="L9" s="50" t="str">
        <f>_xlfn.XLOOKUP($D9,Tab_Def_Processes[Name(EN)],Tab_Def_Processes[Stock?],,0,)</f>
        <v>Yes</v>
      </c>
      <c r="M9" s="48"/>
      <c r="N9" s="57" t="str">
        <f>_xlfn.XLOOKUP($D9,Tab_Def_Processes[Name(EN)],Tab_Def_Processes[Input_Flow_I_1],,0,)</f>
        <v>N.A.</v>
      </c>
      <c r="O9" s="48" t="e">
        <f>_xlfn.XLOOKUP($D9,Tab_Def_Processes[Name(EN)],Tab_Def_Processes[Flow_ID_I_1],,0,)</f>
        <v>#N/A</v>
      </c>
      <c r="P9" s="72"/>
      <c r="Q9" s="69" t="str">
        <f>_xlfn.XLOOKUP($D9,Tab_Def_Processes[Name(EN)],Tab_Def_Processes[Input_Flow_I_2],,0,)</f>
        <v>N.A.</v>
      </c>
      <c r="R9" s="48" t="e">
        <f>_xlfn.XLOOKUP($D9,Tab_Def_Processes[Name(EN)],Tab_Def_Processes[Flow_ID_I_2],,0,)</f>
        <v>#N/A</v>
      </c>
      <c r="S9" s="72"/>
      <c r="T9" s="69" t="str">
        <f>_xlfn.XLOOKUP($D9,Tab_Def_Processes[Name(EN)],Tab_Def_Processes[Input_Flow_I_3],,0,)</f>
        <v>N.A.</v>
      </c>
      <c r="U9" s="48" t="e">
        <f>_xlfn.XLOOKUP($D9,Tab_Def_Processes[Name(EN)],Tab_Def_Processes[Flow_ID_I_3],,0,)</f>
        <v>#N/A</v>
      </c>
      <c r="V9" s="72"/>
      <c r="W9" s="69" t="str">
        <f>_xlfn.XLOOKUP($D9,Tab_Def_Processes[Name(EN)],Tab_Def_Processes[Input_Flow_I_4],,0,)</f>
        <v>N.A.</v>
      </c>
      <c r="X9" s="48" t="e">
        <f>_xlfn.XLOOKUP($D9,Tab_Def_Processes[Name(EN)],Tab_Def_Processes[Flow_ID_I_4],,0,)</f>
        <v>#N/A</v>
      </c>
      <c r="Y9" s="72"/>
      <c r="Z9" s="69" t="str">
        <f>_xlfn.XLOOKUP($D9,Tab_Def_Processes[Name(EN)],Tab_Def_Processes[Input_Flow_I_5],,0,)</f>
        <v>N.A.</v>
      </c>
      <c r="AA9" s="48" t="e">
        <f>_xlfn.XLOOKUP($D9,Tab_Def_Processes[Name(EN)],Tab_Def_Processes[Flow_ID_I_5],,0,)</f>
        <v>#N/A</v>
      </c>
      <c r="AB9" s="72"/>
      <c r="AC9" s="71">
        <f>Tab_Process_TCs2527[[#This Row],[Flow_TC_I_1_'[%']]]+Tab_Process_TCs2527[[#This Row],[Flow_TC_I_2_'[%']]]+Tab_Process_TCs2527[[#This Row],[Flow_TC_I_3_'[%']]]+Tab_Process_TCs2527[[#This Row],[Flow_TC_I_4_'[%']]]+Tab_Process_TCs2527[[#This Row],[Flow_TC_I_5_'[%']]]</f>
        <v>0</v>
      </c>
      <c r="AD9" s="57" t="e">
        <f>_xlfn.XLOOKUP($D9,Tab_Process_TCs[TC_ID],Tab_Process_TCs[Output_Flow_O_1],,0,)</f>
        <v>#N/A</v>
      </c>
      <c r="AE9" s="48" t="e">
        <f>_xlfn.XLOOKUP($D9,Tab_Process_TCs[TC_ID],Tab_Process_TCs[Flow_ID_O_1],,0,)</f>
        <v>#N/A</v>
      </c>
      <c r="AF9" s="96" t="str">
        <f>Tab_Process_TCs2527[[#This Row],[Flow_ID]]</f>
        <v>F_03_06</v>
      </c>
      <c r="AG9" s="48" t="e">
        <f t="shared" si="1"/>
        <v>#N/A</v>
      </c>
      <c r="AH9" s="105">
        <v>0.5</v>
      </c>
      <c r="AI9" s="227" t="e">
        <f>_xlfn.XLOOKUP($D9,Tab_Process_TCs[TC_ID],Tab_Process_TCs[Output_Flow_O_2],,0,)</f>
        <v>#N/A</v>
      </c>
      <c r="AJ9" s="109" t="e">
        <f>_xlfn.XLOOKUP($D9,Tab_Process_TCs[TC_ID],Tab_Process_TCs[Flow_ID_O_2],,0,)</f>
        <v>#N/A</v>
      </c>
      <c r="AK9" s="96" t="str">
        <f>Tab_Process_TCs2527[[#This Row],[Flow_ID]]</f>
        <v>F_03_06</v>
      </c>
      <c r="AL9" s="48" t="e">
        <f t="shared" si="2"/>
        <v>#N/A</v>
      </c>
      <c r="AM9" s="231">
        <v>0.2</v>
      </c>
      <c r="AN9" s="57" t="e">
        <f>_xlfn.XLOOKUP($D9,Tab_Process_TCs[TC_ID],Tab_Process_TCs[Output_Flow_O_3],,0,)</f>
        <v>#N/A</v>
      </c>
      <c r="AO9" s="48" t="e">
        <f>_xlfn.XLOOKUP($D9,Tab_Process_TCs[TC_ID],Tab_Process_TCs[Flow_ID_O_3],,0,)</f>
        <v>#N/A</v>
      </c>
      <c r="AP9" s="96" t="str">
        <f>Tab_Process_TCs2527[[#This Row],[Flow_ID]]</f>
        <v>F_03_06</v>
      </c>
      <c r="AQ9" s="48" t="e">
        <f t="shared" si="3"/>
        <v>#N/A</v>
      </c>
      <c r="AR9" s="224">
        <v>0.3</v>
      </c>
      <c r="AS9" s="57" t="e">
        <f>_xlfn.XLOOKUP($D9,Tab_Process_TCs[TC_ID],#REF!,,0,)</f>
        <v>#REF!</v>
      </c>
      <c r="AT9" s="48" t="e">
        <f>_xlfn.XLOOKUP($D9,Tab_Process_TCs[TC_ID],#REF!,,0,)</f>
        <v>#REF!</v>
      </c>
      <c r="AU9" s="96" t="str">
        <f>Tab_Process_TCs2527[[#This Row],[Flow_ID]]</f>
        <v>F_03_06</v>
      </c>
      <c r="AV9" s="96" t="e">
        <f t="shared" si="4"/>
        <v>#N/A</v>
      </c>
      <c r="AW9" s="224"/>
      <c r="AX9" s="57" t="e">
        <f>_xlfn.XLOOKUP($D9,Tab_Process_TCs[TC_ID],#REF!,,0,)</f>
        <v>#REF!</v>
      </c>
      <c r="AY9" s="48" t="e">
        <f>_xlfn.XLOOKUP($D9,Tab_Process_TCs[TC_ID],#REF!,,0,)</f>
        <v>#REF!</v>
      </c>
      <c r="AZ9" s="96" t="str">
        <f>Tab_Process_TCs2527[[#This Row],[Flow_ID]]</f>
        <v>F_03_06</v>
      </c>
      <c r="BA9" s="96" t="e">
        <f t="shared" si="5"/>
        <v>#REF!</v>
      </c>
      <c r="BB9" s="224"/>
      <c r="BC9" s="48" t="e">
        <f>_xlfn.XLOOKUP($D9,Tab_Process_TCs[TC_ID],#REF!,,0,)</f>
        <v>#REF!</v>
      </c>
      <c r="BD9" s="48" t="e">
        <f>_xlfn.XLOOKUP($D9,Tab_Process_TCs[TC_ID],#REF!,,0,)</f>
        <v>#REF!</v>
      </c>
      <c r="BE9" s="96" t="str">
        <f>Tab_Process_TCs2527[[#This Row],[Flow_ID]]</f>
        <v>F_03_06</v>
      </c>
      <c r="BF9" s="96" t="e">
        <f t="shared" si="6"/>
        <v>#REF!</v>
      </c>
      <c r="BG9" s="105"/>
      <c r="BH9" s="108">
        <f>Tab_Process_TCs2527[[#This Row],[TC O_6_'[%']]]+Tab_Process_TCs2527[[#This Row],[TC O_5_'[%']]]+Tab_Process_TCs2527[[#This Row],[TC_O_4_'[%']]]+Tab_Process_TCs2527[[#This Row],[TC_O_3_'[%']]]+Tab_Process_TCs2527[[#This Row],[TC_O_2_'[%']]]+Tab_Process_TCs2527[[#This Row],[TC_O_1_'[%']]]</f>
        <v>1</v>
      </c>
      <c r="BI9" s="50"/>
      <c r="BJ9" s="50"/>
      <c r="BK9" s="50"/>
      <c r="BL9" s="50"/>
      <c r="BM9" s="50"/>
    </row>
    <row r="10" spans="1:69" x14ac:dyDescent="0.3">
      <c r="A10" s="84" t="b">
        <v>0</v>
      </c>
      <c r="B10" s="48">
        <f t="shared" si="0"/>
        <v>9</v>
      </c>
      <c r="C10" s="103" t="str">
        <f>_xlfn.XLOOKUP($D10,Tab_Process_TCs[Name(EN)],Tab_Process_TCs[Process_ID],,0,)</f>
        <v>03</v>
      </c>
      <c r="D10" s="50" t="s">
        <v>112</v>
      </c>
      <c r="E10" s="50" t="s">
        <v>401</v>
      </c>
      <c r="F10" s="48" t="str">
        <f>_xlfn.XLOOKUP($D10,Tab_Process_TCs[Name(EN)],Tab_Process_TCs[TC?],,0,)</f>
        <v>Yes</v>
      </c>
      <c r="G10" s="48" t="str">
        <f>_xlfn.XLOOKUP($D10,Tab_Process_TCs[Name(EN)],Tab_Process_TCs[Dyn_TC?],,0,)</f>
        <v>Yes</v>
      </c>
      <c r="H10" s="48" t="str">
        <f>_xlfn.XLOOKUP($E10,Tab_Def_Flows[Name(EN)],Tab_Def_Flows[Flow_ID],,0,1)</f>
        <v>F_03_05</v>
      </c>
      <c r="I10" s="50" t="str">
        <f>IF(Tab_Process_TCs2527[[#This Row],[Name(EN)]]="N.A.","N.A.","TC"&amp;"_"&amp;RIGHT(H10,5))</f>
        <v>TC_03_05</v>
      </c>
      <c r="J10" s="50">
        <v>1945</v>
      </c>
      <c r="K10" s="238">
        <v>0.19</v>
      </c>
      <c r="L10" s="50" t="str">
        <f>_xlfn.XLOOKUP($D10,Tab_Def_Processes[Name(EN)],Tab_Def_Processes[Stock?],,0,)</f>
        <v>Yes</v>
      </c>
      <c r="M10" s="48"/>
      <c r="N10" s="57" t="str">
        <f>_xlfn.XLOOKUP($D10,Tab_Def_Processes[Name(EN)],Tab_Def_Processes[Input_Flow_I_1],,0,)</f>
        <v>N.A.</v>
      </c>
      <c r="O10" s="48" t="e">
        <f>_xlfn.XLOOKUP($D10,Tab_Def_Processes[Name(EN)],Tab_Def_Processes[Flow_ID_I_1],,0,)</f>
        <v>#N/A</v>
      </c>
      <c r="P10" s="72"/>
      <c r="Q10" s="69" t="str">
        <f>_xlfn.XLOOKUP($D10,Tab_Def_Processes[Name(EN)],Tab_Def_Processes[Input_Flow_I_2],,0,)</f>
        <v>N.A.</v>
      </c>
      <c r="R10" s="48" t="e">
        <f>_xlfn.XLOOKUP($D10,Tab_Def_Processes[Name(EN)],Tab_Def_Processes[Flow_ID_I_2],,0,)</f>
        <v>#N/A</v>
      </c>
      <c r="S10" s="72"/>
      <c r="T10" s="69" t="str">
        <f>_xlfn.XLOOKUP($D10,Tab_Def_Processes[Name(EN)],Tab_Def_Processes[Input_Flow_I_3],,0,)</f>
        <v>N.A.</v>
      </c>
      <c r="U10" s="48" t="e">
        <f>_xlfn.XLOOKUP($D10,Tab_Def_Processes[Name(EN)],Tab_Def_Processes[Flow_ID_I_3],,0,)</f>
        <v>#N/A</v>
      </c>
      <c r="V10" s="72"/>
      <c r="W10" s="69" t="str">
        <f>_xlfn.XLOOKUP($D10,Tab_Def_Processes[Name(EN)],Tab_Def_Processes[Input_Flow_I_4],,0,)</f>
        <v>N.A.</v>
      </c>
      <c r="X10" s="48" t="e">
        <f>_xlfn.XLOOKUP($D10,Tab_Def_Processes[Name(EN)],Tab_Def_Processes[Flow_ID_I_4],,0,)</f>
        <v>#N/A</v>
      </c>
      <c r="Y10" s="72"/>
      <c r="Z10" s="69" t="str">
        <f>_xlfn.XLOOKUP($D10,Tab_Def_Processes[Name(EN)],Tab_Def_Processes[Input_Flow_I_5],,0,)</f>
        <v>N.A.</v>
      </c>
      <c r="AA10" s="48" t="e">
        <f>_xlfn.XLOOKUP($D10,Tab_Def_Processes[Name(EN)],Tab_Def_Processes[Flow_ID_I_5],,0,)</f>
        <v>#N/A</v>
      </c>
      <c r="AB10" s="72"/>
      <c r="AC10" s="71">
        <f>Tab_Process_TCs2527[[#This Row],[Flow_TC_I_1_'[%']]]+Tab_Process_TCs2527[[#This Row],[Flow_TC_I_2_'[%']]]+Tab_Process_TCs2527[[#This Row],[Flow_TC_I_3_'[%']]]+Tab_Process_TCs2527[[#This Row],[Flow_TC_I_4_'[%']]]+Tab_Process_TCs2527[[#This Row],[Flow_TC_I_5_'[%']]]</f>
        <v>0</v>
      </c>
      <c r="AD10" s="57" t="e">
        <f>_xlfn.XLOOKUP($D10,Tab_Process_TCs[TC_ID],Tab_Process_TCs[Output_Flow_O_1],,0,)</f>
        <v>#N/A</v>
      </c>
      <c r="AE10" s="48" t="e">
        <f>_xlfn.XLOOKUP($D10,Tab_Process_TCs[TC_ID],Tab_Process_TCs[Flow_ID_O_1],,0,)</f>
        <v>#N/A</v>
      </c>
      <c r="AF10" s="96" t="str">
        <f>Tab_Process_TCs2527[[#This Row],[Flow_ID]]</f>
        <v>F_03_05</v>
      </c>
      <c r="AG10" s="48" t="e">
        <f t="shared" si="1"/>
        <v>#N/A</v>
      </c>
      <c r="AH10" s="105">
        <v>0.5</v>
      </c>
      <c r="AI10" s="227" t="e">
        <f>_xlfn.XLOOKUP($D10,Tab_Process_TCs[TC_ID],Tab_Process_TCs[Output_Flow_O_2],,0,)</f>
        <v>#N/A</v>
      </c>
      <c r="AJ10" s="109" t="e">
        <f>_xlfn.XLOOKUP($D10,Tab_Process_TCs[TC_ID],Tab_Process_TCs[Flow_ID_O_2],,0,)</f>
        <v>#N/A</v>
      </c>
      <c r="AK10" s="96" t="str">
        <f>Tab_Process_TCs2527[[#This Row],[Flow_ID]]</f>
        <v>F_03_05</v>
      </c>
      <c r="AL10" s="48" t="e">
        <f t="shared" si="2"/>
        <v>#N/A</v>
      </c>
      <c r="AM10" s="231">
        <v>0.2</v>
      </c>
      <c r="AN10" s="57" t="e">
        <f>_xlfn.XLOOKUP($D10,Tab_Process_TCs[TC_ID],Tab_Process_TCs[Output_Flow_O_3],,0,)</f>
        <v>#N/A</v>
      </c>
      <c r="AO10" s="48" t="e">
        <f>_xlfn.XLOOKUP($D10,Tab_Process_TCs[TC_ID],Tab_Process_TCs[Flow_ID_O_3],,0,)</f>
        <v>#N/A</v>
      </c>
      <c r="AP10" s="96" t="str">
        <f>Tab_Process_TCs2527[[#This Row],[Flow_ID]]</f>
        <v>F_03_05</v>
      </c>
      <c r="AQ10" s="48" t="e">
        <f t="shared" si="3"/>
        <v>#N/A</v>
      </c>
      <c r="AR10" s="224">
        <v>0.3</v>
      </c>
      <c r="AS10" s="57" t="e">
        <f>_xlfn.XLOOKUP($D10,Tab_Process_TCs[TC_ID],#REF!,,0,)</f>
        <v>#REF!</v>
      </c>
      <c r="AT10" s="48" t="e">
        <f>_xlfn.XLOOKUP($D10,Tab_Process_TCs[TC_ID],#REF!,,0,)</f>
        <v>#REF!</v>
      </c>
      <c r="AU10" s="96" t="str">
        <f>Tab_Process_TCs2527[[#This Row],[Flow_ID]]</f>
        <v>F_03_05</v>
      </c>
      <c r="AV10" s="96" t="e">
        <f t="shared" si="4"/>
        <v>#N/A</v>
      </c>
      <c r="AW10" s="224"/>
      <c r="AX10" s="57" t="e">
        <f>_xlfn.XLOOKUP($D10,Tab_Process_TCs[TC_ID],#REF!,,0,)</f>
        <v>#REF!</v>
      </c>
      <c r="AY10" s="48" t="e">
        <f>_xlfn.XLOOKUP($D10,Tab_Process_TCs[TC_ID],#REF!,,0,)</f>
        <v>#REF!</v>
      </c>
      <c r="AZ10" s="96" t="str">
        <f>Tab_Process_TCs2527[[#This Row],[Flow_ID]]</f>
        <v>F_03_05</v>
      </c>
      <c r="BA10" s="96" t="e">
        <f t="shared" si="5"/>
        <v>#REF!</v>
      </c>
      <c r="BB10" s="224"/>
      <c r="BC10" s="48" t="e">
        <f>_xlfn.XLOOKUP($D10,Tab_Process_TCs[TC_ID],#REF!,,0,)</f>
        <v>#REF!</v>
      </c>
      <c r="BD10" s="48" t="e">
        <f>_xlfn.XLOOKUP($D10,Tab_Process_TCs[TC_ID],#REF!,,0,)</f>
        <v>#REF!</v>
      </c>
      <c r="BE10" s="96" t="str">
        <f>Tab_Process_TCs2527[[#This Row],[Flow_ID]]</f>
        <v>F_03_05</v>
      </c>
      <c r="BF10" s="96" t="e">
        <f t="shared" si="6"/>
        <v>#REF!</v>
      </c>
      <c r="BG10" s="105"/>
      <c r="BH10" s="108">
        <f>Tab_Process_TCs2527[[#This Row],[TC O_6_'[%']]]+Tab_Process_TCs2527[[#This Row],[TC O_5_'[%']]]+Tab_Process_TCs2527[[#This Row],[TC_O_4_'[%']]]+Tab_Process_TCs2527[[#This Row],[TC_O_3_'[%']]]+Tab_Process_TCs2527[[#This Row],[TC_O_2_'[%']]]+Tab_Process_TCs2527[[#This Row],[TC_O_1_'[%']]]</f>
        <v>1</v>
      </c>
      <c r="BI10" s="50"/>
      <c r="BJ10" s="50"/>
      <c r="BK10" s="50"/>
      <c r="BL10" s="50"/>
      <c r="BM10" s="50"/>
    </row>
    <row r="11" spans="1:69" x14ac:dyDescent="0.3">
      <c r="A11" s="84" t="b">
        <v>0</v>
      </c>
      <c r="B11" s="48">
        <f t="shared" si="0"/>
        <v>10</v>
      </c>
      <c r="C11" s="103" t="str">
        <f>_xlfn.XLOOKUP($D11,Tab_Process_TCs[Name(EN)],Tab_Process_TCs[Process_ID],,0,)</f>
        <v>03</v>
      </c>
      <c r="D11" s="50" t="s">
        <v>112</v>
      </c>
      <c r="E11" s="50" t="s">
        <v>114</v>
      </c>
      <c r="F11" s="48" t="str">
        <f>_xlfn.XLOOKUP($D11,Tab_Process_TCs[Name(EN)],Tab_Process_TCs[TC?],,0,)</f>
        <v>Yes</v>
      </c>
      <c r="G11" s="48" t="str">
        <f>_xlfn.XLOOKUP($D11,Tab_Process_TCs[Name(EN)],Tab_Process_TCs[Dyn_TC?],,0,)</f>
        <v>Yes</v>
      </c>
      <c r="H11" s="48" t="str">
        <f>_xlfn.XLOOKUP($E11,Tab_Def_Flows[Name(EN)],Tab_Def_Flows[Flow_ID],,0,1)</f>
        <v>F_03_04</v>
      </c>
      <c r="I11" s="50" t="str">
        <f>IF(Tab_Process_TCs2527[[#This Row],[Name(EN)]]="N.A.","N.A.","TC"&amp;"_"&amp;RIGHT(H11,5))</f>
        <v>TC_03_04</v>
      </c>
      <c r="J11" s="50">
        <v>1945</v>
      </c>
      <c r="K11" s="238">
        <v>0.06</v>
      </c>
      <c r="L11" s="50" t="str">
        <f>_xlfn.XLOOKUP($D11,Tab_Def_Processes[Name(EN)],Tab_Def_Processes[Stock?],,0,)</f>
        <v>Yes</v>
      </c>
      <c r="M11" s="48"/>
      <c r="N11" s="57" t="str">
        <f>_xlfn.XLOOKUP($D11,Tab_Def_Processes[Name(EN)],Tab_Def_Processes[Input_Flow_I_1],,0,)</f>
        <v>N.A.</v>
      </c>
      <c r="O11" s="48" t="e">
        <f>_xlfn.XLOOKUP($D11,Tab_Def_Processes[Name(EN)],Tab_Def_Processes[Flow_ID_I_1],,0,)</f>
        <v>#N/A</v>
      </c>
      <c r="P11" s="72"/>
      <c r="Q11" s="69" t="str">
        <f>_xlfn.XLOOKUP($D11,Tab_Def_Processes[Name(EN)],Tab_Def_Processes[Input_Flow_I_2],,0,)</f>
        <v>N.A.</v>
      </c>
      <c r="R11" s="48" t="e">
        <f>_xlfn.XLOOKUP($D11,Tab_Def_Processes[Name(EN)],Tab_Def_Processes[Flow_ID_I_2],,0,)</f>
        <v>#N/A</v>
      </c>
      <c r="S11" s="72"/>
      <c r="T11" s="69" t="str">
        <f>_xlfn.XLOOKUP($D11,Tab_Def_Processes[Name(EN)],Tab_Def_Processes[Input_Flow_I_3],,0,)</f>
        <v>N.A.</v>
      </c>
      <c r="U11" s="48" t="e">
        <f>_xlfn.XLOOKUP($D11,Tab_Def_Processes[Name(EN)],Tab_Def_Processes[Flow_ID_I_3],,0,)</f>
        <v>#N/A</v>
      </c>
      <c r="V11" s="72"/>
      <c r="W11" s="69" t="str">
        <f>_xlfn.XLOOKUP($D11,Tab_Def_Processes[Name(EN)],Tab_Def_Processes[Input_Flow_I_4],,0,)</f>
        <v>N.A.</v>
      </c>
      <c r="X11" s="48" t="e">
        <f>_xlfn.XLOOKUP($D11,Tab_Def_Processes[Name(EN)],Tab_Def_Processes[Flow_ID_I_4],,0,)</f>
        <v>#N/A</v>
      </c>
      <c r="Y11" s="72"/>
      <c r="Z11" s="69" t="str">
        <f>_xlfn.XLOOKUP($D11,Tab_Def_Processes[Name(EN)],Tab_Def_Processes[Input_Flow_I_5],,0,)</f>
        <v>N.A.</v>
      </c>
      <c r="AA11" s="48" t="e">
        <f>_xlfn.XLOOKUP($D11,Tab_Def_Processes[Name(EN)],Tab_Def_Processes[Flow_ID_I_5],,0,)</f>
        <v>#N/A</v>
      </c>
      <c r="AB11" s="72"/>
      <c r="AC11" s="71">
        <f>Tab_Process_TCs2527[[#This Row],[Flow_TC_I_1_'[%']]]+Tab_Process_TCs2527[[#This Row],[Flow_TC_I_2_'[%']]]+Tab_Process_TCs2527[[#This Row],[Flow_TC_I_3_'[%']]]+Tab_Process_TCs2527[[#This Row],[Flow_TC_I_4_'[%']]]+Tab_Process_TCs2527[[#This Row],[Flow_TC_I_5_'[%']]]</f>
        <v>0</v>
      </c>
      <c r="AD11" s="57" t="e">
        <f>_xlfn.XLOOKUP($D11,Tab_Process_TCs[TC_ID],Tab_Process_TCs[Output_Flow_O_1],,0,)</f>
        <v>#N/A</v>
      </c>
      <c r="AE11" s="48" t="e">
        <f>_xlfn.XLOOKUP($D11,Tab_Process_TCs[TC_ID],Tab_Process_TCs[Flow_ID_O_1],,0,)</f>
        <v>#N/A</v>
      </c>
      <c r="AF11" s="96" t="str">
        <f>Tab_Process_TCs2527[[#This Row],[Flow_ID]]</f>
        <v>F_03_04</v>
      </c>
      <c r="AG11" s="48" t="e">
        <f t="shared" si="1"/>
        <v>#N/A</v>
      </c>
      <c r="AH11" s="105">
        <v>0.5</v>
      </c>
      <c r="AI11" s="227" t="e">
        <f>_xlfn.XLOOKUP($D11,Tab_Process_TCs[TC_ID],Tab_Process_TCs[Output_Flow_O_2],,0,)</f>
        <v>#N/A</v>
      </c>
      <c r="AJ11" s="109" t="e">
        <f>_xlfn.XLOOKUP($D11,Tab_Process_TCs[TC_ID],Tab_Process_TCs[Flow_ID_O_2],,0,)</f>
        <v>#N/A</v>
      </c>
      <c r="AK11" s="96" t="str">
        <f>Tab_Process_TCs2527[[#This Row],[Flow_ID]]</f>
        <v>F_03_04</v>
      </c>
      <c r="AL11" s="48" t="e">
        <f t="shared" si="2"/>
        <v>#N/A</v>
      </c>
      <c r="AM11" s="231">
        <v>0.2</v>
      </c>
      <c r="AN11" s="57" t="e">
        <f>_xlfn.XLOOKUP($D11,Tab_Process_TCs[TC_ID],Tab_Process_TCs[Output_Flow_O_3],,0,)</f>
        <v>#N/A</v>
      </c>
      <c r="AO11" s="48" t="e">
        <f>_xlfn.XLOOKUP($D11,Tab_Process_TCs[TC_ID],Tab_Process_TCs[Flow_ID_O_3],,0,)</f>
        <v>#N/A</v>
      </c>
      <c r="AP11" s="96" t="str">
        <f>Tab_Process_TCs2527[[#This Row],[Flow_ID]]</f>
        <v>F_03_04</v>
      </c>
      <c r="AQ11" s="48" t="e">
        <f t="shared" si="3"/>
        <v>#N/A</v>
      </c>
      <c r="AR11" s="224">
        <v>0.3</v>
      </c>
      <c r="AS11" s="57" t="e">
        <f>_xlfn.XLOOKUP($D11,Tab_Process_TCs[TC_ID],#REF!,,0,)</f>
        <v>#REF!</v>
      </c>
      <c r="AT11" s="48" t="e">
        <f>_xlfn.XLOOKUP($D11,Tab_Process_TCs[TC_ID],#REF!,,0,)</f>
        <v>#REF!</v>
      </c>
      <c r="AU11" s="96" t="str">
        <f>Tab_Process_TCs2527[[#This Row],[Flow_ID]]</f>
        <v>F_03_04</v>
      </c>
      <c r="AV11" s="96" t="e">
        <f t="shared" si="4"/>
        <v>#N/A</v>
      </c>
      <c r="AW11" s="224"/>
      <c r="AX11" s="57" t="e">
        <f>_xlfn.XLOOKUP($D11,Tab_Process_TCs[TC_ID],#REF!,,0,)</f>
        <v>#REF!</v>
      </c>
      <c r="AY11" s="48" t="e">
        <f>_xlfn.XLOOKUP($D11,Tab_Process_TCs[TC_ID],#REF!,,0,)</f>
        <v>#REF!</v>
      </c>
      <c r="AZ11" s="96" t="str">
        <f>Tab_Process_TCs2527[[#This Row],[Flow_ID]]</f>
        <v>F_03_04</v>
      </c>
      <c r="BA11" s="96" t="e">
        <f t="shared" si="5"/>
        <v>#REF!</v>
      </c>
      <c r="BB11" s="224"/>
      <c r="BC11" s="48" t="e">
        <f>_xlfn.XLOOKUP($D11,Tab_Process_TCs[TC_ID],#REF!,,0,)</f>
        <v>#REF!</v>
      </c>
      <c r="BD11" s="48" t="e">
        <f>_xlfn.XLOOKUP($D11,Tab_Process_TCs[TC_ID],#REF!,,0,)</f>
        <v>#REF!</v>
      </c>
      <c r="BE11" s="96" t="str">
        <f>Tab_Process_TCs2527[[#This Row],[Flow_ID]]</f>
        <v>F_03_04</v>
      </c>
      <c r="BF11" s="96" t="e">
        <f t="shared" si="6"/>
        <v>#REF!</v>
      </c>
      <c r="BG11" s="105"/>
      <c r="BH11" s="108">
        <f>Tab_Process_TCs2527[[#This Row],[TC O_6_'[%']]]+Tab_Process_TCs2527[[#This Row],[TC O_5_'[%']]]+Tab_Process_TCs2527[[#This Row],[TC_O_4_'[%']]]+Tab_Process_TCs2527[[#This Row],[TC_O_3_'[%']]]+Tab_Process_TCs2527[[#This Row],[TC_O_2_'[%']]]+Tab_Process_TCs2527[[#This Row],[TC_O_1_'[%']]]</f>
        <v>1</v>
      </c>
      <c r="BI11" s="50"/>
      <c r="BJ11" s="50"/>
      <c r="BK11" s="50"/>
      <c r="BL11" s="50"/>
      <c r="BM11" s="50"/>
    </row>
    <row r="12" spans="1:69" x14ac:dyDescent="0.3">
      <c r="A12" s="84" t="b">
        <v>0</v>
      </c>
      <c r="B12" s="48">
        <f t="shared" si="0"/>
        <v>11</v>
      </c>
      <c r="C12" s="103" t="str">
        <f>_xlfn.XLOOKUP($D12,Tab_Process_TCs[Name(EN)],Tab_Process_TCs[Process_ID],,0,)</f>
        <v>02</v>
      </c>
      <c r="D12" s="50" t="s">
        <v>108</v>
      </c>
      <c r="E12" s="50" t="s">
        <v>528</v>
      </c>
      <c r="F12" s="48" t="str">
        <f>_xlfn.XLOOKUP($D12,Tab_Process_TCs[Name(EN)],Tab_Process_TCs[TC?],,0,)</f>
        <v>Yes</v>
      </c>
      <c r="G12" s="48" t="str">
        <f>_xlfn.XLOOKUP($D12,Tab_Process_TCs[Name(EN)],Tab_Process_TCs[Dyn_TC?],,0,)</f>
        <v>Yes</v>
      </c>
      <c r="H12" s="48" t="str">
        <f>_xlfn.XLOOKUP($E12,Tab_Def_Flows[Name(EN)],Tab_Def_Flows[Flow_ID],,0,1)</f>
        <v>F_02_08</v>
      </c>
      <c r="I12" s="50" t="str">
        <f>IF(Tab_Process_TCs2527[[#This Row],[Name(EN)]]="N.A.","N.A.","TC"&amp;"_"&amp;RIGHT(H12,5))</f>
        <v>TC_02_08</v>
      </c>
      <c r="J12" s="50">
        <v>1970</v>
      </c>
      <c r="K12" s="238">
        <v>0.4</v>
      </c>
      <c r="L12" s="50" t="str">
        <f>_xlfn.XLOOKUP($D12,Tab_Def_Processes[Name(EN)],Tab_Def_Processes[Stock?],,0,)</f>
        <v>Yes</v>
      </c>
      <c r="M12" s="48"/>
      <c r="N12" s="57" t="str">
        <f>_xlfn.XLOOKUP($D12,Tab_Def_Processes[Name(EN)],Tab_Def_Processes[Input_Flow_I_1],,0,)</f>
        <v>N.A.</v>
      </c>
      <c r="O12" s="48" t="e">
        <f>_xlfn.XLOOKUP($D12,Tab_Def_Processes[Name(EN)],Tab_Def_Processes[Flow_ID_I_1],,0,)</f>
        <v>#N/A</v>
      </c>
      <c r="P12" s="72"/>
      <c r="Q12" s="69" t="str">
        <f>_xlfn.XLOOKUP($D12,Tab_Def_Processes[Name(EN)],Tab_Def_Processes[Input_Flow_I_2],,0,)</f>
        <v>N.A.</v>
      </c>
      <c r="R12" s="48" t="e">
        <f>_xlfn.XLOOKUP($D12,Tab_Def_Processes[Name(EN)],Tab_Def_Processes[Flow_ID_I_2],,0,)</f>
        <v>#N/A</v>
      </c>
      <c r="S12" s="72"/>
      <c r="T12" s="69" t="str">
        <f>_xlfn.XLOOKUP($D12,Tab_Def_Processes[Name(EN)],Tab_Def_Processes[Input_Flow_I_3],,0,)</f>
        <v>N.A.</v>
      </c>
      <c r="U12" s="48" t="e">
        <f>_xlfn.XLOOKUP($D12,Tab_Def_Processes[Name(EN)],Tab_Def_Processes[Flow_ID_I_3],,0,)</f>
        <v>#N/A</v>
      </c>
      <c r="V12" s="72"/>
      <c r="W12" s="69" t="str">
        <f>_xlfn.XLOOKUP($D12,Tab_Def_Processes[Name(EN)],Tab_Def_Processes[Input_Flow_I_4],,0,)</f>
        <v>N.A.</v>
      </c>
      <c r="X12" s="48" t="e">
        <f>_xlfn.XLOOKUP($D12,Tab_Def_Processes[Name(EN)],Tab_Def_Processes[Flow_ID_I_4],,0,)</f>
        <v>#N/A</v>
      </c>
      <c r="Y12" s="72"/>
      <c r="Z12" s="69" t="str">
        <f>_xlfn.XLOOKUP($D12,Tab_Def_Processes[Name(EN)],Tab_Def_Processes[Input_Flow_I_5],,0,)</f>
        <v>N.A.</v>
      </c>
      <c r="AA12" s="48" t="e">
        <f>_xlfn.XLOOKUP($D12,Tab_Def_Processes[Name(EN)],Tab_Def_Processes[Flow_ID_I_5],,0,)</f>
        <v>#N/A</v>
      </c>
      <c r="AB12" s="72"/>
      <c r="AC12" s="71">
        <f>Tab_Process_TCs2527[[#This Row],[Flow_TC_I_1_'[%']]]+Tab_Process_TCs2527[[#This Row],[Flow_TC_I_2_'[%']]]+Tab_Process_TCs2527[[#This Row],[Flow_TC_I_3_'[%']]]+Tab_Process_TCs2527[[#This Row],[Flow_TC_I_4_'[%']]]+Tab_Process_TCs2527[[#This Row],[Flow_TC_I_5_'[%']]]</f>
        <v>0</v>
      </c>
      <c r="AD12" s="57" t="e">
        <f>_xlfn.XLOOKUP($D12,Tab_Process_TCs[TC_ID],Tab_Process_TCs[Output_Flow_O_1],,0,)</f>
        <v>#N/A</v>
      </c>
      <c r="AE12" s="48" t="e">
        <f>_xlfn.XLOOKUP($D12,Tab_Process_TCs[TC_ID],Tab_Process_TCs[Flow_ID_O_1],,0,)</f>
        <v>#N/A</v>
      </c>
      <c r="AF12" s="96" t="str">
        <f>Tab_Process_TCs2527[[#This Row],[Flow_ID]]</f>
        <v>F_02_08</v>
      </c>
      <c r="AG12" s="48" t="e">
        <f t="shared" si="1"/>
        <v>#N/A</v>
      </c>
      <c r="AH12" s="105">
        <v>0.5</v>
      </c>
      <c r="AI12" s="227" t="e">
        <f>_xlfn.XLOOKUP($D12,Tab_Process_TCs[TC_ID],Tab_Process_TCs[Output_Flow_O_2],,0,)</f>
        <v>#N/A</v>
      </c>
      <c r="AJ12" s="109" t="e">
        <f>_xlfn.XLOOKUP($D12,Tab_Process_TCs[TC_ID],Tab_Process_TCs[Flow_ID_O_2],,0,)</f>
        <v>#N/A</v>
      </c>
      <c r="AK12" s="96" t="str">
        <f>Tab_Process_TCs2527[[#This Row],[Flow_ID]]</f>
        <v>F_02_08</v>
      </c>
      <c r="AL12" s="48" t="e">
        <f t="shared" si="2"/>
        <v>#N/A</v>
      </c>
      <c r="AM12" s="231">
        <v>0.2</v>
      </c>
      <c r="AN12" s="57" t="e">
        <f>_xlfn.XLOOKUP($D12,Tab_Process_TCs[TC_ID],Tab_Process_TCs[Output_Flow_O_3],,0,)</f>
        <v>#N/A</v>
      </c>
      <c r="AO12" s="48" t="e">
        <f>_xlfn.XLOOKUP($D12,Tab_Process_TCs[TC_ID],Tab_Process_TCs[Flow_ID_O_3],,0,)</f>
        <v>#N/A</v>
      </c>
      <c r="AP12" s="96" t="str">
        <f>Tab_Process_TCs2527[[#This Row],[Flow_ID]]</f>
        <v>F_02_08</v>
      </c>
      <c r="AQ12" s="48" t="e">
        <f t="shared" si="3"/>
        <v>#N/A</v>
      </c>
      <c r="AR12" s="224">
        <v>0.3</v>
      </c>
      <c r="AS12" s="57" t="e">
        <f>_xlfn.XLOOKUP($D12,Tab_Process_TCs[TC_ID],#REF!,,0,)</f>
        <v>#REF!</v>
      </c>
      <c r="AT12" s="48" t="e">
        <f>_xlfn.XLOOKUP($D12,Tab_Process_TCs[TC_ID],#REF!,,0,)</f>
        <v>#REF!</v>
      </c>
      <c r="AU12" s="96" t="str">
        <f>Tab_Process_TCs2527[[#This Row],[Flow_ID]]</f>
        <v>F_02_08</v>
      </c>
      <c r="AV12" s="96" t="e">
        <f t="shared" si="4"/>
        <v>#N/A</v>
      </c>
      <c r="AW12" s="224"/>
      <c r="AX12" s="57" t="e">
        <f>_xlfn.XLOOKUP($D12,Tab_Process_TCs[TC_ID],#REF!,,0,)</f>
        <v>#REF!</v>
      </c>
      <c r="AY12" s="48" t="e">
        <f>_xlfn.XLOOKUP($D12,Tab_Process_TCs[TC_ID],#REF!,,0,)</f>
        <v>#REF!</v>
      </c>
      <c r="AZ12" s="96" t="str">
        <f>Tab_Process_TCs2527[[#This Row],[Flow_ID]]</f>
        <v>F_02_08</v>
      </c>
      <c r="BA12" s="96" t="e">
        <f t="shared" si="5"/>
        <v>#REF!</v>
      </c>
      <c r="BB12" s="224"/>
      <c r="BC12" s="48" t="e">
        <f>_xlfn.XLOOKUP($D12,Tab_Process_TCs[TC_ID],#REF!,,0,)</f>
        <v>#REF!</v>
      </c>
      <c r="BD12" s="48" t="e">
        <f>_xlfn.XLOOKUP($D12,Tab_Process_TCs[TC_ID],#REF!,,0,)</f>
        <v>#REF!</v>
      </c>
      <c r="BE12" s="96" t="str">
        <f>Tab_Process_TCs2527[[#This Row],[Flow_ID]]</f>
        <v>F_02_08</v>
      </c>
      <c r="BF12" s="96" t="e">
        <f t="shared" si="6"/>
        <v>#REF!</v>
      </c>
      <c r="BG12" s="105"/>
      <c r="BH12" s="108">
        <f>Tab_Process_TCs2527[[#This Row],[TC O_6_'[%']]]+Tab_Process_TCs2527[[#This Row],[TC O_5_'[%']]]+Tab_Process_TCs2527[[#This Row],[TC_O_4_'[%']]]+Tab_Process_TCs2527[[#This Row],[TC_O_3_'[%']]]+Tab_Process_TCs2527[[#This Row],[TC_O_2_'[%']]]+Tab_Process_TCs2527[[#This Row],[TC_O_1_'[%']]]</f>
        <v>1</v>
      </c>
      <c r="BI12" s="50"/>
      <c r="BJ12" s="50"/>
      <c r="BK12" s="50"/>
      <c r="BL12" s="50"/>
      <c r="BM12" s="50"/>
    </row>
    <row r="13" spans="1:69" x14ac:dyDescent="0.3">
      <c r="A13" s="84" t="b">
        <v>0</v>
      </c>
      <c r="B13" s="48">
        <f t="shared" si="0"/>
        <v>12</v>
      </c>
      <c r="C13" s="103" t="str">
        <f>_xlfn.XLOOKUP($D13,Tab_Process_TCs[Name(EN)],Tab_Process_TCs[Process_ID],,0,)</f>
        <v>02</v>
      </c>
      <c r="D13" s="50" t="s">
        <v>108</v>
      </c>
      <c r="E13" s="50" t="s">
        <v>111</v>
      </c>
      <c r="F13" s="48" t="str">
        <f>_xlfn.XLOOKUP($D13,Tab_Process_TCs[Name(EN)],Tab_Process_TCs[TC?],,0,)</f>
        <v>Yes</v>
      </c>
      <c r="G13" s="48" t="str">
        <f>_xlfn.XLOOKUP($D13,Tab_Process_TCs[Name(EN)],Tab_Process_TCs[Dyn_TC?],,0,)</f>
        <v>Yes</v>
      </c>
      <c r="H13" s="48" t="str">
        <f>_xlfn.XLOOKUP($E13,Tab_Def_Flows[Name(EN)],Tab_Def_Flows[Flow_ID],,0,1)</f>
        <v>F_02_03</v>
      </c>
      <c r="I13" s="50" t="str">
        <f>IF(Tab_Process_TCs2527[[#This Row],[Name(EN)]]="N.A.","N.A.","TC"&amp;"_"&amp;RIGHT(H13,5))</f>
        <v>TC_02_03</v>
      </c>
      <c r="J13" s="50">
        <v>1970</v>
      </c>
      <c r="K13" s="238">
        <v>0.6</v>
      </c>
      <c r="L13" s="50" t="str">
        <f>_xlfn.XLOOKUP($D13,Tab_Def_Processes[Name(EN)],Tab_Def_Processes[Stock?],,0,)</f>
        <v>Yes</v>
      </c>
      <c r="M13" s="48"/>
      <c r="N13" s="57" t="str">
        <f>_xlfn.XLOOKUP($D13,Tab_Def_Processes[Name(EN)],Tab_Def_Processes[Input_Flow_I_1],,0,)</f>
        <v>N.A.</v>
      </c>
      <c r="O13" s="48" t="e">
        <f>_xlfn.XLOOKUP($D13,Tab_Def_Processes[Name(EN)],Tab_Def_Processes[Flow_ID_I_1],,0,)</f>
        <v>#N/A</v>
      </c>
      <c r="P13" s="72"/>
      <c r="Q13" s="69" t="str">
        <f>_xlfn.XLOOKUP($D13,Tab_Def_Processes[Name(EN)],Tab_Def_Processes[Input_Flow_I_2],,0,)</f>
        <v>N.A.</v>
      </c>
      <c r="R13" s="48" t="e">
        <f>_xlfn.XLOOKUP($D13,Tab_Def_Processes[Name(EN)],Tab_Def_Processes[Flow_ID_I_2],,0,)</f>
        <v>#N/A</v>
      </c>
      <c r="S13" s="72"/>
      <c r="T13" s="69" t="str">
        <f>_xlfn.XLOOKUP($D13,Tab_Def_Processes[Name(EN)],Tab_Def_Processes[Input_Flow_I_3],,0,)</f>
        <v>N.A.</v>
      </c>
      <c r="U13" s="48" t="e">
        <f>_xlfn.XLOOKUP($D13,Tab_Def_Processes[Name(EN)],Tab_Def_Processes[Flow_ID_I_3],,0,)</f>
        <v>#N/A</v>
      </c>
      <c r="V13" s="72"/>
      <c r="W13" s="69" t="str">
        <f>_xlfn.XLOOKUP($D13,Tab_Def_Processes[Name(EN)],Tab_Def_Processes[Input_Flow_I_4],,0,)</f>
        <v>N.A.</v>
      </c>
      <c r="X13" s="48" t="e">
        <f>_xlfn.XLOOKUP($D13,Tab_Def_Processes[Name(EN)],Tab_Def_Processes[Flow_ID_I_4],,0,)</f>
        <v>#N/A</v>
      </c>
      <c r="Y13" s="72"/>
      <c r="Z13" s="69" t="str">
        <f>_xlfn.XLOOKUP($D13,Tab_Def_Processes[Name(EN)],Tab_Def_Processes[Input_Flow_I_5],,0,)</f>
        <v>N.A.</v>
      </c>
      <c r="AA13" s="48" t="e">
        <f>_xlfn.XLOOKUP($D13,Tab_Def_Processes[Name(EN)],Tab_Def_Processes[Flow_ID_I_5],,0,)</f>
        <v>#N/A</v>
      </c>
      <c r="AB13" s="72"/>
      <c r="AC13" s="71">
        <f>Tab_Process_TCs2527[[#This Row],[Flow_TC_I_1_'[%']]]+Tab_Process_TCs2527[[#This Row],[Flow_TC_I_2_'[%']]]+Tab_Process_TCs2527[[#This Row],[Flow_TC_I_3_'[%']]]+Tab_Process_TCs2527[[#This Row],[Flow_TC_I_4_'[%']]]+Tab_Process_TCs2527[[#This Row],[Flow_TC_I_5_'[%']]]</f>
        <v>0</v>
      </c>
      <c r="AD13" s="57" t="e">
        <f>_xlfn.XLOOKUP($D13,Tab_Process_TCs[TC_ID],Tab_Process_TCs[Output_Flow_O_1],,0,)</f>
        <v>#N/A</v>
      </c>
      <c r="AE13" s="48" t="e">
        <f>_xlfn.XLOOKUP($D13,Tab_Process_TCs[TC_ID],Tab_Process_TCs[Flow_ID_O_1],,0,)</f>
        <v>#N/A</v>
      </c>
      <c r="AF13" s="96" t="str">
        <f>Tab_Process_TCs2527[[#This Row],[Flow_ID]]</f>
        <v>F_02_03</v>
      </c>
      <c r="AG13" s="48" t="e">
        <f t="shared" si="1"/>
        <v>#N/A</v>
      </c>
      <c r="AH13" s="105">
        <v>0.5</v>
      </c>
      <c r="AI13" s="227" t="e">
        <f>_xlfn.XLOOKUP($D13,Tab_Process_TCs[TC_ID],Tab_Process_TCs[Output_Flow_O_2],,0,)</f>
        <v>#N/A</v>
      </c>
      <c r="AJ13" s="109" t="e">
        <f>_xlfn.XLOOKUP($D13,Tab_Process_TCs[TC_ID],Tab_Process_TCs[Flow_ID_O_2],,0,)</f>
        <v>#N/A</v>
      </c>
      <c r="AK13" s="96" t="str">
        <f>Tab_Process_TCs2527[[#This Row],[Flow_ID]]</f>
        <v>F_02_03</v>
      </c>
      <c r="AL13" s="48" t="e">
        <f t="shared" si="2"/>
        <v>#N/A</v>
      </c>
      <c r="AM13" s="231">
        <v>0.2</v>
      </c>
      <c r="AN13" s="57" t="e">
        <f>_xlfn.XLOOKUP($D13,Tab_Process_TCs[TC_ID],Tab_Process_TCs[Output_Flow_O_3],,0,)</f>
        <v>#N/A</v>
      </c>
      <c r="AO13" s="48" t="e">
        <f>_xlfn.XLOOKUP($D13,Tab_Process_TCs[TC_ID],Tab_Process_TCs[Flow_ID_O_3],,0,)</f>
        <v>#N/A</v>
      </c>
      <c r="AP13" s="96" t="str">
        <f>Tab_Process_TCs2527[[#This Row],[Flow_ID]]</f>
        <v>F_02_03</v>
      </c>
      <c r="AQ13" s="48" t="e">
        <f t="shared" si="3"/>
        <v>#N/A</v>
      </c>
      <c r="AR13" s="224">
        <v>0.3</v>
      </c>
      <c r="AS13" s="57" t="e">
        <f>_xlfn.XLOOKUP($D13,Tab_Process_TCs[TC_ID],#REF!,,0,)</f>
        <v>#REF!</v>
      </c>
      <c r="AT13" s="48" t="e">
        <f>_xlfn.XLOOKUP($D13,Tab_Process_TCs[TC_ID],#REF!,,0,)</f>
        <v>#REF!</v>
      </c>
      <c r="AU13" s="96" t="str">
        <f>Tab_Process_TCs2527[[#This Row],[Flow_ID]]</f>
        <v>F_02_03</v>
      </c>
      <c r="AV13" s="96" t="e">
        <f t="shared" si="4"/>
        <v>#N/A</v>
      </c>
      <c r="AW13" s="224"/>
      <c r="AX13" s="57" t="e">
        <f>_xlfn.XLOOKUP($D13,Tab_Process_TCs[TC_ID],#REF!,,0,)</f>
        <v>#REF!</v>
      </c>
      <c r="AY13" s="48" t="e">
        <f>_xlfn.XLOOKUP($D13,Tab_Process_TCs[TC_ID],#REF!,,0,)</f>
        <v>#REF!</v>
      </c>
      <c r="AZ13" s="96" t="str">
        <f>Tab_Process_TCs2527[[#This Row],[Flow_ID]]</f>
        <v>F_02_03</v>
      </c>
      <c r="BA13" s="96" t="e">
        <f t="shared" si="5"/>
        <v>#REF!</v>
      </c>
      <c r="BB13" s="224"/>
      <c r="BC13" s="48" t="e">
        <f>_xlfn.XLOOKUP($D13,Tab_Process_TCs[TC_ID],#REF!,,0,)</f>
        <v>#REF!</v>
      </c>
      <c r="BD13" s="48" t="e">
        <f>_xlfn.XLOOKUP($D13,Tab_Process_TCs[TC_ID],#REF!,,0,)</f>
        <v>#REF!</v>
      </c>
      <c r="BE13" s="96" t="str">
        <f>Tab_Process_TCs2527[[#This Row],[Flow_ID]]</f>
        <v>F_02_03</v>
      </c>
      <c r="BF13" s="96" t="e">
        <f t="shared" si="6"/>
        <v>#REF!</v>
      </c>
      <c r="BG13" s="105"/>
      <c r="BH13" s="108">
        <f>Tab_Process_TCs2527[[#This Row],[TC O_6_'[%']]]+Tab_Process_TCs2527[[#This Row],[TC O_5_'[%']]]+Tab_Process_TCs2527[[#This Row],[TC_O_4_'[%']]]+Tab_Process_TCs2527[[#This Row],[TC_O_3_'[%']]]+Tab_Process_TCs2527[[#This Row],[TC_O_2_'[%']]]+Tab_Process_TCs2527[[#This Row],[TC_O_1_'[%']]]</f>
        <v>1</v>
      </c>
      <c r="BI13" s="50"/>
      <c r="BJ13" s="50"/>
      <c r="BK13" s="50"/>
      <c r="BL13" s="50"/>
      <c r="BM13" s="50"/>
    </row>
    <row r="14" spans="1:69" x14ac:dyDescent="0.3">
      <c r="A14" s="84" t="b">
        <v>0</v>
      </c>
      <c r="B14" s="48">
        <f t="shared" si="0"/>
        <v>13</v>
      </c>
      <c r="C14" s="103" t="str">
        <f>_xlfn.XLOOKUP($D14,Tab_Process_TCs[Name(EN)],Tab_Process_TCs[Process_ID],,0,)</f>
        <v>03</v>
      </c>
      <c r="D14" s="50" t="s">
        <v>112</v>
      </c>
      <c r="E14" s="50" t="s">
        <v>531</v>
      </c>
      <c r="F14" s="48" t="str">
        <f>_xlfn.XLOOKUP($D14,Tab_Process_TCs[Name(EN)],Tab_Process_TCs[TC?],,0,)</f>
        <v>Yes</v>
      </c>
      <c r="G14" s="48" t="str">
        <f>_xlfn.XLOOKUP($D14,Tab_Process_TCs[Name(EN)],Tab_Process_TCs[Dyn_TC?],,0,)</f>
        <v>Yes</v>
      </c>
      <c r="H14" s="48" t="str">
        <f>_xlfn.XLOOKUP($E14,Tab_Def_Flows[Name(EN)],Tab_Def_Flows[Flow_ID],,0,1)</f>
        <v>F_03_06</v>
      </c>
      <c r="I14" s="50" t="str">
        <f>IF(Tab_Process_TCs2527[[#This Row],[Name(EN)]]="N.A.","N.A.","TC"&amp;"_"&amp;RIGHT(H14,5))</f>
        <v>TC_03_06</v>
      </c>
      <c r="J14" s="50">
        <v>1970</v>
      </c>
      <c r="K14" s="238">
        <v>0.8</v>
      </c>
      <c r="L14" s="50" t="str">
        <f>_xlfn.XLOOKUP($D14,Tab_Def_Processes[Name(EN)],Tab_Def_Processes[Stock?],,0,)</f>
        <v>Yes</v>
      </c>
      <c r="M14" s="48"/>
      <c r="N14" s="57" t="str">
        <f>_xlfn.XLOOKUP($D14,Tab_Def_Processes[Name(EN)],Tab_Def_Processes[Input_Flow_I_1],,0,)</f>
        <v>N.A.</v>
      </c>
      <c r="O14" s="48" t="e">
        <f>_xlfn.XLOOKUP($D14,Tab_Def_Processes[Name(EN)],Tab_Def_Processes[Flow_ID_I_1],,0,)</f>
        <v>#N/A</v>
      </c>
      <c r="P14" s="72"/>
      <c r="Q14" s="69" t="str">
        <f>_xlfn.XLOOKUP($D14,Tab_Def_Processes[Name(EN)],Tab_Def_Processes[Input_Flow_I_2],,0,)</f>
        <v>N.A.</v>
      </c>
      <c r="R14" s="48" t="e">
        <f>_xlfn.XLOOKUP($D14,Tab_Def_Processes[Name(EN)],Tab_Def_Processes[Flow_ID_I_2],,0,)</f>
        <v>#N/A</v>
      </c>
      <c r="S14" s="72"/>
      <c r="T14" s="69" t="str">
        <f>_xlfn.XLOOKUP($D14,Tab_Def_Processes[Name(EN)],Tab_Def_Processes[Input_Flow_I_3],,0,)</f>
        <v>N.A.</v>
      </c>
      <c r="U14" s="48" t="e">
        <f>_xlfn.XLOOKUP($D14,Tab_Def_Processes[Name(EN)],Tab_Def_Processes[Flow_ID_I_3],,0,)</f>
        <v>#N/A</v>
      </c>
      <c r="V14" s="72"/>
      <c r="W14" s="69" t="str">
        <f>_xlfn.XLOOKUP($D14,Tab_Def_Processes[Name(EN)],Tab_Def_Processes[Input_Flow_I_4],,0,)</f>
        <v>N.A.</v>
      </c>
      <c r="X14" s="48" t="e">
        <f>_xlfn.XLOOKUP($D14,Tab_Def_Processes[Name(EN)],Tab_Def_Processes[Flow_ID_I_4],,0,)</f>
        <v>#N/A</v>
      </c>
      <c r="Y14" s="72"/>
      <c r="Z14" s="69" t="str">
        <f>_xlfn.XLOOKUP($D14,Tab_Def_Processes[Name(EN)],Tab_Def_Processes[Input_Flow_I_5],,0,)</f>
        <v>N.A.</v>
      </c>
      <c r="AA14" s="48" t="e">
        <f>_xlfn.XLOOKUP($D14,Tab_Def_Processes[Name(EN)],Tab_Def_Processes[Flow_ID_I_5],,0,)</f>
        <v>#N/A</v>
      </c>
      <c r="AB14" s="72"/>
      <c r="AC14" s="71">
        <f>Tab_Process_TCs2527[[#This Row],[Flow_TC_I_1_'[%']]]+Tab_Process_TCs2527[[#This Row],[Flow_TC_I_2_'[%']]]+Tab_Process_TCs2527[[#This Row],[Flow_TC_I_3_'[%']]]+Tab_Process_TCs2527[[#This Row],[Flow_TC_I_4_'[%']]]+Tab_Process_TCs2527[[#This Row],[Flow_TC_I_5_'[%']]]</f>
        <v>0</v>
      </c>
      <c r="AD14" s="57" t="e">
        <f>_xlfn.XLOOKUP($D14,Tab_Process_TCs[TC_ID],Tab_Process_TCs[Output_Flow_O_1],,0,)</f>
        <v>#N/A</v>
      </c>
      <c r="AE14" s="48" t="e">
        <f>_xlfn.XLOOKUP($D14,Tab_Process_TCs[TC_ID],Tab_Process_TCs[Flow_ID_O_1],,0,)</f>
        <v>#N/A</v>
      </c>
      <c r="AF14" s="96" t="str">
        <f>Tab_Process_TCs2527[[#This Row],[Flow_ID]]</f>
        <v>F_03_06</v>
      </c>
      <c r="AG14" s="48" t="e">
        <f t="shared" si="1"/>
        <v>#N/A</v>
      </c>
      <c r="AH14" s="105">
        <v>0.5</v>
      </c>
      <c r="AI14" s="227" t="e">
        <f>_xlfn.XLOOKUP($D14,Tab_Process_TCs[TC_ID],Tab_Process_TCs[Output_Flow_O_2],,0,)</f>
        <v>#N/A</v>
      </c>
      <c r="AJ14" s="109" t="e">
        <f>_xlfn.XLOOKUP($D14,Tab_Process_TCs[TC_ID],Tab_Process_TCs[Flow_ID_O_2],,0,)</f>
        <v>#N/A</v>
      </c>
      <c r="AK14" s="96" t="str">
        <f>Tab_Process_TCs2527[[#This Row],[Flow_ID]]</f>
        <v>F_03_06</v>
      </c>
      <c r="AL14" s="48" t="e">
        <f t="shared" si="2"/>
        <v>#N/A</v>
      </c>
      <c r="AM14" s="231">
        <v>0.2</v>
      </c>
      <c r="AN14" s="57" t="e">
        <f>_xlfn.XLOOKUP($D14,Tab_Process_TCs[TC_ID],Tab_Process_TCs[Output_Flow_O_3],,0,)</f>
        <v>#N/A</v>
      </c>
      <c r="AO14" s="48" t="e">
        <f>_xlfn.XLOOKUP($D14,Tab_Process_TCs[TC_ID],Tab_Process_TCs[Flow_ID_O_3],,0,)</f>
        <v>#N/A</v>
      </c>
      <c r="AP14" s="96" t="str">
        <f>Tab_Process_TCs2527[[#This Row],[Flow_ID]]</f>
        <v>F_03_06</v>
      </c>
      <c r="AQ14" s="48" t="e">
        <f t="shared" si="3"/>
        <v>#N/A</v>
      </c>
      <c r="AR14" s="224">
        <v>0.3</v>
      </c>
      <c r="AS14" s="57" t="e">
        <f>_xlfn.XLOOKUP($D14,Tab_Process_TCs[TC_ID],#REF!,,0,)</f>
        <v>#REF!</v>
      </c>
      <c r="AT14" s="48" t="e">
        <f>_xlfn.XLOOKUP($D14,Tab_Process_TCs[TC_ID],#REF!,,0,)</f>
        <v>#REF!</v>
      </c>
      <c r="AU14" s="96" t="str">
        <f>Tab_Process_TCs2527[[#This Row],[Flow_ID]]</f>
        <v>F_03_06</v>
      </c>
      <c r="AV14" s="96" t="e">
        <f t="shared" si="4"/>
        <v>#N/A</v>
      </c>
      <c r="AW14" s="224"/>
      <c r="AX14" s="57" t="e">
        <f>_xlfn.XLOOKUP($D14,Tab_Process_TCs[TC_ID],#REF!,,0,)</f>
        <v>#REF!</v>
      </c>
      <c r="AY14" s="48" t="e">
        <f>_xlfn.XLOOKUP($D14,Tab_Process_TCs[TC_ID],#REF!,,0,)</f>
        <v>#REF!</v>
      </c>
      <c r="AZ14" s="96" t="str">
        <f>Tab_Process_TCs2527[[#This Row],[Flow_ID]]</f>
        <v>F_03_06</v>
      </c>
      <c r="BA14" s="96" t="e">
        <f t="shared" si="5"/>
        <v>#REF!</v>
      </c>
      <c r="BB14" s="224"/>
      <c r="BC14" s="48" t="e">
        <f>_xlfn.XLOOKUP($D14,Tab_Process_TCs[TC_ID],#REF!,,0,)</f>
        <v>#REF!</v>
      </c>
      <c r="BD14" s="48" t="e">
        <f>_xlfn.XLOOKUP($D14,Tab_Process_TCs[TC_ID],#REF!,,0,)</f>
        <v>#REF!</v>
      </c>
      <c r="BE14" s="96" t="str">
        <f>Tab_Process_TCs2527[[#This Row],[Flow_ID]]</f>
        <v>F_03_06</v>
      </c>
      <c r="BF14" s="96" t="e">
        <f t="shared" si="6"/>
        <v>#REF!</v>
      </c>
      <c r="BG14" s="105"/>
      <c r="BH14" s="108">
        <f>Tab_Process_TCs2527[[#This Row],[TC O_6_'[%']]]+Tab_Process_TCs2527[[#This Row],[TC O_5_'[%']]]+Tab_Process_TCs2527[[#This Row],[TC_O_4_'[%']]]+Tab_Process_TCs2527[[#This Row],[TC_O_3_'[%']]]+Tab_Process_TCs2527[[#This Row],[TC_O_2_'[%']]]+Tab_Process_TCs2527[[#This Row],[TC_O_1_'[%']]]</f>
        <v>1</v>
      </c>
      <c r="BI14" s="50"/>
      <c r="BJ14" s="50"/>
      <c r="BK14" s="50"/>
      <c r="BL14" s="50"/>
      <c r="BM14" s="50"/>
    </row>
    <row r="15" spans="1:69" x14ac:dyDescent="0.3">
      <c r="A15" s="84" t="b">
        <v>0</v>
      </c>
      <c r="B15" s="48">
        <f t="shared" si="0"/>
        <v>14</v>
      </c>
      <c r="C15" s="103" t="str">
        <f>_xlfn.XLOOKUP($D15,Tab_Process_TCs[Name(EN)],Tab_Process_TCs[Process_ID],,0,)</f>
        <v>03</v>
      </c>
      <c r="D15" s="50" t="s">
        <v>112</v>
      </c>
      <c r="E15" s="50" t="s">
        <v>401</v>
      </c>
      <c r="F15" s="48" t="str">
        <f>_xlfn.XLOOKUP($D15,Tab_Process_TCs[Name(EN)],Tab_Process_TCs[TC?],,0,)</f>
        <v>Yes</v>
      </c>
      <c r="G15" s="48" t="str">
        <f>_xlfn.XLOOKUP($D15,Tab_Process_TCs[Name(EN)],Tab_Process_TCs[Dyn_TC?],,0,)</f>
        <v>Yes</v>
      </c>
      <c r="H15" s="48" t="str">
        <f>_xlfn.XLOOKUP($E15,Tab_Def_Flows[Name(EN)],Tab_Def_Flows[Flow_ID],,0,1)</f>
        <v>F_03_05</v>
      </c>
      <c r="I15" s="50" t="str">
        <f>IF(Tab_Process_TCs2527[[#This Row],[Name(EN)]]="N.A.","N.A.","TC"&amp;"_"&amp;RIGHT(H15,5))</f>
        <v>TC_03_05</v>
      </c>
      <c r="J15" s="50">
        <v>1970</v>
      </c>
      <c r="K15" s="238">
        <v>0.12</v>
      </c>
      <c r="L15" s="50" t="str">
        <f>_xlfn.XLOOKUP($D15,Tab_Def_Processes[Name(EN)],Tab_Def_Processes[Stock?],,0,)</f>
        <v>Yes</v>
      </c>
      <c r="M15" s="48"/>
      <c r="N15" s="57" t="str">
        <f>_xlfn.XLOOKUP($D15,Tab_Def_Processes[Name(EN)],Tab_Def_Processes[Input_Flow_I_1],,0,)</f>
        <v>N.A.</v>
      </c>
      <c r="O15" s="48" t="e">
        <f>_xlfn.XLOOKUP($D15,Tab_Def_Processes[Name(EN)],Tab_Def_Processes[Flow_ID_I_1],,0,)</f>
        <v>#N/A</v>
      </c>
      <c r="P15" s="72"/>
      <c r="Q15" s="69" t="str">
        <f>_xlfn.XLOOKUP($D15,Tab_Def_Processes[Name(EN)],Tab_Def_Processes[Input_Flow_I_2],,0,)</f>
        <v>N.A.</v>
      </c>
      <c r="R15" s="48" t="e">
        <f>_xlfn.XLOOKUP($D15,Tab_Def_Processes[Name(EN)],Tab_Def_Processes[Flow_ID_I_2],,0,)</f>
        <v>#N/A</v>
      </c>
      <c r="S15" s="72"/>
      <c r="T15" s="69" t="str">
        <f>_xlfn.XLOOKUP($D15,Tab_Def_Processes[Name(EN)],Tab_Def_Processes[Input_Flow_I_3],,0,)</f>
        <v>N.A.</v>
      </c>
      <c r="U15" s="48" t="e">
        <f>_xlfn.XLOOKUP($D15,Tab_Def_Processes[Name(EN)],Tab_Def_Processes[Flow_ID_I_3],,0,)</f>
        <v>#N/A</v>
      </c>
      <c r="V15" s="72"/>
      <c r="W15" s="69" t="str">
        <f>_xlfn.XLOOKUP($D15,Tab_Def_Processes[Name(EN)],Tab_Def_Processes[Input_Flow_I_4],,0,)</f>
        <v>N.A.</v>
      </c>
      <c r="X15" s="48" t="e">
        <f>_xlfn.XLOOKUP($D15,Tab_Def_Processes[Name(EN)],Tab_Def_Processes[Flow_ID_I_4],,0,)</f>
        <v>#N/A</v>
      </c>
      <c r="Y15" s="72"/>
      <c r="Z15" s="69" t="str">
        <f>_xlfn.XLOOKUP($D15,Tab_Def_Processes[Name(EN)],Tab_Def_Processes[Input_Flow_I_5],,0,)</f>
        <v>N.A.</v>
      </c>
      <c r="AA15" s="48" t="e">
        <f>_xlfn.XLOOKUP($D15,Tab_Def_Processes[Name(EN)],Tab_Def_Processes[Flow_ID_I_5],,0,)</f>
        <v>#N/A</v>
      </c>
      <c r="AB15" s="72"/>
      <c r="AC15" s="71">
        <f>Tab_Process_TCs2527[[#This Row],[Flow_TC_I_1_'[%']]]+Tab_Process_TCs2527[[#This Row],[Flow_TC_I_2_'[%']]]+Tab_Process_TCs2527[[#This Row],[Flow_TC_I_3_'[%']]]+Tab_Process_TCs2527[[#This Row],[Flow_TC_I_4_'[%']]]+Tab_Process_TCs2527[[#This Row],[Flow_TC_I_5_'[%']]]</f>
        <v>0</v>
      </c>
      <c r="AD15" s="57" t="e">
        <f>_xlfn.XLOOKUP($D15,Tab_Process_TCs[TC_ID],Tab_Process_TCs[Output_Flow_O_1],,0,)</f>
        <v>#N/A</v>
      </c>
      <c r="AE15" s="48" t="e">
        <f>_xlfn.XLOOKUP($D15,Tab_Process_TCs[TC_ID],Tab_Process_TCs[Flow_ID_O_1],,0,)</f>
        <v>#N/A</v>
      </c>
      <c r="AF15" s="96" t="str">
        <f>Tab_Process_TCs2527[[#This Row],[Flow_ID]]</f>
        <v>F_03_05</v>
      </c>
      <c r="AG15" s="48" t="e">
        <f t="shared" si="1"/>
        <v>#N/A</v>
      </c>
      <c r="AH15" s="105">
        <v>0.5</v>
      </c>
      <c r="AI15" s="227" t="e">
        <f>_xlfn.XLOOKUP($D15,Tab_Process_TCs[TC_ID],Tab_Process_TCs[Output_Flow_O_2],,0,)</f>
        <v>#N/A</v>
      </c>
      <c r="AJ15" s="109" t="e">
        <f>_xlfn.XLOOKUP($D15,Tab_Process_TCs[TC_ID],Tab_Process_TCs[Flow_ID_O_2],,0,)</f>
        <v>#N/A</v>
      </c>
      <c r="AK15" s="96" t="str">
        <f>Tab_Process_TCs2527[[#This Row],[Flow_ID]]</f>
        <v>F_03_05</v>
      </c>
      <c r="AL15" s="48" t="e">
        <f t="shared" si="2"/>
        <v>#N/A</v>
      </c>
      <c r="AM15" s="231">
        <v>0.2</v>
      </c>
      <c r="AN15" s="57" t="e">
        <f>_xlfn.XLOOKUP($D15,Tab_Process_TCs[TC_ID],Tab_Process_TCs[Output_Flow_O_3],,0,)</f>
        <v>#N/A</v>
      </c>
      <c r="AO15" s="48" t="e">
        <f>_xlfn.XLOOKUP($D15,Tab_Process_TCs[TC_ID],Tab_Process_TCs[Flow_ID_O_3],,0,)</f>
        <v>#N/A</v>
      </c>
      <c r="AP15" s="96" t="str">
        <f>Tab_Process_TCs2527[[#This Row],[Flow_ID]]</f>
        <v>F_03_05</v>
      </c>
      <c r="AQ15" s="48" t="e">
        <f t="shared" si="3"/>
        <v>#N/A</v>
      </c>
      <c r="AR15" s="224">
        <v>0.3</v>
      </c>
      <c r="AS15" s="57" t="e">
        <f>_xlfn.XLOOKUP($D15,Tab_Process_TCs[TC_ID],#REF!,,0,)</f>
        <v>#REF!</v>
      </c>
      <c r="AT15" s="48" t="e">
        <f>_xlfn.XLOOKUP($D15,Tab_Process_TCs[TC_ID],#REF!,,0,)</f>
        <v>#REF!</v>
      </c>
      <c r="AU15" s="96" t="str">
        <f>Tab_Process_TCs2527[[#This Row],[Flow_ID]]</f>
        <v>F_03_05</v>
      </c>
      <c r="AV15" s="96" t="e">
        <f t="shared" si="4"/>
        <v>#N/A</v>
      </c>
      <c r="AW15" s="224"/>
      <c r="AX15" s="57" t="e">
        <f>_xlfn.XLOOKUP($D15,Tab_Process_TCs[TC_ID],#REF!,,0,)</f>
        <v>#REF!</v>
      </c>
      <c r="AY15" s="48" t="e">
        <f>_xlfn.XLOOKUP($D15,Tab_Process_TCs[TC_ID],#REF!,,0,)</f>
        <v>#REF!</v>
      </c>
      <c r="AZ15" s="96" t="str">
        <f>Tab_Process_TCs2527[[#This Row],[Flow_ID]]</f>
        <v>F_03_05</v>
      </c>
      <c r="BA15" s="96" t="e">
        <f t="shared" si="5"/>
        <v>#REF!</v>
      </c>
      <c r="BB15" s="224"/>
      <c r="BC15" s="48" t="e">
        <f>_xlfn.XLOOKUP($D15,Tab_Process_TCs[TC_ID],#REF!,,0,)</f>
        <v>#REF!</v>
      </c>
      <c r="BD15" s="48" t="e">
        <f>_xlfn.XLOOKUP($D15,Tab_Process_TCs[TC_ID],#REF!,,0,)</f>
        <v>#REF!</v>
      </c>
      <c r="BE15" s="96" t="str">
        <f>Tab_Process_TCs2527[[#This Row],[Flow_ID]]</f>
        <v>F_03_05</v>
      </c>
      <c r="BF15" s="96" t="e">
        <f t="shared" si="6"/>
        <v>#REF!</v>
      </c>
      <c r="BG15" s="105"/>
      <c r="BH15" s="108">
        <f>Tab_Process_TCs2527[[#This Row],[TC O_6_'[%']]]+Tab_Process_TCs2527[[#This Row],[TC O_5_'[%']]]+Tab_Process_TCs2527[[#This Row],[TC_O_4_'[%']]]+Tab_Process_TCs2527[[#This Row],[TC_O_3_'[%']]]+Tab_Process_TCs2527[[#This Row],[TC_O_2_'[%']]]+Tab_Process_TCs2527[[#This Row],[TC_O_1_'[%']]]</f>
        <v>1</v>
      </c>
      <c r="BI15" s="50"/>
      <c r="BJ15" s="50"/>
      <c r="BK15" s="50"/>
      <c r="BL15" s="50"/>
      <c r="BM15" s="50"/>
    </row>
    <row r="16" spans="1:69" x14ac:dyDescent="0.3">
      <c r="A16" s="84" t="b">
        <v>0</v>
      </c>
      <c r="B16" s="48">
        <f t="shared" si="0"/>
        <v>15</v>
      </c>
      <c r="C16" s="103" t="str">
        <f>_xlfn.XLOOKUP($D16,Tab_Process_TCs[Name(EN)],Tab_Process_TCs[Process_ID],,0,)</f>
        <v>03</v>
      </c>
      <c r="D16" s="50" t="s">
        <v>112</v>
      </c>
      <c r="E16" s="50" t="s">
        <v>114</v>
      </c>
      <c r="F16" s="48" t="str">
        <f>_xlfn.XLOOKUP($D16,Tab_Process_TCs[Name(EN)],Tab_Process_TCs[TC?],,0,)</f>
        <v>Yes</v>
      </c>
      <c r="G16" s="48" t="str">
        <f>_xlfn.XLOOKUP($D16,Tab_Process_TCs[Name(EN)],Tab_Process_TCs[Dyn_TC?],,0,)</f>
        <v>Yes</v>
      </c>
      <c r="H16" s="48" t="str">
        <f>_xlfn.XLOOKUP($E16,Tab_Def_Flows[Name(EN)],Tab_Def_Flows[Flow_ID],,0,1)</f>
        <v>F_03_04</v>
      </c>
      <c r="I16" s="50" t="str">
        <f>IF(Tab_Process_TCs2527[[#This Row],[Name(EN)]]="N.A.","N.A.","TC"&amp;"_"&amp;RIGHT(H16,5))</f>
        <v>TC_03_04</v>
      </c>
      <c r="J16" s="50">
        <v>1970</v>
      </c>
      <c r="K16" s="238">
        <v>0.08</v>
      </c>
      <c r="L16" s="50" t="str">
        <f>_xlfn.XLOOKUP($D16,Tab_Def_Processes[Name(EN)],Tab_Def_Processes[Stock?],,0,)</f>
        <v>Yes</v>
      </c>
      <c r="M16" s="48"/>
      <c r="N16" s="57" t="str">
        <f>_xlfn.XLOOKUP($D16,Tab_Def_Processes[Name(EN)],Tab_Def_Processes[Input_Flow_I_1],,0,)</f>
        <v>N.A.</v>
      </c>
      <c r="O16" s="48" t="e">
        <f>_xlfn.XLOOKUP($D16,Tab_Def_Processes[Name(EN)],Tab_Def_Processes[Flow_ID_I_1],,0,)</f>
        <v>#N/A</v>
      </c>
      <c r="P16" s="72"/>
      <c r="Q16" s="69" t="str">
        <f>_xlfn.XLOOKUP($D16,Tab_Def_Processes[Name(EN)],Tab_Def_Processes[Input_Flow_I_2],,0,)</f>
        <v>N.A.</v>
      </c>
      <c r="R16" s="48" t="e">
        <f>_xlfn.XLOOKUP($D16,Tab_Def_Processes[Name(EN)],Tab_Def_Processes[Flow_ID_I_2],,0,)</f>
        <v>#N/A</v>
      </c>
      <c r="S16" s="72"/>
      <c r="T16" s="69" t="str">
        <f>_xlfn.XLOOKUP($D16,Tab_Def_Processes[Name(EN)],Tab_Def_Processes[Input_Flow_I_3],,0,)</f>
        <v>N.A.</v>
      </c>
      <c r="U16" s="48" t="e">
        <f>_xlfn.XLOOKUP($D16,Tab_Def_Processes[Name(EN)],Tab_Def_Processes[Flow_ID_I_3],,0,)</f>
        <v>#N/A</v>
      </c>
      <c r="V16" s="72"/>
      <c r="W16" s="69" t="str">
        <f>_xlfn.XLOOKUP($D16,Tab_Def_Processes[Name(EN)],Tab_Def_Processes[Input_Flow_I_4],,0,)</f>
        <v>N.A.</v>
      </c>
      <c r="X16" s="48" t="e">
        <f>_xlfn.XLOOKUP($D16,Tab_Def_Processes[Name(EN)],Tab_Def_Processes[Flow_ID_I_4],,0,)</f>
        <v>#N/A</v>
      </c>
      <c r="Y16" s="72"/>
      <c r="Z16" s="69" t="str">
        <f>_xlfn.XLOOKUP($D16,Tab_Def_Processes[Name(EN)],Tab_Def_Processes[Input_Flow_I_5],,0,)</f>
        <v>N.A.</v>
      </c>
      <c r="AA16" s="48" t="e">
        <f>_xlfn.XLOOKUP($D16,Tab_Def_Processes[Name(EN)],Tab_Def_Processes[Flow_ID_I_5],,0,)</f>
        <v>#N/A</v>
      </c>
      <c r="AB16" s="72"/>
      <c r="AC16" s="71">
        <f>Tab_Process_TCs2527[[#This Row],[Flow_TC_I_1_'[%']]]+Tab_Process_TCs2527[[#This Row],[Flow_TC_I_2_'[%']]]+Tab_Process_TCs2527[[#This Row],[Flow_TC_I_3_'[%']]]+Tab_Process_TCs2527[[#This Row],[Flow_TC_I_4_'[%']]]+Tab_Process_TCs2527[[#This Row],[Flow_TC_I_5_'[%']]]</f>
        <v>0</v>
      </c>
      <c r="AD16" s="57" t="e">
        <f>_xlfn.XLOOKUP($D16,Tab_Process_TCs[TC_ID],Tab_Process_TCs[Output_Flow_O_1],,0,)</f>
        <v>#N/A</v>
      </c>
      <c r="AE16" s="48" t="e">
        <f>_xlfn.XLOOKUP($D16,Tab_Process_TCs[TC_ID],Tab_Process_TCs[Flow_ID_O_1],,0,)</f>
        <v>#N/A</v>
      </c>
      <c r="AF16" s="96" t="str">
        <f>Tab_Process_TCs2527[[#This Row],[Flow_ID]]</f>
        <v>F_03_04</v>
      </c>
      <c r="AG16" s="48" t="e">
        <f t="shared" si="1"/>
        <v>#N/A</v>
      </c>
      <c r="AH16" s="105">
        <v>0.5</v>
      </c>
      <c r="AI16" s="227" t="e">
        <f>_xlfn.XLOOKUP($D16,Tab_Process_TCs[TC_ID],Tab_Process_TCs[Output_Flow_O_2],,0,)</f>
        <v>#N/A</v>
      </c>
      <c r="AJ16" s="109" t="e">
        <f>_xlfn.XLOOKUP($D16,Tab_Process_TCs[TC_ID],Tab_Process_TCs[Flow_ID_O_2],,0,)</f>
        <v>#N/A</v>
      </c>
      <c r="AK16" s="96" t="str">
        <f>Tab_Process_TCs2527[[#This Row],[Flow_ID]]</f>
        <v>F_03_04</v>
      </c>
      <c r="AL16" s="48" t="e">
        <f t="shared" si="2"/>
        <v>#N/A</v>
      </c>
      <c r="AM16" s="231">
        <v>0.2</v>
      </c>
      <c r="AN16" s="57" t="e">
        <f>_xlfn.XLOOKUP($D16,Tab_Process_TCs[TC_ID],Tab_Process_TCs[Output_Flow_O_3],,0,)</f>
        <v>#N/A</v>
      </c>
      <c r="AO16" s="48" t="e">
        <f>_xlfn.XLOOKUP($D16,Tab_Process_TCs[TC_ID],Tab_Process_TCs[Flow_ID_O_3],,0,)</f>
        <v>#N/A</v>
      </c>
      <c r="AP16" s="96" t="str">
        <f>Tab_Process_TCs2527[[#This Row],[Flow_ID]]</f>
        <v>F_03_04</v>
      </c>
      <c r="AQ16" s="48" t="e">
        <f t="shared" si="3"/>
        <v>#N/A</v>
      </c>
      <c r="AR16" s="224">
        <v>0.3</v>
      </c>
      <c r="AS16" s="57" t="e">
        <f>_xlfn.XLOOKUP($D16,Tab_Process_TCs[TC_ID],#REF!,,0,)</f>
        <v>#REF!</v>
      </c>
      <c r="AT16" s="48" t="e">
        <f>_xlfn.XLOOKUP($D16,Tab_Process_TCs[TC_ID],#REF!,,0,)</f>
        <v>#REF!</v>
      </c>
      <c r="AU16" s="96" t="str">
        <f>Tab_Process_TCs2527[[#This Row],[Flow_ID]]</f>
        <v>F_03_04</v>
      </c>
      <c r="AV16" s="96" t="e">
        <f t="shared" si="4"/>
        <v>#N/A</v>
      </c>
      <c r="AW16" s="224"/>
      <c r="AX16" s="57" t="e">
        <f>_xlfn.XLOOKUP($D16,Tab_Process_TCs[TC_ID],#REF!,,0,)</f>
        <v>#REF!</v>
      </c>
      <c r="AY16" s="48" t="e">
        <f>_xlfn.XLOOKUP($D16,Tab_Process_TCs[TC_ID],#REF!,,0,)</f>
        <v>#REF!</v>
      </c>
      <c r="AZ16" s="96" t="str">
        <f>Tab_Process_TCs2527[[#This Row],[Flow_ID]]</f>
        <v>F_03_04</v>
      </c>
      <c r="BA16" s="96" t="e">
        <f t="shared" si="5"/>
        <v>#REF!</v>
      </c>
      <c r="BB16" s="224"/>
      <c r="BC16" s="48" t="e">
        <f>_xlfn.XLOOKUP($D16,Tab_Process_TCs[TC_ID],#REF!,,0,)</f>
        <v>#REF!</v>
      </c>
      <c r="BD16" s="48" t="e">
        <f>_xlfn.XLOOKUP($D16,Tab_Process_TCs[TC_ID],#REF!,,0,)</f>
        <v>#REF!</v>
      </c>
      <c r="BE16" s="96" t="str">
        <f>Tab_Process_TCs2527[[#This Row],[Flow_ID]]</f>
        <v>F_03_04</v>
      </c>
      <c r="BF16" s="96" t="e">
        <f t="shared" si="6"/>
        <v>#REF!</v>
      </c>
      <c r="BG16" s="105"/>
      <c r="BH16" s="108">
        <f>Tab_Process_TCs2527[[#This Row],[TC O_6_'[%']]]+Tab_Process_TCs2527[[#This Row],[TC O_5_'[%']]]+Tab_Process_TCs2527[[#This Row],[TC_O_4_'[%']]]+Tab_Process_TCs2527[[#This Row],[TC_O_3_'[%']]]+Tab_Process_TCs2527[[#This Row],[TC_O_2_'[%']]]+Tab_Process_TCs2527[[#This Row],[TC_O_1_'[%']]]</f>
        <v>1</v>
      </c>
      <c r="BI16" s="50"/>
      <c r="BJ16" s="50"/>
      <c r="BK16" s="50"/>
      <c r="BL16" s="50"/>
      <c r="BM16" s="50"/>
    </row>
    <row r="17" spans="1:65" x14ac:dyDescent="0.3">
      <c r="A17" s="84" t="b">
        <v>0</v>
      </c>
      <c r="B17" s="48">
        <f t="shared" si="0"/>
        <v>16</v>
      </c>
      <c r="C17" s="103" t="str">
        <f>_xlfn.XLOOKUP($D17,Tab_Process_TCs[Name(EN)],Tab_Process_TCs[Process_ID],,0,)</f>
        <v>02</v>
      </c>
      <c r="D17" s="50" t="s">
        <v>108</v>
      </c>
      <c r="E17" s="50" t="s">
        <v>528</v>
      </c>
      <c r="F17" s="48" t="str">
        <f>_xlfn.XLOOKUP($D17,Tab_Process_TCs[Name(EN)],Tab_Process_TCs[TC?],,0,)</f>
        <v>Yes</v>
      </c>
      <c r="G17" s="48" t="str">
        <f>_xlfn.XLOOKUP($D17,Tab_Process_TCs[Name(EN)],Tab_Process_TCs[Dyn_TC?],,0,)</f>
        <v>Yes</v>
      </c>
      <c r="H17" s="48" t="str">
        <f>_xlfn.XLOOKUP($E17,Tab_Def_Flows[Name(EN)],Tab_Def_Flows[Flow_ID],,0,1)</f>
        <v>F_02_08</v>
      </c>
      <c r="I17" s="50" t="str">
        <f>IF(Tab_Process_TCs2527[[#This Row],[Name(EN)]]="N.A.","N.A.","TC"&amp;"_"&amp;RIGHT(H17,5))</f>
        <v>TC_02_08</v>
      </c>
      <c r="J17" s="50">
        <v>1995</v>
      </c>
      <c r="K17" s="238">
        <v>0.3</v>
      </c>
      <c r="L17" s="50" t="str">
        <f>_xlfn.XLOOKUP($D17,Tab_Def_Processes[Name(EN)],Tab_Def_Processes[Stock?],,0,)</f>
        <v>Yes</v>
      </c>
      <c r="M17" s="48"/>
      <c r="N17" s="57" t="str">
        <f>_xlfn.XLOOKUP($D17,Tab_Def_Processes[Name(EN)],Tab_Def_Processes[Input_Flow_I_1],,0,)</f>
        <v>N.A.</v>
      </c>
      <c r="O17" s="48" t="e">
        <f>_xlfn.XLOOKUP($D17,Tab_Def_Processes[Name(EN)],Tab_Def_Processes[Flow_ID_I_1],,0,)</f>
        <v>#N/A</v>
      </c>
      <c r="P17" s="72"/>
      <c r="Q17" s="69" t="str">
        <f>_xlfn.XLOOKUP($D17,Tab_Def_Processes[Name(EN)],Tab_Def_Processes[Input_Flow_I_2],,0,)</f>
        <v>N.A.</v>
      </c>
      <c r="R17" s="48" t="e">
        <f>_xlfn.XLOOKUP($D17,Tab_Def_Processes[Name(EN)],Tab_Def_Processes[Flow_ID_I_2],,0,)</f>
        <v>#N/A</v>
      </c>
      <c r="S17" s="72"/>
      <c r="T17" s="69" t="str">
        <f>_xlfn.XLOOKUP($D17,Tab_Def_Processes[Name(EN)],Tab_Def_Processes[Input_Flow_I_3],,0,)</f>
        <v>N.A.</v>
      </c>
      <c r="U17" s="48" t="e">
        <f>_xlfn.XLOOKUP($D17,Tab_Def_Processes[Name(EN)],Tab_Def_Processes[Flow_ID_I_3],,0,)</f>
        <v>#N/A</v>
      </c>
      <c r="V17" s="72"/>
      <c r="W17" s="69" t="str">
        <f>_xlfn.XLOOKUP($D17,Tab_Def_Processes[Name(EN)],Tab_Def_Processes[Input_Flow_I_4],,0,)</f>
        <v>N.A.</v>
      </c>
      <c r="X17" s="48" t="e">
        <f>_xlfn.XLOOKUP($D17,Tab_Def_Processes[Name(EN)],Tab_Def_Processes[Flow_ID_I_4],,0,)</f>
        <v>#N/A</v>
      </c>
      <c r="Y17" s="72"/>
      <c r="Z17" s="69" t="str">
        <f>_xlfn.XLOOKUP($D17,Tab_Def_Processes[Name(EN)],Tab_Def_Processes[Input_Flow_I_5],,0,)</f>
        <v>N.A.</v>
      </c>
      <c r="AA17" s="48" t="e">
        <f>_xlfn.XLOOKUP($D17,Tab_Def_Processes[Name(EN)],Tab_Def_Processes[Flow_ID_I_5],,0,)</f>
        <v>#N/A</v>
      </c>
      <c r="AB17" s="72"/>
      <c r="AC17" s="71">
        <f>Tab_Process_TCs2527[[#This Row],[Flow_TC_I_1_'[%']]]+Tab_Process_TCs2527[[#This Row],[Flow_TC_I_2_'[%']]]+Tab_Process_TCs2527[[#This Row],[Flow_TC_I_3_'[%']]]+Tab_Process_TCs2527[[#This Row],[Flow_TC_I_4_'[%']]]+Tab_Process_TCs2527[[#This Row],[Flow_TC_I_5_'[%']]]</f>
        <v>0</v>
      </c>
      <c r="AD17" s="57" t="e">
        <f>_xlfn.XLOOKUP($D17,Tab_Process_TCs[TC_ID],Tab_Process_TCs[Output_Flow_O_1],,0,)</f>
        <v>#N/A</v>
      </c>
      <c r="AE17" s="48" t="e">
        <f>_xlfn.XLOOKUP($D17,Tab_Process_TCs[TC_ID],Tab_Process_TCs[Flow_ID_O_1],,0,)</f>
        <v>#N/A</v>
      </c>
      <c r="AF17" s="96" t="str">
        <f>Tab_Process_TCs2527[[#This Row],[Flow_ID]]</f>
        <v>F_02_08</v>
      </c>
      <c r="AG17" s="48" t="e">
        <f t="shared" si="1"/>
        <v>#N/A</v>
      </c>
      <c r="AH17" s="105">
        <v>0.5</v>
      </c>
      <c r="AI17" s="227" t="e">
        <f>_xlfn.XLOOKUP($D17,Tab_Process_TCs[TC_ID],Tab_Process_TCs[Output_Flow_O_2],,0,)</f>
        <v>#N/A</v>
      </c>
      <c r="AJ17" s="109" t="e">
        <f>_xlfn.XLOOKUP($D17,Tab_Process_TCs[TC_ID],Tab_Process_TCs[Flow_ID_O_2],,0,)</f>
        <v>#N/A</v>
      </c>
      <c r="AK17" s="96" t="str">
        <f>Tab_Process_TCs2527[[#This Row],[Flow_ID]]</f>
        <v>F_02_08</v>
      </c>
      <c r="AL17" s="48" t="e">
        <f t="shared" si="2"/>
        <v>#N/A</v>
      </c>
      <c r="AM17" s="231">
        <v>0.2</v>
      </c>
      <c r="AN17" s="57" t="e">
        <f>_xlfn.XLOOKUP($D17,Tab_Process_TCs[TC_ID],Tab_Process_TCs[Output_Flow_O_3],,0,)</f>
        <v>#N/A</v>
      </c>
      <c r="AO17" s="48" t="e">
        <f>_xlfn.XLOOKUP($D17,Tab_Process_TCs[TC_ID],Tab_Process_TCs[Flow_ID_O_3],,0,)</f>
        <v>#N/A</v>
      </c>
      <c r="AP17" s="96" t="str">
        <f>Tab_Process_TCs2527[[#This Row],[Flow_ID]]</f>
        <v>F_02_08</v>
      </c>
      <c r="AQ17" s="48" t="e">
        <f t="shared" si="3"/>
        <v>#N/A</v>
      </c>
      <c r="AR17" s="224">
        <v>0.3</v>
      </c>
      <c r="AS17" s="57" t="e">
        <f>_xlfn.XLOOKUP($D17,Tab_Process_TCs[TC_ID],#REF!,,0,)</f>
        <v>#REF!</v>
      </c>
      <c r="AT17" s="48" t="e">
        <f>_xlfn.XLOOKUP($D17,Tab_Process_TCs[TC_ID],#REF!,,0,)</f>
        <v>#REF!</v>
      </c>
      <c r="AU17" s="96" t="str">
        <f>Tab_Process_TCs2527[[#This Row],[Flow_ID]]</f>
        <v>F_02_08</v>
      </c>
      <c r="AV17" s="96" t="e">
        <f t="shared" si="4"/>
        <v>#N/A</v>
      </c>
      <c r="AW17" s="224"/>
      <c r="AX17" s="57" t="e">
        <f>_xlfn.XLOOKUP($D17,Tab_Process_TCs[TC_ID],#REF!,,0,)</f>
        <v>#REF!</v>
      </c>
      <c r="AY17" s="48" t="e">
        <f>_xlfn.XLOOKUP($D17,Tab_Process_TCs[TC_ID],#REF!,,0,)</f>
        <v>#REF!</v>
      </c>
      <c r="AZ17" s="96" t="str">
        <f>Tab_Process_TCs2527[[#This Row],[Flow_ID]]</f>
        <v>F_02_08</v>
      </c>
      <c r="BA17" s="96" t="e">
        <f t="shared" si="5"/>
        <v>#REF!</v>
      </c>
      <c r="BB17" s="224"/>
      <c r="BC17" s="48" t="e">
        <f>_xlfn.XLOOKUP($D17,Tab_Process_TCs[TC_ID],#REF!,,0,)</f>
        <v>#REF!</v>
      </c>
      <c r="BD17" s="48" t="e">
        <f>_xlfn.XLOOKUP($D17,Tab_Process_TCs[TC_ID],#REF!,,0,)</f>
        <v>#REF!</v>
      </c>
      <c r="BE17" s="96" t="str">
        <f>Tab_Process_TCs2527[[#This Row],[Flow_ID]]</f>
        <v>F_02_08</v>
      </c>
      <c r="BF17" s="96" t="e">
        <f t="shared" si="6"/>
        <v>#REF!</v>
      </c>
      <c r="BG17" s="105"/>
      <c r="BH17" s="108">
        <f>Tab_Process_TCs2527[[#This Row],[TC O_6_'[%']]]+Tab_Process_TCs2527[[#This Row],[TC O_5_'[%']]]+Tab_Process_TCs2527[[#This Row],[TC_O_4_'[%']]]+Tab_Process_TCs2527[[#This Row],[TC_O_3_'[%']]]+Tab_Process_TCs2527[[#This Row],[TC_O_2_'[%']]]+Tab_Process_TCs2527[[#This Row],[TC_O_1_'[%']]]</f>
        <v>1</v>
      </c>
      <c r="BI17" s="50"/>
      <c r="BJ17" s="50"/>
      <c r="BK17" s="50"/>
      <c r="BL17" s="50"/>
      <c r="BM17" s="50"/>
    </row>
    <row r="18" spans="1:65" x14ac:dyDescent="0.3">
      <c r="A18" s="84" t="b">
        <v>0</v>
      </c>
      <c r="B18" s="48">
        <f t="shared" si="0"/>
        <v>17</v>
      </c>
      <c r="C18" s="103" t="str">
        <f>_xlfn.XLOOKUP($D18,Tab_Process_TCs[Name(EN)],Tab_Process_TCs[Process_ID],,0,)</f>
        <v>02</v>
      </c>
      <c r="D18" s="50" t="s">
        <v>108</v>
      </c>
      <c r="E18" s="50" t="s">
        <v>111</v>
      </c>
      <c r="F18" s="48" t="str">
        <f>_xlfn.XLOOKUP($D18,Tab_Process_TCs[Name(EN)],Tab_Process_TCs[TC?],,0,)</f>
        <v>Yes</v>
      </c>
      <c r="G18" s="48" t="str">
        <f>_xlfn.XLOOKUP($D18,Tab_Process_TCs[Name(EN)],Tab_Process_TCs[Dyn_TC?],,0,)</f>
        <v>Yes</v>
      </c>
      <c r="H18" s="48" t="str">
        <f>_xlfn.XLOOKUP($E18,Tab_Def_Flows[Name(EN)],Tab_Def_Flows[Flow_ID],,0,1)</f>
        <v>F_02_03</v>
      </c>
      <c r="I18" s="50" t="str">
        <f>IF(Tab_Process_TCs2527[[#This Row],[Name(EN)]]="N.A.","N.A.","TC"&amp;"_"&amp;RIGHT(H18,5))</f>
        <v>TC_02_03</v>
      </c>
      <c r="J18" s="50">
        <v>1995</v>
      </c>
      <c r="K18" s="238">
        <v>0.7</v>
      </c>
      <c r="L18" s="50" t="str">
        <f>_xlfn.XLOOKUP($D18,Tab_Def_Processes[Name(EN)],Tab_Def_Processes[Stock?],,0,)</f>
        <v>Yes</v>
      </c>
      <c r="M18" s="48"/>
      <c r="N18" s="57" t="str">
        <f>_xlfn.XLOOKUP($D18,Tab_Def_Processes[Name(EN)],Tab_Def_Processes[Input_Flow_I_1],,0,)</f>
        <v>N.A.</v>
      </c>
      <c r="O18" s="48" t="e">
        <f>_xlfn.XLOOKUP($D18,Tab_Def_Processes[Name(EN)],Tab_Def_Processes[Flow_ID_I_1],,0,)</f>
        <v>#N/A</v>
      </c>
      <c r="P18" s="72"/>
      <c r="Q18" s="69" t="str">
        <f>_xlfn.XLOOKUP($D18,Tab_Def_Processes[Name(EN)],Tab_Def_Processes[Input_Flow_I_2],,0,)</f>
        <v>N.A.</v>
      </c>
      <c r="R18" s="48" t="e">
        <f>_xlfn.XLOOKUP($D18,Tab_Def_Processes[Name(EN)],Tab_Def_Processes[Flow_ID_I_2],,0,)</f>
        <v>#N/A</v>
      </c>
      <c r="S18" s="72"/>
      <c r="T18" s="69" t="str">
        <f>_xlfn.XLOOKUP($D18,Tab_Def_Processes[Name(EN)],Tab_Def_Processes[Input_Flow_I_3],,0,)</f>
        <v>N.A.</v>
      </c>
      <c r="U18" s="48" t="e">
        <f>_xlfn.XLOOKUP($D18,Tab_Def_Processes[Name(EN)],Tab_Def_Processes[Flow_ID_I_3],,0,)</f>
        <v>#N/A</v>
      </c>
      <c r="V18" s="72"/>
      <c r="W18" s="69" t="str">
        <f>_xlfn.XLOOKUP($D18,Tab_Def_Processes[Name(EN)],Tab_Def_Processes[Input_Flow_I_4],,0,)</f>
        <v>N.A.</v>
      </c>
      <c r="X18" s="48" t="e">
        <f>_xlfn.XLOOKUP($D18,Tab_Def_Processes[Name(EN)],Tab_Def_Processes[Flow_ID_I_4],,0,)</f>
        <v>#N/A</v>
      </c>
      <c r="Y18" s="72"/>
      <c r="Z18" s="69" t="str">
        <f>_xlfn.XLOOKUP($D18,Tab_Def_Processes[Name(EN)],Tab_Def_Processes[Input_Flow_I_5],,0,)</f>
        <v>N.A.</v>
      </c>
      <c r="AA18" s="48" t="e">
        <f>_xlfn.XLOOKUP($D18,Tab_Def_Processes[Name(EN)],Tab_Def_Processes[Flow_ID_I_5],,0,)</f>
        <v>#N/A</v>
      </c>
      <c r="AB18" s="72"/>
      <c r="AC18" s="71">
        <f>Tab_Process_TCs2527[[#This Row],[Flow_TC_I_1_'[%']]]+Tab_Process_TCs2527[[#This Row],[Flow_TC_I_2_'[%']]]+Tab_Process_TCs2527[[#This Row],[Flow_TC_I_3_'[%']]]+Tab_Process_TCs2527[[#This Row],[Flow_TC_I_4_'[%']]]+Tab_Process_TCs2527[[#This Row],[Flow_TC_I_5_'[%']]]</f>
        <v>0</v>
      </c>
      <c r="AD18" s="57" t="e">
        <f>_xlfn.XLOOKUP($D18,Tab_Process_TCs[TC_ID],Tab_Process_TCs[Output_Flow_O_1],,0,)</f>
        <v>#N/A</v>
      </c>
      <c r="AE18" s="48" t="e">
        <f>_xlfn.XLOOKUP($D18,Tab_Process_TCs[TC_ID],Tab_Process_TCs[Flow_ID_O_1],,0,)</f>
        <v>#N/A</v>
      </c>
      <c r="AF18" s="96" t="str">
        <f>Tab_Process_TCs2527[[#This Row],[Flow_ID]]</f>
        <v>F_02_03</v>
      </c>
      <c r="AG18" s="48" t="e">
        <f t="shared" si="1"/>
        <v>#N/A</v>
      </c>
      <c r="AH18" s="105">
        <v>0.5</v>
      </c>
      <c r="AI18" s="227" t="e">
        <f>_xlfn.XLOOKUP($D18,Tab_Process_TCs[TC_ID],Tab_Process_TCs[Output_Flow_O_2],,0,)</f>
        <v>#N/A</v>
      </c>
      <c r="AJ18" s="109" t="e">
        <f>_xlfn.XLOOKUP($D18,Tab_Process_TCs[TC_ID],Tab_Process_TCs[Flow_ID_O_2],,0,)</f>
        <v>#N/A</v>
      </c>
      <c r="AK18" s="96" t="str">
        <f>Tab_Process_TCs2527[[#This Row],[Flow_ID]]</f>
        <v>F_02_03</v>
      </c>
      <c r="AL18" s="48" t="e">
        <f t="shared" si="2"/>
        <v>#N/A</v>
      </c>
      <c r="AM18" s="224">
        <v>0.2</v>
      </c>
      <c r="AN18" s="57" t="e">
        <f>_xlfn.XLOOKUP($D18,Tab_Process_TCs[TC_ID],Tab_Process_TCs[Output_Flow_O_3],,0,)</f>
        <v>#N/A</v>
      </c>
      <c r="AO18" s="48" t="e">
        <f>_xlfn.XLOOKUP($D18,Tab_Process_TCs[TC_ID],Tab_Process_TCs[Flow_ID_O_3],,0,)</f>
        <v>#N/A</v>
      </c>
      <c r="AP18" s="96" t="str">
        <f>Tab_Process_TCs2527[[#This Row],[Flow_ID]]</f>
        <v>F_02_03</v>
      </c>
      <c r="AQ18" s="48" t="e">
        <f t="shared" si="3"/>
        <v>#N/A</v>
      </c>
      <c r="AR18" s="224">
        <v>0.3</v>
      </c>
      <c r="AS18" s="57" t="e">
        <f>_xlfn.XLOOKUP($D18,Tab_Process_TCs[TC_ID],#REF!,,0,)</f>
        <v>#REF!</v>
      </c>
      <c r="AT18" s="48" t="e">
        <f>_xlfn.XLOOKUP($D18,Tab_Process_TCs[TC_ID],#REF!,,0,)</f>
        <v>#REF!</v>
      </c>
      <c r="AU18" s="96" t="str">
        <f>Tab_Process_TCs2527[[#This Row],[Flow_ID]]</f>
        <v>F_02_03</v>
      </c>
      <c r="AV18" s="96" t="e">
        <f t="shared" si="4"/>
        <v>#N/A</v>
      </c>
      <c r="AW18" s="224"/>
      <c r="AX18" s="57" t="e">
        <f>_xlfn.XLOOKUP($D18,Tab_Process_TCs[TC_ID],#REF!,,0,)</f>
        <v>#REF!</v>
      </c>
      <c r="AY18" s="48" t="e">
        <f>_xlfn.XLOOKUP($D18,Tab_Process_TCs[TC_ID],#REF!,,0,)</f>
        <v>#REF!</v>
      </c>
      <c r="AZ18" s="96" t="str">
        <f>Tab_Process_TCs2527[[#This Row],[Flow_ID]]</f>
        <v>F_02_03</v>
      </c>
      <c r="BA18" s="96" t="e">
        <f t="shared" si="5"/>
        <v>#REF!</v>
      </c>
      <c r="BB18" s="224"/>
      <c r="BC18" s="48" t="e">
        <f>_xlfn.XLOOKUP($D18,Tab_Process_TCs[TC_ID],#REF!,,0,)</f>
        <v>#REF!</v>
      </c>
      <c r="BD18" s="48" t="e">
        <f>_xlfn.XLOOKUP($D18,Tab_Process_TCs[TC_ID],#REF!,,0,)</f>
        <v>#REF!</v>
      </c>
      <c r="BE18" s="96" t="str">
        <f>Tab_Process_TCs2527[[#This Row],[Flow_ID]]</f>
        <v>F_02_03</v>
      </c>
      <c r="BF18" s="96" t="e">
        <f t="shared" si="6"/>
        <v>#REF!</v>
      </c>
      <c r="BG18" s="105"/>
      <c r="BH18" s="108">
        <f>Tab_Process_TCs2527[[#This Row],[TC O_6_'[%']]]+Tab_Process_TCs2527[[#This Row],[TC O_5_'[%']]]+Tab_Process_TCs2527[[#This Row],[TC_O_4_'[%']]]+Tab_Process_TCs2527[[#This Row],[TC_O_3_'[%']]]+Tab_Process_TCs2527[[#This Row],[TC_O_2_'[%']]]+Tab_Process_TCs2527[[#This Row],[TC_O_1_'[%']]]</f>
        <v>1</v>
      </c>
      <c r="BI18" s="50"/>
      <c r="BJ18" s="50"/>
      <c r="BK18" s="50"/>
      <c r="BL18" s="50"/>
      <c r="BM18" s="50"/>
    </row>
    <row r="19" spans="1:65" x14ac:dyDescent="0.3">
      <c r="A19" s="84" t="b">
        <v>0</v>
      </c>
      <c r="B19" s="48">
        <f t="shared" si="0"/>
        <v>18</v>
      </c>
      <c r="C19" s="103" t="str">
        <f>_xlfn.XLOOKUP($D19,Tab_Process_TCs[Name(EN)],Tab_Process_TCs[Process_ID],,0,)</f>
        <v>03</v>
      </c>
      <c r="D19" s="50" t="s">
        <v>112</v>
      </c>
      <c r="E19" s="50" t="s">
        <v>531</v>
      </c>
      <c r="F19" s="48" t="str">
        <f>_xlfn.XLOOKUP($D19,Tab_Process_TCs[Name(EN)],Tab_Process_TCs[TC?],,0,)</f>
        <v>Yes</v>
      </c>
      <c r="G19" s="48" t="str">
        <f>_xlfn.XLOOKUP($D19,Tab_Process_TCs[Name(EN)],Tab_Process_TCs[Dyn_TC?],,0,)</f>
        <v>Yes</v>
      </c>
      <c r="H19" s="48" t="str">
        <f>_xlfn.XLOOKUP($E19,Tab_Def_Flows[Name(EN)],Tab_Def_Flows[Flow_ID],,0,1)</f>
        <v>F_03_06</v>
      </c>
      <c r="I19" s="50" t="str">
        <f>IF(Tab_Process_TCs2527[[#This Row],[Name(EN)]]="N.A.","N.A.","TC"&amp;"_"&amp;RIGHT(H19,5))</f>
        <v>TC_03_06</v>
      </c>
      <c r="J19" s="50">
        <v>1995</v>
      </c>
      <c r="K19" s="238">
        <v>0.85</v>
      </c>
      <c r="L19" s="50" t="str">
        <f>_xlfn.XLOOKUP($D19,Tab_Def_Processes[Name(EN)],Tab_Def_Processes[Stock?],,0,)</f>
        <v>Yes</v>
      </c>
      <c r="M19" s="48"/>
      <c r="N19" s="57" t="str">
        <f>_xlfn.XLOOKUP($D19,Tab_Def_Processes[Name(EN)],Tab_Def_Processes[Input_Flow_I_1],,0,)</f>
        <v>N.A.</v>
      </c>
      <c r="O19" s="48" t="e">
        <f>_xlfn.XLOOKUP($D19,Tab_Def_Processes[Name(EN)],Tab_Def_Processes[Flow_ID_I_1],,0,)</f>
        <v>#N/A</v>
      </c>
      <c r="P19" s="72"/>
      <c r="Q19" s="69" t="str">
        <f>_xlfn.XLOOKUP($D19,Tab_Def_Processes[Name(EN)],Tab_Def_Processes[Input_Flow_I_2],,0,)</f>
        <v>N.A.</v>
      </c>
      <c r="R19" s="48" t="e">
        <f>_xlfn.XLOOKUP($D19,Tab_Def_Processes[Name(EN)],Tab_Def_Processes[Flow_ID_I_2],,0,)</f>
        <v>#N/A</v>
      </c>
      <c r="S19" s="72"/>
      <c r="T19" s="69" t="str">
        <f>_xlfn.XLOOKUP($D19,Tab_Def_Processes[Name(EN)],Tab_Def_Processes[Input_Flow_I_3],,0,)</f>
        <v>N.A.</v>
      </c>
      <c r="U19" s="48" t="e">
        <f>_xlfn.XLOOKUP($D19,Tab_Def_Processes[Name(EN)],Tab_Def_Processes[Flow_ID_I_3],,0,)</f>
        <v>#N/A</v>
      </c>
      <c r="V19" s="72"/>
      <c r="W19" s="69" t="str">
        <f>_xlfn.XLOOKUP($D19,Tab_Def_Processes[Name(EN)],Tab_Def_Processes[Input_Flow_I_4],,0,)</f>
        <v>N.A.</v>
      </c>
      <c r="X19" s="48" t="e">
        <f>_xlfn.XLOOKUP($D19,Tab_Def_Processes[Name(EN)],Tab_Def_Processes[Flow_ID_I_4],,0,)</f>
        <v>#N/A</v>
      </c>
      <c r="Y19" s="72"/>
      <c r="Z19" s="69" t="str">
        <f>_xlfn.XLOOKUP($D19,Tab_Def_Processes[Name(EN)],Tab_Def_Processes[Input_Flow_I_5],,0,)</f>
        <v>N.A.</v>
      </c>
      <c r="AA19" s="48" t="e">
        <f>_xlfn.XLOOKUP($D19,Tab_Def_Processes[Name(EN)],Tab_Def_Processes[Flow_ID_I_5],,0,)</f>
        <v>#N/A</v>
      </c>
      <c r="AB19" s="72"/>
      <c r="AC19" s="71">
        <f>Tab_Process_TCs2527[[#This Row],[Flow_TC_I_1_'[%']]]+Tab_Process_TCs2527[[#This Row],[Flow_TC_I_2_'[%']]]+Tab_Process_TCs2527[[#This Row],[Flow_TC_I_3_'[%']]]+Tab_Process_TCs2527[[#This Row],[Flow_TC_I_4_'[%']]]+Tab_Process_TCs2527[[#This Row],[Flow_TC_I_5_'[%']]]</f>
        <v>0</v>
      </c>
      <c r="AD19" s="57" t="e">
        <f>_xlfn.XLOOKUP($D19,Tab_Process_TCs[TC_ID],Tab_Process_TCs[Output_Flow_O_1],,0,)</f>
        <v>#N/A</v>
      </c>
      <c r="AE19" s="48" t="e">
        <f>_xlfn.XLOOKUP($D19,Tab_Process_TCs[TC_ID],Tab_Process_TCs[Flow_ID_O_1],,0,)</f>
        <v>#N/A</v>
      </c>
      <c r="AF19" s="96" t="str">
        <f>Tab_Process_TCs2527[[#This Row],[Flow_ID]]</f>
        <v>F_03_06</v>
      </c>
      <c r="AG19" s="48" t="e">
        <f t="shared" si="1"/>
        <v>#N/A</v>
      </c>
      <c r="AH19" s="105">
        <v>0.5</v>
      </c>
      <c r="AI19" s="227" t="e">
        <f>_xlfn.XLOOKUP($D19,Tab_Process_TCs[TC_ID],Tab_Process_TCs[Output_Flow_O_2],,0,)</f>
        <v>#N/A</v>
      </c>
      <c r="AJ19" s="109" t="e">
        <f>_xlfn.XLOOKUP($D19,Tab_Process_TCs[TC_ID],Tab_Process_TCs[Flow_ID_O_2],,0,)</f>
        <v>#N/A</v>
      </c>
      <c r="AK19" s="96" t="str">
        <f>Tab_Process_TCs2527[[#This Row],[Flow_ID]]</f>
        <v>F_03_06</v>
      </c>
      <c r="AL19" s="48" t="e">
        <f t="shared" si="2"/>
        <v>#N/A</v>
      </c>
      <c r="AM19" s="224">
        <v>0.2</v>
      </c>
      <c r="AN19" s="57" t="e">
        <f>_xlfn.XLOOKUP($D19,Tab_Process_TCs[TC_ID],Tab_Process_TCs[Output_Flow_O_3],,0,)</f>
        <v>#N/A</v>
      </c>
      <c r="AO19" s="48" t="e">
        <f>_xlfn.XLOOKUP($D19,Tab_Process_TCs[TC_ID],Tab_Process_TCs[Flow_ID_O_3],,0,)</f>
        <v>#N/A</v>
      </c>
      <c r="AP19" s="96" t="str">
        <f>Tab_Process_TCs2527[[#This Row],[Flow_ID]]</f>
        <v>F_03_06</v>
      </c>
      <c r="AQ19" s="48" t="e">
        <f t="shared" si="3"/>
        <v>#N/A</v>
      </c>
      <c r="AR19" s="224">
        <v>0.3</v>
      </c>
      <c r="AS19" s="57" t="e">
        <f>_xlfn.XLOOKUP($D19,Tab_Process_TCs[TC_ID],#REF!,,0,)</f>
        <v>#REF!</v>
      </c>
      <c r="AT19" s="48" t="e">
        <f>_xlfn.XLOOKUP($D19,Tab_Process_TCs[TC_ID],#REF!,,0,)</f>
        <v>#REF!</v>
      </c>
      <c r="AU19" s="96" t="str">
        <f>Tab_Process_TCs2527[[#This Row],[Flow_ID]]</f>
        <v>F_03_06</v>
      </c>
      <c r="AV19" s="96" t="e">
        <f t="shared" si="4"/>
        <v>#N/A</v>
      </c>
      <c r="AW19" s="224"/>
      <c r="AX19" s="57" t="e">
        <f>_xlfn.XLOOKUP($D19,Tab_Process_TCs[TC_ID],#REF!,,0,)</f>
        <v>#REF!</v>
      </c>
      <c r="AY19" s="48" t="e">
        <f>_xlfn.XLOOKUP($D19,Tab_Process_TCs[TC_ID],#REF!,,0,)</f>
        <v>#REF!</v>
      </c>
      <c r="AZ19" s="96" t="str">
        <f>Tab_Process_TCs2527[[#This Row],[Flow_ID]]</f>
        <v>F_03_06</v>
      </c>
      <c r="BA19" s="96" t="e">
        <f t="shared" si="5"/>
        <v>#REF!</v>
      </c>
      <c r="BB19" s="224"/>
      <c r="BC19" s="48" t="e">
        <f>_xlfn.XLOOKUP($D19,Tab_Process_TCs[TC_ID],#REF!,,0,)</f>
        <v>#REF!</v>
      </c>
      <c r="BD19" s="48" t="e">
        <f>_xlfn.XLOOKUP($D19,Tab_Process_TCs[TC_ID],#REF!,,0,)</f>
        <v>#REF!</v>
      </c>
      <c r="BE19" s="96" t="str">
        <f>Tab_Process_TCs2527[[#This Row],[Flow_ID]]</f>
        <v>F_03_06</v>
      </c>
      <c r="BF19" s="96" t="e">
        <f t="shared" si="6"/>
        <v>#REF!</v>
      </c>
      <c r="BG19" s="105"/>
      <c r="BH19" s="108">
        <f>Tab_Process_TCs2527[[#This Row],[TC O_6_'[%']]]+Tab_Process_TCs2527[[#This Row],[TC O_5_'[%']]]+Tab_Process_TCs2527[[#This Row],[TC_O_4_'[%']]]+Tab_Process_TCs2527[[#This Row],[TC_O_3_'[%']]]+Tab_Process_TCs2527[[#This Row],[TC_O_2_'[%']]]+Tab_Process_TCs2527[[#This Row],[TC_O_1_'[%']]]</f>
        <v>1</v>
      </c>
      <c r="BI19" s="50"/>
      <c r="BJ19" s="50"/>
      <c r="BK19" s="50"/>
      <c r="BL19" s="50"/>
      <c r="BM19" s="50"/>
    </row>
    <row r="20" spans="1:65" x14ac:dyDescent="0.3">
      <c r="A20" s="84" t="b">
        <v>0</v>
      </c>
      <c r="B20" s="48">
        <f t="shared" si="0"/>
        <v>19</v>
      </c>
      <c r="C20" s="103" t="str">
        <f>_xlfn.XLOOKUP($D20,Tab_Process_TCs[Name(EN)],Tab_Process_TCs[Process_ID],,0,)</f>
        <v>03</v>
      </c>
      <c r="D20" s="50" t="s">
        <v>112</v>
      </c>
      <c r="E20" s="50" t="s">
        <v>401</v>
      </c>
      <c r="F20" s="48" t="str">
        <f>_xlfn.XLOOKUP($D20,Tab_Process_TCs[Name(EN)],Tab_Process_TCs[TC?],,0,)</f>
        <v>Yes</v>
      </c>
      <c r="G20" s="48" t="str">
        <f>_xlfn.XLOOKUP($D20,Tab_Process_TCs[Name(EN)],Tab_Process_TCs[Dyn_TC?],,0,)</f>
        <v>Yes</v>
      </c>
      <c r="H20" s="48" t="str">
        <f>_xlfn.XLOOKUP($E20,Tab_Def_Flows[Name(EN)],Tab_Def_Flows[Flow_ID],,0,1)</f>
        <v>F_03_05</v>
      </c>
      <c r="I20" s="50" t="str">
        <f>IF(Tab_Process_TCs2527[[#This Row],[Name(EN)]]="N.A.","N.A.","TC"&amp;"_"&amp;RIGHT(H20,5))</f>
        <v>TC_03_05</v>
      </c>
      <c r="J20" s="50">
        <v>1995</v>
      </c>
      <c r="K20" s="238">
        <v>0.05</v>
      </c>
      <c r="L20" s="50" t="str">
        <f>_xlfn.XLOOKUP($D20,Tab_Def_Processes[Name(EN)],Tab_Def_Processes[Stock?],,0,)</f>
        <v>Yes</v>
      </c>
      <c r="M20" s="48"/>
      <c r="N20" s="57" t="str">
        <f>_xlfn.XLOOKUP($D20,Tab_Def_Processes[Name(EN)],Tab_Def_Processes[Input_Flow_I_1],,0,)</f>
        <v>N.A.</v>
      </c>
      <c r="O20" s="48" t="e">
        <f>_xlfn.XLOOKUP($D20,Tab_Def_Processes[Name(EN)],Tab_Def_Processes[Flow_ID_I_1],,0,)</f>
        <v>#N/A</v>
      </c>
      <c r="P20" s="72"/>
      <c r="Q20" s="69" t="str">
        <f>_xlfn.XLOOKUP($D20,Tab_Def_Processes[Name(EN)],Tab_Def_Processes[Input_Flow_I_2],,0,)</f>
        <v>N.A.</v>
      </c>
      <c r="R20" s="48" t="e">
        <f>_xlfn.XLOOKUP($D20,Tab_Def_Processes[Name(EN)],Tab_Def_Processes[Flow_ID_I_2],,0,)</f>
        <v>#N/A</v>
      </c>
      <c r="S20" s="72"/>
      <c r="T20" s="69" t="str">
        <f>_xlfn.XLOOKUP($D20,Tab_Def_Processes[Name(EN)],Tab_Def_Processes[Input_Flow_I_3],,0,)</f>
        <v>N.A.</v>
      </c>
      <c r="U20" s="48" t="e">
        <f>_xlfn.XLOOKUP($D20,Tab_Def_Processes[Name(EN)],Tab_Def_Processes[Flow_ID_I_3],,0,)</f>
        <v>#N/A</v>
      </c>
      <c r="V20" s="72"/>
      <c r="W20" s="69" t="str">
        <f>_xlfn.XLOOKUP($D20,Tab_Def_Processes[Name(EN)],Tab_Def_Processes[Input_Flow_I_4],,0,)</f>
        <v>N.A.</v>
      </c>
      <c r="X20" s="48" t="e">
        <f>_xlfn.XLOOKUP($D20,Tab_Def_Processes[Name(EN)],Tab_Def_Processes[Flow_ID_I_4],,0,)</f>
        <v>#N/A</v>
      </c>
      <c r="Y20" s="72"/>
      <c r="Z20" s="69" t="str">
        <f>_xlfn.XLOOKUP($D20,Tab_Def_Processes[Name(EN)],Tab_Def_Processes[Input_Flow_I_5],,0,)</f>
        <v>N.A.</v>
      </c>
      <c r="AA20" s="48" t="e">
        <f>_xlfn.XLOOKUP($D20,Tab_Def_Processes[Name(EN)],Tab_Def_Processes[Flow_ID_I_5],,0,)</f>
        <v>#N/A</v>
      </c>
      <c r="AB20" s="72"/>
      <c r="AC20" s="71">
        <f>Tab_Process_TCs2527[[#This Row],[Flow_TC_I_1_'[%']]]+Tab_Process_TCs2527[[#This Row],[Flow_TC_I_2_'[%']]]+Tab_Process_TCs2527[[#This Row],[Flow_TC_I_3_'[%']]]+Tab_Process_TCs2527[[#This Row],[Flow_TC_I_4_'[%']]]+Tab_Process_TCs2527[[#This Row],[Flow_TC_I_5_'[%']]]</f>
        <v>0</v>
      </c>
      <c r="AD20" s="57" t="e">
        <f>_xlfn.XLOOKUP($D20,Tab_Process_TCs[TC_ID],Tab_Process_TCs[Output_Flow_O_1],,0,)</f>
        <v>#N/A</v>
      </c>
      <c r="AE20" s="48" t="e">
        <f>_xlfn.XLOOKUP($D20,Tab_Process_TCs[TC_ID],Tab_Process_TCs[Flow_ID_O_1],,0,)</f>
        <v>#N/A</v>
      </c>
      <c r="AF20" s="96" t="str">
        <f>Tab_Process_TCs2527[[#This Row],[Flow_ID]]</f>
        <v>F_03_05</v>
      </c>
      <c r="AG20" s="48" t="e">
        <f t="shared" si="1"/>
        <v>#N/A</v>
      </c>
      <c r="AH20" s="105">
        <v>0.5</v>
      </c>
      <c r="AI20" s="227" t="e">
        <f>_xlfn.XLOOKUP($D20,Tab_Process_TCs[TC_ID],Tab_Process_TCs[Output_Flow_O_2],,0,)</f>
        <v>#N/A</v>
      </c>
      <c r="AJ20" s="109" t="e">
        <f>_xlfn.XLOOKUP($D20,Tab_Process_TCs[TC_ID],Tab_Process_TCs[Flow_ID_O_2],,0,)</f>
        <v>#N/A</v>
      </c>
      <c r="AK20" s="96" t="str">
        <f>Tab_Process_TCs2527[[#This Row],[Flow_ID]]</f>
        <v>F_03_05</v>
      </c>
      <c r="AL20" s="48" t="e">
        <f t="shared" si="2"/>
        <v>#N/A</v>
      </c>
      <c r="AM20" s="224">
        <v>0.2</v>
      </c>
      <c r="AN20" s="57" t="e">
        <f>_xlfn.XLOOKUP($D20,Tab_Process_TCs[TC_ID],Tab_Process_TCs[Output_Flow_O_3],,0,)</f>
        <v>#N/A</v>
      </c>
      <c r="AO20" s="48" t="e">
        <f>_xlfn.XLOOKUP($D20,Tab_Process_TCs[TC_ID],Tab_Process_TCs[Flow_ID_O_3],,0,)</f>
        <v>#N/A</v>
      </c>
      <c r="AP20" s="96" t="str">
        <f>Tab_Process_TCs2527[[#This Row],[Flow_ID]]</f>
        <v>F_03_05</v>
      </c>
      <c r="AQ20" s="48" t="e">
        <f t="shared" si="3"/>
        <v>#N/A</v>
      </c>
      <c r="AR20" s="224">
        <v>0.3</v>
      </c>
      <c r="AS20" s="57" t="e">
        <f>_xlfn.XLOOKUP($D20,Tab_Process_TCs[TC_ID],#REF!,,0,)</f>
        <v>#REF!</v>
      </c>
      <c r="AT20" s="48" t="e">
        <f>_xlfn.XLOOKUP($D20,Tab_Process_TCs[TC_ID],#REF!,,0,)</f>
        <v>#REF!</v>
      </c>
      <c r="AU20" s="96" t="str">
        <f>Tab_Process_TCs2527[[#This Row],[Flow_ID]]</f>
        <v>F_03_05</v>
      </c>
      <c r="AV20" s="96" t="e">
        <f t="shared" si="4"/>
        <v>#N/A</v>
      </c>
      <c r="AW20" s="224"/>
      <c r="AX20" s="57" t="e">
        <f>_xlfn.XLOOKUP($D20,Tab_Process_TCs[TC_ID],#REF!,,0,)</f>
        <v>#REF!</v>
      </c>
      <c r="AY20" s="48" t="e">
        <f>_xlfn.XLOOKUP($D20,Tab_Process_TCs[TC_ID],#REF!,,0,)</f>
        <v>#REF!</v>
      </c>
      <c r="AZ20" s="96" t="str">
        <f>Tab_Process_TCs2527[[#This Row],[Flow_ID]]</f>
        <v>F_03_05</v>
      </c>
      <c r="BA20" s="96" t="e">
        <f t="shared" si="5"/>
        <v>#REF!</v>
      </c>
      <c r="BB20" s="224"/>
      <c r="BC20" s="48" t="e">
        <f>_xlfn.XLOOKUP($D20,Tab_Process_TCs[TC_ID],#REF!,,0,)</f>
        <v>#REF!</v>
      </c>
      <c r="BD20" s="48" t="e">
        <f>_xlfn.XLOOKUP($D20,Tab_Process_TCs[TC_ID],#REF!,,0,)</f>
        <v>#REF!</v>
      </c>
      <c r="BE20" s="96" t="str">
        <f>Tab_Process_TCs2527[[#This Row],[Flow_ID]]</f>
        <v>F_03_05</v>
      </c>
      <c r="BF20" s="96" t="e">
        <f t="shared" si="6"/>
        <v>#REF!</v>
      </c>
      <c r="BG20" s="105"/>
      <c r="BH20" s="108">
        <f>Tab_Process_TCs2527[[#This Row],[TC O_6_'[%']]]+Tab_Process_TCs2527[[#This Row],[TC O_5_'[%']]]+Tab_Process_TCs2527[[#This Row],[TC_O_4_'[%']]]+Tab_Process_TCs2527[[#This Row],[TC_O_3_'[%']]]+Tab_Process_TCs2527[[#This Row],[TC_O_2_'[%']]]+Tab_Process_TCs2527[[#This Row],[TC_O_1_'[%']]]</f>
        <v>1</v>
      </c>
      <c r="BI20" s="50"/>
      <c r="BJ20" s="50"/>
      <c r="BK20" s="50"/>
      <c r="BL20" s="50"/>
      <c r="BM20" s="50"/>
    </row>
    <row r="21" spans="1:65" x14ac:dyDescent="0.3">
      <c r="A21" s="84" t="b">
        <v>0</v>
      </c>
      <c r="B21" s="48">
        <f t="shared" si="0"/>
        <v>20</v>
      </c>
      <c r="C21" s="103" t="str">
        <f>_xlfn.XLOOKUP($D21,Tab_Process_TCs[Name(EN)],Tab_Process_TCs[Process_ID],,0,)</f>
        <v>03</v>
      </c>
      <c r="D21" s="50" t="s">
        <v>112</v>
      </c>
      <c r="E21" s="50" t="s">
        <v>114</v>
      </c>
      <c r="F21" s="48" t="str">
        <f>_xlfn.XLOOKUP($D21,Tab_Process_TCs[Name(EN)],Tab_Process_TCs[TC?],,0,)</f>
        <v>Yes</v>
      </c>
      <c r="G21" s="48" t="str">
        <f>_xlfn.XLOOKUP($D21,Tab_Process_TCs[Name(EN)],Tab_Process_TCs[Dyn_TC?],,0,)</f>
        <v>Yes</v>
      </c>
      <c r="H21" s="48" t="str">
        <f>_xlfn.XLOOKUP($E21,Tab_Def_Flows[Name(EN)],Tab_Def_Flows[Flow_ID],,0,1)</f>
        <v>F_03_04</v>
      </c>
      <c r="I21" s="50" t="str">
        <f>IF(Tab_Process_TCs2527[[#This Row],[Name(EN)]]="N.A.","N.A.","TC"&amp;"_"&amp;RIGHT(H21,5))</f>
        <v>TC_03_04</v>
      </c>
      <c r="J21" s="50">
        <v>1995</v>
      </c>
      <c r="K21" s="238">
        <v>0.1</v>
      </c>
      <c r="L21" s="50" t="str">
        <f>_xlfn.XLOOKUP($D21,Tab_Def_Processes[Name(EN)],Tab_Def_Processes[Stock?],,0,)</f>
        <v>Yes</v>
      </c>
      <c r="M21" s="48"/>
      <c r="N21" s="57" t="str">
        <f>_xlfn.XLOOKUP($D21,Tab_Def_Processes[Name(EN)],Tab_Def_Processes[Input_Flow_I_1],,0,)</f>
        <v>N.A.</v>
      </c>
      <c r="O21" s="48" t="e">
        <f>_xlfn.XLOOKUP($D21,Tab_Def_Processes[Name(EN)],Tab_Def_Processes[Flow_ID_I_1],,0,)</f>
        <v>#N/A</v>
      </c>
      <c r="P21" s="72"/>
      <c r="Q21" s="69" t="str">
        <f>_xlfn.XLOOKUP($D21,Tab_Def_Processes[Name(EN)],Tab_Def_Processes[Input_Flow_I_2],,0,)</f>
        <v>N.A.</v>
      </c>
      <c r="R21" s="48" t="e">
        <f>_xlfn.XLOOKUP($D21,Tab_Def_Processes[Name(EN)],Tab_Def_Processes[Flow_ID_I_2],,0,)</f>
        <v>#N/A</v>
      </c>
      <c r="S21" s="72"/>
      <c r="T21" s="69" t="str">
        <f>_xlfn.XLOOKUP($D21,Tab_Def_Processes[Name(EN)],Tab_Def_Processes[Input_Flow_I_3],,0,)</f>
        <v>N.A.</v>
      </c>
      <c r="U21" s="48" t="e">
        <f>_xlfn.XLOOKUP($D21,Tab_Def_Processes[Name(EN)],Tab_Def_Processes[Flow_ID_I_3],,0,)</f>
        <v>#N/A</v>
      </c>
      <c r="V21" s="72"/>
      <c r="W21" s="69" t="str">
        <f>_xlfn.XLOOKUP($D21,Tab_Def_Processes[Name(EN)],Tab_Def_Processes[Input_Flow_I_4],,0,)</f>
        <v>N.A.</v>
      </c>
      <c r="X21" s="48" t="e">
        <f>_xlfn.XLOOKUP($D21,Tab_Def_Processes[Name(EN)],Tab_Def_Processes[Flow_ID_I_4],,0,)</f>
        <v>#N/A</v>
      </c>
      <c r="Y21" s="72"/>
      <c r="Z21" s="69" t="str">
        <f>_xlfn.XLOOKUP($D21,Tab_Def_Processes[Name(EN)],Tab_Def_Processes[Input_Flow_I_5],,0,)</f>
        <v>N.A.</v>
      </c>
      <c r="AA21" s="48" t="e">
        <f>_xlfn.XLOOKUP($D21,Tab_Def_Processes[Name(EN)],Tab_Def_Processes[Flow_ID_I_5],,0,)</f>
        <v>#N/A</v>
      </c>
      <c r="AB21" s="72"/>
      <c r="AC21" s="71">
        <f>Tab_Process_TCs2527[[#This Row],[Flow_TC_I_1_'[%']]]+Tab_Process_TCs2527[[#This Row],[Flow_TC_I_2_'[%']]]+Tab_Process_TCs2527[[#This Row],[Flow_TC_I_3_'[%']]]+Tab_Process_TCs2527[[#This Row],[Flow_TC_I_4_'[%']]]+Tab_Process_TCs2527[[#This Row],[Flow_TC_I_5_'[%']]]</f>
        <v>0</v>
      </c>
      <c r="AD21" s="57" t="e">
        <f>_xlfn.XLOOKUP($D21,Tab_Process_TCs[TC_ID],Tab_Process_TCs[Output_Flow_O_1],,0,)</f>
        <v>#N/A</v>
      </c>
      <c r="AE21" s="48" t="e">
        <f>_xlfn.XLOOKUP($D21,Tab_Process_TCs[TC_ID],Tab_Process_TCs[Flow_ID_O_1],,0,)</f>
        <v>#N/A</v>
      </c>
      <c r="AF21" s="96" t="str">
        <f>Tab_Process_TCs2527[[#This Row],[Flow_ID]]</f>
        <v>F_03_04</v>
      </c>
      <c r="AG21" s="48" t="e">
        <f t="shared" si="1"/>
        <v>#N/A</v>
      </c>
      <c r="AH21" s="105">
        <v>0.5</v>
      </c>
      <c r="AI21" s="227" t="e">
        <f>_xlfn.XLOOKUP($D21,Tab_Process_TCs[TC_ID],Tab_Process_TCs[Output_Flow_O_2],,0,)</f>
        <v>#N/A</v>
      </c>
      <c r="AJ21" s="109" t="e">
        <f>_xlfn.XLOOKUP($D21,Tab_Process_TCs[TC_ID],Tab_Process_TCs[Flow_ID_O_2],,0,)</f>
        <v>#N/A</v>
      </c>
      <c r="AK21" s="96" t="str">
        <f>Tab_Process_TCs2527[[#This Row],[Flow_ID]]</f>
        <v>F_03_04</v>
      </c>
      <c r="AL21" s="48" t="e">
        <f t="shared" si="2"/>
        <v>#N/A</v>
      </c>
      <c r="AM21" s="224">
        <v>0.2</v>
      </c>
      <c r="AN21" s="57" t="e">
        <f>_xlfn.XLOOKUP($D21,Tab_Process_TCs[TC_ID],Tab_Process_TCs[Output_Flow_O_3],,0,)</f>
        <v>#N/A</v>
      </c>
      <c r="AO21" s="48" t="e">
        <f>_xlfn.XLOOKUP($D21,Tab_Process_TCs[TC_ID],Tab_Process_TCs[Flow_ID_O_3],,0,)</f>
        <v>#N/A</v>
      </c>
      <c r="AP21" s="96" t="str">
        <f>Tab_Process_TCs2527[[#This Row],[Flow_ID]]</f>
        <v>F_03_04</v>
      </c>
      <c r="AQ21" s="48" t="e">
        <f t="shared" si="3"/>
        <v>#N/A</v>
      </c>
      <c r="AR21" s="224">
        <v>0.3</v>
      </c>
      <c r="AS21" s="57" t="e">
        <f>_xlfn.XLOOKUP($D21,Tab_Process_TCs[TC_ID],#REF!,,0,)</f>
        <v>#REF!</v>
      </c>
      <c r="AT21" s="48" t="e">
        <f>_xlfn.XLOOKUP($D21,Tab_Process_TCs[TC_ID],#REF!,,0,)</f>
        <v>#REF!</v>
      </c>
      <c r="AU21" s="96" t="str">
        <f>Tab_Process_TCs2527[[#This Row],[Flow_ID]]</f>
        <v>F_03_04</v>
      </c>
      <c r="AV21" s="96" t="e">
        <f t="shared" si="4"/>
        <v>#N/A</v>
      </c>
      <c r="AW21" s="224"/>
      <c r="AX21" s="57" t="e">
        <f>_xlfn.XLOOKUP($D21,Tab_Process_TCs[TC_ID],#REF!,,0,)</f>
        <v>#REF!</v>
      </c>
      <c r="AY21" s="48" t="e">
        <f>_xlfn.XLOOKUP($D21,Tab_Process_TCs[TC_ID],#REF!,,0,)</f>
        <v>#REF!</v>
      </c>
      <c r="AZ21" s="96" t="str">
        <f>Tab_Process_TCs2527[[#This Row],[Flow_ID]]</f>
        <v>F_03_04</v>
      </c>
      <c r="BA21" s="96" t="e">
        <f t="shared" si="5"/>
        <v>#REF!</v>
      </c>
      <c r="BB21" s="224"/>
      <c r="BC21" s="48" t="e">
        <f>_xlfn.XLOOKUP($D21,Tab_Process_TCs[TC_ID],#REF!,,0,)</f>
        <v>#REF!</v>
      </c>
      <c r="BD21" s="48" t="e">
        <f>_xlfn.XLOOKUP($D21,Tab_Process_TCs[TC_ID],#REF!,,0,)</f>
        <v>#REF!</v>
      </c>
      <c r="BE21" s="96" t="str">
        <f>Tab_Process_TCs2527[[#This Row],[Flow_ID]]</f>
        <v>F_03_04</v>
      </c>
      <c r="BF21" s="96" t="e">
        <f t="shared" si="6"/>
        <v>#REF!</v>
      </c>
      <c r="BG21" s="105"/>
      <c r="BH21" s="108">
        <f>Tab_Process_TCs2527[[#This Row],[TC O_6_'[%']]]+Tab_Process_TCs2527[[#This Row],[TC O_5_'[%']]]+Tab_Process_TCs2527[[#This Row],[TC_O_4_'[%']]]+Tab_Process_TCs2527[[#This Row],[TC_O_3_'[%']]]+Tab_Process_TCs2527[[#This Row],[TC_O_2_'[%']]]+Tab_Process_TCs2527[[#This Row],[TC_O_1_'[%']]]</f>
        <v>1</v>
      </c>
      <c r="BI21" s="50"/>
      <c r="BJ21" s="50"/>
      <c r="BK21" s="50"/>
      <c r="BL21" s="50"/>
      <c r="BM21" s="50"/>
    </row>
    <row r="22" spans="1:65" x14ac:dyDescent="0.3">
      <c r="A22" s="84" t="b">
        <v>0</v>
      </c>
      <c r="B22" s="48">
        <f t="shared" si="0"/>
        <v>21</v>
      </c>
      <c r="C22" s="103" t="str">
        <f>_xlfn.XLOOKUP($D22,Tab_Process_TCs[Name(EN)],Tab_Process_TCs[Process_ID],,0,)</f>
        <v>02</v>
      </c>
      <c r="D22" s="50" t="s">
        <v>108</v>
      </c>
      <c r="E22" s="50" t="s">
        <v>528</v>
      </c>
      <c r="F22" s="48" t="str">
        <f>_xlfn.XLOOKUP($D22,Tab_Process_TCs[Name(EN)],Tab_Process_TCs[TC?],,0,)</f>
        <v>Yes</v>
      </c>
      <c r="G22" s="48" t="str">
        <f>_xlfn.XLOOKUP($D22,Tab_Process_TCs[Name(EN)],Tab_Process_TCs[Dyn_TC?],,0,)</f>
        <v>Yes</v>
      </c>
      <c r="H22" s="48" t="str">
        <f>_xlfn.XLOOKUP($E22,Tab_Def_Flows[Name(EN)],Tab_Def_Flows[Flow_ID],,0,1)</f>
        <v>F_02_08</v>
      </c>
      <c r="I22" s="50" t="str">
        <f>IF(Tab_Process_TCs2527[[#This Row],[Name(EN)]]="N.A.","N.A.","TC"&amp;"_"&amp;RIGHT(H22,5))</f>
        <v>TC_02_08</v>
      </c>
      <c r="J22" s="50">
        <v>2020</v>
      </c>
      <c r="K22" s="238">
        <v>0.25</v>
      </c>
      <c r="L22" s="50" t="str">
        <f>_xlfn.XLOOKUP($D22,Tab_Def_Processes[Name(EN)],Tab_Def_Processes[Stock?],,0,)</f>
        <v>Yes</v>
      </c>
      <c r="M22" s="48"/>
      <c r="N22" s="57" t="str">
        <f>_xlfn.XLOOKUP($D22,Tab_Def_Processes[Name(EN)],Tab_Def_Processes[Input_Flow_I_1],,0,)</f>
        <v>N.A.</v>
      </c>
      <c r="O22" s="48" t="e">
        <f>_xlfn.XLOOKUP($D22,Tab_Def_Processes[Name(EN)],Tab_Def_Processes[Flow_ID_I_1],,0,)</f>
        <v>#N/A</v>
      </c>
      <c r="P22" s="72"/>
      <c r="Q22" s="69" t="str">
        <f>_xlfn.XLOOKUP($D22,Tab_Def_Processes[Name(EN)],Tab_Def_Processes[Input_Flow_I_2],,0,)</f>
        <v>N.A.</v>
      </c>
      <c r="R22" s="48" t="e">
        <f>_xlfn.XLOOKUP($D22,Tab_Def_Processes[Name(EN)],Tab_Def_Processes[Flow_ID_I_2],,0,)</f>
        <v>#N/A</v>
      </c>
      <c r="S22" s="72"/>
      <c r="T22" s="69" t="str">
        <f>_xlfn.XLOOKUP($D22,Tab_Def_Processes[Name(EN)],Tab_Def_Processes[Input_Flow_I_3],,0,)</f>
        <v>N.A.</v>
      </c>
      <c r="U22" s="48" t="e">
        <f>_xlfn.XLOOKUP($D22,Tab_Def_Processes[Name(EN)],Tab_Def_Processes[Flow_ID_I_3],,0,)</f>
        <v>#N/A</v>
      </c>
      <c r="V22" s="72"/>
      <c r="W22" s="69" t="str">
        <f>_xlfn.XLOOKUP($D22,Tab_Def_Processes[Name(EN)],Tab_Def_Processes[Input_Flow_I_4],,0,)</f>
        <v>N.A.</v>
      </c>
      <c r="X22" s="48" t="e">
        <f>_xlfn.XLOOKUP($D22,Tab_Def_Processes[Name(EN)],Tab_Def_Processes[Flow_ID_I_4],,0,)</f>
        <v>#N/A</v>
      </c>
      <c r="Y22" s="72"/>
      <c r="Z22" s="69" t="str">
        <f>_xlfn.XLOOKUP($D22,Tab_Def_Processes[Name(EN)],Tab_Def_Processes[Input_Flow_I_5],,0,)</f>
        <v>N.A.</v>
      </c>
      <c r="AA22" s="48" t="e">
        <f>_xlfn.XLOOKUP($D22,Tab_Def_Processes[Name(EN)],Tab_Def_Processes[Flow_ID_I_5],,0,)</f>
        <v>#N/A</v>
      </c>
      <c r="AB22" s="72"/>
      <c r="AC22" s="71">
        <f>Tab_Process_TCs2527[[#This Row],[Flow_TC_I_1_'[%']]]+Tab_Process_TCs2527[[#This Row],[Flow_TC_I_2_'[%']]]+Tab_Process_TCs2527[[#This Row],[Flow_TC_I_3_'[%']]]+Tab_Process_TCs2527[[#This Row],[Flow_TC_I_4_'[%']]]+Tab_Process_TCs2527[[#This Row],[Flow_TC_I_5_'[%']]]</f>
        <v>0</v>
      </c>
      <c r="AD22" s="57" t="e">
        <f>_xlfn.XLOOKUP($D22,Tab_Process_TCs[TC_ID],Tab_Process_TCs[Output_Flow_O_1],,0,)</f>
        <v>#N/A</v>
      </c>
      <c r="AE22" s="48" t="e">
        <f>_xlfn.XLOOKUP($D22,Tab_Process_TCs[TC_ID],Tab_Process_TCs[Flow_ID_O_1],,0,)</f>
        <v>#N/A</v>
      </c>
      <c r="AF22" s="96" t="str">
        <f>Tab_Process_TCs2527[[#This Row],[Flow_ID]]</f>
        <v>F_02_08</v>
      </c>
      <c r="AG22" s="48" t="e">
        <f t="shared" si="1"/>
        <v>#N/A</v>
      </c>
      <c r="AH22" s="105">
        <v>0.5</v>
      </c>
      <c r="AI22" s="227" t="e">
        <f>_xlfn.XLOOKUP($D22,Tab_Process_TCs[TC_ID],Tab_Process_TCs[Output_Flow_O_2],,0,)</f>
        <v>#N/A</v>
      </c>
      <c r="AJ22" s="109" t="e">
        <f>_xlfn.XLOOKUP($D22,Tab_Process_TCs[TC_ID],Tab_Process_TCs[Flow_ID_O_2],,0,)</f>
        <v>#N/A</v>
      </c>
      <c r="AK22" s="96" t="str">
        <f>Tab_Process_TCs2527[[#This Row],[Flow_ID]]</f>
        <v>F_02_08</v>
      </c>
      <c r="AL22" s="48" t="e">
        <f t="shared" si="2"/>
        <v>#N/A</v>
      </c>
      <c r="AM22" s="224">
        <v>0.2</v>
      </c>
      <c r="AN22" s="57" t="e">
        <f>_xlfn.XLOOKUP($D22,Tab_Process_TCs[TC_ID],Tab_Process_TCs[Output_Flow_O_3],,0,)</f>
        <v>#N/A</v>
      </c>
      <c r="AO22" s="48" t="e">
        <f>_xlfn.XLOOKUP($D22,Tab_Process_TCs[TC_ID],Tab_Process_TCs[Flow_ID_O_3],,0,)</f>
        <v>#N/A</v>
      </c>
      <c r="AP22" s="96" t="str">
        <f>Tab_Process_TCs2527[[#This Row],[Flow_ID]]</f>
        <v>F_02_08</v>
      </c>
      <c r="AQ22" s="48" t="e">
        <f t="shared" si="3"/>
        <v>#N/A</v>
      </c>
      <c r="AR22" s="224">
        <v>0.3</v>
      </c>
      <c r="AS22" s="57" t="e">
        <f>_xlfn.XLOOKUP($D22,Tab_Process_TCs[TC_ID],#REF!,,0,)</f>
        <v>#REF!</v>
      </c>
      <c r="AT22" s="48" t="e">
        <f>_xlfn.XLOOKUP($D22,Tab_Process_TCs[TC_ID],#REF!,,0,)</f>
        <v>#REF!</v>
      </c>
      <c r="AU22" s="96" t="str">
        <f>Tab_Process_TCs2527[[#This Row],[Flow_ID]]</f>
        <v>F_02_08</v>
      </c>
      <c r="AV22" s="96" t="e">
        <f t="shared" si="4"/>
        <v>#N/A</v>
      </c>
      <c r="AW22" s="224"/>
      <c r="AX22" s="57" t="e">
        <f>_xlfn.XLOOKUP($D22,Tab_Process_TCs[TC_ID],#REF!,,0,)</f>
        <v>#REF!</v>
      </c>
      <c r="AY22" s="48" t="e">
        <f>_xlfn.XLOOKUP($D22,Tab_Process_TCs[TC_ID],#REF!,,0,)</f>
        <v>#REF!</v>
      </c>
      <c r="AZ22" s="96" t="str">
        <f>Tab_Process_TCs2527[[#This Row],[Flow_ID]]</f>
        <v>F_02_08</v>
      </c>
      <c r="BA22" s="96" t="e">
        <f t="shared" si="5"/>
        <v>#REF!</v>
      </c>
      <c r="BB22" s="224"/>
      <c r="BC22" s="48" t="e">
        <f>_xlfn.XLOOKUP($D22,Tab_Process_TCs[TC_ID],#REF!,,0,)</f>
        <v>#REF!</v>
      </c>
      <c r="BD22" s="48" t="e">
        <f>_xlfn.XLOOKUP($D22,Tab_Process_TCs[TC_ID],#REF!,,0,)</f>
        <v>#REF!</v>
      </c>
      <c r="BE22" s="96" t="str">
        <f>Tab_Process_TCs2527[[#This Row],[Flow_ID]]</f>
        <v>F_02_08</v>
      </c>
      <c r="BF22" s="96" t="e">
        <f t="shared" si="6"/>
        <v>#REF!</v>
      </c>
      <c r="BG22" s="105"/>
      <c r="BH22" s="108">
        <f>Tab_Process_TCs2527[[#This Row],[TC O_6_'[%']]]+Tab_Process_TCs2527[[#This Row],[TC O_5_'[%']]]+Tab_Process_TCs2527[[#This Row],[TC_O_4_'[%']]]+Tab_Process_TCs2527[[#This Row],[TC_O_3_'[%']]]+Tab_Process_TCs2527[[#This Row],[TC_O_2_'[%']]]+Tab_Process_TCs2527[[#This Row],[TC_O_1_'[%']]]</f>
        <v>1</v>
      </c>
      <c r="BI22" s="50"/>
      <c r="BJ22" s="50"/>
      <c r="BK22" s="50"/>
      <c r="BL22" s="50"/>
      <c r="BM22" s="50"/>
    </row>
    <row r="23" spans="1:65" x14ac:dyDescent="0.3">
      <c r="A23" s="84" t="b">
        <v>0</v>
      </c>
      <c r="B23" s="48">
        <f t="shared" si="0"/>
        <v>22</v>
      </c>
      <c r="C23" s="103" t="str">
        <f>_xlfn.XLOOKUP($D23,Tab_Process_TCs[Name(EN)],Tab_Process_TCs[Process_ID],,0,)</f>
        <v>02</v>
      </c>
      <c r="D23" s="50" t="s">
        <v>108</v>
      </c>
      <c r="E23" s="50" t="s">
        <v>111</v>
      </c>
      <c r="F23" s="48" t="str">
        <f>_xlfn.XLOOKUP($D23,Tab_Process_TCs[Name(EN)],Tab_Process_TCs[TC?],,0,)</f>
        <v>Yes</v>
      </c>
      <c r="G23" s="48" t="str">
        <f>_xlfn.XLOOKUP($D23,Tab_Process_TCs[Name(EN)],Tab_Process_TCs[Dyn_TC?],,0,)</f>
        <v>Yes</v>
      </c>
      <c r="H23" s="48" t="str">
        <f>_xlfn.XLOOKUP($E23,Tab_Def_Flows[Name(EN)],Tab_Def_Flows[Flow_ID],,0,1)</f>
        <v>F_02_03</v>
      </c>
      <c r="I23" s="50" t="str">
        <f>IF(Tab_Process_TCs2527[[#This Row],[Name(EN)]]="N.A.","N.A.","TC"&amp;"_"&amp;RIGHT(H23,5))</f>
        <v>TC_02_03</v>
      </c>
      <c r="J23" s="50">
        <v>2020</v>
      </c>
      <c r="K23" s="238">
        <v>0.75</v>
      </c>
      <c r="L23" s="50" t="str">
        <f>_xlfn.XLOOKUP($D23,Tab_Def_Processes[Name(EN)],Tab_Def_Processes[Stock?],,0,)</f>
        <v>Yes</v>
      </c>
      <c r="M23" s="48"/>
      <c r="N23" s="57" t="str">
        <f>_xlfn.XLOOKUP($D23,Tab_Def_Processes[Name(EN)],Tab_Def_Processes[Input_Flow_I_1],,0,)</f>
        <v>N.A.</v>
      </c>
      <c r="O23" s="48" t="e">
        <f>_xlfn.XLOOKUP($D23,Tab_Def_Processes[Name(EN)],Tab_Def_Processes[Flow_ID_I_1],,0,)</f>
        <v>#N/A</v>
      </c>
      <c r="P23" s="72"/>
      <c r="Q23" s="69" t="str">
        <f>_xlfn.XLOOKUP($D23,Tab_Def_Processes[Name(EN)],Tab_Def_Processes[Input_Flow_I_2],,0,)</f>
        <v>N.A.</v>
      </c>
      <c r="R23" s="48" t="e">
        <f>_xlfn.XLOOKUP($D23,Tab_Def_Processes[Name(EN)],Tab_Def_Processes[Flow_ID_I_2],,0,)</f>
        <v>#N/A</v>
      </c>
      <c r="S23" s="72"/>
      <c r="T23" s="69" t="str">
        <f>_xlfn.XLOOKUP($D23,Tab_Def_Processes[Name(EN)],Tab_Def_Processes[Input_Flow_I_3],,0,)</f>
        <v>N.A.</v>
      </c>
      <c r="U23" s="48" t="e">
        <f>_xlfn.XLOOKUP($D23,Tab_Def_Processes[Name(EN)],Tab_Def_Processes[Flow_ID_I_3],,0,)</f>
        <v>#N/A</v>
      </c>
      <c r="V23" s="72"/>
      <c r="W23" s="69" t="str">
        <f>_xlfn.XLOOKUP($D23,Tab_Def_Processes[Name(EN)],Tab_Def_Processes[Input_Flow_I_4],,0,)</f>
        <v>N.A.</v>
      </c>
      <c r="X23" s="48" t="e">
        <f>_xlfn.XLOOKUP($D23,Tab_Def_Processes[Name(EN)],Tab_Def_Processes[Flow_ID_I_4],,0,)</f>
        <v>#N/A</v>
      </c>
      <c r="Y23" s="72"/>
      <c r="Z23" s="69" t="str">
        <f>_xlfn.XLOOKUP($D23,Tab_Def_Processes[Name(EN)],Tab_Def_Processes[Input_Flow_I_5],,0,)</f>
        <v>N.A.</v>
      </c>
      <c r="AA23" s="48" t="e">
        <f>_xlfn.XLOOKUP($D23,Tab_Def_Processes[Name(EN)],Tab_Def_Processes[Flow_ID_I_5],,0,)</f>
        <v>#N/A</v>
      </c>
      <c r="AB23" s="72"/>
      <c r="AC23" s="71">
        <f>Tab_Process_TCs2527[[#This Row],[Flow_TC_I_1_'[%']]]+Tab_Process_TCs2527[[#This Row],[Flow_TC_I_2_'[%']]]+Tab_Process_TCs2527[[#This Row],[Flow_TC_I_3_'[%']]]+Tab_Process_TCs2527[[#This Row],[Flow_TC_I_4_'[%']]]+Tab_Process_TCs2527[[#This Row],[Flow_TC_I_5_'[%']]]</f>
        <v>0</v>
      </c>
      <c r="AD23" s="57" t="e">
        <f>_xlfn.XLOOKUP($D23,Tab_Process_TCs[TC_ID],Tab_Process_TCs[Output_Flow_O_1],,0,)</f>
        <v>#N/A</v>
      </c>
      <c r="AE23" s="48" t="e">
        <f>_xlfn.XLOOKUP($D23,Tab_Process_TCs[TC_ID],Tab_Process_TCs[Flow_ID_O_1],,0,)</f>
        <v>#N/A</v>
      </c>
      <c r="AF23" s="96" t="str">
        <f>Tab_Process_TCs2527[[#This Row],[Flow_ID]]</f>
        <v>F_02_03</v>
      </c>
      <c r="AG23" s="48" t="e">
        <f t="shared" si="1"/>
        <v>#N/A</v>
      </c>
      <c r="AH23" s="105">
        <v>0.5</v>
      </c>
      <c r="AI23" s="227" t="e">
        <f>_xlfn.XLOOKUP($D23,Tab_Process_TCs[TC_ID],Tab_Process_TCs[Output_Flow_O_2],,0,)</f>
        <v>#N/A</v>
      </c>
      <c r="AJ23" s="109" t="e">
        <f>_xlfn.XLOOKUP($D23,Tab_Process_TCs[TC_ID],Tab_Process_TCs[Flow_ID_O_2],,0,)</f>
        <v>#N/A</v>
      </c>
      <c r="AK23" s="96" t="str">
        <f>Tab_Process_TCs2527[[#This Row],[Flow_ID]]</f>
        <v>F_02_03</v>
      </c>
      <c r="AL23" s="48" t="e">
        <f t="shared" si="2"/>
        <v>#N/A</v>
      </c>
      <c r="AM23" s="224">
        <v>0.2</v>
      </c>
      <c r="AN23" s="57" t="e">
        <f>_xlfn.XLOOKUP($D23,Tab_Process_TCs[TC_ID],Tab_Process_TCs[Output_Flow_O_3],,0,)</f>
        <v>#N/A</v>
      </c>
      <c r="AO23" s="48" t="e">
        <f>_xlfn.XLOOKUP($D23,Tab_Process_TCs[TC_ID],Tab_Process_TCs[Flow_ID_O_3],,0,)</f>
        <v>#N/A</v>
      </c>
      <c r="AP23" s="96" t="str">
        <f>Tab_Process_TCs2527[[#This Row],[Flow_ID]]</f>
        <v>F_02_03</v>
      </c>
      <c r="AQ23" s="48" t="e">
        <f t="shared" si="3"/>
        <v>#N/A</v>
      </c>
      <c r="AR23" s="224">
        <v>0.3</v>
      </c>
      <c r="AS23" s="57" t="e">
        <f>_xlfn.XLOOKUP($D23,Tab_Process_TCs[TC_ID],#REF!,,0,)</f>
        <v>#REF!</v>
      </c>
      <c r="AT23" s="48" t="e">
        <f>_xlfn.XLOOKUP($D23,Tab_Process_TCs[TC_ID],#REF!,,0,)</f>
        <v>#REF!</v>
      </c>
      <c r="AU23" s="96" t="str">
        <f>Tab_Process_TCs2527[[#This Row],[Flow_ID]]</f>
        <v>F_02_03</v>
      </c>
      <c r="AV23" s="96" t="e">
        <f t="shared" si="4"/>
        <v>#N/A</v>
      </c>
      <c r="AW23" s="224"/>
      <c r="AX23" s="57" t="e">
        <f>_xlfn.XLOOKUP($D23,Tab_Process_TCs[TC_ID],#REF!,,0,)</f>
        <v>#REF!</v>
      </c>
      <c r="AY23" s="48" t="e">
        <f>_xlfn.XLOOKUP($D23,Tab_Process_TCs[TC_ID],#REF!,,0,)</f>
        <v>#REF!</v>
      </c>
      <c r="AZ23" s="96" t="str">
        <f>Tab_Process_TCs2527[[#This Row],[Flow_ID]]</f>
        <v>F_02_03</v>
      </c>
      <c r="BA23" s="96" t="e">
        <f t="shared" si="5"/>
        <v>#REF!</v>
      </c>
      <c r="BB23" s="224"/>
      <c r="BC23" s="48" t="e">
        <f>_xlfn.XLOOKUP($D23,Tab_Process_TCs[TC_ID],#REF!,,0,)</f>
        <v>#REF!</v>
      </c>
      <c r="BD23" s="48" t="e">
        <f>_xlfn.XLOOKUP($D23,Tab_Process_TCs[TC_ID],#REF!,,0,)</f>
        <v>#REF!</v>
      </c>
      <c r="BE23" s="96" t="str">
        <f>Tab_Process_TCs2527[[#This Row],[Flow_ID]]</f>
        <v>F_02_03</v>
      </c>
      <c r="BF23" s="96" t="e">
        <f t="shared" si="6"/>
        <v>#REF!</v>
      </c>
      <c r="BG23" s="105"/>
      <c r="BH23" s="108">
        <f>Tab_Process_TCs2527[[#This Row],[TC O_6_'[%']]]+Tab_Process_TCs2527[[#This Row],[TC O_5_'[%']]]+Tab_Process_TCs2527[[#This Row],[TC_O_4_'[%']]]+Tab_Process_TCs2527[[#This Row],[TC_O_3_'[%']]]+Tab_Process_TCs2527[[#This Row],[TC_O_2_'[%']]]+Tab_Process_TCs2527[[#This Row],[TC_O_1_'[%']]]</f>
        <v>1</v>
      </c>
      <c r="BI23" s="50"/>
      <c r="BJ23" s="50"/>
      <c r="BK23" s="50"/>
      <c r="BL23" s="50"/>
      <c r="BM23" s="50"/>
    </row>
    <row r="24" spans="1:65" x14ac:dyDescent="0.3">
      <c r="A24" s="84" t="b">
        <v>0</v>
      </c>
      <c r="B24" s="48">
        <f t="shared" si="0"/>
        <v>23</v>
      </c>
      <c r="C24" s="103" t="str">
        <f>_xlfn.XLOOKUP($D24,Tab_Process_TCs[Name(EN)],Tab_Process_TCs[Process_ID],,0,)</f>
        <v>03</v>
      </c>
      <c r="D24" s="50" t="s">
        <v>112</v>
      </c>
      <c r="E24" s="50" t="s">
        <v>531</v>
      </c>
      <c r="F24" s="48" t="str">
        <f>_xlfn.XLOOKUP($D24,Tab_Process_TCs[Name(EN)],Tab_Process_TCs[TC?],,0,)</f>
        <v>Yes</v>
      </c>
      <c r="G24" s="48" t="str">
        <f>_xlfn.XLOOKUP($D24,Tab_Process_TCs[Name(EN)],Tab_Process_TCs[Dyn_TC?],,0,)</f>
        <v>Yes</v>
      </c>
      <c r="H24" s="48" t="str">
        <f>_xlfn.XLOOKUP($E24,Tab_Def_Flows[Name(EN)],Tab_Def_Flows[Flow_ID],,0,1)</f>
        <v>F_03_06</v>
      </c>
      <c r="I24" s="50" t="str">
        <f>IF(Tab_Process_TCs2527[[#This Row],[Name(EN)]]="N.A.","N.A.","TC"&amp;"_"&amp;RIGHT(H24,5))</f>
        <v>TC_03_06</v>
      </c>
      <c r="J24" s="50">
        <v>2020</v>
      </c>
      <c r="K24" s="238">
        <v>0.78</v>
      </c>
      <c r="L24" s="50" t="str">
        <f>_xlfn.XLOOKUP($D24,Tab_Def_Processes[Name(EN)],Tab_Def_Processes[Stock?],,0,)</f>
        <v>Yes</v>
      </c>
      <c r="M24" s="48"/>
      <c r="N24" s="57" t="str">
        <f>_xlfn.XLOOKUP($D24,Tab_Def_Processes[Name(EN)],Tab_Def_Processes[Input_Flow_I_1],,0,)</f>
        <v>N.A.</v>
      </c>
      <c r="O24" s="48" t="e">
        <f>_xlfn.XLOOKUP($D24,Tab_Def_Processes[Name(EN)],Tab_Def_Processes[Flow_ID_I_1],,0,)</f>
        <v>#N/A</v>
      </c>
      <c r="P24" s="72"/>
      <c r="Q24" s="69" t="str">
        <f>_xlfn.XLOOKUP($D24,Tab_Def_Processes[Name(EN)],Tab_Def_Processes[Input_Flow_I_2],,0,)</f>
        <v>N.A.</v>
      </c>
      <c r="R24" s="48" t="e">
        <f>_xlfn.XLOOKUP($D24,Tab_Def_Processes[Name(EN)],Tab_Def_Processes[Flow_ID_I_2],,0,)</f>
        <v>#N/A</v>
      </c>
      <c r="S24" s="72"/>
      <c r="T24" s="69" t="str">
        <f>_xlfn.XLOOKUP($D24,Tab_Def_Processes[Name(EN)],Tab_Def_Processes[Input_Flow_I_3],,0,)</f>
        <v>N.A.</v>
      </c>
      <c r="U24" s="48" t="e">
        <f>_xlfn.XLOOKUP($D24,Tab_Def_Processes[Name(EN)],Tab_Def_Processes[Flow_ID_I_3],,0,)</f>
        <v>#N/A</v>
      </c>
      <c r="V24" s="72"/>
      <c r="W24" s="69" t="str">
        <f>_xlfn.XLOOKUP($D24,Tab_Def_Processes[Name(EN)],Tab_Def_Processes[Input_Flow_I_4],,0,)</f>
        <v>N.A.</v>
      </c>
      <c r="X24" s="48" t="e">
        <f>_xlfn.XLOOKUP($D24,Tab_Def_Processes[Name(EN)],Tab_Def_Processes[Flow_ID_I_4],,0,)</f>
        <v>#N/A</v>
      </c>
      <c r="Y24" s="72"/>
      <c r="Z24" s="69" t="str">
        <f>_xlfn.XLOOKUP($D24,Tab_Def_Processes[Name(EN)],Tab_Def_Processes[Input_Flow_I_5],,0,)</f>
        <v>N.A.</v>
      </c>
      <c r="AA24" s="48" t="e">
        <f>_xlfn.XLOOKUP($D24,Tab_Def_Processes[Name(EN)],Tab_Def_Processes[Flow_ID_I_5],,0,)</f>
        <v>#N/A</v>
      </c>
      <c r="AB24" s="72"/>
      <c r="AC24" s="71">
        <f>Tab_Process_TCs2527[[#This Row],[Flow_TC_I_1_'[%']]]+Tab_Process_TCs2527[[#This Row],[Flow_TC_I_2_'[%']]]+Tab_Process_TCs2527[[#This Row],[Flow_TC_I_3_'[%']]]+Tab_Process_TCs2527[[#This Row],[Flow_TC_I_4_'[%']]]+Tab_Process_TCs2527[[#This Row],[Flow_TC_I_5_'[%']]]</f>
        <v>0</v>
      </c>
      <c r="AD24" s="57" t="e">
        <f>_xlfn.XLOOKUP($D24,Tab_Process_TCs[TC_ID],Tab_Process_TCs[Output_Flow_O_1],,0,)</f>
        <v>#N/A</v>
      </c>
      <c r="AE24" s="48" t="e">
        <f>_xlfn.XLOOKUP($D24,Tab_Process_TCs[TC_ID],Tab_Process_TCs[Flow_ID_O_1],,0,)</f>
        <v>#N/A</v>
      </c>
      <c r="AF24" s="96" t="str">
        <f>Tab_Process_TCs2527[[#This Row],[Flow_ID]]</f>
        <v>F_03_06</v>
      </c>
      <c r="AG24" s="48" t="e">
        <f t="shared" si="1"/>
        <v>#N/A</v>
      </c>
      <c r="AH24" s="105">
        <v>1</v>
      </c>
      <c r="AI24" s="227" t="e">
        <f>_xlfn.XLOOKUP($D24,Tab_Process_TCs[TC_ID],Tab_Process_TCs[Output_Flow_O_2],,0,)</f>
        <v>#N/A</v>
      </c>
      <c r="AJ24" s="109" t="e">
        <f>_xlfn.XLOOKUP($D24,Tab_Process_TCs[TC_ID],Tab_Process_TCs[Flow_ID_O_2],,0,)</f>
        <v>#N/A</v>
      </c>
      <c r="AK24" s="96" t="str">
        <f>Tab_Process_TCs2527[[#This Row],[Flow_ID]]</f>
        <v>F_03_06</v>
      </c>
      <c r="AL24" s="48" t="e">
        <f t="shared" si="2"/>
        <v>#N/A</v>
      </c>
      <c r="AM24" s="224"/>
      <c r="AN24" s="57" t="e">
        <f>_xlfn.XLOOKUP($D24,Tab_Process_TCs[TC_ID],Tab_Process_TCs[Output_Flow_O_3],,0,)</f>
        <v>#N/A</v>
      </c>
      <c r="AO24" s="48" t="e">
        <f>_xlfn.XLOOKUP($D24,Tab_Process_TCs[TC_ID],Tab_Process_TCs[Flow_ID_O_3],,0,)</f>
        <v>#N/A</v>
      </c>
      <c r="AP24" s="96" t="str">
        <f>Tab_Process_TCs2527[[#This Row],[Flow_ID]]</f>
        <v>F_03_06</v>
      </c>
      <c r="AQ24" s="48" t="e">
        <f t="shared" si="3"/>
        <v>#N/A</v>
      </c>
      <c r="AR24" s="224"/>
      <c r="AS24" s="57" t="e">
        <f>_xlfn.XLOOKUP($D24,Tab_Process_TCs[TC_ID],#REF!,,0,)</f>
        <v>#REF!</v>
      </c>
      <c r="AT24" s="48" t="e">
        <f>_xlfn.XLOOKUP($D24,Tab_Process_TCs[TC_ID],#REF!,,0,)</f>
        <v>#REF!</v>
      </c>
      <c r="AU24" s="96" t="str">
        <f>Tab_Process_TCs2527[[#This Row],[Flow_ID]]</f>
        <v>F_03_06</v>
      </c>
      <c r="AV24" s="96" t="e">
        <f t="shared" si="4"/>
        <v>#N/A</v>
      </c>
      <c r="AW24" s="224"/>
      <c r="AX24" s="57" t="e">
        <f>_xlfn.XLOOKUP($D24,Tab_Process_TCs[TC_ID],#REF!,,0,)</f>
        <v>#REF!</v>
      </c>
      <c r="AY24" s="48" t="e">
        <f>_xlfn.XLOOKUP($D24,Tab_Process_TCs[TC_ID],#REF!,,0,)</f>
        <v>#REF!</v>
      </c>
      <c r="AZ24" s="96" t="str">
        <f>Tab_Process_TCs2527[[#This Row],[Flow_ID]]</f>
        <v>F_03_06</v>
      </c>
      <c r="BA24" s="96" t="e">
        <f t="shared" si="5"/>
        <v>#REF!</v>
      </c>
      <c r="BB24" s="224"/>
      <c r="BC24" s="48" t="e">
        <f>_xlfn.XLOOKUP($D24,Tab_Process_TCs[TC_ID],#REF!,,0,)</f>
        <v>#REF!</v>
      </c>
      <c r="BD24" s="48" t="e">
        <f>_xlfn.XLOOKUP($D24,Tab_Process_TCs[TC_ID],#REF!,,0,)</f>
        <v>#REF!</v>
      </c>
      <c r="BE24" s="96" t="str">
        <f>Tab_Process_TCs2527[[#This Row],[Flow_ID]]</f>
        <v>F_03_06</v>
      </c>
      <c r="BF24" s="96" t="e">
        <f t="shared" si="6"/>
        <v>#REF!</v>
      </c>
      <c r="BG24" s="105"/>
      <c r="BH24" s="108">
        <f>Tab_Process_TCs2527[[#This Row],[TC O_6_'[%']]]+Tab_Process_TCs2527[[#This Row],[TC O_5_'[%']]]+Tab_Process_TCs2527[[#This Row],[TC_O_4_'[%']]]+Tab_Process_TCs2527[[#This Row],[TC_O_3_'[%']]]+Tab_Process_TCs2527[[#This Row],[TC_O_2_'[%']]]+Tab_Process_TCs2527[[#This Row],[TC_O_1_'[%']]]</f>
        <v>1</v>
      </c>
      <c r="BI24" s="50"/>
      <c r="BJ24" s="50"/>
      <c r="BK24" s="50"/>
      <c r="BL24" s="50"/>
      <c r="BM24" s="50"/>
    </row>
    <row r="25" spans="1:65" x14ac:dyDescent="0.3">
      <c r="A25" s="84" t="b">
        <v>0</v>
      </c>
      <c r="B25" s="48">
        <f t="shared" si="0"/>
        <v>24</v>
      </c>
      <c r="C25" s="103" t="str">
        <f>_xlfn.XLOOKUP($D25,Tab_Process_TCs[Name(EN)],Tab_Process_TCs[Process_ID],,0,)</f>
        <v>03</v>
      </c>
      <c r="D25" s="50" t="s">
        <v>112</v>
      </c>
      <c r="E25" s="50" t="s">
        <v>401</v>
      </c>
      <c r="F25" s="48" t="str">
        <f>_xlfn.XLOOKUP($D25,Tab_Process_TCs[Name(EN)],Tab_Process_TCs[TC?],,0,)</f>
        <v>Yes</v>
      </c>
      <c r="G25" s="48" t="str">
        <f>_xlfn.XLOOKUP($D25,Tab_Process_TCs[Name(EN)],Tab_Process_TCs[Dyn_TC?],,0,)</f>
        <v>Yes</v>
      </c>
      <c r="H25" s="48" t="str">
        <f>_xlfn.XLOOKUP($E25,Tab_Def_Flows[Name(EN)],Tab_Def_Flows[Flow_ID],,0,1)</f>
        <v>F_03_05</v>
      </c>
      <c r="I25" s="50" t="str">
        <f>IF(Tab_Process_TCs2527[[#This Row],[Name(EN)]]="N.A.","N.A.","TC"&amp;"_"&amp;RIGHT(H25,5))</f>
        <v>TC_03_05</v>
      </c>
      <c r="J25" s="50">
        <v>2020</v>
      </c>
      <c r="K25" s="238">
        <v>0.02</v>
      </c>
      <c r="L25" s="50" t="str">
        <f>_xlfn.XLOOKUP($D25,Tab_Def_Processes[Name(EN)],Tab_Def_Processes[Stock?],,0,)</f>
        <v>Yes</v>
      </c>
      <c r="M25" s="48"/>
      <c r="N25" s="57" t="str">
        <f>_xlfn.XLOOKUP($D25,Tab_Def_Processes[Name(EN)],Tab_Def_Processes[Input_Flow_I_1],,0,)</f>
        <v>N.A.</v>
      </c>
      <c r="O25" s="48" t="e">
        <f>_xlfn.XLOOKUP($D25,Tab_Def_Processes[Name(EN)],Tab_Def_Processes[Flow_ID_I_1],,0,)</f>
        <v>#N/A</v>
      </c>
      <c r="P25" s="72"/>
      <c r="Q25" s="69" t="str">
        <f>_xlfn.XLOOKUP($D25,Tab_Def_Processes[Name(EN)],Tab_Def_Processes[Input_Flow_I_2],,0,)</f>
        <v>N.A.</v>
      </c>
      <c r="R25" s="48" t="e">
        <f>_xlfn.XLOOKUP($D25,Tab_Def_Processes[Name(EN)],Tab_Def_Processes[Flow_ID_I_2],,0,)</f>
        <v>#N/A</v>
      </c>
      <c r="S25" s="72"/>
      <c r="T25" s="69" t="str">
        <f>_xlfn.XLOOKUP($D25,Tab_Def_Processes[Name(EN)],Tab_Def_Processes[Input_Flow_I_3],,0,)</f>
        <v>N.A.</v>
      </c>
      <c r="U25" s="48" t="e">
        <f>_xlfn.XLOOKUP($D25,Tab_Def_Processes[Name(EN)],Tab_Def_Processes[Flow_ID_I_3],,0,)</f>
        <v>#N/A</v>
      </c>
      <c r="V25" s="72"/>
      <c r="W25" s="69" t="str">
        <f>_xlfn.XLOOKUP($D25,Tab_Def_Processes[Name(EN)],Tab_Def_Processes[Input_Flow_I_4],,0,)</f>
        <v>N.A.</v>
      </c>
      <c r="X25" s="48" t="e">
        <f>_xlfn.XLOOKUP($D25,Tab_Def_Processes[Name(EN)],Tab_Def_Processes[Flow_ID_I_4],,0,)</f>
        <v>#N/A</v>
      </c>
      <c r="Y25" s="72"/>
      <c r="Z25" s="69" t="str">
        <f>_xlfn.XLOOKUP($D25,Tab_Def_Processes[Name(EN)],Tab_Def_Processes[Input_Flow_I_5],,0,)</f>
        <v>N.A.</v>
      </c>
      <c r="AA25" s="48" t="e">
        <f>_xlfn.XLOOKUP($D25,Tab_Def_Processes[Name(EN)],Tab_Def_Processes[Flow_ID_I_5],,0,)</f>
        <v>#N/A</v>
      </c>
      <c r="AB25" s="72"/>
      <c r="AC25" s="71">
        <f>Tab_Process_TCs2527[[#This Row],[Flow_TC_I_1_'[%']]]+Tab_Process_TCs2527[[#This Row],[Flow_TC_I_2_'[%']]]+Tab_Process_TCs2527[[#This Row],[Flow_TC_I_3_'[%']]]+Tab_Process_TCs2527[[#This Row],[Flow_TC_I_4_'[%']]]+Tab_Process_TCs2527[[#This Row],[Flow_TC_I_5_'[%']]]</f>
        <v>0</v>
      </c>
      <c r="AD25" s="57" t="e">
        <f>_xlfn.XLOOKUP($D25,Tab_Process_TCs[TC_ID],Tab_Process_TCs[Output_Flow_O_1],,0,)</f>
        <v>#N/A</v>
      </c>
      <c r="AE25" s="48" t="e">
        <f>_xlfn.XLOOKUP($D25,Tab_Process_TCs[TC_ID],Tab_Process_TCs[Flow_ID_O_1],,0,)</f>
        <v>#N/A</v>
      </c>
      <c r="AF25" s="96" t="str">
        <f>Tab_Process_TCs2527[[#This Row],[Flow_ID]]</f>
        <v>F_03_05</v>
      </c>
      <c r="AG25" s="48" t="e">
        <f t="shared" si="1"/>
        <v>#N/A</v>
      </c>
      <c r="AH25" s="105">
        <v>1</v>
      </c>
      <c r="AI25" s="227" t="e">
        <f>_xlfn.XLOOKUP($D25,Tab_Process_TCs[TC_ID],Tab_Process_TCs[Output_Flow_O_2],,0,)</f>
        <v>#N/A</v>
      </c>
      <c r="AJ25" s="109" t="e">
        <f>_xlfn.XLOOKUP($D25,Tab_Process_TCs[TC_ID],Tab_Process_TCs[Flow_ID_O_2],,0,)</f>
        <v>#N/A</v>
      </c>
      <c r="AK25" s="96" t="str">
        <f>Tab_Process_TCs2527[[#This Row],[Flow_ID]]</f>
        <v>F_03_05</v>
      </c>
      <c r="AL25" s="48" t="e">
        <f t="shared" si="2"/>
        <v>#N/A</v>
      </c>
      <c r="AM25" s="224"/>
      <c r="AN25" s="57" t="e">
        <f>_xlfn.XLOOKUP($D25,Tab_Process_TCs[TC_ID],Tab_Process_TCs[Output_Flow_O_3],,0,)</f>
        <v>#N/A</v>
      </c>
      <c r="AO25" s="48" t="e">
        <f>_xlfn.XLOOKUP($D25,Tab_Process_TCs[TC_ID],Tab_Process_TCs[Flow_ID_O_3],,0,)</f>
        <v>#N/A</v>
      </c>
      <c r="AP25" s="96" t="str">
        <f>Tab_Process_TCs2527[[#This Row],[Flow_ID]]</f>
        <v>F_03_05</v>
      </c>
      <c r="AQ25" s="48" t="e">
        <f t="shared" si="3"/>
        <v>#N/A</v>
      </c>
      <c r="AR25" s="224"/>
      <c r="AS25" s="57" t="e">
        <f>_xlfn.XLOOKUP($D25,Tab_Process_TCs[TC_ID],#REF!,,0,)</f>
        <v>#REF!</v>
      </c>
      <c r="AT25" s="48" t="e">
        <f>_xlfn.XLOOKUP($D25,Tab_Process_TCs[TC_ID],#REF!,,0,)</f>
        <v>#REF!</v>
      </c>
      <c r="AU25" s="96" t="str">
        <f>Tab_Process_TCs2527[[#This Row],[Flow_ID]]</f>
        <v>F_03_05</v>
      </c>
      <c r="AV25" s="96" t="e">
        <f t="shared" si="4"/>
        <v>#N/A</v>
      </c>
      <c r="AW25" s="224"/>
      <c r="AX25" s="57" t="e">
        <f>_xlfn.XLOOKUP($D25,Tab_Process_TCs[TC_ID],#REF!,,0,)</f>
        <v>#REF!</v>
      </c>
      <c r="AY25" s="48" t="e">
        <f>_xlfn.XLOOKUP($D25,Tab_Process_TCs[TC_ID],#REF!,,0,)</f>
        <v>#REF!</v>
      </c>
      <c r="AZ25" s="96" t="str">
        <f>Tab_Process_TCs2527[[#This Row],[Flow_ID]]</f>
        <v>F_03_05</v>
      </c>
      <c r="BA25" s="96" t="e">
        <f t="shared" si="5"/>
        <v>#REF!</v>
      </c>
      <c r="BB25" s="224"/>
      <c r="BC25" s="48" t="e">
        <f>_xlfn.XLOOKUP($D25,Tab_Process_TCs[TC_ID],#REF!,,0,)</f>
        <v>#REF!</v>
      </c>
      <c r="BD25" s="48" t="e">
        <f>_xlfn.XLOOKUP($D25,Tab_Process_TCs[TC_ID],#REF!,,0,)</f>
        <v>#REF!</v>
      </c>
      <c r="BE25" s="96" t="str">
        <f>Tab_Process_TCs2527[[#This Row],[Flow_ID]]</f>
        <v>F_03_05</v>
      </c>
      <c r="BF25" s="96" t="e">
        <f t="shared" si="6"/>
        <v>#REF!</v>
      </c>
      <c r="BG25" s="105"/>
      <c r="BH25" s="108">
        <f>Tab_Process_TCs2527[[#This Row],[TC O_6_'[%']]]+Tab_Process_TCs2527[[#This Row],[TC O_5_'[%']]]+Tab_Process_TCs2527[[#This Row],[TC_O_4_'[%']]]+Tab_Process_TCs2527[[#This Row],[TC_O_3_'[%']]]+Tab_Process_TCs2527[[#This Row],[TC_O_2_'[%']]]+Tab_Process_TCs2527[[#This Row],[TC_O_1_'[%']]]</f>
        <v>1</v>
      </c>
      <c r="BI25" s="50"/>
      <c r="BJ25" s="50"/>
      <c r="BK25" s="50"/>
      <c r="BL25" s="50"/>
      <c r="BM25" s="50"/>
    </row>
    <row r="26" spans="1:65" x14ac:dyDescent="0.3">
      <c r="A26" s="84" t="b">
        <v>0</v>
      </c>
      <c r="B26" s="48">
        <f t="shared" si="0"/>
        <v>25</v>
      </c>
      <c r="C26" s="103" t="str">
        <f>_xlfn.XLOOKUP($D26,Tab_Process_TCs[Name(EN)],Tab_Process_TCs[Process_ID],,0,)</f>
        <v>03</v>
      </c>
      <c r="D26" s="50" t="s">
        <v>112</v>
      </c>
      <c r="E26" s="50" t="s">
        <v>114</v>
      </c>
      <c r="F26" s="48" t="str">
        <f>_xlfn.XLOOKUP($D26,Tab_Process_TCs[Name(EN)],Tab_Process_TCs[TC?],,0,)</f>
        <v>Yes</v>
      </c>
      <c r="G26" s="48" t="str">
        <f>_xlfn.XLOOKUP($D26,Tab_Process_TCs[Name(EN)],Tab_Process_TCs[Dyn_TC?],,0,)</f>
        <v>Yes</v>
      </c>
      <c r="H26" s="48" t="str">
        <f>_xlfn.XLOOKUP($E26,Tab_Def_Flows[Name(EN)],Tab_Def_Flows[Flow_ID],,0,1)</f>
        <v>F_03_04</v>
      </c>
      <c r="I26" s="50" t="str">
        <f>IF(Tab_Process_TCs2527[[#This Row],[Name(EN)]]="N.A.","N.A.","TC"&amp;"_"&amp;RIGHT(H26,5))</f>
        <v>TC_03_04</v>
      </c>
      <c r="J26" s="50">
        <v>2020</v>
      </c>
      <c r="K26" s="238">
        <v>0.2</v>
      </c>
      <c r="L26" s="50" t="str">
        <f>_xlfn.XLOOKUP($D26,Tab_Def_Processes[Name(EN)],Tab_Def_Processes[Stock?],,0,)</f>
        <v>Yes</v>
      </c>
      <c r="M26" s="48"/>
      <c r="N26" s="57" t="str">
        <f>_xlfn.XLOOKUP($D26,Tab_Def_Processes[Name(EN)],Tab_Def_Processes[Input_Flow_I_1],,0,)</f>
        <v>N.A.</v>
      </c>
      <c r="O26" s="48" t="e">
        <f>_xlfn.XLOOKUP($D26,Tab_Def_Processes[Name(EN)],Tab_Def_Processes[Flow_ID_I_1],,0,)</f>
        <v>#N/A</v>
      </c>
      <c r="P26" s="72"/>
      <c r="Q26" s="69" t="str">
        <f>_xlfn.XLOOKUP($D26,Tab_Def_Processes[Name(EN)],Tab_Def_Processes[Input_Flow_I_2],,0,)</f>
        <v>N.A.</v>
      </c>
      <c r="R26" s="48" t="e">
        <f>_xlfn.XLOOKUP($D26,Tab_Def_Processes[Name(EN)],Tab_Def_Processes[Flow_ID_I_2],,0,)</f>
        <v>#N/A</v>
      </c>
      <c r="S26" s="72"/>
      <c r="T26" s="69" t="str">
        <f>_xlfn.XLOOKUP($D26,Tab_Def_Processes[Name(EN)],Tab_Def_Processes[Input_Flow_I_3],,0,)</f>
        <v>N.A.</v>
      </c>
      <c r="U26" s="48" t="e">
        <f>_xlfn.XLOOKUP($D26,Tab_Def_Processes[Name(EN)],Tab_Def_Processes[Flow_ID_I_3],,0,)</f>
        <v>#N/A</v>
      </c>
      <c r="V26" s="72"/>
      <c r="W26" s="69" t="str">
        <f>_xlfn.XLOOKUP($D26,Tab_Def_Processes[Name(EN)],Tab_Def_Processes[Input_Flow_I_4],,0,)</f>
        <v>N.A.</v>
      </c>
      <c r="X26" s="48" t="e">
        <f>_xlfn.XLOOKUP($D26,Tab_Def_Processes[Name(EN)],Tab_Def_Processes[Flow_ID_I_4],,0,)</f>
        <v>#N/A</v>
      </c>
      <c r="Y26" s="72"/>
      <c r="Z26" s="69" t="str">
        <f>_xlfn.XLOOKUP($D26,Tab_Def_Processes[Name(EN)],Tab_Def_Processes[Input_Flow_I_5],,0,)</f>
        <v>N.A.</v>
      </c>
      <c r="AA26" s="48" t="e">
        <f>_xlfn.XLOOKUP($D26,Tab_Def_Processes[Name(EN)],Tab_Def_Processes[Flow_ID_I_5],,0,)</f>
        <v>#N/A</v>
      </c>
      <c r="AB26" s="72"/>
      <c r="AC26" s="71">
        <f>Tab_Process_TCs2527[[#This Row],[Flow_TC_I_1_'[%']]]+Tab_Process_TCs2527[[#This Row],[Flow_TC_I_2_'[%']]]+Tab_Process_TCs2527[[#This Row],[Flow_TC_I_3_'[%']]]+Tab_Process_TCs2527[[#This Row],[Flow_TC_I_4_'[%']]]+Tab_Process_TCs2527[[#This Row],[Flow_TC_I_5_'[%']]]</f>
        <v>0</v>
      </c>
      <c r="AD26" s="57" t="e">
        <f>_xlfn.XLOOKUP($D26,Tab_Process_TCs[TC_ID],Tab_Process_TCs[Output_Flow_O_1],,0,)</f>
        <v>#N/A</v>
      </c>
      <c r="AE26" s="48" t="e">
        <f>_xlfn.XLOOKUP($D26,Tab_Process_TCs[TC_ID],Tab_Process_TCs[Flow_ID_O_1],,0,)</f>
        <v>#N/A</v>
      </c>
      <c r="AF26" s="96" t="str">
        <f>Tab_Process_TCs2527[[#This Row],[Flow_ID]]</f>
        <v>F_03_04</v>
      </c>
      <c r="AG26" s="48" t="e">
        <f t="shared" si="1"/>
        <v>#N/A</v>
      </c>
      <c r="AH26" s="105">
        <v>1</v>
      </c>
      <c r="AI26" s="227" t="e">
        <f>_xlfn.XLOOKUP($D26,Tab_Process_TCs[TC_ID],Tab_Process_TCs[Output_Flow_O_2],,0,)</f>
        <v>#N/A</v>
      </c>
      <c r="AJ26" s="109" t="e">
        <f>_xlfn.XLOOKUP($D26,Tab_Process_TCs[TC_ID],Tab_Process_TCs[Flow_ID_O_2],,0,)</f>
        <v>#N/A</v>
      </c>
      <c r="AK26" s="96" t="str">
        <f>Tab_Process_TCs2527[[#This Row],[Flow_ID]]</f>
        <v>F_03_04</v>
      </c>
      <c r="AL26" s="48" t="e">
        <f t="shared" si="2"/>
        <v>#N/A</v>
      </c>
      <c r="AM26" s="224"/>
      <c r="AN26" s="57" t="e">
        <f>_xlfn.XLOOKUP($D26,Tab_Process_TCs[TC_ID],Tab_Process_TCs[Output_Flow_O_3],,0,)</f>
        <v>#N/A</v>
      </c>
      <c r="AO26" s="48" t="e">
        <f>_xlfn.XLOOKUP($D26,Tab_Process_TCs[TC_ID],Tab_Process_TCs[Flow_ID_O_3],,0,)</f>
        <v>#N/A</v>
      </c>
      <c r="AP26" s="96" t="str">
        <f>Tab_Process_TCs2527[[#This Row],[Flow_ID]]</f>
        <v>F_03_04</v>
      </c>
      <c r="AQ26" s="48" t="e">
        <f t="shared" si="3"/>
        <v>#N/A</v>
      </c>
      <c r="AR26" s="224"/>
      <c r="AS26" s="57" t="e">
        <f>_xlfn.XLOOKUP($D26,Tab_Process_TCs[TC_ID],#REF!,,0,)</f>
        <v>#REF!</v>
      </c>
      <c r="AT26" s="48" t="e">
        <f>_xlfn.XLOOKUP($D26,Tab_Process_TCs[TC_ID],#REF!,,0,)</f>
        <v>#REF!</v>
      </c>
      <c r="AU26" s="96" t="str">
        <f>Tab_Process_TCs2527[[#This Row],[Flow_ID]]</f>
        <v>F_03_04</v>
      </c>
      <c r="AV26" s="96" t="e">
        <f t="shared" si="4"/>
        <v>#N/A</v>
      </c>
      <c r="AW26" s="224"/>
      <c r="AX26" s="57" t="e">
        <f>_xlfn.XLOOKUP($D26,Tab_Process_TCs[TC_ID],#REF!,,0,)</f>
        <v>#REF!</v>
      </c>
      <c r="AY26" s="48" t="e">
        <f>_xlfn.XLOOKUP($D26,Tab_Process_TCs[TC_ID],#REF!,,0,)</f>
        <v>#REF!</v>
      </c>
      <c r="AZ26" s="96" t="str">
        <f>Tab_Process_TCs2527[[#This Row],[Flow_ID]]</f>
        <v>F_03_04</v>
      </c>
      <c r="BA26" s="96" t="e">
        <f t="shared" si="5"/>
        <v>#REF!</v>
      </c>
      <c r="BB26" s="224"/>
      <c r="BC26" s="48" t="e">
        <f>_xlfn.XLOOKUP($D26,Tab_Process_TCs[TC_ID],#REF!,,0,)</f>
        <v>#REF!</v>
      </c>
      <c r="BD26" s="48" t="e">
        <f>_xlfn.XLOOKUP($D26,Tab_Process_TCs[TC_ID],#REF!,,0,)</f>
        <v>#REF!</v>
      </c>
      <c r="BE26" s="96" t="str">
        <f>Tab_Process_TCs2527[[#This Row],[Flow_ID]]</f>
        <v>F_03_04</v>
      </c>
      <c r="BF26" s="96" t="e">
        <f t="shared" si="6"/>
        <v>#REF!</v>
      </c>
      <c r="BG26" s="105"/>
      <c r="BH26" s="108">
        <f>Tab_Process_TCs2527[[#This Row],[TC O_6_'[%']]]+Tab_Process_TCs2527[[#This Row],[TC O_5_'[%']]]+Tab_Process_TCs2527[[#This Row],[TC_O_4_'[%']]]+Tab_Process_TCs2527[[#This Row],[TC_O_3_'[%']]]+Tab_Process_TCs2527[[#This Row],[TC_O_2_'[%']]]+Tab_Process_TCs2527[[#This Row],[TC_O_1_'[%']]]</f>
        <v>1</v>
      </c>
      <c r="BI26" s="50"/>
      <c r="BJ26" s="50"/>
      <c r="BK26" s="50"/>
      <c r="BL26" s="50"/>
      <c r="BM26" s="50"/>
    </row>
    <row r="27" spans="1:65" x14ac:dyDescent="0.3">
      <c r="A27" s="84" t="b">
        <v>0</v>
      </c>
      <c r="B27" s="48">
        <f t="shared" ref="B27:B31" si="7">ROW()-1</f>
        <v>26</v>
      </c>
      <c r="C27" s="103" t="str">
        <f>_xlfn.XLOOKUP($D27,Tab_Process_TCs[Name(EN)],Tab_Process_TCs[Process_ID],,0,)</f>
        <v>02</v>
      </c>
      <c r="D27" s="50" t="s">
        <v>108</v>
      </c>
      <c r="E27" s="50" t="s">
        <v>528</v>
      </c>
      <c r="F27" s="48" t="str">
        <f>_xlfn.XLOOKUP($D27,Tab_Process_TCs[Name(EN)],Tab_Process_TCs[TC?],,0,)</f>
        <v>Yes</v>
      </c>
      <c r="G27" s="48" t="str">
        <f>_xlfn.XLOOKUP($D27,Tab_Process_TCs[Name(EN)],Tab_Process_TCs[Dyn_TC?],,0,)</f>
        <v>Yes</v>
      </c>
      <c r="H27" s="48" t="str">
        <f>_xlfn.XLOOKUP($E27,Tab_Def_Flows[Name(EN)],Tab_Def_Flows[Flow_ID],,0,1)</f>
        <v>F_02_08</v>
      </c>
      <c r="I27" s="50" t="str">
        <f>IF(Tab_Process_TCs2527[[#This Row],[Name(EN)]]="N.A.","N.A.","TC"&amp;"_"&amp;RIGHT(H27,5))</f>
        <v>TC_02_08</v>
      </c>
      <c r="J27" s="50">
        <v>2045</v>
      </c>
      <c r="K27" s="238">
        <v>0.25</v>
      </c>
      <c r="L27" s="50" t="str">
        <f>_xlfn.XLOOKUP($D27,Tab_Def_Processes[Name(EN)],Tab_Def_Processes[Stock?],,0,)</f>
        <v>Yes</v>
      </c>
      <c r="M27" s="48"/>
      <c r="N27" s="57" t="str">
        <f>_xlfn.XLOOKUP($D27,Tab_Def_Processes[Name(EN)],Tab_Def_Processes[Input_Flow_I_1],,0,)</f>
        <v>N.A.</v>
      </c>
      <c r="O27" s="48" t="e">
        <f>_xlfn.XLOOKUP($D27,Tab_Def_Processes[Name(EN)],Tab_Def_Processes[Flow_ID_I_1],,0,)</f>
        <v>#N/A</v>
      </c>
      <c r="Q27" s="69" t="str">
        <f>_xlfn.XLOOKUP($D27,Tab_Def_Processes[Name(EN)],Tab_Def_Processes[Input_Flow_I_2],,0,)</f>
        <v>N.A.</v>
      </c>
      <c r="R27" s="48" t="e">
        <f>_xlfn.XLOOKUP($D27,Tab_Def_Processes[Name(EN)],Tab_Def_Processes[Flow_ID_I_2],,0,)</f>
        <v>#N/A</v>
      </c>
      <c r="T27" s="69" t="str">
        <f>_xlfn.XLOOKUP($D27,Tab_Def_Processes[Name(EN)],Tab_Def_Processes[Input_Flow_I_3],,0,)</f>
        <v>N.A.</v>
      </c>
      <c r="U27" s="48" t="e">
        <f>_xlfn.XLOOKUP($D27,Tab_Def_Processes[Name(EN)],Tab_Def_Processes[Flow_ID_I_3],,0,)</f>
        <v>#N/A</v>
      </c>
      <c r="W27" s="69" t="str">
        <f>_xlfn.XLOOKUP($D27,Tab_Def_Processes[Name(EN)],Tab_Def_Processes[Input_Flow_I_4],,0,)</f>
        <v>N.A.</v>
      </c>
      <c r="X27" s="48" t="e">
        <f>_xlfn.XLOOKUP($D27,Tab_Def_Processes[Name(EN)],Tab_Def_Processes[Flow_ID_I_4],,0,)</f>
        <v>#N/A</v>
      </c>
      <c r="Z27" s="69" t="str">
        <f>_xlfn.XLOOKUP($D27,Tab_Def_Processes[Name(EN)],Tab_Def_Processes[Input_Flow_I_5],,0,)</f>
        <v>N.A.</v>
      </c>
      <c r="AA27" s="48" t="e">
        <f>_xlfn.XLOOKUP($D27,Tab_Def_Processes[Name(EN)],Tab_Def_Processes[Flow_ID_I_5],,0,)</f>
        <v>#N/A</v>
      </c>
      <c r="AC27" s="255">
        <f>Tab_Process_TCs2527[[#This Row],[Flow_TC_I_1_'[%']]]+Tab_Process_TCs2527[[#This Row],[Flow_TC_I_2_'[%']]]+Tab_Process_TCs2527[[#This Row],[Flow_TC_I_3_'[%']]]+Tab_Process_TCs2527[[#This Row],[Flow_TC_I_4_'[%']]]+Tab_Process_TCs2527[[#This Row],[Flow_TC_I_5_'[%']]]</f>
        <v>0</v>
      </c>
      <c r="AD27" s="57" t="e">
        <f>_xlfn.XLOOKUP($D27,Tab_Process_TCs[TC_ID],Tab_Process_TCs[Output_Flow_O_1],,0,)</f>
        <v>#N/A</v>
      </c>
      <c r="AE27" s="48" t="e">
        <f>_xlfn.XLOOKUP($D27,Tab_Process_TCs[TC_ID],Tab_Process_TCs[Flow_ID_O_1],,0,)</f>
        <v>#N/A</v>
      </c>
      <c r="AF27" s="48" t="str">
        <f>Tab_Process_TCs2527[[#This Row],[Flow_ID]]</f>
        <v>F_02_08</v>
      </c>
      <c r="AG27" s="48" t="e">
        <f t="shared" ref="AG27:AG31" si="8">"TC"&amp;"_"&amp;RIGHT(AE27,5)</f>
        <v>#N/A</v>
      </c>
      <c r="AH27" s="256"/>
      <c r="AI27" s="227" t="e">
        <f>_xlfn.XLOOKUP($D27,Tab_Process_TCs[TC_ID],Tab_Process_TCs[Output_Flow_O_2],,0,)</f>
        <v>#N/A</v>
      </c>
      <c r="AJ27" s="109" t="e">
        <f>_xlfn.XLOOKUP($D27,Tab_Process_TCs[TC_ID],Tab_Process_TCs[Flow_ID_O_2],,0,)</f>
        <v>#N/A</v>
      </c>
      <c r="AK27" s="109" t="str">
        <f>Tab_Process_TCs2527[[#This Row],[Flow_ID]]</f>
        <v>F_02_08</v>
      </c>
      <c r="AL27" s="109" t="e">
        <f t="shared" ref="AL27:AL31" si="9">"TC"&amp;"_"&amp;RIGHT(AJ27,5)</f>
        <v>#N/A</v>
      </c>
      <c r="AM27" s="257"/>
      <c r="AN27" s="227" t="e">
        <f>_xlfn.XLOOKUP($D27,Tab_Process_TCs[TC_ID],Tab_Process_TCs[Output_Flow_O_3],,0,)</f>
        <v>#N/A</v>
      </c>
      <c r="AO27" s="109" t="e">
        <f>_xlfn.XLOOKUP($D27,Tab_Process_TCs[TC_ID],Tab_Process_TCs[Flow_ID_O_3],,0,)</f>
        <v>#N/A</v>
      </c>
      <c r="AP27" s="48" t="str">
        <f>Tab_Process_TCs2527[[#This Row],[Flow_ID]]</f>
        <v>F_02_08</v>
      </c>
      <c r="AQ27" s="109" t="e">
        <f t="shared" ref="AQ27:AQ31" si="10">"TC"&amp;"_"&amp;RIGHT(AO27,5)</f>
        <v>#N/A</v>
      </c>
      <c r="AR27" s="257"/>
      <c r="AS27" s="227" t="e">
        <f>_xlfn.XLOOKUP($D27,Tab_Process_TCs[TC_ID],#REF!,,0,)</f>
        <v>#REF!</v>
      </c>
      <c r="AT27" s="109" t="e">
        <f>_xlfn.XLOOKUP($D27,Tab_Process_TCs[TC_ID],#REF!,,0,)</f>
        <v>#REF!</v>
      </c>
      <c r="AU27" s="96" t="str">
        <f>Tab_Process_TCs2527[[#This Row],[Flow_ID]]</f>
        <v>F_02_08</v>
      </c>
      <c r="AV27" s="109" t="e">
        <f t="shared" ref="AV27:AV31" si="11">"TC"&amp;"_"&amp;RIGHT(AO27,5)</f>
        <v>#N/A</v>
      </c>
      <c r="AW27" s="257"/>
      <c r="AX27" s="227" t="e">
        <f>_xlfn.XLOOKUP($D27,Tab_Process_TCs[TC_ID],#REF!,,0,)</f>
        <v>#REF!</v>
      </c>
      <c r="AY27" s="109" t="e">
        <f>_xlfn.XLOOKUP($D27,Tab_Process_TCs[TC_ID],#REF!,,0,)</f>
        <v>#REF!</v>
      </c>
      <c r="AZ27" s="96" t="str">
        <f>Tab_Process_TCs2527[[#This Row],[Flow_ID]]</f>
        <v>F_02_08</v>
      </c>
      <c r="BA27" s="109" t="e">
        <f t="shared" ref="BA27:BA31" si="12">"TC"&amp;"_"&amp;RIGHT(AY27,5)</f>
        <v>#REF!</v>
      </c>
      <c r="BB27" s="257"/>
      <c r="BC27" s="254" t="e">
        <f>_xlfn.XLOOKUP($D27,Tab_Process_TCs[TC_ID],#REF!,,0,)</f>
        <v>#REF!</v>
      </c>
      <c r="BD27" s="109" t="e">
        <f>_xlfn.XLOOKUP($D27,Tab_Process_TCs[TC_ID],#REF!,,0,)</f>
        <v>#REF!</v>
      </c>
      <c r="BE27" s="48" t="str">
        <f>Tab_Process_TCs2527[[#This Row],[Flow_ID]]</f>
        <v>F_02_08</v>
      </c>
      <c r="BF27" s="109" t="e">
        <f t="shared" ref="BF27:BF31" si="13">"TC"&amp;"_"&amp;RIGHT(BD27,5)</f>
        <v>#REF!</v>
      </c>
      <c r="BG27" s="258"/>
      <c r="BH27" s="259">
        <f>Tab_Process_TCs2527[[#This Row],[TC O_6_'[%']]]+Tab_Process_TCs2527[[#This Row],[TC O_5_'[%']]]+Tab_Process_TCs2527[[#This Row],[TC_O_4_'[%']]]+Tab_Process_TCs2527[[#This Row],[TC_O_3_'[%']]]+Tab_Process_TCs2527[[#This Row],[TC_O_2_'[%']]]+Tab_Process_TCs2527[[#This Row],[TC_O_1_'[%']]]</f>
        <v>0</v>
      </c>
      <c r="BI27" s="50"/>
      <c r="BJ27" s="50"/>
      <c r="BK27" s="50"/>
      <c r="BL27" s="50"/>
      <c r="BM27" s="50"/>
    </row>
    <row r="28" spans="1:65" x14ac:dyDescent="0.3">
      <c r="A28" s="84" t="b">
        <v>0</v>
      </c>
      <c r="B28" s="48">
        <f t="shared" si="7"/>
        <v>27</v>
      </c>
      <c r="C28" s="103" t="str">
        <f>_xlfn.XLOOKUP($D28,Tab_Process_TCs[Name(EN)],Tab_Process_TCs[Process_ID],,0,)</f>
        <v>02</v>
      </c>
      <c r="D28" s="50" t="s">
        <v>108</v>
      </c>
      <c r="E28" s="50" t="s">
        <v>111</v>
      </c>
      <c r="F28" s="48" t="str">
        <f>_xlfn.XLOOKUP($D28,Tab_Process_TCs[Name(EN)],Tab_Process_TCs[TC?],,0,)</f>
        <v>Yes</v>
      </c>
      <c r="G28" s="48" t="str">
        <f>_xlfn.XLOOKUP($D28,Tab_Process_TCs[Name(EN)],Tab_Process_TCs[Dyn_TC?],,0,)</f>
        <v>Yes</v>
      </c>
      <c r="H28" s="48" t="str">
        <f>_xlfn.XLOOKUP($E28,Tab_Def_Flows[Name(EN)],Tab_Def_Flows[Flow_ID],,0,1)</f>
        <v>F_02_03</v>
      </c>
      <c r="I28" s="50" t="str">
        <f>IF(Tab_Process_TCs2527[[#This Row],[Name(EN)]]="N.A.","N.A.","TC"&amp;"_"&amp;RIGHT(H28,5))</f>
        <v>TC_02_03</v>
      </c>
      <c r="J28" s="50">
        <v>2045</v>
      </c>
      <c r="K28" s="238">
        <v>0.75</v>
      </c>
      <c r="L28" s="50" t="str">
        <f>_xlfn.XLOOKUP($D28,Tab_Def_Processes[Name(EN)],Tab_Def_Processes[Stock?],,0,)</f>
        <v>Yes</v>
      </c>
      <c r="M28" s="48"/>
      <c r="N28" s="57" t="str">
        <f>_xlfn.XLOOKUP($D28,Tab_Def_Processes[Name(EN)],Tab_Def_Processes[Input_Flow_I_1],,0,)</f>
        <v>N.A.</v>
      </c>
      <c r="O28" s="48" t="e">
        <f>_xlfn.XLOOKUP($D28,Tab_Def_Processes[Name(EN)],Tab_Def_Processes[Flow_ID_I_1],,0,)</f>
        <v>#N/A</v>
      </c>
      <c r="Q28" s="69" t="str">
        <f>_xlfn.XLOOKUP($D28,Tab_Def_Processes[Name(EN)],Tab_Def_Processes[Input_Flow_I_2],,0,)</f>
        <v>N.A.</v>
      </c>
      <c r="R28" s="48" t="e">
        <f>_xlfn.XLOOKUP($D28,Tab_Def_Processes[Name(EN)],Tab_Def_Processes[Flow_ID_I_2],,0,)</f>
        <v>#N/A</v>
      </c>
      <c r="T28" s="69" t="str">
        <f>_xlfn.XLOOKUP($D28,Tab_Def_Processes[Name(EN)],Tab_Def_Processes[Input_Flow_I_3],,0,)</f>
        <v>N.A.</v>
      </c>
      <c r="U28" s="48" t="e">
        <f>_xlfn.XLOOKUP($D28,Tab_Def_Processes[Name(EN)],Tab_Def_Processes[Flow_ID_I_3],,0,)</f>
        <v>#N/A</v>
      </c>
      <c r="W28" s="69" t="str">
        <f>_xlfn.XLOOKUP($D28,Tab_Def_Processes[Name(EN)],Tab_Def_Processes[Input_Flow_I_4],,0,)</f>
        <v>N.A.</v>
      </c>
      <c r="X28" s="48" t="e">
        <f>_xlfn.XLOOKUP($D28,Tab_Def_Processes[Name(EN)],Tab_Def_Processes[Flow_ID_I_4],,0,)</f>
        <v>#N/A</v>
      </c>
      <c r="Z28" s="69" t="str">
        <f>_xlfn.XLOOKUP($D28,Tab_Def_Processes[Name(EN)],Tab_Def_Processes[Input_Flow_I_5],,0,)</f>
        <v>N.A.</v>
      </c>
      <c r="AA28" s="48" t="e">
        <f>_xlfn.XLOOKUP($D28,Tab_Def_Processes[Name(EN)],Tab_Def_Processes[Flow_ID_I_5],,0,)</f>
        <v>#N/A</v>
      </c>
      <c r="AC28" s="255">
        <f>Tab_Process_TCs2527[[#This Row],[Flow_TC_I_1_'[%']]]+Tab_Process_TCs2527[[#This Row],[Flow_TC_I_2_'[%']]]+Tab_Process_TCs2527[[#This Row],[Flow_TC_I_3_'[%']]]+Tab_Process_TCs2527[[#This Row],[Flow_TC_I_4_'[%']]]+Tab_Process_TCs2527[[#This Row],[Flow_TC_I_5_'[%']]]</f>
        <v>0</v>
      </c>
      <c r="AD28" s="57" t="e">
        <f>_xlfn.XLOOKUP($D28,Tab_Process_TCs[TC_ID],Tab_Process_TCs[Output_Flow_O_1],,0,)</f>
        <v>#N/A</v>
      </c>
      <c r="AE28" s="48" t="e">
        <f>_xlfn.XLOOKUP($D28,Tab_Process_TCs[TC_ID],Tab_Process_TCs[Flow_ID_O_1],,0,)</f>
        <v>#N/A</v>
      </c>
      <c r="AF28" s="48" t="str">
        <f>Tab_Process_TCs2527[[#This Row],[Flow_ID]]</f>
        <v>F_02_03</v>
      </c>
      <c r="AG28" s="48" t="e">
        <f t="shared" si="8"/>
        <v>#N/A</v>
      </c>
      <c r="AH28" s="256"/>
      <c r="AI28" s="227" t="e">
        <f>_xlfn.XLOOKUP($D28,Tab_Process_TCs[TC_ID],Tab_Process_TCs[Output_Flow_O_2],,0,)</f>
        <v>#N/A</v>
      </c>
      <c r="AJ28" s="109" t="e">
        <f>_xlfn.XLOOKUP($D28,Tab_Process_TCs[TC_ID],Tab_Process_TCs[Flow_ID_O_2],,0,)</f>
        <v>#N/A</v>
      </c>
      <c r="AK28" s="109" t="str">
        <f>Tab_Process_TCs2527[[#This Row],[Flow_ID]]</f>
        <v>F_02_03</v>
      </c>
      <c r="AL28" s="109" t="e">
        <f t="shared" si="9"/>
        <v>#N/A</v>
      </c>
      <c r="AM28" s="257"/>
      <c r="AN28" s="227" t="e">
        <f>_xlfn.XLOOKUP($D28,Tab_Process_TCs[TC_ID],Tab_Process_TCs[Output_Flow_O_3],,0,)</f>
        <v>#N/A</v>
      </c>
      <c r="AO28" s="109" t="e">
        <f>_xlfn.XLOOKUP($D28,Tab_Process_TCs[TC_ID],Tab_Process_TCs[Flow_ID_O_3],,0,)</f>
        <v>#N/A</v>
      </c>
      <c r="AP28" s="48" t="str">
        <f>Tab_Process_TCs2527[[#This Row],[Flow_ID]]</f>
        <v>F_02_03</v>
      </c>
      <c r="AQ28" s="109" t="e">
        <f t="shared" si="10"/>
        <v>#N/A</v>
      </c>
      <c r="AR28" s="257"/>
      <c r="AS28" s="227" t="e">
        <f>_xlfn.XLOOKUP($D28,Tab_Process_TCs[TC_ID],#REF!,,0,)</f>
        <v>#REF!</v>
      </c>
      <c r="AT28" s="109" t="e">
        <f>_xlfn.XLOOKUP($D28,Tab_Process_TCs[TC_ID],#REF!,,0,)</f>
        <v>#REF!</v>
      </c>
      <c r="AU28" s="48" t="str">
        <f>Tab_Process_TCs2527[[#This Row],[Flow_ID]]</f>
        <v>F_02_03</v>
      </c>
      <c r="AV28" s="109" t="e">
        <f t="shared" si="11"/>
        <v>#N/A</v>
      </c>
      <c r="AW28" s="257"/>
      <c r="AX28" s="227" t="e">
        <f>_xlfn.XLOOKUP($D28,Tab_Process_TCs[TC_ID],#REF!,,0,)</f>
        <v>#REF!</v>
      </c>
      <c r="AY28" s="109" t="e">
        <f>_xlfn.XLOOKUP($D28,Tab_Process_TCs[TC_ID],#REF!,,0,)</f>
        <v>#REF!</v>
      </c>
      <c r="AZ28" s="48" t="str">
        <f>Tab_Process_TCs2527[[#This Row],[Flow_ID]]</f>
        <v>F_02_03</v>
      </c>
      <c r="BA28" s="109" t="e">
        <f t="shared" si="12"/>
        <v>#REF!</v>
      </c>
      <c r="BB28" s="257"/>
      <c r="BC28" s="254" t="e">
        <f>_xlfn.XLOOKUP($D28,Tab_Process_TCs[TC_ID],#REF!,,0,)</f>
        <v>#REF!</v>
      </c>
      <c r="BD28" s="109" t="e">
        <f>_xlfn.XLOOKUP($D28,Tab_Process_TCs[TC_ID],#REF!,,0,)</f>
        <v>#REF!</v>
      </c>
      <c r="BE28" s="48" t="str">
        <f>Tab_Process_TCs2527[[#This Row],[Flow_ID]]</f>
        <v>F_02_03</v>
      </c>
      <c r="BF28" s="109" t="e">
        <f t="shared" si="13"/>
        <v>#REF!</v>
      </c>
      <c r="BG28" s="258"/>
      <c r="BH28" s="259">
        <f>Tab_Process_TCs2527[[#This Row],[TC O_6_'[%']]]+Tab_Process_TCs2527[[#This Row],[TC O_5_'[%']]]+Tab_Process_TCs2527[[#This Row],[TC_O_4_'[%']]]+Tab_Process_TCs2527[[#This Row],[TC_O_3_'[%']]]+Tab_Process_TCs2527[[#This Row],[TC_O_2_'[%']]]+Tab_Process_TCs2527[[#This Row],[TC_O_1_'[%']]]</f>
        <v>0</v>
      </c>
      <c r="BI28" s="50"/>
      <c r="BJ28" s="50"/>
      <c r="BK28" s="50"/>
      <c r="BL28" s="50"/>
      <c r="BM28" s="50"/>
    </row>
    <row r="29" spans="1:65" x14ac:dyDescent="0.3">
      <c r="A29" s="84" t="b">
        <v>0</v>
      </c>
      <c r="B29" s="48">
        <f t="shared" si="7"/>
        <v>28</v>
      </c>
      <c r="C29" s="103" t="str">
        <f>_xlfn.XLOOKUP($D29,Tab_Process_TCs[Name(EN)],Tab_Process_TCs[Process_ID],,0,)</f>
        <v>03</v>
      </c>
      <c r="D29" s="50" t="s">
        <v>112</v>
      </c>
      <c r="E29" s="50" t="s">
        <v>531</v>
      </c>
      <c r="F29" s="48" t="str">
        <f>_xlfn.XLOOKUP($D29,Tab_Process_TCs[Name(EN)],Tab_Process_TCs[TC?],,0,)</f>
        <v>Yes</v>
      </c>
      <c r="G29" s="48" t="str">
        <f>_xlfn.XLOOKUP($D29,Tab_Process_TCs[Name(EN)],Tab_Process_TCs[Dyn_TC?],,0,)</f>
        <v>Yes</v>
      </c>
      <c r="H29" s="48" t="str">
        <f>_xlfn.XLOOKUP($E29,Tab_Def_Flows[Name(EN)],Tab_Def_Flows[Flow_ID],,0,1)</f>
        <v>F_03_06</v>
      </c>
      <c r="I29" s="50" t="str">
        <f>IF(Tab_Process_TCs2527[[#This Row],[Name(EN)]]="N.A.","N.A.","TC"&amp;"_"&amp;RIGHT(H29,5))</f>
        <v>TC_03_06</v>
      </c>
      <c r="J29" s="50">
        <v>2045</v>
      </c>
      <c r="K29" s="238">
        <v>0.78</v>
      </c>
      <c r="L29" s="50" t="str">
        <f>_xlfn.XLOOKUP($D29,Tab_Def_Processes[Name(EN)],Tab_Def_Processes[Stock?],,0,)</f>
        <v>Yes</v>
      </c>
      <c r="M29" s="48"/>
      <c r="N29" s="57" t="str">
        <f>_xlfn.XLOOKUP($D29,Tab_Def_Processes[Name(EN)],Tab_Def_Processes[Input_Flow_I_1],,0,)</f>
        <v>N.A.</v>
      </c>
      <c r="O29" s="48" t="e">
        <f>_xlfn.XLOOKUP($D29,Tab_Def_Processes[Name(EN)],Tab_Def_Processes[Flow_ID_I_1],,0,)</f>
        <v>#N/A</v>
      </c>
      <c r="Q29" s="69" t="str">
        <f>_xlfn.XLOOKUP($D29,Tab_Def_Processes[Name(EN)],Tab_Def_Processes[Input_Flow_I_2],,0,)</f>
        <v>N.A.</v>
      </c>
      <c r="R29" s="48" t="e">
        <f>_xlfn.XLOOKUP($D29,Tab_Def_Processes[Name(EN)],Tab_Def_Processes[Flow_ID_I_2],,0,)</f>
        <v>#N/A</v>
      </c>
      <c r="T29" s="69" t="str">
        <f>_xlfn.XLOOKUP($D29,Tab_Def_Processes[Name(EN)],Tab_Def_Processes[Input_Flow_I_3],,0,)</f>
        <v>N.A.</v>
      </c>
      <c r="U29" s="48" t="e">
        <f>_xlfn.XLOOKUP($D29,Tab_Def_Processes[Name(EN)],Tab_Def_Processes[Flow_ID_I_3],,0,)</f>
        <v>#N/A</v>
      </c>
      <c r="W29" s="69" t="str">
        <f>_xlfn.XLOOKUP($D29,Tab_Def_Processes[Name(EN)],Tab_Def_Processes[Input_Flow_I_4],,0,)</f>
        <v>N.A.</v>
      </c>
      <c r="X29" s="48" t="e">
        <f>_xlfn.XLOOKUP($D29,Tab_Def_Processes[Name(EN)],Tab_Def_Processes[Flow_ID_I_4],,0,)</f>
        <v>#N/A</v>
      </c>
      <c r="Z29" s="69" t="str">
        <f>_xlfn.XLOOKUP($D29,Tab_Def_Processes[Name(EN)],Tab_Def_Processes[Input_Flow_I_5],,0,)</f>
        <v>N.A.</v>
      </c>
      <c r="AA29" s="48" t="e">
        <f>_xlfn.XLOOKUP($D29,Tab_Def_Processes[Name(EN)],Tab_Def_Processes[Flow_ID_I_5],,0,)</f>
        <v>#N/A</v>
      </c>
      <c r="AC29" s="255">
        <f>Tab_Process_TCs2527[[#This Row],[Flow_TC_I_1_'[%']]]+Tab_Process_TCs2527[[#This Row],[Flow_TC_I_2_'[%']]]+Tab_Process_TCs2527[[#This Row],[Flow_TC_I_3_'[%']]]+Tab_Process_TCs2527[[#This Row],[Flow_TC_I_4_'[%']]]+Tab_Process_TCs2527[[#This Row],[Flow_TC_I_5_'[%']]]</f>
        <v>0</v>
      </c>
      <c r="AD29" s="57" t="e">
        <f>_xlfn.XLOOKUP($D29,Tab_Process_TCs[TC_ID],Tab_Process_TCs[Output_Flow_O_1],,0,)</f>
        <v>#N/A</v>
      </c>
      <c r="AE29" s="48" t="e">
        <f>_xlfn.XLOOKUP($D29,Tab_Process_TCs[TC_ID],Tab_Process_TCs[Flow_ID_O_1],,0,)</f>
        <v>#N/A</v>
      </c>
      <c r="AF29" s="48" t="str">
        <f>Tab_Process_TCs2527[[#This Row],[Flow_ID]]</f>
        <v>F_03_06</v>
      </c>
      <c r="AG29" s="48" t="e">
        <f t="shared" si="8"/>
        <v>#N/A</v>
      </c>
      <c r="AH29" s="256"/>
      <c r="AI29" s="227" t="e">
        <f>_xlfn.XLOOKUP($D29,Tab_Process_TCs[TC_ID],Tab_Process_TCs[Output_Flow_O_2],,0,)</f>
        <v>#N/A</v>
      </c>
      <c r="AJ29" s="109" t="e">
        <f>_xlfn.XLOOKUP($D29,Tab_Process_TCs[TC_ID],Tab_Process_TCs[Flow_ID_O_2],,0,)</f>
        <v>#N/A</v>
      </c>
      <c r="AK29" s="109" t="str">
        <f>Tab_Process_TCs2527[[#This Row],[Flow_ID]]</f>
        <v>F_03_06</v>
      </c>
      <c r="AL29" s="109" t="e">
        <f t="shared" si="9"/>
        <v>#N/A</v>
      </c>
      <c r="AM29" s="257"/>
      <c r="AN29" s="227" t="e">
        <f>_xlfn.XLOOKUP($D29,Tab_Process_TCs[TC_ID],Tab_Process_TCs[Output_Flow_O_3],,0,)</f>
        <v>#N/A</v>
      </c>
      <c r="AO29" s="109" t="e">
        <f>_xlfn.XLOOKUP($D29,Tab_Process_TCs[TC_ID],Tab_Process_TCs[Flow_ID_O_3],,0,)</f>
        <v>#N/A</v>
      </c>
      <c r="AP29" s="48" t="str">
        <f>Tab_Process_TCs2527[[#This Row],[Flow_ID]]</f>
        <v>F_03_06</v>
      </c>
      <c r="AQ29" s="109" t="e">
        <f t="shared" si="10"/>
        <v>#N/A</v>
      </c>
      <c r="AR29" s="257"/>
      <c r="AS29" s="227" t="e">
        <f>_xlfn.XLOOKUP($D29,Tab_Process_TCs[TC_ID],#REF!,,0,)</f>
        <v>#REF!</v>
      </c>
      <c r="AT29" s="109" t="e">
        <f>_xlfn.XLOOKUP($D29,Tab_Process_TCs[TC_ID],#REF!,,0,)</f>
        <v>#REF!</v>
      </c>
      <c r="AU29" s="48" t="str">
        <f>Tab_Process_TCs2527[[#This Row],[Flow_ID]]</f>
        <v>F_03_06</v>
      </c>
      <c r="AV29" s="109" t="e">
        <f t="shared" si="11"/>
        <v>#N/A</v>
      </c>
      <c r="AW29" s="257"/>
      <c r="AX29" s="227" t="e">
        <f>_xlfn.XLOOKUP($D29,Tab_Process_TCs[TC_ID],#REF!,,0,)</f>
        <v>#REF!</v>
      </c>
      <c r="AY29" s="109" t="e">
        <f>_xlfn.XLOOKUP($D29,Tab_Process_TCs[TC_ID],#REF!,,0,)</f>
        <v>#REF!</v>
      </c>
      <c r="AZ29" s="48" t="str">
        <f>Tab_Process_TCs2527[[#This Row],[Flow_ID]]</f>
        <v>F_03_06</v>
      </c>
      <c r="BA29" s="109" t="e">
        <f t="shared" si="12"/>
        <v>#REF!</v>
      </c>
      <c r="BB29" s="257"/>
      <c r="BC29" s="254" t="e">
        <f>_xlfn.XLOOKUP($D29,Tab_Process_TCs[TC_ID],#REF!,,0,)</f>
        <v>#REF!</v>
      </c>
      <c r="BD29" s="109" t="e">
        <f>_xlfn.XLOOKUP($D29,Tab_Process_TCs[TC_ID],#REF!,,0,)</f>
        <v>#REF!</v>
      </c>
      <c r="BE29" s="48" t="str">
        <f>Tab_Process_TCs2527[[#This Row],[Flow_ID]]</f>
        <v>F_03_06</v>
      </c>
      <c r="BF29" s="109" t="e">
        <f t="shared" si="13"/>
        <v>#REF!</v>
      </c>
      <c r="BG29" s="258"/>
      <c r="BH29" s="259">
        <f>Tab_Process_TCs2527[[#This Row],[TC O_6_'[%']]]+Tab_Process_TCs2527[[#This Row],[TC O_5_'[%']]]+Tab_Process_TCs2527[[#This Row],[TC_O_4_'[%']]]+Tab_Process_TCs2527[[#This Row],[TC_O_3_'[%']]]+Tab_Process_TCs2527[[#This Row],[TC_O_2_'[%']]]+Tab_Process_TCs2527[[#This Row],[TC_O_1_'[%']]]</f>
        <v>0</v>
      </c>
      <c r="BI29" s="50"/>
      <c r="BJ29" s="50"/>
      <c r="BK29" s="50"/>
      <c r="BL29" s="50"/>
      <c r="BM29" s="50"/>
    </row>
    <row r="30" spans="1:65" x14ac:dyDescent="0.3">
      <c r="A30" s="84" t="b">
        <v>0</v>
      </c>
      <c r="B30" s="48">
        <f t="shared" si="7"/>
        <v>29</v>
      </c>
      <c r="C30" s="103" t="str">
        <f>_xlfn.XLOOKUP($D30,Tab_Process_TCs[Name(EN)],Tab_Process_TCs[Process_ID],,0,)</f>
        <v>03</v>
      </c>
      <c r="D30" s="50" t="s">
        <v>112</v>
      </c>
      <c r="E30" s="50" t="s">
        <v>401</v>
      </c>
      <c r="F30" s="48" t="str">
        <f>_xlfn.XLOOKUP($D30,Tab_Process_TCs[Name(EN)],Tab_Process_TCs[TC?],,0,)</f>
        <v>Yes</v>
      </c>
      <c r="G30" s="48" t="str">
        <f>_xlfn.XLOOKUP($D30,Tab_Process_TCs[Name(EN)],Tab_Process_TCs[Dyn_TC?],,0,)</f>
        <v>Yes</v>
      </c>
      <c r="H30" s="48" t="str">
        <f>_xlfn.XLOOKUP($E30,Tab_Def_Flows[Name(EN)],Tab_Def_Flows[Flow_ID],,0,1)</f>
        <v>F_03_05</v>
      </c>
      <c r="I30" s="50" t="str">
        <f>IF(Tab_Process_TCs2527[[#This Row],[Name(EN)]]="N.A.","N.A.","TC"&amp;"_"&amp;RIGHT(H30,5))</f>
        <v>TC_03_05</v>
      </c>
      <c r="J30" s="50">
        <v>2045</v>
      </c>
      <c r="K30" s="238">
        <v>0.02</v>
      </c>
      <c r="L30" s="50" t="str">
        <f>_xlfn.XLOOKUP($D30,Tab_Def_Processes[Name(EN)],Tab_Def_Processes[Stock?],,0,)</f>
        <v>Yes</v>
      </c>
      <c r="M30" s="48"/>
      <c r="N30" s="57" t="str">
        <f>_xlfn.XLOOKUP($D30,Tab_Def_Processes[Name(EN)],Tab_Def_Processes[Input_Flow_I_1],,0,)</f>
        <v>N.A.</v>
      </c>
      <c r="O30" s="48" t="e">
        <f>_xlfn.XLOOKUP($D30,Tab_Def_Processes[Name(EN)],Tab_Def_Processes[Flow_ID_I_1],,0,)</f>
        <v>#N/A</v>
      </c>
      <c r="Q30" s="69" t="str">
        <f>_xlfn.XLOOKUP($D30,Tab_Def_Processes[Name(EN)],Tab_Def_Processes[Input_Flow_I_2],,0,)</f>
        <v>N.A.</v>
      </c>
      <c r="R30" s="48" t="e">
        <f>_xlfn.XLOOKUP($D30,Tab_Def_Processes[Name(EN)],Tab_Def_Processes[Flow_ID_I_2],,0,)</f>
        <v>#N/A</v>
      </c>
      <c r="T30" s="69" t="str">
        <f>_xlfn.XLOOKUP($D30,Tab_Def_Processes[Name(EN)],Tab_Def_Processes[Input_Flow_I_3],,0,)</f>
        <v>N.A.</v>
      </c>
      <c r="U30" s="48" t="e">
        <f>_xlfn.XLOOKUP($D30,Tab_Def_Processes[Name(EN)],Tab_Def_Processes[Flow_ID_I_3],,0,)</f>
        <v>#N/A</v>
      </c>
      <c r="W30" s="69" t="str">
        <f>_xlfn.XLOOKUP($D30,Tab_Def_Processes[Name(EN)],Tab_Def_Processes[Input_Flow_I_4],,0,)</f>
        <v>N.A.</v>
      </c>
      <c r="X30" s="48" t="e">
        <f>_xlfn.XLOOKUP($D30,Tab_Def_Processes[Name(EN)],Tab_Def_Processes[Flow_ID_I_4],,0,)</f>
        <v>#N/A</v>
      </c>
      <c r="Z30" s="69" t="str">
        <f>_xlfn.XLOOKUP($D30,Tab_Def_Processes[Name(EN)],Tab_Def_Processes[Input_Flow_I_5],,0,)</f>
        <v>N.A.</v>
      </c>
      <c r="AA30" s="48" t="e">
        <f>_xlfn.XLOOKUP($D30,Tab_Def_Processes[Name(EN)],Tab_Def_Processes[Flow_ID_I_5],,0,)</f>
        <v>#N/A</v>
      </c>
      <c r="AC30" s="255">
        <f>Tab_Process_TCs2527[[#This Row],[Flow_TC_I_1_'[%']]]+Tab_Process_TCs2527[[#This Row],[Flow_TC_I_2_'[%']]]+Tab_Process_TCs2527[[#This Row],[Flow_TC_I_3_'[%']]]+Tab_Process_TCs2527[[#This Row],[Flow_TC_I_4_'[%']]]+Tab_Process_TCs2527[[#This Row],[Flow_TC_I_5_'[%']]]</f>
        <v>0</v>
      </c>
      <c r="AD30" s="57" t="e">
        <f>_xlfn.XLOOKUP($D30,Tab_Process_TCs[TC_ID],Tab_Process_TCs[Output_Flow_O_1],,0,)</f>
        <v>#N/A</v>
      </c>
      <c r="AE30" s="48" t="e">
        <f>_xlfn.XLOOKUP($D30,Tab_Process_TCs[TC_ID],Tab_Process_TCs[Flow_ID_O_1],,0,)</f>
        <v>#N/A</v>
      </c>
      <c r="AF30" s="48" t="str">
        <f>Tab_Process_TCs2527[[#This Row],[Flow_ID]]</f>
        <v>F_03_05</v>
      </c>
      <c r="AG30" s="48" t="e">
        <f t="shared" si="8"/>
        <v>#N/A</v>
      </c>
      <c r="AH30" s="256"/>
      <c r="AI30" s="227" t="e">
        <f>_xlfn.XLOOKUP($D30,Tab_Process_TCs[TC_ID],Tab_Process_TCs[Output_Flow_O_2],,0,)</f>
        <v>#N/A</v>
      </c>
      <c r="AJ30" s="109" t="e">
        <f>_xlfn.XLOOKUP($D30,Tab_Process_TCs[TC_ID],Tab_Process_TCs[Flow_ID_O_2],,0,)</f>
        <v>#N/A</v>
      </c>
      <c r="AK30" s="109" t="str">
        <f>Tab_Process_TCs2527[[#This Row],[Flow_ID]]</f>
        <v>F_03_05</v>
      </c>
      <c r="AL30" s="109" t="e">
        <f t="shared" si="9"/>
        <v>#N/A</v>
      </c>
      <c r="AM30" s="257"/>
      <c r="AN30" s="227" t="e">
        <f>_xlfn.XLOOKUP($D30,Tab_Process_TCs[TC_ID],Tab_Process_TCs[Output_Flow_O_3],,0,)</f>
        <v>#N/A</v>
      </c>
      <c r="AO30" s="109" t="e">
        <f>_xlfn.XLOOKUP($D30,Tab_Process_TCs[TC_ID],Tab_Process_TCs[Flow_ID_O_3],,0,)</f>
        <v>#N/A</v>
      </c>
      <c r="AP30" s="48" t="str">
        <f>Tab_Process_TCs2527[[#This Row],[Flow_ID]]</f>
        <v>F_03_05</v>
      </c>
      <c r="AQ30" s="109" t="e">
        <f t="shared" si="10"/>
        <v>#N/A</v>
      </c>
      <c r="AR30" s="257"/>
      <c r="AS30" s="227" t="e">
        <f>_xlfn.XLOOKUP($D30,Tab_Process_TCs[TC_ID],#REF!,,0,)</f>
        <v>#REF!</v>
      </c>
      <c r="AT30" s="109" t="e">
        <f>_xlfn.XLOOKUP($D30,Tab_Process_TCs[TC_ID],#REF!,,0,)</f>
        <v>#REF!</v>
      </c>
      <c r="AU30" s="48" t="str">
        <f>Tab_Process_TCs2527[[#This Row],[Flow_ID]]</f>
        <v>F_03_05</v>
      </c>
      <c r="AV30" s="109" t="e">
        <f t="shared" si="11"/>
        <v>#N/A</v>
      </c>
      <c r="AW30" s="257"/>
      <c r="AX30" s="227" t="e">
        <f>_xlfn.XLOOKUP($D30,Tab_Process_TCs[TC_ID],#REF!,,0,)</f>
        <v>#REF!</v>
      </c>
      <c r="AY30" s="109" t="e">
        <f>_xlfn.XLOOKUP($D30,Tab_Process_TCs[TC_ID],#REF!,,0,)</f>
        <v>#REF!</v>
      </c>
      <c r="AZ30" s="48" t="str">
        <f>Tab_Process_TCs2527[[#This Row],[Flow_ID]]</f>
        <v>F_03_05</v>
      </c>
      <c r="BA30" s="109" t="e">
        <f t="shared" si="12"/>
        <v>#REF!</v>
      </c>
      <c r="BB30" s="257"/>
      <c r="BC30" s="254" t="e">
        <f>_xlfn.XLOOKUP($D30,Tab_Process_TCs[TC_ID],#REF!,,0,)</f>
        <v>#REF!</v>
      </c>
      <c r="BD30" s="109" t="e">
        <f>_xlfn.XLOOKUP($D30,Tab_Process_TCs[TC_ID],#REF!,,0,)</f>
        <v>#REF!</v>
      </c>
      <c r="BE30" s="48" t="str">
        <f>Tab_Process_TCs2527[[#This Row],[Flow_ID]]</f>
        <v>F_03_05</v>
      </c>
      <c r="BF30" s="109" t="e">
        <f t="shared" si="13"/>
        <v>#REF!</v>
      </c>
      <c r="BG30" s="258"/>
      <c r="BH30" s="259">
        <f>Tab_Process_TCs2527[[#This Row],[TC O_6_'[%']]]+Tab_Process_TCs2527[[#This Row],[TC O_5_'[%']]]+Tab_Process_TCs2527[[#This Row],[TC_O_4_'[%']]]+Tab_Process_TCs2527[[#This Row],[TC_O_3_'[%']]]+Tab_Process_TCs2527[[#This Row],[TC_O_2_'[%']]]+Tab_Process_TCs2527[[#This Row],[TC_O_1_'[%']]]</f>
        <v>0</v>
      </c>
      <c r="BI30" s="50"/>
      <c r="BJ30" s="50"/>
      <c r="BK30" s="50"/>
      <c r="BL30" s="50"/>
      <c r="BM30" s="50"/>
    </row>
    <row r="31" spans="1:65" x14ac:dyDescent="0.3">
      <c r="A31" s="84" t="b">
        <v>0</v>
      </c>
      <c r="B31" s="48">
        <f t="shared" si="7"/>
        <v>30</v>
      </c>
      <c r="C31" s="103" t="str">
        <f>_xlfn.XLOOKUP($D31,Tab_Process_TCs[Name(EN)],Tab_Process_TCs[Process_ID],,0,)</f>
        <v>03</v>
      </c>
      <c r="D31" s="50" t="s">
        <v>112</v>
      </c>
      <c r="E31" s="50" t="s">
        <v>114</v>
      </c>
      <c r="F31" s="48" t="str">
        <f>_xlfn.XLOOKUP($D31,Tab_Process_TCs[Name(EN)],Tab_Process_TCs[TC?],,0,)</f>
        <v>Yes</v>
      </c>
      <c r="G31" s="48" t="str">
        <f>_xlfn.XLOOKUP($D31,Tab_Process_TCs[Name(EN)],Tab_Process_TCs[Dyn_TC?],,0,)</f>
        <v>Yes</v>
      </c>
      <c r="H31" s="48" t="str">
        <f>_xlfn.XLOOKUP($E31,Tab_Def_Flows[Name(EN)],Tab_Def_Flows[Flow_ID],,0,1)</f>
        <v>F_03_04</v>
      </c>
      <c r="I31" s="50" t="str">
        <f>IF(Tab_Process_TCs2527[[#This Row],[Name(EN)]]="N.A.","N.A.","TC"&amp;"_"&amp;RIGHT(H31,5))</f>
        <v>TC_03_04</v>
      </c>
      <c r="J31" s="50">
        <v>2045</v>
      </c>
      <c r="K31" s="238">
        <v>0.2</v>
      </c>
      <c r="L31" s="50" t="str">
        <f>_xlfn.XLOOKUP($D31,Tab_Def_Processes[Name(EN)],Tab_Def_Processes[Stock?],,0,)</f>
        <v>Yes</v>
      </c>
      <c r="M31" s="48"/>
      <c r="N31" s="57" t="str">
        <f>_xlfn.XLOOKUP($D31,Tab_Def_Processes[Name(EN)],Tab_Def_Processes[Input_Flow_I_1],,0,)</f>
        <v>N.A.</v>
      </c>
      <c r="O31" s="48" t="e">
        <f>_xlfn.XLOOKUP($D31,Tab_Def_Processes[Name(EN)],Tab_Def_Processes[Flow_ID_I_1],,0,)</f>
        <v>#N/A</v>
      </c>
      <c r="Q31" s="69" t="str">
        <f>_xlfn.XLOOKUP($D31,Tab_Def_Processes[Name(EN)],Tab_Def_Processes[Input_Flow_I_2],,0,)</f>
        <v>N.A.</v>
      </c>
      <c r="R31" s="48" t="e">
        <f>_xlfn.XLOOKUP($D31,Tab_Def_Processes[Name(EN)],Tab_Def_Processes[Flow_ID_I_2],,0,)</f>
        <v>#N/A</v>
      </c>
      <c r="T31" s="69" t="str">
        <f>_xlfn.XLOOKUP($D31,Tab_Def_Processes[Name(EN)],Tab_Def_Processes[Input_Flow_I_3],,0,)</f>
        <v>N.A.</v>
      </c>
      <c r="U31" s="48" t="e">
        <f>_xlfn.XLOOKUP($D31,Tab_Def_Processes[Name(EN)],Tab_Def_Processes[Flow_ID_I_3],,0,)</f>
        <v>#N/A</v>
      </c>
      <c r="W31" s="69" t="str">
        <f>_xlfn.XLOOKUP($D31,Tab_Def_Processes[Name(EN)],Tab_Def_Processes[Input_Flow_I_4],,0,)</f>
        <v>N.A.</v>
      </c>
      <c r="X31" s="48" t="e">
        <f>_xlfn.XLOOKUP($D31,Tab_Def_Processes[Name(EN)],Tab_Def_Processes[Flow_ID_I_4],,0,)</f>
        <v>#N/A</v>
      </c>
      <c r="Z31" s="69" t="str">
        <f>_xlfn.XLOOKUP($D31,Tab_Def_Processes[Name(EN)],Tab_Def_Processes[Input_Flow_I_5],,0,)</f>
        <v>N.A.</v>
      </c>
      <c r="AA31" s="48" t="e">
        <f>_xlfn.XLOOKUP($D31,Tab_Def_Processes[Name(EN)],Tab_Def_Processes[Flow_ID_I_5],,0,)</f>
        <v>#N/A</v>
      </c>
      <c r="AC31" s="255">
        <f>Tab_Process_TCs2527[[#This Row],[Flow_TC_I_1_'[%']]]+Tab_Process_TCs2527[[#This Row],[Flow_TC_I_2_'[%']]]+Tab_Process_TCs2527[[#This Row],[Flow_TC_I_3_'[%']]]+Tab_Process_TCs2527[[#This Row],[Flow_TC_I_4_'[%']]]+Tab_Process_TCs2527[[#This Row],[Flow_TC_I_5_'[%']]]</f>
        <v>0</v>
      </c>
      <c r="AD31" s="57" t="e">
        <f>_xlfn.XLOOKUP($D31,Tab_Process_TCs[TC_ID],Tab_Process_TCs[Output_Flow_O_1],,0,)</f>
        <v>#N/A</v>
      </c>
      <c r="AE31" s="48" t="e">
        <f>_xlfn.XLOOKUP($D31,Tab_Process_TCs[TC_ID],Tab_Process_TCs[Flow_ID_O_1],,0,)</f>
        <v>#N/A</v>
      </c>
      <c r="AF31" s="48" t="str">
        <f>Tab_Process_TCs2527[[#This Row],[Flow_ID]]</f>
        <v>F_03_04</v>
      </c>
      <c r="AG31" s="48" t="e">
        <f t="shared" si="8"/>
        <v>#N/A</v>
      </c>
      <c r="AH31" s="256"/>
      <c r="AI31" s="227" t="e">
        <f>_xlfn.XLOOKUP($D31,Tab_Process_TCs[TC_ID],Tab_Process_TCs[Output_Flow_O_2],,0,)</f>
        <v>#N/A</v>
      </c>
      <c r="AJ31" s="109" t="e">
        <f>_xlfn.XLOOKUP($D31,Tab_Process_TCs[TC_ID],Tab_Process_TCs[Flow_ID_O_2],,0,)</f>
        <v>#N/A</v>
      </c>
      <c r="AK31" s="109" t="str">
        <f>Tab_Process_TCs2527[[#This Row],[Flow_ID]]</f>
        <v>F_03_04</v>
      </c>
      <c r="AL31" s="109" t="e">
        <f t="shared" si="9"/>
        <v>#N/A</v>
      </c>
      <c r="AM31" s="257"/>
      <c r="AN31" s="227" t="e">
        <f>_xlfn.XLOOKUP($D31,Tab_Process_TCs[TC_ID],Tab_Process_TCs[Output_Flow_O_3],,0,)</f>
        <v>#N/A</v>
      </c>
      <c r="AO31" s="109" t="e">
        <f>_xlfn.XLOOKUP($D31,Tab_Process_TCs[TC_ID],Tab_Process_TCs[Flow_ID_O_3],,0,)</f>
        <v>#N/A</v>
      </c>
      <c r="AP31" s="48" t="str">
        <f>Tab_Process_TCs2527[[#This Row],[Flow_ID]]</f>
        <v>F_03_04</v>
      </c>
      <c r="AQ31" s="109" t="e">
        <f t="shared" si="10"/>
        <v>#N/A</v>
      </c>
      <c r="AR31" s="257"/>
      <c r="AS31" s="227" t="e">
        <f>_xlfn.XLOOKUP($D31,Tab_Process_TCs[TC_ID],#REF!,,0,)</f>
        <v>#REF!</v>
      </c>
      <c r="AT31" s="109" t="e">
        <f>_xlfn.XLOOKUP($D31,Tab_Process_TCs[TC_ID],#REF!,,0,)</f>
        <v>#REF!</v>
      </c>
      <c r="AU31" s="48" t="str">
        <f>Tab_Process_TCs2527[[#This Row],[Flow_ID]]</f>
        <v>F_03_04</v>
      </c>
      <c r="AV31" s="109" t="e">
        <f t="shared" si="11"/>
        <v>#N/A</v>
      </c>
      <c r="AW31" s="257"/>
      <c r="AX31" s="227" t="e">
        <f>_xlfn.XLOOKUP($D31,Tab_Process_TCs[TC_ID],#REF!,,0,)</f>
        <v>#REF!</v>
      </c>
      <c r="AY31" s="109" t="e">
        <f>_xlfn.XLOOKUP($D31,Tab_Process_TCs[TC_ID],#REF!,,0,)</f>
        <v>#REF!</v>
      </c>
      <c r="AZ31" s="48" t="str">
        <f>Tab_Process_TCs2527[[#This Row],[Flow_ID]]</f>
        <v>F_03_04</v>
      </c>
      <c r="BA31" s="109" t="e">
        <f t="shared" si="12"/>
        <v>#REF!</v>
      </c>
      <c r="BB31" s="257"/>
      <c r="BC31" s="254" t="e">
        <f>_xlfn.XLOOKUP($D31,Tab_Process_TCs[TC_ID],#REF!,,0,)</f>
        <v>#REF!</v>
      </c>
      <c r="BD31" s="109" t="e">
        <f>_xlfn.XLOOKUP($D31,Tab_Process_TCs[TC_ID],#REF!,,0,)</f>
        <v>#REF!</v>
      </c>
      <c r="BE31" s="48" t="str">
        <f>Tab_Process_TCs2527[[#This Row],[Flow_ID]]</f>
        <v>F_03_04</v>
      </c>
      <c r="BF31" s="109" t="e">
        <f t="shared" si="13"/>
        <v>#REF!</v>
      </c>
      <c r="BG31" s="258"/>
      <c r="BH31" s="259">
        <f>Tab_Process_TCs2527[[#This Row],[TC O_6_'[%']]]+Tab_Process_TCs2527[[#This Row],[TC O_5_'[%']]]+Tab_Process_TCs2527[[#This Row],[TC_O_4_'[%']]]+Tab_Process_TCs2527[[#This Row],[TC_O_3_'[%']]]+Tab_Process_TCs2527[[#This Row],[TC_O_2_'[%']]]+Tab_Process_TCs2527[[#This Row],[TC_O_1_'[%']]]</f>
        <v>0</v>
      </c>
      <c r="BI31" s="50"/>
      <c r="BJ31" s="50"/>
      <c r="BK31" s="50"/>
      <c r="BL31" s="50"/>
      <c r="BM31" s="50"/>
    </row>
  </sheetData>
  <phoneticPr fontId="3" type="noConversion"/>
  <conditionalFormatting sqref="BH2:BH31">
    <cfRule type="iconSet" priority="84">
      <iconSet>
        <cfvo type="percent" val="0"/>
        <cfvo type="percent" val="33"/>
        <cfvo type="percent" val="100"/>
      </iconSet>
    </cfRule>
    <cfRule type="iconSet" priority="85">
      <iconSet>
        <cfvo type="percent" val="0"/>
        <cfvo type="percent" val="0"/>
        <cfvo type="percent" val="100"/>
      </iconSet>
    </cfRule>
    <cfRule type="iconSet" priority="86">
      <iconSet iconSet="3Symbols">
        <cfvo type="percent" val="0"/>
        <cfvo type="percent" val="0"/>
        <cfvo type="percent" val="100"/>
      </iconSet>
    </cfRule>
    <cfRule type="iconSet" priority="87">
      <iconSet iconSet="3Symbols">
        <cfvo type="percent" val="0"/>
        <cfvo type="percent" val="33"/>
        <cfvo type="percent" val="67"/>
      </iconSet>
    </cfRule>
  </conditionalFormatting>
  <conditionalFormatting sqref="BI27:BI1048576 BH1:BH31">
    <cfRule type="iconSet" priority="88">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F4EFD03A-BDB8-4DE7-AC41-A9180EB54B38}">
          <x14:formula1>
            <xm:f>'2_3_Process_TCs'!$E$2:$E$10</xm:f>
          </x14:formula1>
          <xm:sqref>D2:D3 D7:D10 D14:D17 D21:D24 D27 D31</xm:sqref>
        </x14:dataValidation>
        <x14:dataValidation type="list" allowBlank="1" showInputMessage="1" showErrorMessage="1" xr:uid="{D4033FEF-D0AF-4363-AE70-18FF7EF66CE8}">
          <x14:formula1>
            <xm:f>'1_1_Definition_Flows'!$D$2:$D$16</xm:f>
          </x14:formula1>
          <xm:sqref>E4:E8 E25:E26 E18:E22 E11:E16 E28:E31</xm:sqref>
        </x14:dataValidation>
        <x14:dataValidation type="list" allowBlank="1" showInputMessage="1" showErrorMessage="1" xr:uid="{E70A1220-F6BB-4B6C-91C7-5FE358B027E5}">
          <x14:formula1>
            <xm:f>'1_1_Definition_Flows'!$D$2:$D$15</xm:f>
          </x14:formula1>
          <xm:sqref>E2:E3 E9:E10 E23:E24 E17 E27</xm:sqref>
        </x14:dataValidation>
        <x14:dataValidation type="list" allowBlank="1" showInputMessage="1" showErrorMessage="1" xr:uid="{ECCCB0BA-60EF-4ADA-8E59-41B74CA55900}">
          <x14:formula1>
            <xm:f>'2_1_Definition_Processes'!$D$2:$D$10</xm:f>
          </x14:formula1>
          <xm:sqref>E32:I1048576</xm:sqref>
        </x14:dataValidation>
        <x14:dataValidation type="list" allowBlank="1" showInputMessage="1" showErrorMessage="1" xr:uid="{9CEE14C6-3DF5-4113-8F14-B3CFD1104D19}">
          <x14:formula1>
            <xm:f>Intro!$T$6:$T$46</xm:f>
          </x14:formula1>
          <xm:sqref>M2:M31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44853-E08C-40BF-8B97-0BFD4AB2C413}">
  <dimension ref="A1:F16"/>
  <sheetViews>
    <sheetView workbookViewId="0">
      <selection activeCell="B27" sqref="B27"/>
    </sheetView>
  </sheetViews>
  <sheetFormatPr baseColWidth="10" defaultRowHeight="14.4" x14ac:dyDescent="0.3"/>
  <cols>
    <col min="1" max="1" width="21" bestFit="1" customWidth="1"/>
    <col min="2" max="2" width="22.33203125" bestFit="1" customWidth="1"/>
    <col min="3" max="3" width="18.33203125" bestFit="1" customWidth="1"/>
    <col min="4" max="4" width="11.6640625" bestFit="1" customWidth="1"/>
    <col min="5" max="5" width="11.77734375" bestFit="1" customWidth="1"/>
    <col min="6" max="7" width="19.77734375" bestFit="1" customWidth="1"/>
    <col min="8" max="8" width="11.6640625" bestFit="1" customWidth="1"/>
    <col min="9" max="9" width="14.44140625" bestFit="1" customWidth="1"/>
  </cols>
  <sheetData>
    <row r="1" spans="1:6" x14ac:dyDescent="0.3">
      <c r="A1" s="252" t="s">
        <v>533</v>
      </c>
      <c r="B1" s="252" t="s">
        <v>534</v>
      </c>
    </row>
    <row r="2" spans="1:6" x14ac:dyDescent="0.3">
      <c r="A2" s="252" t="s">
        <v>532</v>
      </c>
      <c r="B2" t="s">
        <v>531</v>
      </c>
      <c r="C2" t="s">
        <v>528</v>
      </c>
      <c r="D2" t="s">
        <v>111</v>
      </c>
      <c r="E2" t="s">
        <v>401</v>
      </c>
      <c r="F2" t="s">
        <v>114</v>
      </c>
    </row>
    <row r="3" spans="1:6" x14ac:dyDescent="0.3">
      <c r="A3" s="251" t="s">
        <v>108</v>
      </c>
      <c r="B3" s="6"/>
      <c r="C3" s="6"/>
      <c r="D3" s="6"/>
      <c r="E3" s="6"/>
      <c r="F3" s="6"/>
    </row>
    <row r="4" spans="1:6" x14ac:dyDescent="0.3">
      <c r="A4" s="253">
        <v>1920</v>
      </c>
      <c r="B4" s="6"/>
      <c r="C4" s="6">
        <v>0.55000000000000004</v>
      </c>
      <c r="D4" s="6">
        <v>0.45</v>
      </c>
      <c r="E4" s="6"/>
      <c r="F4" s="6"/>
    </row>
    <row r="5" spans="1:6" x14ac:dyDescent="0.3">
      <c r="A5" s="253">
        <v>1945</v>
      </c>
      <c r="B5" s="6"/>
      <c r="C5" s="6">
        <v>0.45</v>
      </c>
      <c r="D5" s="6">
        <v>0.55000000000000004</v>
      </c>
      <c r="E5" s="6"/>
      <c r="F5" s="6"/>
    </row>
    <row r="6" spans="1:6" x14ac:dyDescent="0.3">
      <c r="A6" s="253">
        <v>1970</v>
      </c>
      <c r="B6" s="6"/>
      <c r="C6" s="6">
        <v>0.4</v>
      </c>
      <c r="D6" s="6">
        <v>0.6</v>
      </c>
      <c r="E6" s="6"/>
      <c r="F6" s="6"/>
    </row>
    <row r="7" spans="1:6" x14ac:dyDescent="0.3">
      <c r="A7" s="253">
        <v>1995</v>
      </c>
      <c r="B7" s="6"/>
      <c r="C7" s="6">
        <v>0.3</v>
      </c>
      <c r="D7" s="6">
        <v>0.7</v>
      </c>
      <c r="E7" s="6"/>
      <c r="F7" s="6"/>
    </row>
    <row r="8" spans="1:6" x14ac:dyDescent="0.3">
      <c r="A8" s="253">
        <v>2020</v>
      </c>
      <c r="B8" s="6"/>
      <c r="C8" s="6">
        <v>0.25</v>
      </c>
      <c r="D8" s="6">
        <v>0.75</v>
      </c>
      <c r="E8" s="6"/>
      <c r="F8" s="6"/>
    </row>
    <row r="9" spans="1:6" x14ac:dyDescent="0.3">
      <c r="A9" s="253">
        <v>2045</v>
      </c>
      <c r="B9" s="6"/>
      <c r="C9" s="6">
        <v>0.25</v>
      </c>
      <c r="D9" s="6">
        <v>0.75</v>
      </c>
      <c r="E9" s="6"/>
      <c r="F9" s="6"/>
    </row>
    <row r="10" spans="1:6" x14ac:dyDescent="0.3">
      <c r="A10" s="251" t="s">
        <v>112</v>
      </c>
      <c r="B10" s="6"/>
      <c r="C10" s="6"/>
      <c r="D10" s="6"/>
      <c r="E10" s="6"/>
      <c r="F10" s="6"/>
    </row>
    <row r="11" spans="1:6" x14ac:dyDescent="0.3">
      <c r="A11" s="253">
        <v>1920</v>
      </c>
      <c r="B11" s="6">
        <v>0.7</v>
      </c>
      <c r="C11" s="6"/>
      <c r="D11" s="6"/>
      <c r="E11" s="6">
        <v>0.25</v>
      </c>
      <c r="F11" s="6">
        <v>0.05</v>
      </c>
    </row>
    <row r="12" spans="1:6" x14ac:dyDescent="0.3">
      <c r="A12" s="253">
        <v>1945</v>
      </c>
      <c r="B12" s="6">
        <v>0.75</v>
      </c>
      <c r="C12" s="6"/>
      <c r="D12" s="6"/>
      <c r="E12" s="6">
        <v>0.19</v>
      </c>
      <c r="F12" s="6">
        <v>0.06</v>
      </c>
    </row>
    <row r="13" spans="1:6" x14ac:dyDescent="0.3">
      <c r="A13" s="253">
        <v>1970</v>
      </c>
      <c r="B13" s="6">
        <v>0.8</v>
      </c>
      <c r="C13" s="6"/>
      <c r="D13" s="6"/>
      <c r="E13" s="6">
        <v>0.12</v>
      </c>
      <c r="F13" s="6">
        <v>0.08</v>
      </c>
    </row>
    <row r="14" spans="1:6" x14ac:dyDescent="0.3">
      <c r="A14" s="253">
        <v>1995</v>
      </c>
      <c r="B14" s="6">
        <v>0.85</v>
      </c>
      <c r="C14" s="6"/>
      <c r="D14" s="6"/>
      <c r="E14" s="6">
        <v>0.05</v>
      </c>
      <c r="F14" s="6">
        <v>0.1</v>
      </c>
    </row>
    <row r="15" spans="1:6" x14ac:dyDescent="0.3">
      <c r="A15" s="253">
        <v>2020</v>
      </c>
      <c r="B15" s="6">
        <v>0.78</v>
      </c>
      <c r="C15" s="6"/>
      <c r="D15" s="6"/>
      <c r="E15" s="6">
        <v>0.02</v>
      </c>
      <c r="F15" s="6">
        <v>0.2</v>
      </c>
    </row>
    <row r="16" spans="1:6" x14ac:dyDescent="0.3">
      <c r="A16" s="253">
        <v>2045</v>
      </c>
      <c r="B16" s="6">
        <v>0.78</v>
      </c>
      <c r="C16" s="6"/>
      <c r="D16" s="6"/>
      <c r="E16" s="6">
        <v>0.02</v>
      </c>
      <c r="F16" s="6">
        <v>0.2</v>
      </c>
    </row>
  </sheetData>
  <pageMargins left="0.7" right="0.7" top="0.78740157499999996" bottom="0.78740157499999996"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baseColWidth="10" defaultColWidth="11.44140625" defaultRowHeight="14.4" x14ac:dyDescent="0.3"/>
  <cols>
    <col min="1" max="1" width="16" customWidth="1"/>
    <col min="2" max="13" width="9.77734375" style="2" customWidth="1"/>
  </cols>
  <sheetData>
    <row r="1" spans="1:13" ht="31.8" thickBot="1" x14ac:dyDescent="0.35">
      <c r="A1" s="207" t="s">
        <v>174</v>
      </c>
      <c r="B1" s="309" t="str">
        <f>'2_1_Definition_Processes'!D2</f>
        <v>Biosphere</v>
      </c>
      <c r="C1" s="309"/>
      <c r="D1" s="309"/>
      <c r="E1" s="309"/>
      <c r="F1" s="309"/>
      <c r="G1" s="309"/>
      <c r="H1" s="309"/>
      <c r="I1" s="207" t="s">
        <v>175</v>
      </c>
      <c r="J1" s="310" t="s">
        <v>176</v>
      </c>
      <c r="K1" s="310"/>
      <c r="L1" s="310"/>
      <c r="M1" s="310"/>
    </row>
    <row r="2" spans="1:13" ht="16.2" thickBot="1" x14ac:dyDescent="0.35">
      <c r="A2" s="300" t="s">
        <v>177</v>
      </c>
      <c r="B2" s="301"/>
      <c r="C2" s="301"/>
      <c r="D2" s="301"/>
      <c r="E2" s="301"/>
      <c r="F2" s="301"/>
      <c r="G2" s="301"/>
      <c r="H2" s="301"/>
      <c r="I2" s="301"/>
      <c r="J2" s="301"/>
      <c r="K2" s="301"/>
      <c r="L2" s="301"/>
      <c r="M2" s="302"/>
    </row>
    <row r="3" spans="1:13" ht="126.75" customHeight="1" thickBot="1" x14ac:dyDescent="0.35">
      <c r="A3" s="311"/>
      <c r="B3" s="312"/>
      <c r="C3" s="312"/>
      <c r="D3" s="312"/>
      <c r="E3" s="312"/>
      <c r="F3" s="312"/>
      <c r="G3" s="312"/>
      <c r="H3" s="312"/>
      <c r="I3" s="312"/>
      <c r="J3" s="312"/>
      <c r="K3" s="312"/>
      <c r="L3" s="312"/>
      <c r="M3" s="313"/>
    </row>
    <row r="4" spans="1:13" ht="31.5" customHeight="1" x14ac:dyDescent="0.3">
      <c r="A4" s="206" t="s">
        <v>178</v>
      </c>
      <c r="B4" s="314"/>
      <c r="C4" s="315"/>
      <c r="D4" s="316"/>
      <c r="E4" s="317" t="s">
        <v>179</v>
      </c>
      <c r="F4" s="318"/>
      <c r="G4" s="211"/>
      <c r="H4" s="211"/>
      <c r="I4" s="205"/>
      <c r="J4" s="205"/>
      <c r="K4" s="205"/>
      <c r="L4" s="205"/>
      <c r="M4" s="205"/>
    </row>
    <row r="5" spans="1:13" ht="16.5" customHeight="1" x14ac:dyDescent="0.3">
      <c r="A5" s="208" t="s">
        <v>180</v>
      </c>
      <c r="B5" s="303" t="str">
        <f>_xlfn.XLOOKUP(J1,Tab_Def_Processes[Process_ID],Tab_Def_Processes[Input_Flow_I_1],"No_flow.",0,1)</f>
        <v>No_flow.</v>
      </c>
      <c r="C5" s="303"/>
      <c r="D5" s="304"/>
      <c r="E5" s="208" t="s">
        <v>180</v>
      </c>
      <c r="F5" s="305" t="str">
        <f>_xlfn.XLOOKUP(J1,Tab_Def_Processes[Process_ID],Tab_Def_Processes[Output_Flow_O_1],"No_flow.",0,1)</f>
        <v>No_flow.</v>
      </c>
      <c r="G5" s="305"/>
      <c r="H5" s="306"/>
      <c r="I5" s="209"/>
      <c r="J5" s="204"/>
      <c r="K5" s="204"/>
      <c r="L5" s="204"/>
      <c r="M5" s="201"/>
    </row>
    <row r="6" spans="1:13" ht="16.5" customHeight="1" x14ac:dyDescent="0.3">
      <c r="A6" s="208" t="s">
        <v>181</v>
      </c>
      <c r="B6" s="305" t="str">
        <f>_xlfn.XLOOKUP(J1,Tab_Def_Processes[Process_ID],Tab_Def_Processes[Input_Flow_I_2],"No_flow.",0,1)</f>
        <v>No_flow.</v>
      </c>
      <c r="C6" s="305"/>
      <c r="D6" s="306"/>
      <c r="E6" s="208" t="s">
        <v>181</v>
      </c>
      <c r="F6" s="305" t="str">
        <f>_xlfn.XLOOKUP(J1,Tab_Def_Processes[Process_ID],Tab_Def_Processes[Output_Flow_O_2],"No_flow.",0,1)</f>
        <v>No_flow.</v>
      </c>
      <c r="G6" s="305"/>
      <c r="H6" s="306"/>
      <c r="I6" s="209"/>
      <c r="J6" s="204"/>
      <c r="K6" s="204"/>
      <c r="L6" s="204"/>
      <c r="M6" s="201"/>
    </row>
    <row r="7" spans="1:13" ht="16.5" customHeight="1" x14ac:dyDescent="0.3">
      <c r="A7" s="203" t="s">
        <v>182</v>
      </c>
      <c r="B7" s="305" t="str">
        <f>_xlfn.XLOOKUP(J1,Tab_Def_Processes[Process_ID],Tab_Def_Processes[Input_Flow_I_3],"No_flow.",0,1)</f>
        <v>No_flow.</v>
      </c>
      <c r="C7" s="305"/>
      <c r="D7" s="306"/>
      <c r="E7" s="203" t="s">
        <v>182</v>
      </c>
      <c r="F7" s="305" t="str">
        <f>_xlfn.XLOOKUP(J1,Tab_Def_Processes[Process_ID],Tab_Def_Processes[Output_Flow_O_3],"No_flow.",0,1)</f>
        <v>No_flow.</v>
      </c>
      <c r="G7" s="305"/>
      <c r="H7" s="306"/>
      <c r="I7" s="210"/>
      <c r="J7" s="202"/>
      <c r="K7" s="202"/>
      <c r="L7" s="202"/>
      <c r="M7" s="201"/>
    </row>
    <row r="8" spans="1:13" ht="16.5" customHeight="1" x14ac:dyDescent="0.3">
      <c r="A8" s="203" t="s">
        <v>183</v>
      </c>
      <c r="B8" s="305" t="str">
        <f>_xlfn.XLOOKUP(J1,Tab_Def_Processes[Process_ID],Tab_Def_Processes[Input_Flow_I_4],"No_flow.",0,1)</f>
        <v>No_flow.</v>
      </c>
      <c r="C8" s="305"/>
      <c r="D8" s="306"/>
      <c r="E8" s="203" t="s">
        <v>183</v>
      </c>
      <c r="F8" s="305" t="e">
        <f>_xlfn.XLOOKUP(J1,Tab_Def_Processes[Process_ID],#REF!,"No_flow.",0,1)</f>
        <v>#REF!</v>
      </c>
      <c r="G8" s="305"/>
      <c r="H8" s="306"/>
      <c r="I8" s="210"/>
      <c r="J8" s="202"/>
      <c r="K8" s="202"/>
      <c r="L8" s="202"/>
      <c r="M8" s="201"/>
    </row>
    <row r="9" spans="1:13" ht="16.5" customHeight="1" x14ac:dyDescent="0.3">
      <c r="A9" s="203" t="s">
        <v>184</v>
      </c>
      <c r="B9" s="305" t="str">
        <f>_xlfn.XLOOKUP(J1,Tab_Def_Processes[Process_ID],Tab_Def_Processes[Input_Flow_I_5],"No_flow.",0,1)</f>
        <v>No_flow.</v>
      </c>
      <c r="C9" s="305"/>
      <c r="D9" s="306"/>
      <c r="E9" s="203" t="s">
        <v>184</v>
      </c>
      <c r="F9" s="305" t="e">
        <f>_xlfn.XLOOKUP(J1,Tab_Def_Processes[Process_ID],#REF!,"No_flow.",0,1)</f>
        <v>#REF!</v>
      </c>
      <c r="G9" s="305"/>
      <c r="H9" s="306"/>
      <c r="I9" s="210"/>
      <c r="J9" s="202"/>
      <c r="K9" s="202"/>
      <c r="L9" s="202"/>
      <c r="M9" s="201"/>
    </row>
    <row r="10" spans="1:13" ht="16.5" customHeight="1" thickBot="1" x14ac:dyDescent="0.35">
      <c r="A10" s="212" t="s">
        <v>185</v>
      </c>
      <c r="B10" s="307"/>
      <c r="C10" s="307"/>
      <c r="D10" s="308"/>
      <c r="E10" s="212" t="s">
        <v>185</v>
      </c>
      <c r="F10" s="307"/>
      <c r="G10" s="307"/>
      <c r="H10" s="308"/>
      <c r="I10" s="210"/>
      <c r="J10" s="202"/>
      <c r="K10" s="202"/>
      <c r="L10" s="202"/>
      <c r="M10" s="201"/>
    </row>
    <row r="11" spans="1:13" ht="16.2" thickBot="1" x14ac:dyDescent="0.35">
      <c r="A11" s="300" t="s">
        <v>186</v>
      </c>
      <c r="B11" s="301"/>
      <c r="C11" s="301"/>
      <c r="D11" s="301"/>
      <c r="E11" s="301"/>
      <c r="F11" s="301"/>
      <c r="G11" s="301"/>
      <c r="H11" s="301"/>
      <c r="I11" s="301"/>
      <c r="J11" s="301"/>
      <c r="K11" s="301"/>
      <c r="L11" s="301"/>
      <c r="M11" s="302"/>
    </row>
    <row r="12" spans="1:13" ht="33" customHeight="1" thickBot="1" x14ac:dyDescent="0.35">
      <c r="A12" s="239">
        <v>1000</v>
      </c>
      <c r="B12" s="240" t="s">
        <v>187</v>
      </c>
      <c r="C12" s="200"/>
      <c r="D12" s="200"/>
      <c r="E12" s="200"/>
      <c r="F12" s="200"/>
      <c r="G12" s="200"/>
      <c r="H12" s="200"/>
      <c r="I12" s="200"/>
      <c r="J12" s="200"/>
      <c r="K12" s="200"/>
      <c r="L12" s="200"/>
      <c r="M12" s="199"/>
    </row>
    <row r="13" spans="1:13" ht="16.2" thickBot="1" x14ac:dyDescent="0.35">
      <c r="A13" s="275" t="s">
        <v>188</v>
      </c>
      <c r="B13" s="276"/>
      <c r="C13" s="276"/>
      <c r="D13" s="276"/>
      <c r="E13" s="276"/>
      <c r="F13" s="276"/>
      <c r="G13" s="276"/>
      <c r="H13" s="276"/>
      <c r="I13" s="276"/>
      <c r="J13" s="276"/>
      <c r="K13" s="276"/>
      <c r="L13" s="276"/>
      <c r="M13" s="277"/>
    </row>
    <row r="14" spans="1:13" ht="16.2" thickBot="1" x14ac:dyDescent="0.35">
      <c r="A14" s="160" t="s">
        <v>189</v>
      </c>
      <c r="B14" s="279" t="s">
        <v>190</v>
      </c>
      <c r="C14" s="280"/>
      <c r="D14" s="281"/>
      <c r="E14" s="282" t="s">
        <v>191</v>
      </c>
      <c r="F14" s="283"/>
      <c r="G14" s="283"/>
      <c r="H14" s="284"/>
      <c r="I14" s="285" t="s">
        <v>192</v>
      </c>
      <c r="J14" s="286"/>
      <c r="K14" s="286"/>
      <c r="L14" s="286"/>
      <c r="M14" s="287"/>
    </row>
    <row r="15" spans="1:13" ht="63" thickBot="1" x14ac:dyDescent="0.35">
      <c r="A15" s="121"/>
      <c r="B15" s="134" t="s">
        <v>193</v>
      </c>
      <c r="C15" s="187" t="s">
        <v>194</v>
      </c>
      <c r="D15" s="186" t="s">
        <v>195</v>
      </c>
      <c r="E15" s="185" t="s">
        <v>196</v>
      </c>
      <c r="F15" s="133" t="s">
        <v>197</v>
      </c>
      <c r="G15" s="133" t="s">
        <v>198</v>
      </c>
      <c r="H15" s="184" t="s">
        <v>195</v>
      </c>
      <c r="I15" s="183" t="s">
        <v>199</v>
      </c>
      <c r="J15" s="132" t="s">
        <v>200</v>
      </c>
      <c r="K15" s="132" t="s">
        <v>201</v>
      </c>
      <c r="L15" s="132" t="s">
        <v>195</v>
      </c>
      <c r="M15" s="182"/>
    </row>
    <row r="16" spans="1:13" ht="23.25" customHeight="1" x14ac:dyDescent="0.3">
      <c r="A16" s="154" t="str">
        <f t="shared" ref="A16:A21" si="0">B5</f>
        <v>No_flow.</v>
      </c>
      <c r="B16" s="130">
        <v>1000</v>
      </c>
      <c r="C16" s="181">
        <f t="shared" ref="C16:C21" si="1">B16/$B$22</f>
        <v>0.33333333333333331</v>
      </c>
      <c r="D16" s="180" t="s">
        <v>202</v>
      </c>
      <c r="E16" s="179">
        <v>0.5</v>
      </c>
      <c r="F16" s="129">
        <f t="shared" ref="F16:F21" si="2">E16*B16</f>
        <v>500</v>
      </c>
      <c r="G16" s="178">
        <f t="shared" ref="G16:G21" si="3">F16/$F$22</f>
        <v>0.33333333333333331</v>
      </c>
      <c r="H16" s="177" t="s">
        <v>202</v>
      </c>
      <c r="I16" s="176">
        <f>1-E16</f>
        <v>0.5</v>
      </c>
      <c r="J16" s="128">
        <f t="shared" ref="J16:J21" si="4">I16*B16</f>
        <v>500</v>
      </c>
      <c r="K16" s="196">
        <f t="shared" ref="K16:K21" si="5">J16/$J$22</f>
        <v>0.33333333333333331</v>
      </c>
      <c r="L16" s="173" t="s">
        <v>202</v>
      </c>
      <c r="M16" s="173"/>
    </row>
    <row r="17" spans="1:13" ht="23.25" customHeight="1" x14ac:dyDescent="0.3">
      <c r="A17" s="154" t="str">
        <f t="shared" si="0"/>
        <v>No_flow.</v>
      </c>
      <c r="B17" s="130">
        <v>1000</v>
      </c>
      <c r="C17" s="181">
        <f t="shared" si="1"/>
        <v>0.33333333333333331</v>
      </c>
      <c r="D17" s="180" t="s">
        <v>202</v>
      </c>
      <c r="E17" s="179">
        <v>0.5</v>
      </c>
      <c r="F17" s="129">
        <f t="shared" si="2"/>
        <v>500</v>
      </c>
      <c r="G17" s="178">
        <f t="shared" si="3"/>
        <v>0.33333333333333331</v>
      </c>
      <c r="H17" s="177" t="s">
        <v>202</v>
      </c>
      <c r="I17" s="176">
        <f>1-E17</f>
        <v>0.5</v>
      </c>
      <c r="J17" s="128">
        <f t="shared" si="4"/>
        <v>500</v>
      </c>
      <c r="K17" s="196">
        <f t="shared" si="5"/>
        <v>0.33333333333333331</v>
      </c>
      <c r="L17" s="173" t="s">
        <v>202</v>
      </c>
      <c r="M17" s="173"/>
    </row>
    <row r="18" spans="1:13" ht="23.25" customHeight="1" x14ac:dyDescent="0.3">
      <c r="A18" s="154" t="str">
        <f t="shared" si="0"/>
        <v>No_flow.</v>
      </c>
      <c r="B18" s="130">
        <v>1000</v>
      </c>
      <c r="C18" s="181">
        <f t="shared" si="1"/>
        <v>0.33333333333333331</v>
      </c>
      <c r="D18" s="180"/>
      <c r="E18" s="179">
        <v>0.5</v>
      </c>
      <c r="F18" s="129">
        <f t="shared" si="2"/>
        <v>500</v>
      </c>
      <c r="G18" s="178">
        <f t="shared" si="3"/>
        <v>0.33333333333333331</v>
      </c>
      <c r="H18" s="177"/>
      <c r="I18" s="176">
        <f>1-E18</f>
        <v>0.5</v>
      </c>
      <c r="J18" s="128">
        <f t="shared" si="4"/>
        <v>500</v>
      </c>
      <c r="K18" s="196">
        <f t="shared" si="5"/>
        <v>0.33333333333333331</v>
      </c>
      <c r="L18" s="174"/>
      <c r="M18" s="173"/>
    </row>
    <row r="19" spans="1:13" ht="23.25" customHeight="1" x14ac:dyDescent="0.3">
      <c r="A19" s="154" t="str">
        <f t="shared" si="0"/>
        <v>No_flow.</v>
      </c>
      <c r="B19" s="130"/>
      <c r="C19" s="181">
        <f t="shared" si="1"/>
        <v>0</v>
      </c>
      <c r="D19" s="180"/>
      <c r="E19" s="179"/>
      <c r="F19" s="129">
        <f t="shared" si="2"/>
        <v>0</v>
      </c>
      <c r="G19" s="178">
        <f t="shared" si="3"/>
        <v>0</v>
      </c>
      <c r="H19" s="198"/>
      <c r="I19" s="197"/>
      <c r="J19" s="128">
        <f t="shared" si="4"/>
        <v>0</v>
      </c>
      <c r="K19" s="196">
        <f t="shared" si="5"/>
        <v>0</v>
      </c>
      <c r="L19" s="174"/>
      <c r="M19" s="173"/>
    </row>
    <row r="20" spans="1:13" ht="23.25" customHeight="1" x14ac:dyDescent="0.3">
      <c r="A20" s="154" t="str">
        <f t="shared" si="0"/>
        <v>No_flow.</v>
      </c>
      <c r="B20" s="130"/>
      <c r="C20" s="181">
        <f t="shared" si="1"/>
        <v>0</v>
      </c>
      <c r="D20" s="180"/>
      <c r="E20" s="179"/>
      <c r="F20" s="129">
        <f t="shared" si="2"/>
        <v>0</v>
      </c>
      <c r="G20" s="178">
        <f t="shared" si="3"/>
        <v>0</v>
      </c>
      <c r="H20" s="198"/>
      <c r="I20" s="197"/>
      <c r="J20" s="128">
        <f t="shared" si="4"/>
        <v>0</v>
      </c>
      <c r="K20" s="196">
        <f t="shared" si="5"/>
        <v>0</v>
      </c>
      <c r="L20" s="174"/>
      <c r="M20" s="173"/>
    </row>
    <row r="21" spans="1:13" ht="23.25" customHeight="1" thickBot="1" x14ac:dyDescent="0.35">
      <c r="A21" s="154">
        <f t="shared" si="0"/>
        <v>0</v>
      </c>
      <c r="B21" s="130"/>
      <c r="C21" s="181">
        <f t="shared" si="1"/>
        <v>0</v>
      </c>
      <c r="D21" s="180"/>
      <c r="E21" s="179"/>
      <c r="F21" s="129">
        <f t="shared" si="2"/>
        <v>0</v>
      </c>
      <c r="G21" s="178">
        <f t="shared" si="3"/>
        <v>0</v>
      </c>
      <c r="H21" s="198"/>
      <c r="I21" s="197"/>
      <c r="J21" s="128">
        <f t="shared" si="4"/>
        <v>0</v>
      </c>
      <c r="K21" s="196">
        <f t="shared" si="5"/>
        <v>0</v>
      </c>
      <c r="L21" s="174"/>
      <c r="M21" s="173"/>
    </row>
    <row r="22" spans="1:13" ht="16.2" thickBot="1" x14ac:dyDescent="0.35">
      <c r="A22" s="144" t="s">
        <v>203</v>
      </c>
      <c r="B22" s="172">
        <f>SUM(B16:B19)</f>
        <v>3000</v>
      </c>
      <c r="C22" s="195">
        <f>C16+C17+C18</f>
        <v>1</v>
      </c>
      <c r="D22" s="170"/>
      <c r="E22" s="169">
        <f>F22/B22</f>
        <v>0.5</v>
      </c>
      <c r="F22" s="168">
        <f>SUM(F16:F19)</f>
        <v>1500</v>
      </c>
      <c r="G22" s="194">
        <f>SUM(G16:G19)</f>
        <v>1</v>
      </c>
      <c r="H22" s="166"/>
      <c r="I22" s="165">
        <f>J22/B22</f>
        <v>0.5</v>
      </c>
      <c r="J22" s="164">
        <f>J16+J17+J18</f>
        <v>1500</v>
      </c>
      <c r="K22" s="193">
        <f>SUM(K16:K19)</f>
        <v>1</v>
      </c>
      <c r="L22" s="162"/>
      <c r="M22" s="161"/>
    </row>
    <row r="23" spans="1:13" ht="16.5" customHeight="1" thickBot="1" x14ac:dyDescent="0.35">
      <c r="A23" s="222" t="s">
        <v>189</v>
      </c>
      <c r="B23" s="262" t="s">
        <v>204</v>
      </c>
      <c r="C23" s="263"/>
      <c r="D23" s="263"/>
      <c r="E23" s="263"/>
      <c r="F23" s="263"/>
      <c r="G23" s="263"/>
      <c r="H23" s="264"/>
      <c r="I23" s="265" t="s">
        <v>205</v>
      </c>
      <c r="J23" s="266"/>
      <c r="K23" s="266"/>
      <c r="L23" s="266"/>
      <c r="M23" s="267"/>
    </row>
    <row r="24" spans="1:13" ht="63" thickBot="1" x14ac:dyDescent="0.35">
      <c r="A24" s="16"/>
      <c r="B24" s="159" t="s">
        <v>206</v>
      </c>
      <c r="C24" s="158" t="s">
        <v>207</v>
      </c>
      <c r="D24" s="158" t="s">
        <v>208</v>
      </c>
      <c r="E24" s="158" t="s">
        <v>209</v>
      </c>
      <c r="F24" s="159" t="s">
        <v>210</v>
      </c>
      <c r="G24" s="158" t="s">
        <v>211</v>
      </c>
      <c r="H24" s="221" t="s">
        <v>212</v>
      </c>
      <c r="I24" s="157" t="s">
        <v>213</v>
      </c>
      <c r="J24" s="156" t="s">
        <v>214</v>
      </c>
      <c r="K24" s="156" t="s">
        <v>215</v>
      </c>
      <c r="L24" s="156" t="s">
        <v>216</v>
      </c>
      <c r="M24" s="155" t="s">
        <v>217</v>
      </c>
    </row>
    <row r="25" spans="1:13" ht="27" customHeight="1" x14ac:dyDescent="0.3">
      <c r="A25" s="154" t="str">
        <f t="shared" ref="A25:A30" si="6">B5</f>
        <v>No_flow.</v>
      </c>
      <c r="B25" s="153">
        <v>0.5</v>
      </c>
      <c r="C25" s="151">
        <f t="shared" ref="C25:C30" si="7">F16*B25</f>
        <v>250</v>
      </c>
      <c r="D25" s="152">
        <f t="shared" ref="D25:D30" si="8">C25/$C$31</f>
        <v>0.33333333333333331</v>
      </c>
      <c r="E25" s="151" t="s">
        <v>202</v>
      </c>
      <c r="F25" s="150">
        <f t="shared" ref="F25:F30" si="9">B25*E16</f>
        <v>0.25</v>
      </c>
      <c r="G25" s="149">
        <f t="shared" ref="G25:G30" si="10">B25*E16*B16</f>
        <v>250</v>
      </c>
      <c r="H25" s="148">
        <f t="shared" ref="H25:H30" si="11">G25/$G$31</f>
        <v>0.33333333333333331</v>
      </c>
      <c r="I25" s="192">
        <f t="shared" ref="I25:I30" si="12">$A$12*C16</f>
        <v>333.33333333333331</v>
      </c>
      <c r="J25" s="191">
        <f t="shared" ref="J25:J30" si="13">I25*E16</f>
        <v>166.66666666666666</v>
      </c>
      <c r="K25" s="191">
        <f t="shared" ref="K25:K30" si="14">I25*I16</f>
        <v>166.66666666666666</v>
      </c>
      <c r="L25" s="191">
        <f t="shared" ref="L25:L30" si="15">SUM(J25:K25)</f>
        <v>333.33333333333331</v>
      </c>
      <c r="M25" s="190">
        <f t="shared" ref="M25:M30" si="16">I25*F25</f>
        <v>83.333333333333329</v>
      </c>
    </row>
    <row r="26" spans="1:13" ht="15.6" x14ac:dyDescent="0.3">
      <c r="A26" s="154" t="str">
        <f t="shared" si="6"/>
        <v>No_flow.</v>
      </c>
      <c r="B26" s="153">
        <v>0.5</v>
      </c>
      <c r="C26" s="151">
        <f t="shared" si="7"/>
        <v>250</v>
      </c>
      <c r="D26" s="152">
        <f t="shared" si="8"/>
        <v>0.33333333333333331</v>
      </c>
      <c r="E26" s="151" t="s">
        <v>202</v>
      </c>
      <c r="F26" s="150">
        <f t="shared" si="9"/>
        <v>0.25</v>
      </c>
      <c r="G26" s="149">
        <f t="shared" si="10"/>
        <v>250</v>
      </c>
      <c r="H26" s="148">
        <f t="shared" si="11"/>
        <v>0.33333333333333331</v>
      </c>
      <c r="I26" s="192">
        <f t="shared" si="12"/>
        <v>333.33333333333331</v>
      </c>
      <c r="J26" s="191">
        <f t="shared" si="13"/>
        <v>166.66666666666666</v>
      </c>
      <c r="K26" s="191">
        <f t="shared" si="14"/>
        <v>166.66666666666666</v>
      </c>
      <c r="L26" s="191">
        <f t="shared" si="15"/>
        <v>333.33333333333331</v>
      </c>
      <c r="M26" s="190">
        <f t="shared" si="16"/>
        <v>83.333333333333329</v>
      </c>
    </row>
    <row r="27" spans="1:13" ht="15.6" x14ac:dyDescent="0.3">
      <c r="A27" s="154" t="str">
        <f t="shared" si="6"/>
        <v>No_flow.</v>
      </c>
      <c r="B27" s="153">
        <v>0.5</v>
      </c>
      <c r="C27" s="151">
        <f t="shared" si="7"/>
        <v>250</v>
      </c>
      <c r="D27" s="152">
        <f t="shared" si="8"/>
        <v>0.33333333333333331</v>
      </c>
      <c r="E27" s="151"/>
      <c r="F27" s="150">
        <f t="shared" si="9"/>
        <v>0.25</v>
      </c>
      <c r="G27" s="149">
        <f t="shared" si="10"/>
        <v>250</v>
      </c>
      <c r="H27" s="148">
        <f t="shared" si="11"/>
        <v>0.33333333333333331</v>
      </c>
      <c r="I27" s="192">
        <f t="shared" si="12"/>
        <v>333.33333333333331</v>
      </c>
      <c r="J27" s="191">
        <f t="shared" si="13"/>
        <v>166.66666666666666</v>
      </c>
      <c r="K27" s="191">
        <f t="shared" si="14"/>
        <v>166.66666666666666</v>
      </c>
      <c r="L27" s="191">
        <f t="shared" si="15"/>
        <v>333.33333333333331</v>
      </c>
      <c r="M27" s="190">
        <f t="shared" si="16"/>
        <v>83.333333333333329</v>
      </c>
    </row>
    <row r="28" spans="1:13" ht="15.6" x14ac:dyDescent="0.3">
      <c r="A28" s="154" t="str">
        <f t="shared" si="6"/>
        <v>No_flow.</v>
      </c>
      <c r="B28" s="153">
        <v>0</v>
      </c>
      <c r="C28" s="151">
        <f t="shared" si="7"/>
        <v>0</v>
      </c>
      <c r="D28" s="152">
        <f t="shared" si="8"/>
        <v>0</v>
      </c>
      <c r="E28" s="151"/>
      <c r="F28" s="150">
        <f t="shared" si="9"/>
        <v>0</v>
      </c>
      <c r="G28" s="149">
        <f t="shared" si="10"/>
        <v>0</v>
      </c>
      <c r="H28" s="148">
        <f t="shared" si="11"/>
        <v>0</v>
      </c>
      <c r="I28" s="192">
        <f t="shared" si="12"/>
        <v>0</v>
      </c>
      <c r="J28" s="191">
        <f t="shared" si="13"/>
        <v>0</v>
      </c>
      <c r="K28" s="191">
        <f t="shared" si="14"/>
        <v>0</v>
      </c>
      <c r="L28" s="191">
        <f t="shared" si="15"/>
        <v>0</v>
      </c>
      <c r="M28" s="190">
        <f t="shared" si="16"/>
        <v>0</v>
      </c>
    </row>
    <row r="29" spans="1:13" ht="15.6" x14ac:dyDescent="0.3">
      <c r="A29" s="154" t="str">
        <f t="shared" si="6"/>
        <v>No_flow.</v>
      </c>
      <c r="B29" s="153">
        <v>0</v>
      </c>
      <c r="C29" s="151">
        <f t="shared" si="7"/>
        <v>0</v>
      </c>
      <c r="D29" s="152">
        <f t="shared" si="8"/>
        <v>0</v>
      </c>
      <c r="E29" s="151"/>
      <c r="F29" s="150">
        <f t="shared" si="9"/>
        <v>0</v>
      </c>
      <c r="G29" s="149">
        <f t="shared" si="10"/>
        <v>0</v>
      </c>
      <c r="H29" s="148">
        <f t="shared" si="11"/>
        <v>0</v>
      </c>
      <c r="I29" s="192">
        <f t="shared" si="12"/>
        <v>0</v>
      </c>
      <c r="J29" s="191">
        <f t="shared" si="13"/>
        <v>0</v>
      </c>
      <c r="K29" s="191">
        <f t="shared" si="14"/>
        <v>0</v>
      </c>
      <c r="L29" s="191">
        <f t="shared" si="15"/>
        <v>0</v>
      </c>
      <c r="M29" s="190">
        <f t="shared" si="16"/>
        <v>0</v>
      </c>
    </row>
    <row r="30" spans="1:13" ht="16.2" thickBot="1" x14ac:dyDescent="0.35">
      <c r="A30" s="154">
        <f t="shared" si="6"/>
        <v>0</v>
      </c>
      <c r="B30" s="153">
        <v>0</v>
      </c>
      <c r="C30" s="151">
        <f t="shared" si="7"/>
        <v>0</v>
      </c>
      <c r="D30" s="152">
        <f t="shared" si="8"/>
        <v>0</v>
      </c>
      <c r="E30" s="151"/>
      <c r="F30" s="150">
        <f t="shared" si="9"/>
        <v>0</v>
      </c>
      <c r="G30" s="149">
        <f t="shared" si="10"/>
        <v>0</v>
      </c>
      <c r="H30" s="148">
        <f t="shared" si="11"/>
        <v>0</v>
      </c>
      <c r="I30" s="192">
        <f t="shared" si="12"/>
        <v>0</v>
      </c>
      <c r="J30" s="191">
        <f t="shared" si="13"/>
        <v>0</v>
      </c>
      <c r="K30" s="191">
        <f t="shared" si="14"/>
        <v>0</v>
      </c>
      <c r="L30" s="191">
        <f t="shared" si="15"/>
        <v>0</v>
      </c>
      <c r="M30" s="190">
        <f t="shared" si="16"/>
        <v>0</v>
      </c>
    </row>
    <row r="31" spans="1:13" ht="16.2" thickBot="1" x14ac:dyDescent="0.35">
      <c r="A31" s="144" t="s">
        <v>203</v>
      </c>
      <c r="B31" s="143">
        <f>C31/F22</f>
        <v>0.5</v>
      </c>
      <c r="C31" s="141">
        <f>SUM(C25:C30)</f>
        <v>750</v>
      </c>
      <c r="D31" s="189">
        <f>SUM(D24:D30)</f>
        <v>1</v>
      </c>
      <c r="E31" s="141"/>
      <c r="F31" s="188">
        <f>G31/B22</f>
        <v>0.25</v>
      </c>
      <c r="G31" s="139">
        <f t="shared" ref="G31:M31" si="17">SUM(G25:G30)</f>
        <v>750</v>
      </c>
      <c r="H31" s="138">
        <f t="shared" si="17"/>
        <v>1</v>
      </c>
      <c r="I31" s="137">
        <f t="shared" si="17"/>
        <v>1000</v>
      </c>
      <c r="J31" s="136">
        <f t="shared" si="17"/>
        <v>500</v>
      </c>
      <c r="K31" s="136">
        <f t="shared" si="17"/>
        <v>500</v>
      </c>
      <c r="L31" s="136">
        <f t="shared" si="17"/>
        <v>1000</v>
      </c>
      <c r="M31" s="135">
        <f t="shared" si="17"/>
        <v>250</v>
      </c>
    </row>
    <row r="32" spans="1:13" ht="16.2" thickBot="1" x14ac:dyDescent="0.35">
      <c r="A32" s="288" t="s">
        <v>218</v>
      </c>
      <c r="B32" s="289"/>
      <c r="C32" s="289"/>
      <c r="D32" s="289"/>
      <c r="E32" s="289"/>
      <c r="F32" s="289"/>
      <c r="G32" s="289"/>
      <c r="H32" s="289"/>
      <c r="I32" s="289"/>
      <c r="J32" s="289"/>
      <c r="K32" s="289"/>
      <c r="L32" s="289"/>
      <c r="M32" s="290"/>
    </row>
    <row r="33" spans="1:13" ht="16.5" customHeight="1" thickBot="1" x14ac:dyDescent="0.35">
      <c r="A33" s="160" t="s">
        <v>189</v>
      </c>
      <c r="B33" s="291" t="s">
        <v>190</v>
      </c>
      <c r="C33" s="292"/>
      <c r="D33" s="293"/>
      <c r="E33" s="294" t="s">
        <v>191</v>
      </c>
      <c r="F33" s="295"/>
      <c r="G33" s="295"/>
      <c r="H33" s="296"/>
      <c r="I33" s="297" t="s">
        <v>192</v>
      </c>
      <c r="J33" s="298"/>
      <c r="K33" s="298"/>
      <c r="L33" s="298"/>
      <c r="M33" s="299"/>
    </row>
    <row r="34" spans="1:13" ht="62.25" customHeight="1" thickBot="1" x14ac:dyDescent="0.35">
      <c r="A34" s="121"/>
      <c r="B34" s="134" t="s">
        <v>193</v>
      </c>
      <c r="C34" s="187" t="s">
        <v>194</v>
      </c>
      <c r="D34" s="186" t="s">
        <v>195</v>
      </c>
      <c r="E34" s="185" t="s">
        <v>196</v>
      </c>
      <c r="F34" s="133" t="s">
        <v>197</v>
      </c>
      <c r="G34" s="133" t="s">
        <v>198</v>
      </c>
      <c r="H34" s="184" t="s">
        <v>195</v>
      </c>
      <c r="I34" s="183" t="s">
        <v>199</v>
      </c>
      <c r="J34" s="132" t="s">
        <v>200</v>
      </c>
      <c r="K34" s="132" t="s">
        <v>201</v>
      </c>
      <c r="L34" s="132" t="s">
        <v>195</v>
      </c>
      <c r="M34" s="182"/>
    </row>
    <row r="35" spans="1:13" ht="15.6" x14ac:dyDescent="0.3">
      <c r="A35" s="154" t="str">
        <f t="shared" ref="A35:A40" si="18">F5</f>
        <v>No_flow.</v>
      </c>
      <c r="B35" s="130">
        <v>1000</v>
      </c>
      <c r="C35" s="181">
        <f t="shared" ref="C35:C40" si="19">B35/$B$41</f>
        <v>0.33333333333333331</v>
      </c>
      <c r="D35" s="180" t="s">
        <v>202</v>
      </c>
      <c r="E35" s="179">
        <v>0.72</v>
      </c>
      <c r="F35" s="129">
        <f t="shared" ref="F35:F40" si="20">E35*B35</f>
        <v>720</v>
      </c>
      <c r="G35" s="178">
        <f t="shared" ref="G35:G40" si="21">F35/$F$41</f>
        <v>0.52941176470588236</v>
      </c>
      <c r="H35" s="177" t="s">
        <v>202</v>
      </c>
      <c r="I35" s="176">
        <f>1-E35</f>
        <v>0.28000000000000003</v>
      </c>
      <c r="J35" s="128">
        <f t="shared" ref="J35:J40" si="22">I35*B35</f>
        <v>280</v>
      </c>
      <c r="K35" s="175">
        <f>J35/$J$41</f>
        <v>0.17073170731707318</v>
      </c>
      <c r="L35" s="174" t="s">
        <v>202</v>
      </c>
      <c r="M35" s="173"/>
    </row>
    <row r="36" spans="1:13" ht="15.6" x14ac:dyDescent="0.3">
      <c r="A36" s="154" t="str">
        <f t="shared" si="18"/>
        <v>No_flow.</v>
      </c>
      <c r="B36" s="130">
        <v>800</v>
      </c>
      <c r="C36" s="181">
        <f t="shared" si="19"/>
        <v>0.26666666666666666</v>
      </c>
      <c r="D36" s="180" t="s">
        <v>202</v>
      </c>
      <c r="E36" s="179">
        <v>0.2</v>
      </c>
      <c r="F36" s="129">
        <f t="shared" si="20"/>
        <v>160</v>
      </c>
      <c r="G36" s="178">
        <f t="shared" si="21"/>
        <v>0.11764705882352941</v>
      </c>
      <c r="H36" s="177" t="s">
        <v>202</v>
      </c>
      <c r="I36" s="176">
        <f>1-E36</f>
        <v>0.8</v>
      </c>
      <c r="J36" s="128">
        <f t="shared" si="22"/>
        <v>640</v>
      </c>
      <c r="K36" s="175">
        <f>J36/$J$41</f>
        <v>0.3902439024390244</v>
      </c>
      <c r="L36" s="174" t="s">
        <v>202</v>
      </c>
      <c r="M36" s="173"/>
    </row>
    <row r="37" spans="1:13" ht="15.6" x14ac:dyDescent="0.3">
      <c r="A37" s="154" t="str">
        <f t="shared" si="18"/>
        <v>No_flow.</v>
      </c>
      <c r="B37" s="130">
        <v>1200</v>
      </c>
      <c r="C37" s="181">
        <f t="shared" si="19"/>
        <v>0.4</v>
      </c>
      <c r="D37" s="180"/>
      <c r="E37" s="179">
        <v>0.4</v>
      </c>
      <c r="F37" s="129">
        <f t="shared" si="20"/>
        <v>480</v>
      </c>
      <c r="G37" s="178">
        <f t="shared" si="21"/>
        <v>0.35294117647058826</v>
      </c>
      <c r="H37" s="177"/>
      <c r="I37" s="176">
        <f>1-E37</f>
        <v>0.6</v>
      </c>
      <c r="J37" s="128">
        <f t="shared" si="22"/>
        <v>720</v>
      </c>
      <c r="K37" s="175">
        <f>J37/$J$41</f>
        <v>0.43902439024390244</v>
      </c>
      <c r="L37" s="174"/>
      <c r="M37" s="173"/>
    </row>
    <row r="38" spans="1:13" ht="15.6" x14ac:dyDescent="0.3">
      <c r="A38" s="154" t="e">
        <f t="shared" si="18"/>
        <v>#REF!</v>
      </c>
      <c r="B38" s="130"/>
      <c r="C38" s="181">
        <f t="shared" si="19"/>
        <v>0</v>
      </c>
      <c r="D38" s="180"/>
      <c r="E38" s="179"/>
      <c r="F38" s="129">
        <f t="shared" si="20"/>
        <v>0</v>
      </c>
      <c r="G38" s="178">
        <f t="shared" si="21"/>
        <v>0</v>
      </c>
      <c r="H38" s="177"/>
      <c r="I38" s="176"/>
      <c r="J38" s="128">
        <f t="shared" si="22"/>
        <v>0</v>
      </c>
      <c r="K38" s="175">
        <f>J38/$J$41</f>
        <v>0</v>
      </c>
      <c r="L38" s="174"/>
      <c r="M38" s="173"/>
    </row>
    <row r="39" spans="1:13" ht="15.6" x14ac:dyDescent="0.3">
      <c r="A39" s="154" t="e">
        <f t="shared" si="18"/>
        <v>#REF!</v>
      </c>
      <c r="B39" s="130"/>
      <c r="C39" s="181">
        <f t="shared" si="19"/>
        <v>0</v>
      </c>
      <c r="D39" s="180"/>
      <c r="E39" s="179"/>
      <c r="F39" s="129">
        <f t="shared" si="20"/>
        <v>0</v>
      </c>
      <c r="G39" s="178">
        <f t="shared" si="21"/>
        <v>0</v>
      </c>
      <c r="H39" s="177"/>
      <c r="I39" s="176"/>
      <c r="J39" s="128">
        <f t="shared" si="22"/>
        <v>0</v>
      </c>
      <c r="K39" s="175">
        <f>J39/$J$41</f>
        <v>0</v>
      </c>
      <c r="L39" s="174"/>
      <c r="M39" s="173"/>
    </row>
    <row r="40" spans="1:13" ht="16.2" thickBot="1" x14ac:dyDescent="0.35">
      <c r="A40" s="154">
        <f t="shared" si="18"/>
        <v>0</v>
      </c>
      <c r="B40" s="130"/>
      <c r="C40" s="181">
        <f t="shared" si="19"/>
        <v>0</v>
      </c>
      <c r="D40" s="180"/>
      <c r="E40" s="179"/>
      <c r="F40" s="129">
        <f t="shared" si="20"/>
        <v>0</v>
      </c>
      <c r="G40" s="178">
        <f t="shared" si="21"/>
        <v>0</v>
      </c>
      <c r="H40" s="177"/>
      <c r="I40" s="176"/>
      <c r="J40" s="128">
        <f t="shared" si="22"/>
        <v>0</v>
      </c>
      <c r="K40" s="175">
        <f>J40/$J$22</f>
        <v>0</v>
      </c>
      <c r="L40" s="174"/>
      <c r="M40" s="173"/>
    </row>
    <row r="41" spans="1:13" ht="16.2" thickBot="1" x14ac:dyDescent="0.35">
      <c r="A41" s="144" t="s">
        <v>203</v>
      </c>
      <c r="B41" s="172">
        <f>SUM(B35:B40)</f>
        <v>3000</v>
      </c>
      <c r="C41" s="171">
        <f>SUM(C35:C40)</f>
        <v>1</v>
      </c>
      <c r="D41" s="170"/>
      <c r="E41" s="169">
        <f>F41/B41</f>
        <v>0.45333333333333331</v>
      </c>
      <c r="F41" s="168">
        <f>SUM(F35:F40)</f>
        <v>1360</v>
      </c>
      <c r="G41" s="167">
        <f>SUM(G35:G40)</f>
        <v>1</v>
      </c>
      <c r="H41" s="166"/>
      <c r="I41" s="165">
        <f>J41/B41</f>
        <v>0.54666666666666663</v>
      </c>
      <c r="J41" s="164">
        <f>SUM(J35:J40)</f>
        <v>1640</v>
      </c>
      <c r="K41" s="163">
        <f>SUM(K35:K40)</f>
        <v>1</v>
      </c>
      <c r="L41" s="162"/>
      <c r="M41" s="161"/>
    </row>
    <row r="42" spans="1:13" ht="16.5" customHeight="1" thickBot="1" x14ac:dyDescent="0.35">
      <c r="A42" s="222" t="s">
        <v>189</v>
      </c>
      <c r="B42" s="262" t="s">
        <v>204</v>
      </c>
      <c r="C42" s="263"/>
      <c r="D42" s="263"/>
      <c r="E42" s="263"/>
      <c r="F42" s="263"/>
      <c r="G42" s="263"/>
      <c r="H42" s="264"/>
      <c r="I42" s="265" t="s">
        <v>205</v>
      </c>
      <c r="J42" s="266"/>
      <c r="K42" s="266"/>
      <c r="L42" s="266"/>
      <c r="M42" s="267"/>
    </row>
    <row r="43" spans="1:13" ht="63" thickBot="1" x14ac:dyDescent="0.35">
      <c r="A43" s="16"/>
      <c r="B43" s="159" t="s">
        <v>206</v>
      </c>
      <c r="C43" s="158" t="s">
        <v>207</v>
      </c>
      <c r="D43" s="158" t="s">
        <v>208</v>
      </c>
      <c r="E43" s="158" t="s">
        <v>209</v>
      </c>
      <c r="F43" s="159" t="s">
        <v>210</v>
      </c>
      <c r="G43" s="158" t="s">
        <v>211</v>
      </c>
      <c r="H43" s="221" t="s">
        <v>212</v>
      </c>
      <c r="I43" s="157" t="s">
        <v>213</v>
      </c>
      <c r="J43" s="156" t="s">
        <v>214</v>
      </c>
      <c r="K43" s="156" t="s">
        <v>215</v>
      </c>
      <c r="L43" s="156" t="s">
        <v>216</v>
      </c>
      <c r="M43" s="155" t="s">
        <v>217</v>
      </c>
    </row>
    <row r="44" spans="1:13" ht="15.6" x14ac:dyDescent="0.3">
      <c r="A44" s="154" t="str">
        <f t="shared" ref="A44:A49" si="23">A35</f>
        <v>No_flow.</v>
      </c>
      <c r="B44" s="153">
        <v>0.57999999999999996</v>
      </c>
      <c r="C44" s="151">
        <f t="shared" ref="C44:C49" si="24">F35*B44</f>
        <v>417.59999999999997</v>
      </c>
      <c r="D44" s="152">
        <f t="shared" ref="D44:D49" si="25">C44/$C$50</f>
        <v>0.57236842105263164</v>
      </c>
      <c r="E44" s="151" t="s">
        <v>202</v>
      </c>
      <c r="F44" s="150">
        <f t="shared" ref="F44:F49" si="26">B44*E35</f>
        <v>0.41759999999999997</v>
      </c>
      <c r="G44" s="149">
        <f t="shared" ref="G44:G49" si="27">B44*E35*B35</f>
        <v>417.59999999999997</v>
      </c>
      <c r="H44" s="148">
        <f t="shared" ref="H44:H49" si="28">G44/$G$50</f>
        <v>0.57236842105263153</v>
      </c>
      <c r="I44" s="147">
        <f t="shared" ref="I44:I49" si="29">$A$12*B58</f>
        <v>333.33333333333331</v>
      </c>
      <c r="J44" s="146">
        <f t="shared" ref="J44:J49" si="30">I44*E35</f>
        <v>239.99999999999997</v>
      </c>
      <c r="K44" s="146">
        <f t="shared" ref="K44:K49" si="31">I44*I35</f>
        <v>93.333333333333343</v>
      </c>
      <c r="L44" s="146">
        <f t="shared" ref="L44:L49" si="32">SUM(J44:K44)</f>
        <v>333.33333333333331</v>
      </c>
      <c r="M44" s="145">
        <f t="shared" ref="M44:M49" si="33">I44*F44</f>
        <v>139.19999999999999</v>
      </c>
    </row>
    <row r="45" spans="1:13" ht="15.6" x14ac:dyDescent="0.3">
      <c r="A45" s="154" t="str">
        <f t="shared" si="23"/>
        <v>No_flow.</v>
      </c>
      <c r="B45" s="153">
        <v>0.51</v>
      </c>
      <c r="C45" s="151">
        <f t="shared" si="24"/>
        <v>81.599999999999994</v>
      </c>
      <c r="D45" s="152">
        <f t="shared" si="25"/>
        <v>0.1118421052631579</v>
      </c>
      <c r="E45" s="151" t="s">
        <v>202</v>
      </c>
      <c r="F45" s="150">
        <f t="shared" si="26"/>
        <v>0.10200000000000001</v>
      </c>
      <c r="G45" s="149">
        <f t="shared" si="27"/>
        <v>81.600000000000009</v>
      </c>
      <c r="H45" s="148">
        <f t="shared" si="28"/>
        <v>0.11184210526315791</v>
      </c>
      <c r="I45" s="147">
        <f t="shared" si="29"/>
        <v>266.66666666666669</v>
      </c>
      <c r="J45" s="146">
        <f t="shared" si="30"/>
        <v>53.333333333333343</v>
      </c>
      <c r="K45" s="146">
        <f t="shared" si="31"/>
        <v>213.33333333333337</v>
      </c>
      <c r="L45" s="146">
        <f t="shared" si="32"/>
        <v>266.66666666666674</v>
      </c>
      <c r="M45" s="145">
        <f t="shared" si="33"/>
        <v>27.200000000000003</v>
      </c>
    </row>
    <row r="46" spans="1:13" ht="15.6" x14ac:dyDescent="0.3">
      <c r="A46" s="154" t="str">
        <f t="shared" si="23"/>
        <v>No_flow.</v>
      </c>
      <c r="B46" s="153">
        <v>0.48</v>
      </c>
      <c r="C46" s="151">
        <f t="shared" si="24"/>
        <v>230.39999999999998</v>
      </c>
      <c r="D46" s="152">
        <f t="shared" si="25"/>
        <v>0.31578947368421051</v>
      </c>
      <c r="E46" s="151" t="s">
        <v>202</v>
      </c>
      <c r="F46" s="150">
        <f t="shared" si="26"/>
        <v>0.192</v>
      </c>
      <c r="G46" s="149">
        <f t="shared" si="27"/>
        <v>230.4</v>
      </c>
      <c r="H46" s="148">
        <f t="shared" si="28"/>
        <v>0.31578947368421051</v>
      </c>
      <c r="I46" s="147">
        <f t="shared" si="29"/>
        <v>400</v>
      </c>
      <c r="J46" s="146">
        <f t="shared" si="30"/>
        <v>160</v>
      </c>
      <c r="K46" s="146">
        <f t="shared" si="31"/>
        <v>240</v>
      </c>
      <c r="L46" s="146">
        <f t="shared" si="32"/>
        <v>400</v>
      </c>
      <c r="M46" s="145">
        <f t="shared" si="33"/>
        <v>76.8</v>
      </c>
    </row>
    <row r="47" spans="1:13" ht="15.6" x14ac:dyDescent="0.3">
      <c r="A47" s="154" t="e">
        <f t="shared" si="23"/>
        <v>#REF!</v>
      </c>
      <c r="B47" s="153"/>
      <c r="C47" s="151">
        <f t="shared" si="24"/>
        <v>0</v>
      </c>
      <c r="D47" s="152">
        <f t="shared" si="25"/>
        <v>0</v>
      </c>
      <c r="E47" s="151"/>
      <c r="F47" s="150">
        <f t="shared" si="26"/>
        <v>0</v>
      </c>
      <c r="G47" s="149">
        <f t="shared" si="27"/>
        <v>0</v>
      </c>
      <c r="H47" s="148">
        <f t="shared" si="28"/>
        <v>0</v>
      </c>
      <c r="I47" s="147">
        <f t="shared" si="29"/>
        <v>0</v>
      </c>
      <c r="J47" s="146">
        <f t="shared" si="30"/>
        <v>0</v>
      </c>
      <c r="K47" s="146">
        <f t="shared" si="31"/>
        <v>0</v>
      </c>
      <c r="L47" s="146">
        <f t="shared" si="32"/>
        <v>0</v>
      </c>
      <c r="M47" s="145">
        <f t="shared" si="33"/>
        <v>0</v>
      </c>
    </row>
    <row r="48" spans="1:13" ht="15.6" x14ac:dyDescent="0.3">
      <c r="A48" s="154" t="e">
        <f t="shared" si="23"/>
        <v>#REF!</v>
      </c>
      <c r="B48" s="153"/>
      <c r="C48" s="151">
        <f t="shared" si="24"/>
        <v>0</v>
      </c>
      <c r="D48" s="152">
        <f t="shared" si="25"/>
        <v>0</v>
      </c>
      <c r="E48" s="151"/>
      <c r="F48" s="150">
        <f t="shared" si="26"/>
        <v>0</v>
      </c>
      <c r="G48" s="149">
        <f t="shared" si="27"/>
        <v>0</v>
      </c>
      <c r="H48" s="148">
        <f t="shared" si="28"/>
        <v>0</v>
      </c>
      <c r="I48" s="147">
        <f t="shared" si="29"/>
        <v>0</v>
      </c>
      <c r="J48" s="146">
        <f t="shared" si="30"/>
        <v>0</v>
      </c>
      <c r="K48" s="146">
        <f t="shared" si="31"/>
        <v>0</v>
      </c>
      <c r="L48" s="146">
        <f t="shared" si="32"/>
        <v>0</v>
      </c>
      <c r="M48" s="145">
        <f t="shared" si="33"/>
        <v>0</v>
      </c>
    </row>
    <row r="49" spans="1:13" ht="16.2" thickBot="1" x14ac:dyDescent="0.35">
      <c r="A49" s="154">
        <f t="shared" si="23"/>
        <v>0</v>
      </c>
      <c r="B49" s="153"/>
      <c r="C49" s="151">
        <f t="shared" si="24"/>
        <v>0</v>
      </c>
      <c r="D49" s="152">
        <f t="shared" si="25"/>
        <v>0</v>
      </c>
      <c r="E49" s="151"/>
      <c r="F49" s="150">
        <f t="shared" si="26"/>
        <v>0</v>
      </c>
      <c r="G49" s="149">
        <f t="shared" si="27"/>
        <v>0</v>
      </c>
      <c r="H49" s="148">
        <f t="shared" si="28"/>
        <v>0</v>
      </c>
      <c r="I49" s="147">
        <f t="shared" si="29"/>
        <v>0</v>
      </c>
      <c r="J49" s="146">
        <f t="shared" si="30"/>
        <v>0</v>
      </c>
      <c r="K49" s="146">
        <f t="shared" si="31"/>
        <v>0</v>
      </c>
      <c r="L49" s="146">
        <f t="shared" si="32"/>
        <v>0</v>
      </c>
      <c r="M49" s="145">
        <f t="shared" si="33"/>
        <v>0</v>
      </c>
    </row>
    <row r="50" spans="1:13" ht="16.2" thickBot="1" x14ac:dyDescent="0.35">
      <c r="A50" s="144" t="s">
        <v>203</v>
      </c>
      <c r="B50" s="143">
        <f>C50/F41</f>
        <v>0.53647058823529403</v>
      </c>
      <c r="C50" s="141">
        <f>SUM(C44:C49)</f>
        <v>729.59999999999991</v>
      </c>
      <c r="D50" s="142">
        <f>SUM(D44:D49)</f>
        <v>1</v>
      </c>
      <c r="E50" s="141"/>
      <c r="F50" s="140">
        <f>G50/B41</f>
        <v>0.2432</v>
      </c>
      <c r="G50" s="139">
        <f t="shared" ref="G50:M50" si="34">SUM(G44:G49)</f>
        <v>729.6</v>
      </c>
      <c r="H50" s="138">
        <f t="shared" si="34"/>
        <v>0.99999999999999989</v>
      </c>
      <c r="I50" s="137">
        <f t="shared" si="34"/>
        <v>1000</v>
      </c>
      <c r="J50" s="136">
        <f t="shared" si="34"/>
        <v>453.33333333333331</v>
      </c>
      <c r="K50" s="136">
        <f t="shared" si="34"/>
        <v>546.66666666666674</v>
      </c>
      <c r="L50" s="136">
        <f t="shared" si="34"/>
        <v>1000</v>
      </c>
      <c r="M50" s="135">
        <f t="shared" si="34"/>
        <v>243.2</v>
      </c>
    </row>
    <row r="51" spans="1:13" ht="15" thickBot="1" x14ac:dyDescent="0.35">
      <c r="A51" s="268" t="s">
        <v>219</v>
      </c>
      <c r="B51" s="269"/>
      <c r="C51" s="269"/>
      <c r="D51" s="269"/>
      <c r="E51" s="270"/>
      <c r="F51" s="271" t="s">
        <v>220</v>
      </c>
      <c r="G51" s="272"/>
      <c r="H51" s="272"/>
      <c r="I51" s="272"/>
      <c r="J51" s="272"/>
      <c r="K51" s="272"/>
      <c r="L51" s="272"/>
      <c r="M51" s="273"/>
    </row>
    <row r="52" spans="1:13" ht="16.2" thickBot="1" x14ac:dyDescent="0.35">
      <c r="A52" s="11" t="s">
        <v>221</v>
      </c>
      <c r="B52" s="134" t="s">
        <v>222</v>
      </c>
      <c r="C52" s="133" t="s">
        <v>37</v>
      </c>
      <c r="D52" s="132" t="s">
        <v>35</v>
      </c>
      <c r="E52" s="131" t="s">
        <v>223</v>
      </c>
      <c r="F52" s="261"/>
      <c r="G52" s="261"/>
      <c r="H52" s="261"/>
      <c r="I52" s="261"/>
      <c r="J52" s="261"/>
      <c r="K52" s="261"/>
      <c r="L52" s="261"/>
      <c r="M52" s="274"/>
    </row>
    <row r="53" spans="1:13" ht="15.6" x14ac:dyDescent="0.3">
      <c r="A53" s="14" t="s">
        <v>133</v>
      </c>
      <c r="B53" s="130">
        <f>B22</f>
        <v>3000</v>
      </c>
      <c r="C53" s="129">
        <f>F22</f>
        <v>1500</v>
      </c>
      <c r="D53" s="128">
        <f>J22</f>
        <v>1500</v>
      </c>
      <c r="E53" s="127">
        <f>C31</f>
        <v>750</v>
      </c>
      <c r="F53" s="261"/>
      <c r="G53" s="261"/>
      <c r="H53" s="261"/>
      <c r="I53" s="261"/>
      <c r="J53" s="261"/>
      <c r="K53" s="261"/>
      <c r="L53" s="261"/>
      <c r="M53" s="274"/>
    </row>
    <row r="54" spans="1:13" ht="16.2" thickBot="1" x14ac:dyDescent="0.35">
      <c r="A54" s="14" t="s">
        <v>224</v>
      </c>
      <c r="B54" s="130">
        <f>B41</f>
        <v>3000</v>
      </c>
      <c r="C54" s="129">
        <f>F41</f>
        <v>1360</v>
      </c>
      <c r="D54" s="128">
        <f>J41</f>
        <v>1640</v>
      </c>
      <c r="E54" s="127">
        <f>C50</f>
        <v>729.59999999999991</v>
      </c>
      <c r="F54" s="261"/>
      <c r="G54" s="261"/>
      <c r="H54" s="261"/>
      <c r="I54" s="261"/>
      <c r="J54" s="261"/>
      <c r="K54" s="261"/>
      <c r="L54" s="261"/>
      <c r="M54" s="274"/>
    </row>
    <row r="55" spans="1:13" ht="15.6" x14ac:dyDescent="0.3">
      <c r="A55" s="11" t="s">
        <v>225</v>
      </c>
      <c r="B55" s="217">
        <f>B53-B54</f>
        <v>0</v>
      </c>
      <c r="C55" s="218">
        <f>C53-C54</f>
        <v>140</v>
      </c>
      <c r="D55" s="219">
        <f>D53-D54</f>
        <v>-140</v>
      </c>
      <c r="E55" s="220">
        <f>E53-E54</f>
        <v>20.400000000000091</v>
      </c>
      <c r="F55" s="261"/>
      <c r="G55" s="261"/>
      <c r="H55" s="261"/>
      <c r="I55" s="261"/>
      <c r="J55" s="261"/>
      <c r="K55" s="261"/>
      <c r="L55" s="261"/>
      <c r="M55" s="274"/>
    </row>
    <row r="56" spans="1:13" ht="16.2" thickBot="1" x14ac:dyDescent="0.35">
      <c r="A56" s="16" t="s">
        <v>226</v>
      </c>
      <c r="B56" s="126">
        <f>B53/B54</f>
        <v>1</v>
      </c>
      <c r="C56" s="124">
        <f>C53/C54</f>
        <v>1.1029411764705883</v>
      </c>
      <c r="D56" s="123">
        <f>D53/D54</f>
        <v>0.91463414634146345</v>
      </c>
      <c r="E56" s="122">
        <f>E53/E54</f>
        <v>1.0279605263157896</v>
      </c>
      <c r="F56" s="261"/>
      <c r="G56" s="261"/>
      <c r="H56" s="261"/>
      <c r="I56" s="261"/>
      <c r="J56" s="261"/>
      <c r="K56" s="261"/>
      <c r="L56" s="261"/>
      <c r="M56" s="274"/>
    </row>
    <row r="57" spans="1:13" ht="15" thickBot="1" x14ac:dyDescent="0.35">
      <c r="A57" s="268" t="s">
        <v>227</v>
      </c>
      <c r="B57" s="269"/>
      <c r="C57" s="269"/>
      <c r="D57" s="269"/>
      <c r="E57" s="270"/>
      <c r="F57" s="261"/>
      <c r="G57" s="261"/>
      <c r="H57" s="261"/>
      <c r="I57" s="261"/>
      <c r="J57" s="261"/>
      <c r="K57" s="261"/>
      <c r="L57" s="261"/>
      <c r="M57" s="274"/>
    </row>
    <row r="58" spans="1:13" ht="16.2" thickBot="1" x14ac:dyDescent="0.35">
      <c r="A58" s="121" t="str">
        <f t="shared" ref="A58:A63" si="35">A44</f>
        <v>No_flow.</v>
      </c>
      <c r="B58" s="120">
        <f t="shared" ref="B58:B63" si="36">(B35*$C$41)/($B$22*$C$22)</f>
        <v>0.33333333333333331</v>
      </c>
      <c r="C58" s="119">
        <f>(E35*B35)/($B$22*$E$22)</f>
        <v>0.48</v>
      </c>
      <c r="D58" s="118">
        <f t="shared" ref="D58:D63" si="37">(I35*B35)/($B$22*$I$22)</f>
        <v>0.18666666666666668</v>
      </c>
      <c r="E58" s="117">
        <f t="shared" ref="E58:E63" si="38">(F44*B35)/($B$22*$F$31)</f>
        <v>0.55679999999999996</v>
      </c>
      <c r="F58" s="261"/>
      <c r="G58" s="261"/>
      <c r="H58" s="261"/>
      <c r="I58" s="261"/>
      <c r="J58" s="261"/>
      <c r="K58" s="261"/>
      <c r="L58" s="261"/>
      <c r="M58" s="274"/>
    </row>
    <row r="59" spans="1:13" ht="16.2" thickBot="1" x14ac:dyDescent="0.35">
      <c r="A59" s="16" t="str">
        <f t="shared" si="35"/>
        <v>No_flow.</v>
      </c>
      <c r="B59" s="125">
        <f t="shared" si="36"/>
        <v>0.26666666666666666</v>
      </c>
      <c r="C59" s="124">
        <f>(E36*B36)/($B$22*$E$22)</f>
        <v>0.10666666666666667</v>
      </c>
      <c r="D59" s="123">
        <f t="shared" si="37"/>
        <v>0.42666666666666669</v>
      </c>
      <c r="E59" s="122">
        <f t="shared" si="38"/>
        <v>0.10880000000000001</v>
      </c>
      <c r="F59" s="261"/>
      <c r="G59" s="261"/>
      <c r="H59" s="261"/>
      <c r="I59" s="261"/>
      <c r="J59" s="261"/>
      <c r="K59" s="261"/>
      <c r="L59" s="261"/>
      <c r="M59" s="274"/>
    </row>
    <row r="60" spans="1:13" ht="16.2" thickBot="1" x14ac:dyDescent="0.35">
      <c r="A60" s="16" t="str">
        <f t="shared" si="35"/>
        <v>No_flow.</v>
      </c>
      <c r="B60" s="125">
        <f t="shared" si="36"/>
        <v>0.4</v>
      </c>
      <c r="C60" s="124">
        <f>(E37*B37)/($B$22*$E$22)</f>
        <v>0.32</v>
      </c>
      <c r="D60" s="123">
        <f t="shared" si="37"/>
        <v>0.48</v>
      </c>
      <c r="E60" s="122">
        <f t="shared" si="38"/>
        <v>0.30720000000000003</v>
      </c>
      <c r="F60" s="261"/>
      <c r="G60" s="261"/>
      <c r="H60" s="261"/>
      <c r="I60" s="261"/>
      <c r="J60" s="261"/>
      <c r="K60" s="261"/>
      <c r="L60" s="261"/>
      <c r="M60" s="274"/>
    </row>
    <row r="61" spans="1:13" ht="16.2" thickBot="1" x14ac:dyDescent="0.35">
      <c r="A61" s="16" t="e">
        <f t="shared" si="35"/>
        <v>#REF!</v>
      </c>
      <c r="B61" s="125">
        <f t="shared" si="36"/>
        <v>0</v>
      </c>
      <c r="C61" s="124">
        <f>($G$41*F38)/($B$22*$E$22)</f>
        <v>0</v>
      </c>
      <c r="D61" s="123">
        <f t="shared" si="37"/>
        <v>0</v>
      </c>
      <c r="E61" s="122">
        <f t="shared" si="38"/>
        <v>0</v>
      </c>
      <c r="F61" s="261"/>
      <c r="G61" s="261"/>
      <c r="H61" s="261"/>
      <c r="I61" s="261"/>
      <c r="J61" s="261"/>
      <c r="K61" s="261"/>
      <c r="L61" s="261"/>
      <c r="M61" s="274"/>
    </row>
    <row r="62" spans="1:13" ht="16.2" thickBot="1" x14ac:dyDescent="0.35">
      <c r="A62" s="16" t="e">
        <f t="shared" si="35"/>
        <v>#REF!</v>
      </c>
      <c r="B62" s="125">
        <f t="shared" si="36"/>
        <v>0</v>
      </c>
      <c r="C62" s="124">
        <f>(B39*E39)/($B$22*$E$22)</f>
        <v>0</v>
      </c>
      <c r="D62" s="123">
        <f t="shared" si="37"/>
        <v>0</v>
      </c>
      <c r="E62" s="122">
        <f t="shared" si="38"/>
        <v>0</v>
      </c>
      <c r="F62" s="261"/>
      <c r="G62" s="261"/>
      <c r="H62" s="261"/>
      <c r="I62" s="261"/>
      <c r="J62" s="261"/>
      <c r="K62" s="261"/>
      <c r="L62" s="261"/>
      <c r="M62" s="274"/>
    </row>
    <row r="63" spans="1:13" ht="16.2" thickBot="1" x14ac:dyDescent="0.35">
      <c r="A63" s="16">
        <f t="shared" si="35"/>
        <v>0</v>
      </c>
      <c r="B63" s="125">
        <f t="shared" si="36"/>
        <v>0</v>
      </c>
      <c r="C63" s="124">
        <f>(B40*E40)/($B$22*$E$22)</f>
        <v>0</v>
      </c>
      <c r="D63" s="123">
        <f t="shared" si="37"/>
        <v>0</v>
      </c>
      <c r="E63" s="122">
        <f t="shared" si="38"/>
        <v>0</v>
      </c>
      <c r="F63" s="261"/>
      <c r="G63" s="261"/>
      <c r="H63" s="261"/>
      <c r="I63" s="261"/>
      <c r="J63" s="261"/>
      <c r="K63" s="261"/>
      <c r="L63" s="261"/>
      <c r="M63" s="274"/>
    </row>
    <row r="64" spans="1:13" ht="16.2" thickBot="1" x14ac:dyDescent="0.35">
      <c r="A64" s="11" t="s">
        <v>203</v>
      </c>
      <c r="B64" s="213">
        <f>SUM(B58:B63)</f>
        <v>1</v>
      </c>
      <c r="C64" s="214">
        <f>SUM(C58:C63)</f>
        <v>0.90666666666666673</v>
      </c>
      <c r="D64" s="215">
        <f>SUM(D58:D63)</f>
        <v>1.0933333333333333</v>
      </c>
      <c r="E64" s="216">
        <f>SUM(E58:E63)</f>
        <v>0.9728</v>
      </c>
      <c r="F64" s="261"/>
      <c r="G64" s="261"/>
      <c r="H64" s="261"/>
      <c r="I64" s="261"/>
      <c r="J64" s="261"/>
      <c r="K64" s="261"/>
      <c r="L64" s="261"/>
      <c r="M64" s="274"/>
    </row>
    <row r="65" spans="1:13" ht="16.2" thickBot="1" x14ac:dyDescent="0.35">
      <c r="A65" s="275" t="s">
        <v>228</v>
      </c>
      <c r="B65" s="276"/>
      <c r="C65" s="276"/>
      <c r="D65" s="276"/>
      <c r="E65" s="276"/>
      <c r="F65" s="276"/>
      <c r="G65" s="276"/>
      <c r="H65" s="276"/>
      <c r="I65" s="276"/>
      <c r="J65" s="276"/>
      <c r="K65" s="276"/>
      <c r="L65" s="276"/>
      <c r="M65" s="277"/>
    </row>
    <row r="66" spans="1:13" x14ac:dyDescent="0.3">
      <c r="A66" s="14" t="s">
        <v>202</v>
      </c>
      <c r="B66" s="278" t="s">
        <v>229</v>
      </c>
      <c r="C66" s="278"/>
      <c r="D66" s="278"/>
      <c r="E66" s="278"/>
      <c r="F66" s="278"/>
      <c r="G66" s="14" t="s">
        <v>230</v>
      </c>
      <c r="M66" s="116"/>
    </row>
    <row r="67" spans="1:13" ht="18.75" customHeight="1" x14ac:dyDescent="0.3">
      <c r="A67" s="14" t="s">
        <v>231</v>
      </c>
      <c r="B67" s="261" t="s">
        <v>45</v>
      </c>
      <c r="C67" s="261"/>
      <c r="D67" s="261"/>
      <c r="E67" s="261"/>
      <c r="F67" s="261"/>
      <c r="G67" s="14" t="s">
        <v>232</v>
      </c>
      <c r="M67" s="116"/>
    </row>
    <row r="68" spans="1:13" x14ac:dyDescent="0.3">
      <c r="A68" s="14" t="s">
        <v>233</v>
      </c>
      <c r="G68" s="14" t="s">
        <v>234</v>
      </c>
      <c r="M68" s="116"/>
    </row>
    <row r="69" spans="1:13" x14ac:dyDescent="0.3">
      <c r="A69" s="14" t="s">
        <v>235</v>
      </c>
      <c r="G69" s="14" t="s">
        <v>236</v>
      </c>
      <c r="M69" s="116"/>
    </row>
    <row r="70" spans="1:13" x14ac:dyDescent="0.3">
      <c r="A70" s="14" t="s">
        <v>237</v>
      </c>
      <c r="G70" s="14" t="s">
        <v>238</v>
      </c>
      <c r="M70" s="116"/>
    </row>
    <row r="71" spans="1:13" x14ac:dyDescent="0.3">
      <c r="A71" s="14" t="s">
        <v>239</v>
      </c>
      <c r="G71" s="14" t="s">
        <v>240</v>
      </c>
      <c r="M71" s="116"/>
    </row>
    <row r="72" spans="1:13" ht="15" thickBot="1" x14ac:dyDescent="0.35">
      <c r="A72" s="16" t="s">
        <v>241</v>
      </c>
      <c r="B72" s="115"/>
      <c r="C72" s="115"/>
      <c r="D72" s="115"/>
      <c r="E72" s="115"/>
      <c r="F72" s="115"/>
      <c r="G72" s="16" t="s">
        <v>242</v>
      </c>
      <c r="H72" s="115"/>
      <c r="I72" s="115"/>
      <c r="J72" s="115"/>
      <c r="K72" s="115"/>
      <c r="L72" s="115"/>
      <c r="M72" s="114"/>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'2_1_Definition_Processes'!$C$2:$C$10</xm:f>
          </x14:formula1>
          <xm:sqref>J1:M1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zoomScale="115" zoomScaleNormal="205" workbookViewId="0">
      <selection activeCell="C17" sqref="C17"/>
    </sheetView>
  </sheetViews>
  <sheetFormatPr baseColWidth="10" defaultColWidth="10.77734375" defaultRowHeight="14.4" x14ac:dyDescent="0.3"/>
  <cols>
    <col min="2" max="2" width="28.44140625" customWidth="1"/>
    <col min="3" max="3" width="25" customWidth="1"/>
    <col min="4" max="4" width="13" customWidth="1"/>
    <col min="6" max="6" width="31.44140625" customWidth="1"/>
  </cols>
  <sheetData>
    <row r="3" spans="2:8" ht="15" thickBot="1" x14ac:dyDescent="0.35"/>
    <row r="4" spans="2:8" x14ac:dyDescent="0.3">
      <c r="B4" s="11" t="s">
        <v>253</v>
      </c>
      <c r="C4" s="12"/>
      <c r="D4" s="13" t="s">
        <v>254</v>
      </c>
      <c r="F4" s="11" t="s">
        <v>255</v>
      </c>
      <c r="G4" s="13" t="s">
        <v>254</v>
      </c>
    </row>
    <row r="5" spans="2:8" x14ac:dyDescent="0.3">
      <c r="B5" s="14" t="s">
        <v>256</v>
      </c>
      <c r="C5" t="s">
        <v>257</v>
      </c>
      <c r="D5" s="15" t="s">
        <v>258</v>
      </c>
      <c r="F5" t="s">
        <v>164</v>
      </c>
      <c r="G5" t="s">
        <v>259</v>
      </c>
      <c r="H5" t="s">
        <v>134</v>
      </c>
    </row>
    <row r="6" spans="2:8" x14ac:dyDescent="0.3">
      <c r="B6" s="14" t="s">
        <v>260</v>
      </c>
      <c r="C6" t="str">
        <f>_xlfn.TRANSLATE(B6,"DE","EN")</f>
        <v>Paper/ cardboard</v>
      </c>
      <c r="D6" s="74">
        <v>0.09</v>
      </c>
      <c r="F6">
        <v>2022</v>
      </c>
      <c r="G6" s="73">
        <v>0.04</v>
      </c>
    </row>
    <row r="7" spans="2:8" x14ac:dyDescent="0.3">
      <c r="B7" s="14" t="s">
        <v>261</v>
      </c>
      <c r="C7" t="str">
        <f t="shared" ref="C7:C18" si="0">_xlfn.TRANSLATE(B7,"DE","EN")</f>
        <v>Glass</v>
      </c>
      <c r="D7" s="74">
        <v>0.06</v>
      </c>
      <c r="F7">
        <v>2021</v>
      </c>
      <c r="G7" s="73">
        <v>0.04</v>
      </c>
    </row>
    <row r="8" spans="2:8" x14ac:dyDescent="0.3">
      <c r="B8" s="14" t="s">
        <v>262</v>
      </c>
      <c r="C8" t="str">
        <f t="shared" si="0"/>
        <v>Synthetics</v>
      </c>
      <c r="D8" s="74">
        <v>7.0000000000000007E-2</v>
      </c>
      <c r="F8">
        <v>2020</v>
      </c>
      <c r="G8" s="73">
        <v>0.04</v>
      </c>
    </row>
    <row r="9" spans="2:8" x14ac:dyDescent="0.3">
      <c r="B9" s="14" t="s">
        <v>263</v>
      </c>
      <c r="C9" t="str">
        <f t="shared" si="0"/>
        <v>Metals</v>
      </c>
      <c r="D9" s="74">
        <v>0.02</v>
      </c>
      <c r="F9">
        <v>2019</v>
      </c>
      <c r="G9" s="73">
        <v>0.04</v>
      </c>
    </row>
    <row r="10" spans="2:8" x14ac:dyDescent="0.3">
      <c r="B10" s="14" t="s">
        <v>264</v>
      </c>
      <c r="C10" t="str">
        <f t="shared" si="0"/>
        <v>Native Organic</v>
      </c>
      <c r="D10" s="74">
        <v>0.38</v>
      </c>
      <c r="F10">
        <v>2018</v>
      </c>
      <c r="G10" s="73">
        <v>0.04</v>
      </c>
    </row>
    <row r="11" spans="2:8" x14ac:dyDescent="0.3">
      <c r="B11" s="14" t="s">
        <v>265</v>
      </c>
      <c r="C11" t="str">
        <f t="shared" si="0"/>
        <v>Other organics</v>
      </c>
      <c r="D11" s="74">
        <v>0.1</v>
      </c>
      <c r="F11">
        <v>2017</v>
      </c>
      <c r="G11" s="73">
        <v>0.04</v>
      </c>
    </row>
    <row r="12" spans="2:8" x14ac:dyDescent="0.3">
      <c r="B12" s="14" t="s">
        <v>266</v>
      </c>
      <c r="C12" t="str">
        <f t="shared" si="0"/>
        <v>Wood</v>
      </c>
      <c r="D12" s="74">
        <v>0.01</v>
      </c>
      <c r="F12">
        <v>2016</v>
      </c>
      <c r="G12" s="73">
        <v>0.04</v>
      </c>
    </row>
    <row r="13" spans="2:8" x14ac:dyDescent="0.3">
      <c r="B13" s="14" t="s">
        <v>267</v>
      </c>
      <c r="C13" t="str">
        <f t="shared" si="0"/>
        <v>Textiles</v>
      </c>
      <c r="D13" s="74">
        <v>0.04</v>
      </c>
      <c r="F13">
        <v>2015</v>
      </c>
      <c r="G13" s="73">
        <v>6.6000000000000003E-2</v>
      </c>
    </row>
    <row r="14" spans="2:8" x14ac:dyDescent="0.3">
      <c r="B14" s="14" t="s">
        <v>268</v>
      </c>
      <c r="C14" t="str">
        <f t="shared" si="0"/>
        <v>Inert</v>
      </c>
      <c r="D14" s="74">
        <v>0.02</v>
      </c>
      <c r="F14">
        <v>2014</v>
      </c>
      <c r="G14" s="73">
        <v>6.6000000000000003E-2</v>
      </c>
    </row>
    <row r="15" spans="2:8" x14ac:dyDescent="0.3">
      <c r="B15" s="14" t="s">
        <v>269</v>
      </c>
      <c r="C15" t="str">
        <f t="shared" si="0"/>
        <v>Composites</v>
      </c>
      <c r="D15" s="74">
        <v>0.06</v>
      </c>
      <c r="F15">
        <v>2013</v>
      </c>
      <c r="G15" s="73">
        <v>8.2000000000000003E-2</v>
      </c>
    </row>
    <row r="16" spans="2:8" x14ac:dyDescent="0.3">
      <c r="B16" s="14" t="s">
        <v>270</v>
      </c>
      <c r="C16" t="str">
        <f t="shared" si="0"/>
        <v>Problematic waste</v>
      </c>
      <c r="D16" s="74">
        <v>0.01</v>
      </c>
      <c r="F16">
        <v>2012</v>
      </c>
      <c r="G16" s="73">
        <v>8.2000000000000003E-2</v>
      </c>
    </row>
    <row r="17" spans="2:8" x14ac:dyDescent="0.3">
      <c r="B17" s="14" t="s">
        <v>271</v>
      </c>
      <c r="C17" t="str">
        <f t="shared" si="0"/>
        <v>Other substances</v>
      </c>
      <c r="D17" s="74">
        <v>0.09</v>
      </c>
      <c r="F17">
        <v>2011</v>
      </c>
      <c r="G17" s="73">
        <v>0.11</v>
      </c>
    </row>
    <row r="18" spans="2:8" x14ac:dyDescent="0.3">
      <c r="B18" s="14" t="s">
        <v>272</v>
      </c>
      <c r="C18" t="str">
        <f t="shared" si="0"/>
        <v>Fine waste &lt;10mm</v>
      </c>
      <c r="D18" s="74">
        <v>0.05</v>
      </c>
      <c r="F18">
        <v>2010</v>
      </c>
      <c r="G18" s="73">
        <v>0.11</v>
      </c>
    </row>
    <row r="19" spans="2:8" ht="15" thickBot="1" x14ac:dyDescent="0.35">
      <c r="B19" s="16" t="s">
        <v>273</v>
      </c>
      <c r="C19" s="17"/>
      <c r="D19" s="75">
        <f>SUBTOTAL(109,MSW_comp_2021[Massenanteil])</f>
        <v>1</v>
      </c>
      <c r="F19" t="s">
        <v>274</v>
      </c>
      <c r="G19" s="73" t="s">
        <v>275</v>
      </c>
      <c r="H19" s="1" t="s">
        <v>276</v>
      </c>
    </row>
    <row r="20" spans="2:8" ht="15" thickBot="1" x14ac:dyDescent="0.35">
      <c r="B20" s="16" t="s">
        <v>277</v>
      </c>
      <c r="C20" s="17" t="s">
        <v>278</v>
      </c>
      <c r="D20" s="76" t="s">
        <v>276</v>
      </c>
      <c r="E20" t="s">
        <v>279</v>
      </c>
    </row>
    <row r="21" spans="2:8" ht="15" thickBot="1" x14ac:dyDescent="0.35"/>
    <row r="22" spans="2:8" x14ac:dyDescent="0.3">
      <c r="B22" s="11" t="s">
        <v>253</v>
      </c>
      <c r="C22" s="12"/>
      <c r="D22" s="13" t="s">
        <v>254</v>
      </c>
    </row>
    <row r="23" spans="2:8" x14ac:dyDescent="0.3">
      <c r="B23" s="14" t="s">
        <v>256</v>
      </c>
      <c r="C23" t="s">
        <v>257</v>
      </c>
      <c r="D23" s="15" t="s">
        <v>258</v>
      </c>
    </row>
    <row r="24" spans="2:8" x14ac:dyDescent="0.3">
      <c r="B24" s="14" t="s">
        <v>260</v>
      </c>
      <c r="C24" t="str">
        <f>_xlfn.TRANSLATE(B24,"DE","EN")</f>
        <v>Paper/ cardboard</v>
      </c>
      <c r="D24" s="74">
        <v>0.09</v>
      </c>
    </row>
    <row r="25" spans="2:8" x14ac:dyDescent="0.3">
      <c r="B25" s="14" t="s">
        <v>261</v>
      </c>
      <c r="C25" t="str">
        <f t="shared" ref="C25:C36" si="1">_xlfn.TRANSLATE(B25,"DE","EN")</f>
        <v>Glass</v>
      </c>
      <c r="D25" s="74">
        <v>0.06</v>
      </c>
    </row>
    <row r="26" spans="2:8" x14ac:dyDescent="0.3">
      <c r="B26" s="14" t="s">
        <v>262</v>
      </c>
      <c r="C26" t="str">
        <f t="shared" si="1"/>
        <v>Synthetics</v>
      </c>
      <c r="D26" s="74">
        <v>7.0000000000000007E-2</v>
      </c>
    </row>
    <row r="27" spans="2:8" x14ac:dyDescent="0.3">
      <c r="B27" s="14" t="s">
        <v>263</v>
      </c>
      <c r="C27" t="str">
        <f t="shared" si="1"/>
        <v>Metals</v>
      </c>
      <c r="D27" s="74">
        <v>0.02</v>
      </c>
    </row>
    <row r="28" spans="2:8" x14ac:dyDescent="0.3">
      <c r="B28" s="14" t="s">
        <v>264</v>
      </c>
      <c r="C28" t="str">
        <f t="shared" si="1"/>
        <v>Native Organic</v>
      </c>
      <c r="D28" s="74">
        <v>0.38</v>
      </c>
    </row>
    <row r="29" spans="2:8" x14ac:dyDescent="0.3">
      <c r="B29" s="14" t="s">
        <v>265</v>
      </c>
      <c r="C29" t="str">
        <f t="shared" si="1"/>
        <v>Other organics</v>
      </c>
      <c r="D29" s="74">
        <v>0.1</v>
      </c>
    </row>
    <row r="30" spans="2:8" x14ac:dyDescent="0.3">
      <c r="B30" s="14" t="s">
        <v>266</v>
      </c>
      <c r="C30" t="str">
        <f t="shared" si="1"/>
        <v>Wood</v>
      </c>
      <c r="D30" s="74">
        <v>0.01</v>
      </c>
    </row>
    <row r="31" spans="2:8" x14ac:dyDescent="0.3">
      <c r="B31" s="14" t="s">
        <v>267</v>
      </c>
      <c r="C31" t="str">
        <f t="shared" si="1"/>
        <v>Textiles</v>
      </c>
      <c r="D31" s="74">
        <v>0.04</v>
      </c>
    </row>
    <row r="32" spans="2:8" x14ac:dyDescent="0.3">
      <c r="B32" s="14" t="s">
        <v>268</v>
      </c>
      <c r="C32" t="str">
        <f t="shared" si="1"/>
        <v>Inert</v>
      </c>
      <c r="D32" s="74">
        <v>0.02</v>
      </c>
    </row>
    <row r="33" spans="2:4" x14ac:dyDescent="0.3">
      <c r="B33" s="14" t="s">
        <v>269</v>
      </c>
      <c r="C33" t="str">
        <f t="shared" si="1"/>
        <v>Composites</v>
      </c>
      <c r="D33" s="74">
        <v>0.06</v>
      </c>
    </row>
    <row r="34" spans="2:4" x14ac:dyDescent="0.3">
      <c r="B34" s="14" t="s">
        <v>270</v>
      </c>
      <c r="C34" t="str">
        <f t="shared" si="1"/>
        <v>Problematic waste</v>
      </c>
      <c r="D34" s="74">
        <v>0.01</v>
      </c>
    </row>
    <row r="35" spans="2:4" x14ac:dyDescent="0.3">
      <c r="B35" s="14" t="s">
        <v>271</v>
      </c>
      <c r="C35" t="str">
        <f t="shared" si="1"/>
        <v>Other substances</v>
      </c>
      <c r="D35" s="74">
        <v>0.09</v>
      </c>
    </row>
    <row r="36" spans="2:4" x14ac:dyDescent="0.3">
      <c r="B36" s="14" t="s">
        <v>272</v>
      </c>
      <c r="C36" t="str">
        <f t="shared" si="1"/>
        <v>Fine waste &lt;10mm</v>
      </c>
      <c r="D36" s="74">
        <v>0.05</v>
      </c>
    </row>
    <row r="37" spans="2:4" ht="15" thickBot="1" x14ac:dyDescent="0.35">
      <c r="B37" s="16" t="s">
        <v>273</v>
      </c>
      <c r="C37" s="17"/>
      <c r="D37" s="75">
        <f>SUBTOTAL(109,MSW_comp_202121[Massenanteil])</f>
        <v>1</v>
      </c>
    </row>
    <row r="38" spans="2:4" ht="15" thickBot="1" x14ac:dyDescent="0.35">
      <c r="B38" s="16" t="s">
        <v>277</v>
      </c>
      <c r="C38" s="17" t="s">
        <v>280</v>
      </c>
      <c r="D38" s="76" t="s">
        <v>276</v>
      </c>
    </row>
    <row r="39" spans="2:4" ht="15" thickBot="1" x14ac:dyDescent="0.35"/>
    <row r="40" spans="2:4" x14ac:dyDescent="0.3">
      <c r="B40" s="11" t="s">
        <v>253</v>
      </c>
      <c r="C40" s="12"/>
      <c r="D40" s="13" t="s">
        <v>281</v>
      </c>
    </row>
    <row r="41" spans="2:4" x14ac:dyDescent="0.3">
      <c r="B41" s="14" t="s">
        <v>256</v>
      </c>
      <c r="C41" t="s">
        <v>257</v>
      </c>
      <c r="D41" s="15" t="s">
        <v>258</v>
      </c>
    </row>
    <row r="42" spans="2:4" x14ac:dyDescent="0.3">
      <c r="B42" s="14" t="s">
        <v>260</v>
      </c>
      <c r="C42" t="str">
        <f>_xlfn.TRANSLATE(B42,"DE","EN")</f>
        <v>Paper/ cardboard</v>
      </c>
      <c r="D42" s="74">
        <v>0.1</v>
      </c>
    </row>
    <row r="43" spans="2:4" x14ac:dyDescent="0.3">
      <c r="B43" s="14" t="s">
        <v>261</v>
      </c>
      <c r="C43" t="str">
        <f t="shared" ref="C43:C53" si="2">_xlfn.TRANSLATE(B43,"DE","EN")</f>
        <v>Glass</v>
      </c>
      <c r="D43" s="74">
        <v>0.06</v>
      </c>
    </row>
    <row r="44" spans="2:4" x14ac:dyDescent="0.3">
      <c r="B44" s="14" t="s">
        <v>262</v>
      </c>
      <c r="C44" t="str">
        <f t="shared" si="2"/>
        <v>Synthetics</v>
      </c>
      <c r="D44" s="74">
        <v>0.08</v>
      </c>
    </row>
    <row r="45" spans="2:4" x14ac:dyDescent="0.3">
      <c r="B45" s="14" t="s">
        <v>263</v>
      </c>
      <c r="C45" t="str">
        <f t="shared" si="2"/>
        <v>Metals</v>
      </c>
      <c r="D45" s="74">
        <v>0.02</v>
      </c>
    </row>
    <row r="46" spans="2:4" x14ac:dyDescent="0.3">
      <c r="B46" s="14" t="s">
        <v>264</v>
      </c>
      <c r="C46" t="str">
        <f t="shared" si="2"/>
        <v>Native Organic</v>
      </c>
      <c r="D46" s="74">
        <v>0.44</v>
      </c>
    </row>
    <row r="47" spans="2:4" x14ac:dyDescent="0.3">
      <c r="B47" s="14" t="s">
        <v>266</v>
      </c>
      <c r="C47" t="str">
        <f t="shared" si="2"/>
        <v>Wood</v>
      </c>
      <c r="D47" s="74">
        <v>0.02</v>
      </c>
    </row>
    <row r="48" spans="2:4" x14ac:dyDescent="0.3">
      <c r="B48" s="14" t="s">
        <v>267</v>
      </c>
      <c r="C48" t="str">
        <f t="shared" si="2"/>
        <v>Textiles</v>
      </c>
      <c r="D48" s="74">
        <v>0.03</v>
      </c>
    </row>
    <row r="49" spans="2:4" x14ac:dyDescent="0.3">
      <c r="B49" s="14" t="s">
        <v>268</v>
      </c>
      <c r="C49" t="str">
        <f t="shared" si="2"/>
        <v>Inert</v>
      </c>
      <c r="D49" s="74">
        <v>0.03</v>
      </c>
    </row>
    <row r="50" spans="2:4" x14ac:dyDescent="0.3">
      <c r="B50" s="14" t="s">
        <v>269</v>
      </c>
      <c r="C50" t="str">
        <f t="shared" si="2"/>
        <v>Composites</v>
      </c>
      <c r="D50" s="74">
        <v>0.05</v>
      </c>
    </row>
    <row r="51" spans="2:4" x14ac:dyDescent="0.3">
      <c r="B51" s="14" t="s">
        <v>270</v>
      </c>
      <c r="C51" t="str">
        <f t="shared" si="2"/>
        <v>Problematic waste</v>
      </c>
      <c r="D51" s="74">
        <v>0</v>
      </c>
    </row>
    <row r="52" spans="2:4" x14ac:dyDescent="0.3">
      <c r="B52" s="14" t="s">
        <v>271</v>
      </c>
      <c r="C52" t="str">
        <f t="shared" si="2"/>
        <v>Other substances</v>
      </c>
      <c r="D52" s="74">
        <v>0.1</v>
      </c>
    </row>
    <row r="53" spans="2:4" x14ac:dyDescent="0.3">
      <c r="B53" s="14" t="s">
        <v>272</v>
      </c>
      <c r="C53" t="str">
        <f t="shared" si="2"/>
        <v>Fine waste &lt;10mm</v>
      </c>
      <c r="D53" s="74">
        <v>7.0000000000000007E-2</v>
      </c>
    </row>
    <row r="54" spans="2:4" ht="15" thickBot="1" x14ac:dyDescent="0.35">
      <c r="B54" s="16" t="s">
        <v>273</v>
      </c>
      <c r="C54" s="17"/>
      <c r="D54" s="75">
        <f>SUBTOTAL(109,MSW_comp_20212123[Massenanteil])</f>
        <v>1</v>
      </c>
    </row>
    <row r="55" spans="2:4" ht="15" thickBot="1" x14ac:dyDescent="0.35">
      <c r="B55" s="16" t="s">
        <v>277</v>
      </c>
      <c r="C55" s="17" t="s">
        <v>282</v>
      </c>
      <c r="D55" s="76" t="s">
        <v>276</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R44" sqref="R44"/>
    </sheetView>
  </sheetViews>
  <sheetFormatPr baseColWidth="10" defaultColWidth="10.77734375" defaultRowHeight="14.4" x14ac:dyDescent="0.3"/>
  <cols>
    <col min="1" max="1" width="23.44140625" customWidth="1"/>
    <col min="2" max="2" width="32.44140625" customWidth="1"/>
    <col min="3" max="3" width="11.44140625" customWidth="1"/>
    <col min="5" max="5" width="15.44140625" customWidth="1"/>
    <col min="6" max="6" width="11.109375" customWidth="1"/>
    <col min="10" max="10" width="12.109375" bestFit="1" customWidth="1"/>
    <col min="11" max="11" width="14.44140625" bestFit="1" customWidth="1"/>
    <col min="13" max="13" width="10.77734375" bestFit="1" customWidth="1"/>
  </cols>
  <sheetData>
    <row r="1" spans="1:13" x14ac:dyDescent="0.3">
      <c r="A1" t="s">
        <v>283</v>
      </c>
    </row>
    <row r="2" spans="1:13" x14ac:dyDescent="0.3">
      <c r="A2" t="s">
        <v>284</v>
      </c>
    </row>
    <row r="4" spans="1:13" x14ac:dyDescent="0.3">
      <c r="A4" t="s">
        <v>279</v>
      </c>
      <c r="B4" t="s">
        <v>285</v>
      </c>
      <c r="C4" t="s">
        <v>286</v>
      </c>
      <c r="D4" t="s">
        <v>287</v>
      </c>
      <c r="E4" t="s">
        <v>288</v>
      </c>
      <c r="F4" t="s">
        <v>289</v>
      </c>
    </row>
    <row r="5" spans="1:13" x14ac:dyDescent="0.3">
      <c r="A5" t="s">
        <v>290</v>
      </c>
      <c r="B5" t="s">
        <v>291</v>
      </c>
      <c r="C5">
        <v>0.48</v>
      </c>
      <c r="D5">
        <v>1</v>
      </c>
      <c r="E5">
        <v>2.0830000000000002</v>
      </c>
      <c r="F5">
        <v>0.48</v>
      </c>
    </row>
    <row r="6" spans="1:13" x14ac:dyDescent="0.3">
      <c r="A6" t="s">
        <v>292</v>
      </c>
      <c r="B6" t="s">
        <v>291</v>
      </c>
      <c r="C6">
        <v>0.52</v>
      </c>
      <c r="D6">
        <v>1</v>
      </c>
      <c r="E6">
        <v>1.923</v>
      </c>
      <c r="F6">
        <v>0.52</v>
      </c>
    </row>
    <row r="7" spans="1:13" x14ac:dyDescent="0.3">
      <c r="A7" t="s">
        <v>293</v>
      </c>
      <c r="B7" t="s">
        <v>291</v>
      </c>
      <c r="C7">
        <v>0.52</v>
      </c>
      <c r="D7">
        <v>1</v>
      </c>
      <c r="E7">
        <v>1.923</v>
      </c>
      <c r="F7">
        <v>0.52</v>
      </c>
    </row>
    <row r="8" spans="1:13" x14ac:dyDescent="0.3">
      <c r="A8" t="s">
        <v>294</v>
      </c>
      <c r="B8" t="s">
        <v>291</v>
      </c>
      <c r="C8">
        <v>0.47</v>
      </c>
      <c r="D8">
        <v>1</v>
      </c>
      <c r="E8">
        <v>2.1280000000000001</v>
      </c>
      <c r="F8">
        <v>0.47</v>
      </c>
      <c r="J8" s="3"/>
    </row>
    <row r="9" spans="1:13" x14ac:dyDescent="0.3">
      <c r="A9" t="s">
        <v>295</v>
      </c>
      <c r="B9" t="s">
        <v>296</v>
      </c>
      <c r="C9">
        <v>0.18</v>
      </c>
      <c r="D9">
        <v>0.33</v>
      </c>
      <c r="E9">
        <v>1.833</v>
      </c>
      <c r="F9">
        <v>0.54500000000000004</v>
      </c>
    </row>
    <row r="10" spans="1:13" x14ac:dyDescent="0.3">
      <c r="A10" t="s">
        <v>297</v>
      </c>
      <c r="B10" t="s">
        <v>298</v>
      </c>
      <c r="C10">
        <v>0.47</v>
      </c>
      <c r="D10">
        <v>1</v>
      </c>
      <c r="E10">
        <v>2.1280000000000001</v>
      </c>
      <c r="F10">
        <v>0.47</v>
      </c>
    </row>
    <row r="11" spans="1:13" x14ac:dyDescent="0.3">
      <c r="A11" t="s">
        <v>299</v>
      </c>
      <c r="B11" t="s">
        <v>300</v>
      </c>
      <c r="C11">
        <v>0.8</v>
      </c>
      <c r="D11">
        <v>1.73</v>
      </c>
      <c r="E11">
        <v>2.1629999999999998</v>
      </c>
      <c r="F11">
        <v>0.46200000000000002</v>
      </c>
      <c r="K11" s="3"/>
      <c r="M11" s="3"/>
    </row>
    <row r="12" spans="1:13" x14ac:dyDescent="0.3">
      <c r="A12" t="s">
        <v>301</v>
      </c>
      <c r="B12" t="s">
        <v>302</v>
      </c>
      <c r="C12">
        <v>1</v>
      </c>
      <c r="D12">
        <v>1.98</v>
      </c>
      <c r="E12">
        <v>1.98</v>
      </c>
      <c r="F12">
        <v>0.505</v>
      </c>
    </row>
    <row r="13" spans="1:13" x14ac:dyDescent="0.3">
      <c r="A13" t="s">
        <v>303</v>
      </c>
      <c r="B13" t="s">
        <v>300</v>
      </c>
      <c r="C13">
        <v>0.9</v>
      </c>
      <c r="D13">
        <v>1.91</v>
      </c>
      <c r="E13">
        <v>2.1280000000000001</v>
      </c>
      <c r="F13">
        <v>0.47</v>
      </c>
    </row>
    <row r="14" spans="1:13" x14ac:dyDescent="0.3">
      <c r="A14" t="s">
        <v>304</v>
      </c>
      <c r="E14">
        <v>2.0369999999999999</v>
      </c>
      <c r="F14">
        <v>0.49199999999999999</v>
      </c>
    </row>
    <row r="17" spans="1:3" x14ac:dyDescent="0.3">
      <c r="A17" t="s">
        <v>305</v>
      </c>
    </row>
    <row r="18" spans="1:3" x14ac:dyDescent="0.3">
      <c r="A18" t="s">
        <v>306</v>
      </c>
    </row>
    <row r="20" spans="1:3" x14ac:dyDescent="0.3">
      <c r="A20" t="s">
        <v>307</v>
      </c>
      <c r="B20" t="s">
        <v>308</v>
      </c>
      <c r="C20" t="s">
        <v>309</v>
      </c>
    </row>
    <row r="21" spans="1:3" x14ac:dyDescent="0.3">
      <c r="A21" t="s">
        <v>310</v>
      </c>
      <c r="B21">
        <v>1.244</v>
      </c>
      <c r="C21">
        <v>2.1629999999999998</v>
      </c>
    </row>
    <row r="22" spans="1:3" x14ac:dyDescent="0.3">
      <c r="A22" t="s">
        <v>294</v>
      </c>
      <c r="B22">
        <v>1.6259999999999999</v>
      </c>
      <c r="C22">
        <v>2.1280000000000001</v>
      </c>
    </row>
    <row r="23" spans="1:3" x14ac:dyDescent="0.3">
      <c r="A23" t="s">
        <v>311</v>
      </c>
      <c r="B23">
        <v>1.208</v>
      </c>
      <c r="C23">
        <v>2.1280000000000001</v>
      </c>
    </row>
    <row r="24" spans="1:3" x14ac:dyDescent="0.3">
      <c r="A24" t="s">
        <v>312</v>
      </c>
      <c r="B24">
        <v>1.5720000000000001</v>
      </c>
      <c r="C24">
        <v>1.923</v>
      </c>
    </row>
    <row r="25" spans="1:3" x14ac:dyDescent="0.3">
      <c r="A25" t="s">
        <v>313</v>
      </c>
      <c r="B25">
        <v>1.7729999999999999</v>
      </c>
      <c r="C25">
        <v>1.923</v>
      </c>
    </row>
    <row r="26" spans="1:3" x14ac:dyDescent="0.3">
      <c r="A26" t="s">
        <v>314</v>
      </c>
      <c r="B26">
        <v>1.927</v>
      </c>
      <c r="C26">
        <v>2.0830000000000002</v>
      </c>
    </row>
    <row r="27" spans="1:3" x14ac:dyDescent="0.3">
      <c r="A27" t="s">
        <v>315</v>
      </c>
      <c r="B27">
        <v>1.111</v>
      </c>
      <c r="C27">
        <v>2.1280000000000001</v>
      </c>
    </row>
    <row r="28" spans="1:3" x14ac:dyDescent="0.3">
      <c r="A28" t="s">
        <v>316</v>
      </c>
      <c r="B28">
        <v>1.8480000000000001</v>
      </c>
      <c r="C28">
        <v>1.98</v>
      </c>
    </row>
    <row r="29" spans="1:3" x14ac:dyDescent="0.3">
      <c r="A29" t="s">
        <v>317</v>
      </c>
      <c r="B29">
        <v>1.1359999999999999</v>
      </c>
      <c r="C29">
        <v>1.923</v>
      </c>
    </row>
    <row r="30" spans="1:3" x14ac:dyDescent="0.3">
      <c r="A30" t="s">
        <v>318</v>
      </c>
      <c r="B30">
        <v>1.099</v>
      </c>
      <c r="C30">
        <v>1.25</v>
      </c>
    </row>
    <row r="31" spans="1:3" x14ac:dyDescent="0.3">
      <c r="A31" t="s">
        <v>319</v>
      </c>
      <c r="B31">
        <v>1.7569999999999999</v>
      </c>
      <c r="C31">
        <v>1.923</v>
      </c>
    </row>
    <row r="34" spans="1:2" x14ac:dyDescent="0.3">
      <c r="A34" t="s">
        <v>320</v>
      </c>
    </row>
    <row r="37" spans="1:2" ht="28.8" x14ac:dyDescent="0.3">
      <c r="A37" t="s">
        <v>321</v>
      </c>
      <c r="B37" s="2" t="s">
        <v>322</v>
      </c>
    </row>
    <row r="38" spans="1:2" x14ac:dyDescent="0.3">
      <c r="A38" t="s">
        <v>323</v>
      </c>
      <c r="B38">
        <v>1.3</v>
      </c>
    </row>
    <row r="39" spans="1:2" x14ac:dyDescent="0.3">
      <c r="A39" t="s">
        <v>324</v>
      </c>
      <c r="B39">
        <v>1.3</v>
      </c>
    </row>
    <row r="40" spans="1:2" x14ac:dyDescent="0.3">
      <c r="A40" t="s">
        <v>325</v>
      </c>
      <c r="B40">
        <v>1.7</v>
      </c>
    </row>
    <row r="41" spans="1:2" x14ac:dyDescent="0.3">
      <c r="A41" t="s">
        <v>326</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S19"/>
  <sheetViews>
    <sheetView zoomScale="130" zoomScaleNormal="130" workbookViewId="0">
      <selection activeCell="D25" sqref="D25"/>
    </sheetView>
  </sheetViews>
  <sheetFormatPr baseColWidth="10" defaultColWidth="10.77734375" defaultRowHeight="14.4" x14ac:dyDescent="0.3"/>
  <cols>
    <col min="4" max="4" width="13.44140625" customWidth="1"/>
    <col min="7" max="7" width="16.44140625" customWidth="1"/>
    <col min="8" max="8" width="34.109375" customWidth="1"/>
    <col min="12" max="12" width="33.44140625" customWidth="1"/>
  </cols>
  <sheetData>
    <row r="2" spans="2:19" x14ac:dyDescent="0.3">
      <c r="B2" s="319" t="s">
        <v>327</v>
      </c>
      <c r="C2" s="319"/>
      <c r="D2" s="319"/>
      <c r="F2" s="319" t="s">
        <v>88</v>
      </c>
      <c r="G2" s="319"/>
      <c r="H2" s="319"/>
      <c r="J2" s="320" t="s">
        <v>87</v>
      </c>
      <c r="K2" s="320"/>
      <c r="L2" s="320"/>
      <c r="Q2" s="320" t="s">
        <v>87</v>
      </c>
      <c r="R2" s="320"/>
      <c r="S2" s="320"/>
    </row>
    <row r="3" spans="2:19" x14ac:dyDescent="0.3">
      <c r="B3" t="s">
        <v>21</v>
      </c>
      <c r="C3" t="s">
        <v>328</v>
      </c>
      <c r="D3" t="s">
        <v>89</v>
      </c>
      <c r="F3" t="s">
        <v>21</v>
      </c>
      <c r="G3" t="s">
        <v>328</v>
      </c>
      <c r="H3" t="s">
        <v>89</v>
      </c>
      <c r="J3" s="8" t="s">
        <v>21</v>
      </c>
      <c r="K3" s="8" t="s">
        <v>328</v>
      </c>
      <c r="L3" s="8" t="s">
        <v>89</v>
      </c>
      <c r="N3" t="s">
        <v>21</v>
      </c>
      <c r="O3" t="s">
        <v>329</v>
      </c>
      <c r="Q3" s="8" t="s">
        <v>21</v>
      </c>
      <c r="R3" s="8" t="s">
        <v>328</v>
      </c>
      <c r="S3" s="8" t="s">
        <v>89</v>
      </c>
    </row>
    <row r="4" spans="2:19" x14ac:dyDescent="0.3">
      <c r="B4">
        <v>1</v>
      </c>
      <c r="C4" t="s">
        <v>330</v>
      </c>
      <c r="F4">
        <v>1</v>
      </c>
      <c r="G4" t="s">
        <v>105</v>
      </c>
      <c r="H4" t="s">
        <v>105</v>
      </c>
      <c r="J4" s="9">
        <v>1</v>
      </c>
      <c r="K4" s="9" t="s">
        <v>118</v>
      </c>
      <c r="L4" s="9" t="s">
        <v>118</v>
      </c>
      <c r="N4">
        <v>1</v>
      </c>
      <c r="O4" t="s">
        <v>44</v>
      </c>
      <c r="Q4" s="9">
        <v>1</v>
      </c>
      <c r="R4" s="9" t="s">
        <v>118</v>
      </c>
      <c r="S4" s="9" t="s">
        <v>118</v>
      </c>
    </row>
    <row r="5" spans="2:19" x14ac:dyDescent="0.3">
      <c r="B5">
        <v>2</v>
      </c>
      <c r="C5" t="s">
        <v>331</v>
      </c>
      <c r="F5">
        <v>2</v>
      </c>
      <c r="G5" t="s">
        <v>110</v>
      </c>
      <c r="H5" t="s">
        <v>110</v>
      </c>
      <c r="J5">
        <v>2</v>
      </c>
      <c r="K5" t="s">
        <v>104</v>
      </c>
      <c r="L5" t="s">
        <v>104</v>
      </c>
      <c r="N5">
        <v>2</v>
      </c>
      <c r="O5" t="s">
        <v>84</v>
      </c>
      <c r="Q5">
        <v>2</v>
      </c>
      <c r="R5" t="s">
        <v>104</v>
      </c>
      <c r="S5" t="s">
        <v>104</v>
      </c>
    </row>
    <row r="6" spans="2:19" x14ac:dyDescent="0.3">
      <c r="B6">
        <v>3</v>
      </c>
      <c r="F6">
        <v>3</v>
      </c>
      <c r="G6" t="s">
        <v>113</v>
      </c>
      <c r="H6" t="s">
        <v>113</v>
      </c>
      <c r="J6" s="9">
        <v>3</v>
      </c>
      <c r="K6" s="9" t="s">
        <v>332</v>
      </c>
      <c r="L6" s="9" t="s">
        <v>332</v>
      </c>
      <c r="Q6" s="9">
        <v>3</v>
      </c>
      <c r="R6" s="9" t="s">
        <v>332</v>
      </c>
      <c r="S6" s="9" t="s">
        <v>332</v>
      </c>
    </row>
    <row r="7" spans="2:19" x14ac:dyDescent="0.3">
      <c r="B7">
        <v>4</v>
      </c>
      <c r="F7">
        <v>4</v>
      </c>
      <c r="G7" t="s">
        <v>116</v>
      </c>
      <c r="H7" t="s">
        <v>116</v>
      </c>
      <c r="J7">
        <v>4</v>
      </c>
      <c r="K7" t="s">
        <v>109</v>
      </c>
      <c r="L7" t="s">
        <v>109</v>
      </c>
      <c r="Q7">
        <v>4</v>
      </c>
      <c r="R7" t="s">
        <v>109</v>
      </c>
      <c r="S7" t="s">
        <v>109</v>
      </c>
    </row>
    <row r="8" spans="2:19" x14ac:dyDescent="0.3">
      <c r="B8">
        <v>5</v>
      </c>
      <c r="F8">
        <v>5</v>
      </c>
      <c r="J8" s="9">
        <v>5</v>
      </c>
      <c r="K8" s="9" t="s">
        <v>333</v>
      </c>
      <c r="L8" s="9" t="s">
        <v>333</v>
      </c>
      <c r="Q8" s="9">
        <v>5</v>
      </c>
      <c r="R8" s="9" t="s">
        <v>333</v>
      </c>
      <c r="S8" s="9" t="s">
        <v>333</v>
      </c>
    </row>
    <row r="9" spans="2:19" x14ac:dyDescent="0.3">
      <c r="B9">
        <v>6</v>
      </c>
      <c r="C9" t="s">
        <v>334</v>
      </c>
      <c r="F9">
        <v>6</v>
      </c>
      <c r="J9">
        <v>6</v>
      </c>
    </row>
    <row r="10" spans="2:19" x14ac:dyDescent="0.3">
      <c r="B10">
        <v>7</v>
      </c>
      <c r="F10">
        <v>7</v>
      </c>
    </row>
    <row r="11" spans="2:19" x14ac:dyDescent="0.3">
      <c r="B11">
        <v>8</v>
      </c>
      <c r="F11">
        <v>8</v>
      </c>
    </row>
    <row r="14" spans="2:19" x14ac:dyDescent="0.3">
      <c r="B14" s="319" t="s">
        <v>335</v>
      </c>
      <c r="C14" s="319"/>
      <c r="D14" s="319"/>
      <c r="F14" s="319" t="s">
        <v>31</v>
      </c>
      <c r="G14" s="319"/>
      <c r="H14" s="319"/>
    </row>
    <row r="15" spans="2:19" x14ac:dyDescent="0.3">
      <c r="B15" s="60" t="s">
        <v>21</v>
      </c>
      <c r="C15" s="60" t="s">
        <v>328</v>
      </c>
      <c r="D15" s="60" t="s">
        <v>89</v>
      </c>
      <c r="F15" s="60" t="s">
        <v>21</v>
      </c>
      <c r="G15" s="60" t="s">
        <v>328</v>
      </c>
      <c r="H15" s="60" t="s">
        <v>89</v>
      </c>
    </row>
    <row r="16" spans="2:19" x14ac:dyDescent="0.3">
      <c r="B16" s="9">
        <v>1</v>
      </c>
      <c r="C16" s="9" t="s">
        <v>133</v>
      </c>
      <c r="D16" s="9"/>
      <c r="F16" s="9">
        <v>1</v>
      </c>
      <c r="G16" s="9" t="s">
        <v>336</v>
      </c>
      <c r="H16" s="9" t="s">
        <v>337</v>
      </c>
    </row>
    <row r="17" spans="2:8" x14ac:dyDescent="0.3">
      <c r="B17" s="9">
        <v>2</v>
      </c>
      <c r="C17" s="9" t="s">
        <v>224</v>
      </c>
      <c r="D17" s="9"/>
      <c r="F17" s="9">
        <v>2</v>
      </c>
      <c r="G17" s="9" t="s">
        <v>338</v>
      </c>
      <c r="H17" s="9" t="s">
        <v>339</v>
      </c>
    </row>
    <row r="18" spans="2:8" x14ac:dyDescent="0.3">
      <c r="B18">
        <v>3</v>
      </c>
      <c r="C18" t="s">
        <v>106</v>
      </c>
      <c r="F18" s="9">
        <v>3</v>
      </c>
      <c r="G18" s="9" t="s">
        <v>340</v>
      </c>
      <c r="H18" s="9" t="s">
        <v>341</v>
      </c>
    </row>
    <row r="19" spans="2:8" x14ac:dyDescent="0.3">
      <c r="F19" s="9">
        <v>4</v>
      </c>
      <c r="G19" s="9" t="s">
        <v>342</v>
      </c>
      <c r="H19" s="9" t="s">
        <v>343</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activeCell="H39" sqref="H39"/>
      <selection pane="topRight" activeCell="H39" sqref="H39"/>
      <selection pane="bottomLeft" activeCell="H39" sqref="H39"/>
      <selection pane="bottomRight" activeCell="H39" sqref="H39"/>
    </sheetView>
  </sheetViews>
  <sheetFormatPr baseColWidth="10" defaultColWidth="10.77734375" defaultRowHeight="14.4" x14ac:dyDescent="0.3"/>
  <cols>
    <col min="4" max="4" width="27.44140625" customWidth="1"/>
    <col min="5" max="5" width="19.44140625" customWidth="1"/>
    <col min="6" max="6" width="14.44140625" customWidth="1"/>
    <col min="7" max="7" width="23.109375" customWidth="1"/>
    <col min="8" max="8" width="17.44140625" customWidth="1"/>
    <col min="10" max="10" width="13.44140625" customWidth="1"/>
    <col min="12" max="12" width="13.44140625" customWidth="1"/>
    <col min="14" max="14" width="13.44140625" customWidth="1"/>
    <col min="16" max="16" width="13.44140625" customWidth="1"/>
    <col min="18" max="18" width="22.77734375" customWidth="1"/>
    <col min="19" max="19" width="11.44140625" customWidth="1"/>
    <col min="20" max="20" width="14.44140625" customWidth="1"/>
    <col min="21" max="21" width="11.44140625" customWidth="1"/>
    <col min="22" max="22" width="19.77734375" customWidth="1"/>
    <col min="23" max="23" width="11.44140625" customWidth="1"/>
    <col min="24" max="24" width="14.44140625" customWidth="1"/>
    <col min="25" max="25" width="11.44140625" customWidth="1"/>
    <col min="26" max="26" width="14.44140625" customWidth="1"/>
    <col min="27" max="27" width="11.44140625" customWidth="1"/>
    <col min="28" max="28" width="14.44140625" customWidth="1"/>
    <col min="30" max="30" width="15.44140625" customWidth="1"/>
    <col min="31" max="31" width="24.77734375" customWidth="1"/>
  </cols>
  <sheetData>
    <row r="2" spans="2:32" ht="15" thickBot="1" x14ac:dyDescent="0.35">
      <c r="B2" s="319" t="s">
        <v>346</v>
      </c>
      <c r="C2" s="319"/>
      <c r="D2" s="319"/>
      <c r="E2" s="319"/>
      <c r="F2" s="319"/>
      <c r="G2" s="319"/>
      <c r="H2" s="319"/>
      <c r="I2" s="319"/>
      <c r="J2" s="319"/>
      <c r="K2" s="319"/>
      <c r="L2" s="319"/>
      <c r="M2" s="319"/>
      <c r="N2" s="319"/>
      <c r="O2" s="319"/>
      <c r="P2" s="319"/>
      <c r="Q2" s="319"/>
      <c r="R2" s="319"/>
      <c r="S2" s="319"/>
      <c r="T2" s="319"/>
      <c r="U2" s="319"/>
      <c r="V2" s="319"/>
      <c r="W2" s="319"/>
      <c r="X2" s="319"/>
      <c r="Y2" s="319"/>
      <c r="Z2" s="319"/>
      <c r="AA2" s="319"/>
      <c r="AB2" s="319"/>
      <c r="AC2" s="319"/>
      <c r="AD2" s="319"/>
      <c r="AE2" s="319"/>
      <c r="AF2" s="319"/>
    </row>
    <row r="3" spans="2:32" x14ac:dyDescent="0.3">
      <c r="B3" t="s">
        <v>347</v>
      </c>
      <c r="C3" t="s">
        <v>348</v>
      </c>
      <c r="D3" t="s">
        <v>349</v>
      </c>
      <c r="E3" t="s">
        <v>350</v>
      </c>
      <c r="F3" t="s">
        <v>351</v>
      </c>
      <c r="G3" t="s">
        <v>352</v>
      </c>
      <c r="H3" s="11" t="s">
        <v>353</v>
      </c>
      <c r="I3" s="12" t="s">
        <v>354</v>
      </c>
      <c r="J3" s="12" t="s">
        <v>355</v>
      </c>
      <c r="K3" s="12" t="s">
        <v>356</v>
      </c>
      <c r="L3" s="12" t="s">
        <v>357</v>
      </c>
      <c r="M3" s="12" t="s">
        <v>139</v>
      </c>
      <c r="N3" s="12" t="s">
        <v>358</v>
      </c>
      <c r="O3" s="12" t="s">
        <v>141</v>
      </c>
      <c r="P3" s="12" t="s">
        <v>359</v>
      </c>
      <c r="Q3" s="13" t="s">
        <v>143</v>
      </c>
      <c r="R3" s="12" t="s">
        <v>360</v>
      </c>
      <c r="S3" s="12" t="s">
        <v>361</v>
      </c>
      <c r="T3" s="12" t="s">
        <v>362</v>
      </c>
      <c r="U3" s="12" t="s">
        <v>363</v>
      </c>
      <c r="V3" s="12" t="s">
        <v>364</v>
      </c>
      <c r="W3" s="12" t="s">
        <v>365</v>
      </c>
      <c r="X3" s="12" t="s">
        <v>366</v>
      </c>
      <c r="Y3" s="12" t="s">
        <v>367</v>
      </c>
      <c r="Z3" s="12" t="s">
        <v>368</v>
      </c>
      <c r="AA3" s="12" t="s">
        <v>369</v>
      </c>
      <c r="AB3" s="12" t="s">
        <v>370</v>
      </c>
      <c r="AC3" s="13" t="s">
        <v>371</v>
      </c>
      <c r="AD3" t="s">
        <v>372</v>
      </c>
      <c r="AE3" t="s">
        <v>373</v>
      </c>
      <c r="AF3" t="s">
        <v>164</v>
      </c>
    </row>
    <row r="4" spans="2:32" x14ac:dyDescent="0.3">
      <c r="B4">
        <v>1</v>
      </c>
      <c r="D4" t="s">
        <v>374</v>
      </c>
      <c r="E4" t="s">
        <v>7</v>
      </c>
      <c r="F4" t="s">
        <v>107</v>
      </c>
      <c r="G4" t="s">
        <v>104</v>
      </c>
      <c r="H4" s="14" t="s">
        <v>375</v>
      </c>
      <c r="J4" t="s">
        <v>376</v>
      </c>
      <c r="L4" t="s">
        <v>377</v>
      </c>
      <c r="M4" t="s">
        <v>377</v>
      </c>
      <c r="N4" t="s">
        <v>377</v>
      </c>
      <c r="O4" t="s">
        <v>377</v>
      </c>
      <c r="P4" t="s">
        <v>377</v>
      </c>
      <c r="Q4" s="15" t="s">
        <v>377</v>
      </c>
      <c r="R4" t="s">
        <v>107</v>
      </c>
      <c r="T4" t="s">
        <v>377</v>
      </c>
      <c r="U4" t="s">
        <v>377</v>
      </c>
      <c r="V4" t="s">
        <v>377</v>
      </c>
      <c r="W4" t="s">
        <v>377</v>
      </c>
      <c r="X4" t="s">
        <v>377</v>
      </c>
      <c r="Y4" t="s">
        <v>377</v>
      </c>
      <c r="Z4" t="s">
        <v>377</v>
      </c>
      <c r="AA4" t="s">
        <v>377</v>
      </c>
      <c r="AB4" t="s">
        <v>377</v>
      </c>
      <c r="AC4" s="15" t="s">
        <v>377</v>
      </c>
      <c r="AD4" t="s">
        <v>44</v>
      </c>
      <c r="AE4" t="s">
        <v>84</v>
      </c>
      <c r="AF4">
        <v>2022</v>
      </c>
    </row>
    <row r="5" spans="2:32" x14ac:dyDescent="0.3">
      <c r="B5">
        <v>2</v>
      </c>
      <c r="D5" t="s">
        <v>374</v>
      </c>
      <c r="E5" t="s">
        <v>6</v>
      </c>
      <c r="F5" t="s">
        <v>107</v>
      </c>
      <c r="G5" t="s">
        <v>104</v>
      </c>
      <c r="H5" s="14" t="s">
        <v>375</v>
      </c>
      <c r="J5" t="s">
        <v>376</v>
      </c>
      <c r="L5" t="s">
        <v>377</v>
      </c>
      <c r="M5" t="s">
        <v>377</v>
      </c>
      <c r="N5" t="s">
        <v>377</v>
      </c>
      <c r="O5" t="s">
        <v>377</v>
      </c>
      <c r="P5" t="s">
        <v>377</v>
      </c>
      <c r="Q5" s="15" t="s">
        <v>377</v>
      </c>
      <c r="R5" t="s">
        <v>107</v>
      </c>
      <c r="T5" t="s">
        <v>377</v>
      </c>
      <c r="U5" t="s">
        <v>377</v>
      </c>
      <c r="V5" t="s">
        <v>377</v>
      </c>
      <c r="W5" t="s">
        <v>377</v>
      </c>
      <c r="X5" t="s">
        <v>377</v>
      </c>
      <c r="Y5" t="s">
        <v>377</v>
      </c>
      <c r="Z5" t="s">
        <v>377</v>
      </c>
      <c r="AA5" t="s">
        <v>377</v>
      </c>
      <c r="AB5" t="s">
        <v>377</v>
      </c>
      <c r="AC5" s="15" t="s">
        <v>377</v>
      </c>
      <c r="AD5" t="s">
        <v>44</v>
      </c>
      <c r="AE5" t="s">
        <v>84</v>
      </c>
      <c r="AF5">
        <v>2022</v>
      </c>
    </row>
    <row r="6" spans="2:32" x14ac:dyDescent="0.3">
      <c r="B6">
        <v>3</v>
      </c>
      <c r="D6" t="s">
        <v>374</v>
      </c>
      <c r="E6" t="s">
        <v>7</v>
      </c>
      <c r="F6" t="s">
        <v>107</v>
      </c>
      <c r="G6" t="s">
        <v>104</v>
      </c>
      <c r="H6" s="14" t="s">
        <v>375</v>
      </c>
      <c r="J6" t="s">
        <v>376</v>
      </c>
      <c r="L6" t="s">
        <v>377</v>
      </c>
      <c r="M6" t="s">
        <v>377</v>
      </c>
      <c r="N6" t="s">
        <v>377</v>
      </c>
      <c r="O6" t="s">
        <v>377</v>
      </c>
      <c r="P6" t="s">
        <v>377</v>
      </c>
      <c r="Q6" s="15" t="s">
        <v>377</v>
      </c>
      <c r="R6" t="s">
        <v>107</v>
      </c>
      <c r="T6" t="s">
        <v>377</v>
      </c>
      <c r="U6" t="s">
        <v>377</v>
      </c>
      <c r="V6" t="s">
        <v>377</v>
      </c>
      <c r="W6" t="s">
        <v>377</v>
      </c>
      <c r="X6" t="s">
        <v>377</v>
      </c>
      <c r="Y6" t="s">
        <v>377</v>
      </c>
      <c r="Z6" t="s">
        <v>377</v>
      </c>
      <c r="AA6" t="s">
        <v>377</v>
      </c>
      <c r="AB6" t="s">
        <v>377</v>
      </c>
      <c r="AC6" s="15" t="s">
        <v>377</v>
      </c>
      <c r="AD6" t="s">
        <v>44</v>
      </c>
      <c r="AE6" t="s">
        <v>84</v>
      </c>
      <c r="AF6">
        <v>2012</v>
      </c>
    </row>
    <row r="7" spans="2:32" x14ac:dyDescent="0.3">
      <c r="B7">
        <v>4</v>
      </c>
      <c r="D7" t="s">
        <v>374</v>
      </c>
      <c r="E7" t="s">
        <v>378</v>
      </c>
      <c r="F7" t="s">
        <v>107</v>
      </c>
      <c r="G7" t="s">
        <v>104</v>
      </c>
      <c r="H7" s="14" t="s">
        <v>375</v>
      </c>
      <c r="J7" t="s">
        <v>376</v>
      </c>
      <c r="L7" t="s">
        <v>377</v>
      </c>
      <c r="M7" t="s">
        <v>377</v>
      </c>
      <c r="N7" t="s">
        <v>377</v>
      </c>
      <c r="O7" t="s">
        <v>377</v>
      </c>
      <c r="P7" t="s">
        <v>377</v>
      </c>
      <c r="Q7" s="15" t="s">
        <v>377</v>
      </c>
      <c r="R7" t="s">
        <v>107</v>
      </c>
      <c r="T7" t="s">
        <v>377</v>
      </c>
      <c r="U7" t="s">
        <v>377</v>
      </c>
      <c r="V7" t="s">
        <v>377</v>
      </c>
      <c r="W7" t="s">
        <v>377</v>
      </c>
      <c r="X7" t="s">
        <v>377</v>
      </c>
      <c r="Y7" t="s">
        <v>377</v>
      </c>
      <c r="Z7" t="s">
        <v>377</v>
      </c>
      <c r="AA7" t="s">
        <v>377</v>
      </c>
      <c r="AB7" t="s">
        <v>377</v>
      </c>
      <c r="AC7" s="15" t="s">
        <v>377</v>
      </c>
      <c r="AD7" t="s">
        <v>44</v>
      </c>
      <c r="AE7" t="s">
        <v>84</v>
      </c>
      <c r="AF7">
        <v>2012</v>
      </c>
    </row>
    <row r="8" spans="2:32" x14ac:dyDescent="0.3">
      <c r="B8">
        <v>5</v>
      </c>
      <c r="D8" t="s">
        <v>331</v>
      </c>
      <c r="E8" t="s">
        <v>7</v>
      </c>
      <c r="F8" t="s">
        <v>107</v>
      </c>
      <c r="G8" s="19" t="s">
        <v>379</v>
      </c>
      <c r="H8" s="14" t="s">
        <v>107</v>
      </c>
      <c r="J8" t="s">
        <v>377</v>
      </c>
      <c r="K8" t="s">
        <v>377</v>
      </c>
      <c r="L8" t="s">
        <v>377</v>
      </c>
      <c r="M8" t="s">
        <v>377</v>
      </c>
      <c r="N8" t="s">
        <v>377</v>
      </c>
      <c r="O8" t="s">
        <v>377</v>
      </c>
      <c r="P8" t="s">
        <v>377</v>
      </c>
      <c r="Q8" s="15" t="s">
        <v>377</v>
      </c>
      <c r="R8" t="s">
        <v>380</v>
      </c>
      <c r="T8" t="s">
        <v>381</v>
      </c>
      <c r="V8" t="s">
        <v>382</v>
      </c>
      <c r="X8" t="s">
        <v>376</v>
      </c>
      <c r="Z8" t="s">
        <v>377</v>
      </c>
      <c r="AA8" t="s">
        <v>377</v>
      </c>
      <c r="AB8" t="s">
        <v>377</v>
      </c>
      <c r="AC8" s="15" t="s">
        <v>377</v>
      </c>
      <c r="AD8" t="s">
        <v>84</v>
      </c>
      <c r="AE8" t="s">
        <v>84</v>
      </c>
    </row>
    <row r="9" spans="2:32" x14ac:dyDescent="0.3">
      <c r="B9">
        <v>6</v>
      </c>
      <c r="D9" t="s">
        <v>383</v>
      </c>
      <c r="E9" t="s">
        <v>7</v>
      </c>
      <c r="F9" t="s">
        <v>107</v>
      </c>
      <c r="G9" t="s">
        <v>110</v>
      </c>
      <c r="H9" s="14" t="s">
        <v>384</v>
      </c>
      <c r="J9" t="s">
        <v>377</v>
      </c>
      <c r="K9" t="s">
        <v>377</v>
      </c>
      <c r="L9" t="s">
        <v>377</v>
      </c>
      <c r="M9" t="s">
        <v>377</v>
      </c>
      <c r="N9" t="s">
        <v>377</v>
      </c>
      <c r="O9" t="s">
        <v>377</v>
      </c>
      <c r="P9" t="s">
        <v>377</v>
      </c>
      <c r="Q9" s="15" t="s">
        <v>377</v>
      </c>
      <c r="R9" t="s">
        <v>385</v>
      </c>
      <c r="T9" t="s">
        <v>386</v>
      </c>
      <c r="V9" t="s">
        <v>387</v>
      </c>
      <c r="X9" t="s">
        <v>388</v>
      </c>
      <c r="Z9" t="s">
        <v>389</v>
      </c>
      <c r="AB9" t="s">
        <v>390</v>
      </c>
      <c r="AC9" s="15"/>
      <c r="AD9" t="s">
        <v>84</v>
      </c>
      <c r="AE9" t="s">
        <v>44</v>
      </c>
      <c r="AF9">
        <v>2023</v>
      </c>
    </row>
    <row r="10" spans="2:32" x14ac:dyDescent="0.3">
      <c r="B10">
        <v>7</v>
      </c>
      <c r="D10" t="s">
        <v>391</v>
      </c>
      <c r="E10" t="s">
        <v>7</v>
      </c>
      <c r="F10" t="s">
        <v>107</v>
      </c>
      <c r="G10" t="s">
        <v>110</v>
      </c>
      <c r="H10" s="14" t="s">
        <v>392</v>
      </c>
      <c r="J10" t="s">
        <v>393</v>
      </c>
      <c r="L10" t="s">
        <v>394</v>
      </c>
      <c r="N10" t="s">
        <v>395</v>
      </c>
      <c r="P10" t="s">
        <v>377</v>
      </c>
      <c r="Q10" s="15" t="s">
        <v>377</v>
      </c>
      <c r="R10" t="s">
        <v>396</v>
      </c>
      <c r="T10" t="s">
        <v>397</v>
      </c>
      <c r="V10" t="s">
        <v>390</v>
      </c>
      <c r="X10" t="s">
        <v>377</v>
      </c>
      <c r="Y10" t="s">
        <v>377</v>
      </c>
      <c r="Z10" t="s">
        <v>377</v>
      </c>
      <c r="AA10" t="s">
        <v>377</v>
      </c>
      <c r="AB10" t="s">
        <v>377</v>
      </c>
      <c r="AC10" s="15" t="s">
        <v>377</v>
      </c>
      <c r="AE10" t="s">
        <v>44</v>
      </c>
    </row>
    <row r="11" spans="2:32" x14ac:dyDescent="0.3">
      <c r="D11" t="s">
        <v>398</v>
      </c>
      <c r="E11" t="s">
        <v>7</v>
      </c>
      <c r="F11" t="s">
        <v>107</v>
      </c>
      <c r="G11" t="s">
        <v>110</v>
      </c>
      <c r="H11" s="14" t="s">
        <v>392</v>
      </c>
      <c r="J11" t="s">
        <v>393</v>
      </c>
      <c r="L11" t="s">
        <v>394</v>
      </c>
      <c r="N11" t="s">
        <v>395</v>
      </c>
      <c r="P11" t="s">
        <v>377</v>
      </c>
      <c r="Q11" s="15" t="s">
        <v>377</v>
      </c>
      <c r="R11" s="14"/>
      <c r="AC11" s="15"/>
    </row>
    <row r="12" spans="2:32" x14ac:dyDescent="0.3">
      <c r="B12">
        <v>8</v>
      </c>
      <c r="D12" t="s">
        <v>399</v>
      </c>
      <c r="E12" t="s">
        <v>378</v>
      </c>
      <c r="F12" t="s">
        <v>107</v>
      </c>
      <c r="G12" t="s">
        <v>113</v>
      </c>
      <c r="H12" t="s">
        <v>400</v>
      </c>
      <c r="J12" t="s">
        <v>377</v>
      </c>
      <c r="K12" t="s">
        <v>377</v>
      </c>
      <c r="L12" t="s">
        <v>377</v>
      </c>
      <c r="M12" t="s">
        <v>377</v>
      </c>
      <c r="N12" t="s">
        <v>377</v>
      </c>
      <c r="O12" t="s">
        <v>377</v>
      </c>
      <c r="P12" t="s">
        <v>377</v>
      </c>
      <c r="Q12" s="15" t="s">
        <v>377</v>
      </c>
      <c r="R12" t="s">
        <v>401</v>
      </c>
      <c r="T12" t="s">
        <v>377</v>
      </c>
      <c r="U12" t="s">
        <v>377</v>
      </c>
      <c r="V12" t="s">
        <v>377</v>
      </c>
      <c r="W12" t="s">
        <v>377</v>
      </c>
      <c r="X12" t="s">
        <v>377</v>
      </c>
      <c r="Y12" t="s">
        <v>377</v>
      </c>
      <c r="Z12" t="s">
        <v>377</v>
      </c>
      <c r="AA12" t="s">
        <v>377</v>
      </c>
      <c r="AB12" t="s">
        <v>377</v>
      </c>
      <c r="AC12" t="s">
        <v>377</v>
      </c>
      <c r="AD12" t="s">
        <v>44</v>
      </c>
    </row>
    <row r="13" spans="2:32" x14ac:dyDescent="0.3">
      <c r="B13">
        <v>9</v>
      </c>
      <c r="D13" t="s">
        <v>402</v>
      </c>
      <c r="E13" t="s">
        <v>378</v>
      </c>
      <c r="F13" t="s">
        <v>107</v>
      </c>
      <c r="G13" t="s">
        <v>113</v>
      </c>
      <c r="H13" s="14" t="s">
        <v>403</v>
      </c>
      <c r="J13" t="s">
        <v>377</v>
      </c>
      <c r="K13" t="s">
        <v>377</v>
      </c>
      <c r="L13" t="s">
        <v>377</v>
      </c>
      <c r="M13" t="s">
        <v>377</v>
      </c>
      <c r="N13" t="s">
        <v>377</v>
      </c>
      <c r="O13" t="s">
        <v>377</v>
      </c>
      <c r="P13" t="s">
        <v>377</v>
      </c>
      <c r="Q13" s="15" t="s">
        <v>377</v>
      </c>
      <c r="R13" t="s">
        <v>401</v>
      </c>
      <c r="T13" t="s">
        <v>377</v>
      </c>
      <c r="U13" t="s">
        <v>377</v>
      </c>
      <c r="V13" t="s">
        <v>377</v>
      </c>
      <c r="W13" t="s">
        <v>377</v>
      </c>
      <c r="X13" t="s">
        <v>377</v>
      </c>
      <c r="Y13" t="s">
        <v>377</v>
      </c>
      <c r="Z13" t="s">
        <v>377</v>
      </c>
      <c r="AA13" t="s">
        <v>377</v>
      </c>
      <c r="AB13" t="s">
        <v>377</v>
      </c>
      <c r="AC13" t="s">
        <v>377</v>
      </c>
      <c r="AD13" t="s">
        <v>44</v>
      </c>
    </row>
    <row r="14" spans="2:32" x14ac:dyDescent="0.3">
      <c r="B14">
        <v>10</v>
      </c>
      <c r="D14" t="s">
        <v>404</v>
      </c>
      <c r="E14" t="s">
        <v>6</v>
      </c>
      <c r="F14" t="s">
        <v>107</v>
      </c>
      <c r="G14" s="19" t="s">
        <v>405</v>
      </c>
      <c r="H14" s="14" t="s">
        <v>401</v>
      </c>
      <c r="J14" t="s">
        <v>406</v>
      </c>
      <c r="L14" t="s">
        <v>377</v>
      </c>
      <c r="M14" t="s">
        <v>377</v>
      </c>
      <c r="N14" t="s">
        <v>377</v>
      </c>
      <c r="O14" t="s">
        <v>377</v>
      </c>
      <c r="P14" t="s">
        <v>377</v>
      </c>
      <c r="Q14" s="15" t="s">
        <v>377</v>
      </c>
      <c r="R14" t="s">
        <v>407</v>
      </c>
      <c r="T14" t="s">
        <v>408</v>
      </c>
      <c r="V14" t="s">
        <v>409</v>
      </c>
      <c r="X14" t="s">
        <v>410</v>
      </c>
      <c r="Z14" t="s">
        <v>377</v>
      </c>
      <c r="AA14" t="s">
        <v>377</v>
      </c>
      <c r="AB14" t="s">
        <v>377</v>
      </c>
      <c r="AC14" s="15" t="s">
        <v>377</v>
      </c>
    </row>
    <row r="15" spans="2:32" x14ac:dyDescent="0.3">
      <c r="B15">
        <v>11</v>
      </c>
      <c r="D15" t="s">
        <v>404</v>
      </c>
      <c r="E15" t="s">
        <v>7</v>
      </c>
      <c r="F15" t="s">
        <v>107</v>
      </c>
      <c r="G15" s="19" t="s">
        <v>405</v>
      </c>
      <c r="H15" s="14" t="s">
        <v>401</v>
      </c>
      <c r="J15" t="s">
        <v>406</v>
      </c>
      <c r="L15" t="s">
        <v>377</v>
      </c>
      <c r="M15" t="s">
        <v>377</v>
      </c>
      <c r="N15" t="s">
        <v>377</v>
      </c>
      <c r="O15" t="s">
        <v>377</v>
      </c>
      <c r="P15" t="s">
        <v>377</v>
      </c>
      <c r="Q15" s="15" t="s">
        <v>377</v>
      </c>
      <c r="R15" t="s">
        <v>407</v>
      </c>
      <c r="T15" t="s">
        <v>408</v>
      </c>
      <c r="V15" t="s">
        <v>409</v>
      </c>
      <c r="X15" t="s">
        <v>410</v>
      </c>
      <c r="Z15" t="s">
        <v>377</v>
      </c>
      <c r="AA15" t="s">
        <v>377</v>
      </c>
      <c r="AB15" t="s">
        <v>377</v>
      </c>
      <c r="AC15" s="15" t="s">
        <v>377</v>
      </c>
      <c r="AD15" t="s">
        <v>84</v>
      </c>
      <c r="AE15" t="s">
        <v>44</v>
      </c>
    </row>
    <row r="16" spans="2:32" x14ac:dyDescent="0.3">
      <c r="B16">
        <v>12</v>
      </c>
      <c r="D16" t="s">
        <v>411</v>
      </c>
      <c r="E16" t="s">
        <v>6</v>
      </c>
      <c r="F16" t="s">
        <v>107</v>
      </c>
      <c r="G16" s="19" t="s">
        <v>405</v>
      </c>
      <c r="H16" t="s">
        <v>412</v>
      </c>
      <c r="J16" t="s">
        <v>413</v>
      </c>
      <c r="L16" t="s">
        <v>414</v>
      </c>
      <c r="N16" t="s">
        <v>415</v>
      </c>
      <c r="P16" t="s">
        <v>377</v>
      </c>
      <c r="Q16" s="15" t="s">
        <v>377</v>
      </c>
      <c r="R16" t="s">
        <v>416</v>
      </c>
      <c r="T16" t="s">
        <v>417</v>
      </c>
      <c r="V16" t="s">
        <v>377</v>
      </c>
      <c r="W16" t="s">
        <v>377</v>
      </c>
      <c r="X16" t="s">
        <v>377</v>
      </c>
      <c r="Y16" t="s">
        <v>377</v>
      </c>
      <c r="Z16" t="s">
        <v>377</v>
      </c>
      <c r="AA16" t="s">
        <v>377</v>
      </c>
      <c r="AB16" t="s">
        <v>377</v>
      </c>
      <c r="AC16" s="15" t="s">
        <v>377</v>
      </c>
      <c r="AD16" t="s">
        <v>84</v>
      </c>
      <c r="AE16" t="s">
        <v>44</v>
      </c>
    </row>
    <row r="17" spans="2:31" x14ac:dyDescent="0.3">
      <c r="B17">
        <v>13</v>
      </c>
      <c r="D17" t="s">
        <v>411</v>
      </c>
      <c r="E17" t="s">
        <v>7</v>
      </c>
      <c r="F17" t="s">
        <v>107</v>
      </c>
      <c r="G17" s="19" t="s">
        <v>405</v>
      </c>
      <c r="H17" t="s">
        <v>412</v>
      </c>
      <c r="J17" t="s">
        <v>413</v>
      </c>
      <c r="L17" t="s">
        <v>414</v>
      </c>
      <c r="N17" t="s">
        <v>415</v>
      </c>
      <c r="P17" t="s">
        <v>377</v>
      </c>
      <c r="Q17" s="15" t="s">
        <v>377</v>
      </c>
      <c r="R17" t="s">
        <v>416</v>
      </c>
      <c r="T17" t="s">
        <v>417</v>
      </c>
      <c r="V17" t="s">
        <v>377</v>
      </c>
      <c r="W17" t="s">
        <v>377</v>
      </c>
      <c r="X17" t="s">
        <v>377</v>
      </c>
      <c r="Y17" t="s">
        <v>377</v>
      </c>
      <c r="Z17" t="s">
        <v>377</v>
      </c>
      <c r="AA17" t="s">
        <v>377</v>
      </c>
      <c r="AB17" t="s">
        <v>377</v>
      </c>
      <c r="AC17" s="15" t="s">
        <v>377</v>
      </c>
      <c r="AD17" t="s">
        <v>84</v>
      </c>
      <c r="AE17" t="s">
        <v>44</v>
      </c>
    </row>
    <row r="18" spans="2:31" x14ac:dyDescent="0.3">
      <c r="B18">
        <v>14</v>
      </c>
      <c r="H18" s="14"/>
      <c r="Q18" s="15"/>
      <c r="AC18" s="15"/>
    </row>
    <row r="19" spans="2:31" x14ac:dyDescent="0.3">
      <c r="B19">
        <v>15</v>
      </c>
      <c r="H19" s="14"/>
      <c r="Q19" s="15"/>
      <c r="AC19" s="15"/>
    </row>
    <row r="20" spans="2:31" x14ac:dyDescent="0.3">
      <c r="B20">
        <v>16</v>
      </c>
      <c r="H20" s="14"/>
      <c r="Q20" s="15"/>
      <c r="AC20" s="15"/>
    </row>
    <row r="21" spans="2:31" x14ac:dyDescent="0.3">
      <c r="B21">
        <v>17</v>
      </c>
      <c r="H21" s="14"/>
      <c r="Q21" s="15"/>
      <c r="AC21" s="15"/>
    </row>
    <row r="22" spans="2:31" x14ac:dyDescent="0.3">
      <c r="B22">
        <v>18</v>
      </c>
      <c r="H22" s="14"/>
      <c r="Q22" s="15"/>
      <c r="AC22" s="15"/>
    </row>
    <row r="23" spans="2:31" x14ac:dyDescent="0.3">
      <c r="B23">
        <v>19</v>
      </c>
      <c r="H23" s="14"/>
      <c r="Q23" s="15"/>
      <c r="AC23" s="15"/>
    </row>
    <row r="24" spans="2:31" x14ac:dyDescent="0.3">
      <c r="B24">
        <v>20</v>
      </c>
      <c r="H24" s="14"/>
      <c r="Q24" s="15"/>
      <c r="AC24" s="15"/>
    </row>
    <row r="25" spans="2:31" x14ac:dyDescent="0.3">
      <c r="B25">
        <v>21</v>
      </c>
      <c r="H25" s="14"/>
      <c r="Q25" s="15"/>
      <c r="AC25" s="15"/>
    </row>
    <row r="26" spans="2:31" x14ac:dyDescent="0.3">
      <c r="B26">
        <v>22</v>
      </c>
      <c r="H26" s="14"/>
      <c r="Q26" s="15"/>
      <c r="AC26" s="15"/>
    </row>
    <row r="27" spans="2:31" x14ac:dyDescent="0.3">
      <c r="B27">
        <v>23</v>
      </c>
      <c r="H27" s="14"/>
      <c r="Q27" s="15"/>
      <c r="AC27" s="15"/>
    </row>
    <row r="28" spans="2:31" x14ac:dyDescent="0.3">
      <c r="B28">
        <v>24</v>
      </c>
      <c r="H28" s="14"/>
      <c r="Q28" s="15"/>
      <c r="AC28" s="15"/>
    </row>
    <row r="29" spans="2:31" x14ac:dyDescent="0.3">
      <c r="B29">
        <v>25</v>
      </c>
      <c r="H29" s="14"/>
      <c r="Q29" s="15"/>
      <c r="AC29" s="15"/>
    </row>
    <row r="30" spans="2:31" x14ac:dyDescent="0.3">
      <c r="B30">
        <v>26</v>
      </c>
      <c r="H30" s="14"/>
      <c r="Q30" s="15"/>
      <c r="AC30" s="15"/>
    </row>
    <row r="31" spans="2:31" x14ac:dyDescent="0.3">
      <c r="B31">
        <v>27</v>
      </c>
      <c r="H31" s="14"/>
      <c r="Q31" s="15"/>
      <c r="AC31" s="15"/>
    </row>
    <row r="32" spans="2:31" x14ac:dyDescent="0.3">
      <c r="B32">
        <v>28</v>
      </c>
      <c r="H32" s="14"/>
      <c r="Q32" s="15"/>
      <c r="AC32" s="15"/>
    </row>
    <row r="33" spans="2:29" x14ac:dyDescent="0.3">
      <c r="B33">
        <v>29</v>
      </c>
      <c r="H33" s="14"/>
      <c r="Q33" s="15"/>
      <c r="AC33" s="15"/>
    </row>
    <row r="34" spans="2:29" x14ac:dyDescent="0.3">
      <c r="B34">
        <v>30</v>
      </c>
      <c r="H34" s="14"/>
      <c r="Q34" s="15"/>
      <c r="AC34" s="15"/>
    </row>
    <row r="35" spans="2:29" x14ac:dyDescent="0.3">
      <c r="H35" s="14"/>
      <c r="Q35" s="15"/>
      <c r="AC35" s="15"/>
    </row>
    <row r="36" spans="2:29" x14ac:dyDescent="0.3">
      <c r="H36" s="14"/>
      <c r="Q36" s="15"/>
      <c r="AC36" s="15"/>
    </row>
    <row r="37" spans="2:29" x14ac:dyDescent="0.3">
      <c r="H37" s="14"/>
      <c r="Q37" s="15"/>
      <c r="AC37" s="15"/>
    </row>
    <row r="38" spans="2:29" x14ac:dyDescent="0.3">
      <c r="H38" s="14"/>
      <c r="Q38" s="15"/>
      <c r="AC38" s="15"/>
    </row>
    <row r="39" spans="2:29" x14ac:dyDescent="0.3">
      <c r="H39" s="14"/>
      <c r="Q39" s="15"/>
      <c r="AC39" s="15"/>
    </row>
    <row r="40" spans="2:29" x14ac:dyDescent="0.3">
      <c r="H40" s="14"/>
      <c r="Q40" s="15"/>
      <c r="AC40" s="15"/>
    </row>
    <row r="41" spans="2:29" x14ac:dyDescent="0.3">
      <c r="H41" s="14"/>
      <c r="Q41" s="15"/>
      <c r="AC41" s="15"/>
    </row>
    <row r="42" spans="2:29" x14ac:dyDescent="0.3">
      <c r="H42" s="14"/>
      <c r="Q42" s="15"/>
      <c r="AC42" s="15"/>
    </row>
    <row r="43" spans="2:29" x14ac:dyDescent="0.3">
      <c r="H43" s="14"/>
      <c r="Q43" s="15"/>
      <c r="AC43" s="15"/>
    </row>
    <row r="44" spans="2:29" x14ac:dyDescent="0.3">
      <c r="H44" s="14"/>
      <c r="Q44" s="15"/>
      <c r="AC44" s="15"/>
    </row>
    <row r="45" spans="2:29" x14ac:dyDescent="0.3">
      <c r="H45" s="14"/>
      <c r="Q45" s="15"/>
      <c r="AC45" s="15"/>
    </row>
    <row r="46" spans="2:29" x14ac:dyDescent="0.3">
      <c r="H46" s="14"/>
      <c r="Q46" s="15"/>
      <c r="AC46" s="15"/>
    </row>
    <row r="47" spans="2:29" ht="15" thickBot="1" x14ac:dyDescent="0.35">
      <c r="H47" s="16"/>
      <c r="I47" s="17"/>
      <c r="J47" s="17"/>
      <c r="K47" s="17"/>
      <c r="L47" s="17"/>
      <c r="M47" s="17"/>
      <c r="N47" s="17"/>
      <c r="O47" s="17"/>
      <c r="P47" s="17"/>
      <c r="Q47" s="18"/>
      <c r="R47" s="17"/>
      <c r="S47" s="17"/>
      <c r="T47" s="17"/>
      <c r="U47" s="17"/>
      <c r="V47" s="17"/>
      <c r="W47" s="17"/>
      <c r="X47" s="17"/>
      <c r="Y47" s="17"/>
      <c r="Z47" s="17"/>
      <c r="AA47" s="17"/>
      <c r="AB47" s="17"/>
      <c r="AC47" s="18"/>
    </row>
  </sheetData>
  <mergeCells count="1">
    <mergeCell ref="B2:AF2"/>
  </mergeCells>
  <pageMargins left="0.7" right="0.7" top="0.78740157499999996" bottom="0.78740157499999996"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activeCell="H39" sqref="H39"/>
      <selection pane="topRight" activeCell="H39" sqref="H39"/>
      <selection pane="bottomLeft" activeCell="H39" sqref="H39"/>
      <selection pane="bottomRight" activeCell="H39" sqref="H39"/>
    </sheetView>
  </sheetViews>
  <sheetFormatPr baseColWidth="10" defaultColWidth="10.77734375" defaultRowHeight="14.4" x14ac:dyDescent="0.3"/>
  <cols>
    <col min="3" max="3" width="19.77734375" customWidth="1"/>
    <col min="4" max="4" width="35" customWidth="1"/>
    <col min="5" max="5" width="17" customWidth="1"/>
    <col min="6" max="6" width="15.109375" customWidth="1"/>
    <col min="7" max="7" width="15.44140625" customWidth="1"/>
    <col min="8" max="8" width="14.44140625" customWidth="1"/>
    <col min="10" max="10" width="15.44140625" customWidth="1"/>
    <col min="13" max="13" width="15.44140625" customWidth="1"/>
    <col min="14" max="14" width="16.109375" customWidth="1"/>
    <col min="15" max="15" width="15.77734375" customWidth="1"/>
    <col min="16" max="16" width="15.109375" customWidth="1"/>
    <col min="17" max="17" width="15.44140625" customWidth="1"/>
    <col min="19" max="19" width="14.109375" customWidth="1"/>
  </cols>
  <sheetData>
    <row r="1" spans="1:19" x14ac:dyDescent="0.3">
      <c r="A1" s="47" t="s">
        <v>20</v>
      </c>
      <c r="B1" s="21" t="s">
        <v>347</v>
      </c>
      <c r="C1" s="21" t="s">
        <v>22</v>
      </c>
      <c r="D1" s="87" t="s">
        <v>23</v>
      </c>
      <c r="E1" s="21" t="s">
        <v>25</v>
      </c>
      <c r="F1" s="8" t="s">
        <v>27</v>
      </c>
      <c r="G1" s="8" t="s">
        <v>28</v>
      </c>
      <c r="H1" s="8" t="s">
        <v>29</v>
      </c>
      <c r="I1" s="8" t="s">
        <v>30</v>
      </c>
      <c r="J1" s="60" t="s">
        <v>418</v>
      </c>
      <c r="K1" s="20" t="s">
        <v>32</v>
      </c>
      <c r="L1" s="21" t="s">
        <v>33</v>
      </c>
      <c r="M1" s="22" t="s">
        <v>34</v>
      </c>
      <c r="N1" s="20" t="s">
        <v>73</v>
      </c>
      <c r="O1" s="22" t="s">
        <v>36</v>
      </c>
      <c r="P1" s="20" t="s">
        <v>76</v>
      </c>
      <c r="Q1" s="22" t="s">
        <v>38</v>
      </c>
      <c r="R1" s="20" t="s">
        <v>79</v>
      </c>
      <c r="S1" s="22" t="s">
        <v>419</v>
      </c>
    </row>
    <row r="2" spans="1:19" x14ac:dyDescent="0.3">
      <c r="A2" s="81" t="b">
        <v>0</v>
      </c>
      <c r="B2" s="48">
        <f>ROW()-1</f>
        <v>1</v>
      </c>
      <c r="C2" s="48" t="e">
        <f>_xlfn.XLOOKUP(D2,Tab_Def_Flows[Name(EN)],Tab_Def_Flows[Flow_ID],,0,)</f>
        <v>#N/A</v>
      </c>
      <c r="D2" s="50" t="s">
        <v>420</v>
      </c>
      <c r="E2" s="48" t="e">
        <f>_xlfn.XLOOKUP(D2,Tab_Def_Flows[Name(EN)],Tab_Def_Flows[Type_Biomass],,0,)</f>
        <v>#N/A</v>
      </c>
      <c r="F2" s="48" t="e">
        <f>_xlfn.XLOOKUP(D2,Tab_Def_Flows[Name(EN)],Tab_Def_Flows[Output_Process],,0,)</f>
        <v>#N/A</v>
      </c>
      <c r="G2" s="48" t="e">
        <f>_xlfn.XLOOKUP(D2,Tab_Def_Flows[Name(EN)],Tab_Def_Flows[Process_ID_O],,0,)</f>
        <v>#N/A</v>
      </c>
      <c r="H2" s="48" t="e">
        <f>_xlfn.XLOOKUP(D2,Tab_Def_Flows[Name(EN)],Tab_Def_Flows[Input_Process],,0,)</f>
        <v>#N/A</v>
      </c>
      <c r="I2" s="58" t="e">
        <f>_xlfn.XLOOKUP(D2,Tab_Def_Flows[Name(EN)],Tab_Def_Flows[Process_ID_I],,0,)</f>
        <v>#N/A</v>
      </c>
      <c r="J2" s="58" t="e">
        <f>_xlfn.XLOOKUP(D2,Tab_Def_Flows[Name(EN)],Tab_Def_Flows[Value_Source],,0,)</f>
        <v>#N/A</v>
      </c>
      <c r="K2" s="58" t="e">
        <f>_xlfn.XLOOKUP(D2,Tab_Def_Flows[Name(EN)],Tab_Def_Flows[WC?],,0,)</f>
        <v>#N/A</v>
      </c>
      <c r="L2" s="58" t="e">
        <f>_xlfn.XLOOKUP(D2,Tab_Def_Flows[Name(EN)],Tab_Def_Flows[DM?],,0,)</f>
        <v>#N/A</v>
      </c>
      <c r="M2" s="58" t="e">
        <f>_xlfn.XLOOKUP(D2,Tab_Def_Flows[Name(EN)],Tab_Def_Flows[CC?],,0,)</f>
        <v>#N/A</v>
      </c>
      <c r="N2" s="92">
        <v>0.06</v>
      </c>
      <c r="O2" s="85"/>
      <c r="P2" s="89">
        <v>0.94</v>
      </c>
      <c r="Q2" s="85"/>
      <c r="R2" s="91">
        <v>0.5</v>
      </c>
      <c r="S2" s="88"/>
    </row>
    <row r="3" spans="1:19" x14ac:dyDescent="0.3">
      <c r="A3" s="81" t="b">
        <v>0</v>
      </c>
      <c r="B3" s="48">
        <f t="shared" ref="B3:B41" si="0">ROW()-1</f>
        <v>2</v>
      </c>
      <c r="C3" s="48" t="e">
        <f>_xlfn.XLOOKUP(D3,Tab_Def_Flows[Name(EN)],Tab_Def_Flows[Flow_ID],,0,)</f>
        <v>#N/A</v>
      </c>
      <c r="D3" s="50" t="s">
        <v>421</v>
      </c>
      <c r="E3" s="48" t="e">
        <f>_xlfn.XLOOKUP(D3,Tab_Def_Flows[Name(EN)],Tab_Def_Flows[Type_Biomass],,0,)</f>
        <v>#N/A</v>
      </c>
      <c r="F3" s="48" t="e">
        <f>_xlfn.XLOOKUP(D3,Tab_Def_Flows[Name(EN)],Tab_Def_Flows[Output_Process],,0,)</f>
        <v>#N/A</v>
      </c>
      <c r="G3" s="48" t="e">
        <f>_xlfn.XLOOKUP(D3,Tab_Def_Flows[Name(EN)],Tab_Def_Flows[Process_ID_O],,0,)</f>
        <v>#N/A</v>
      </c>
      <c r="H3" s="48" t="e">
        <f>_xlfn.XLOOKUP(D3,Tab_Def_Flows[Name(EN)],Tab_Def_Flows[Input_Process],,0,)</f>
        <v>#N/A</v>
      </c>
      <c r="I3" s="58" t="e">
        <f>_xlfn.XLOOKUP(D3,Tab_Def_Flows[Name(EN)],Tab_Def_Flows[Process_ID_I],,0,)</f>
        <v>#N/A</v>
      </c>
      <c r="J3" s="58" t="e">
        <f>_xlfn.XLOOKUP(D3,Tab_Def_Flows[Name(EN)],Tab_Def_Flows[Value_Source],,0,)</f>
        <v>#N/A</v>
      </c>
      <c r="K3" s="58" t="e">
        <f>_xlfn.XLOOKUP(D3,Tab_Def_Flows[Name(EN)],Tab_Def_Flows[WC?],,0,)</f>
        <v>#N/A</v>
      </c>
      <c r="L3" s="58" t="e">
        <f>_xlfn.XLOOKUP(D3,Tab_Def_Flows[Name(EN)],Tab_Def_Flows[DM?],,0,)</f>
        <v>#N/A</v>
      </c>
      <c r="M3" s="58" t="e">
        <f>_xlfn.XLOOKUP(D3,Tab_Def_Flows[Name(EN)],Tab_Def_Flows[CC?],,0,)</f>
        <v>#N/A</v>
      </c>
      <c r="N3" s="92">
        <v>0.06</v>
      </c>
      <c r="O3" s="85"/>
      <c r="P3" s="89">
        <v>0.94</v>
      </c>
      <c r="Q3" s="85"/>
      <c r="R3" s="92">
        <v>0.5</v>
      </c>
      <c r="S3" s="85"/>
    </row>
    <row r="4" spans="1:19" x14ac:dyDescent="0.3">
      <c r="A4" s="81" t="b">
        <v>0</v>
      </c>
      <c r="B4" s="48">
        <f t="shared" si="0"/>
        <v>3</v>
      </c>
      <c r="C4" s="48" t="e">
        <f>_xlfn.XLOOKUP(D4,Tab_Def_Flows[Name(EN)],Tab_Def_Flows[Flow_ID],,0,)</f>
        <v>#N/A</v>
      </c>
      <c r="D4" s="50" t="s">
        <v>422</v>
      </c>
      <c r="E4" s="48" t="e">
        <f>_xlfn.XLOOKUP(D4,Tab_Def_Flows[Name(EN)],Tab_Def_Flows[Type_Biomass],,0,)</f>
        <v>#N/A</v>
      </c>
      <c r="F4" s="48" t="e">
        <f>_xlfn.XLOOKUP(D4,Tab_Def_Flows[Name(EN)],Tab_Def_Flows[Output_Process],,0,)</f>
        <v>#N/A</v>
      </c>
      <c r="G4" s="48" t="e">
        <f>_xlfn.XLOOKUP(D4,Tab_Def_Flows[Name(EN)],Tab_Def_Flows[Process_ID_O],,0,)</f>
        <v>#N/A</v>
      </c>
      <c r="H4" s="48" t="e">
        <f>_xlfn.XLOOKUP(D4,Tab_Def_Flows[Name(EN)],Tab_Def_Flows[Input_Process],,0,)</f>
        <v>#N/A</v>
      </c>
      <c r="I4" s="58" t="e">
        <f>_xlfn.XLOOKUP(D4,Tab_Def_Flows[Name(EN)],Tab_Def_Flows[Process_ID_I],,0,)</f>
        <v>#N/A</v>
      </c>
      <c r="J4" s="58" t="e">
        <f>_xlfn.XLOOKUP(D4,Tab_Def_Flows[Name(EN)],Tab_Def_Flows[Value_Source],,0,)</f>
        <v>#N/A</v>
      </c>
      <c r="K4" s="58" t="e">
        <f>_xlfn.XLOOKUP(D4,Tab_Def_Flows[Name(EN)],Tab_Def_Flows[WC?],,0,)</f>
        <v>#N/A</v>
      </c>
      <c r="L4" s="58" t="e">
        <f>_xlfn.XLOOKUP(D4,Tab_Def_Flows[Name(EN)],Tab_Def_Flows[DM?],,0,)</f>
        <v>#N/A</v>
      </c>
      <c r="M4" s="58" t="e">
        <f>_xlfn.XLOOKUP(D4,Tab_Def_Flows[Name(EN)],Tab_Def_Flows[CC?],,0,)</f>
        <v>#N/A</v>
      </c>
      <c r="N4" s="92">
        <v>0.06</v>
      </c>
      <c r="O4" s="85"/>
      <c r="P4" s="89">
        <v>0.94</v>
      </c>
      <c r="Q4" s="85"/>
      <c r="R4" s="92">
        <v>0.5</v>
      </c>
      <c r="S4" s="85"/>
    </row>
    <row r="5" spans="1:19" x14ac:dyDescent="0.3">
      <c r="A5" s="81" t="b">
        <v>0</v>
      </c>
      <c r="B5" s="48">
        <f t="shared" si="0"/>
        <v>4</v>
      </c>
      <c r="C5" s="48" t="e">
        <f>_xlfn.XLOOKUP(D5,Tab_Def_Flows[Name(EN)],Tab_Def_Flows[Flow_ID],,0,)</f>
        <v>#N/A</v>
      </c>
      <c r="D5" s="50" t="s">
        <v>423</v>
      </c>
      <c r="E5" s="48" t="e">
        <f>_xlfn.XLOOKUP(D5,Tab_Def_Flows[Name(EN)],Tab_Def_Flows[Type_Biomass],,0,)</f>
        <v>#N/A</v>
      </c>
      <c r="F5" s="48" t="e">
        <f>_xlfn.XLOOKUP(D5,Tab_Def_Flows[Name(EN)],Tab_Def_Flows[Output_Process],,0,)</f>
        <v>#N/A</v>
      </c>
      <c r="G5" s="48" t="e">
        <f>_xlfn.XLOOKUP(D5,Tab_Def_Flows[Name(EN)],Tab_Def_Flows[Process_ID_O],,0,)</f>
        <v>#N/A</v>
      </c>
      <c r="H5" s="48" t="e">
        <f>_xlfn.XLOOKUP(D5,Tab_Def_Flows[Name(EN)],Tab_Def_Flows[Input_Process],,0,)</f>
        <v>#N/A</v>
      </c>
      <c r="I5" s="58" t="e">
        <f>_xlfn.XLOOKUP(D5,Tab_Def_Flows[Name(EN)],Tab_Def_Flows[Process_ID_I],,0,)</f>
        <v>#N/A</v>
      </c>
      <c r="J5" s="58" t="e">
        <f>_xlfn.XLOOKUP(D5,Tab_Def_Flows[Name(EN)],Tab_Def_Flows[Value_Source],,0,)</f>
        <v>#N/A</v>
      </c>
      <c r="K5" s="58" t="e">
        <f>_xlfn.XLOOKUP(D5,Tab_Def_Flows[Name(EN)],Tab_Def_Flows[WC?],,0,)</f>
        <v>#N/A</v>
      </c>
      <c r="L5" s="58" t="e">
        <f>_xlfn.XLOOKUP(D5,Tab_Def_Flows[Name(EN)],Tab_Def_Flows[DM?],,0,)</f>
        <v>#N/A</v>
      </c>
      <c r="M5" s="58" t="e">
        <f>_xlfn.XLOOKUP(D5,Tab_Def_Flows[Name(EN)],Tab_Def_Flows[CC?],,0,)</f>
        <v>#N/A</v>
      </c>
      <c r="N5" s="92">
        <v>0.06</v>
      </c>
      <c r="O5" s="85"/>
      <c r="P5" s="89">
        <v>0.94</v>
      </c>
      <c r="Q5" s="85"/>
      <c r="R5" s="92">
        <v>0.5</v>
      </c>
      <c r="S5" s="85"/>
    </row>
    <row r="6" spans="1:19" x14ac:dyDescent="0.3">
      <c r="A6" s="81" t="b">
        <v>0</v>
      </c>
      <c r="B6" s="48">
        <f t="shared" si="0"/>
        <v>5</v>
      </c>
      <c r="C6" s="48" t="e">
        <f>_xlfn.XLOOKUP(D6,Tab_Def_Flows[Name(EN)],Tab_Def_Flows[Flow_ID],,0,)</f>
        <v>#N/A</v>
      </c>
      <c r="D6" s="50" t="s">
        <v>424</v>
      </c>
      <c r="E6" s="48" t="e">
        <f>_xlfn.XLOOKUP(D6,Tab_Def_Flows[Name(EN)],Tab_Def_Flows[Type_Biomass],,0,)</f>
        <v>#N/A</v>
      </c>
      <c r="F6" s="48" t="e">
        <f>_xlfn.XLOOKUP(D6,Tab_Def_Flows[Name(EN)],Tab_Def_Flows[Output_Process],,0,)</f>
        <v>#N/A</v>
      </c>
      <c r="G6" s="48" t="e">
        <f>_xlfn.XLOOKUP(D6,Tab_Def_Flows[Name(EN)],Tab_Def_Flows[Process_ID_O],,0,)</f>
        <v>#N/A</v>
      </c>
      <c r="H6" s="48" t="e">
        <f>_xlfn.XLOOKUP(D6,Tab_Def_Flows[Name(EN)],Tab_Def_Flows[Input_Process],,0,)</f>
        <v>#N/A</v>
      </c>
      <c r="I6" s="58" t="e">
        <f>_xlfn.XLOOKUP(D6,Tab_Def_Flows[Name(EN)],Tab_Def_Flows[Process_ID_I],,0,)</f>
        <v>#N/A</v>
      </c>
      <c r="J6" s="58" t="e">
        <f>_xlfn.XLOOKUP(D6,Tab_Def_Flows[Name(EN)],Tab_Def_Flows[Value_Source],,0,)</f>
        <v>#N/A</v>
      </c>
      <c r="K6" s="58" t="e">
        <f>_xlfn.XLOOKUP(D6,Tab_Def_Flows[Name(EN)],Tab_Def_Flows[WC?],,0,)</f>
        <v>#N/A</v>
      </c>
      <c r="L6" s="58" t="e">
        <f>_xlfn.XLOOKUP(D6,Tab_Def_Flows[Name(EN)],Tab_Def_Flows[DM?],,0,)</f>
        <v>#N/A</v>
      </c>
      <c r="M6" s="58" t="e">
        <f>_xlfn.XLOOKUP(D6,Tab_Def_Flows[Name(EN)],Tab_Def_Flows[CC?],,0,)</f>
        <v>#N/A</v>
      </c>
      <c r="N6" s="92">
        <v>0.94</v>
      </c>
      <c r="O6" s="85"/>
      <c r="P6" s="89">
        <v>0.06</v>
      </c>
      <c r="Q6" s="85"/>
      <c r="R6" s="92">
        <v>0.49</v>
      </c>
      <c r="S6" s="85"/>
    </row>
    <row r="7" spans="1:19" x14ac:dyDescent="0.3">
      <c r="A7" s="81" t="b">
        <v>0</v>
      </c>
      <c r="B7" s="48">
        <f t="shared" si="0"/>
        <v>6</v>
      </c>
      <c r="C7" s="48" t="e">
        <f>_xlfn.XLOOKUP(D7,Tab_Def_Flows[Name(EN)],Tab_Def_Flows[Flow_ID],,0,)</f>
        <v>#N/A</v>
      </c>
      <c r="D7" s="50" t="s">
        <v>425</v>
      </c>
      <c r="E7" s="48" t="e">
        <f>_xlfn.XLOOKUP(D7,Tab_Def_Flows[Name(EN)],Tab_Def_Flows[Type_Biomass],,0,)</f>
        <v>#N/A</v>
      </c>
      <c r="F7" s="48" t="e">
        <f>_xlfn.XLOOKUP(D7,Tab_Def_Flows[Name(EN)],Tab_Def_Flows[Output_Process],,0,)</f>
        <v>#N/A</v>
      </c>
      <c r="G7" s="48" t="e">
        <f>_xlfn.XLOOKUP(D7,Tab_Def_Flows[Name(EN)],Tab_Def_Flows[Process_ID_O],,0,)</f>
        <v>#N/A</v>
      </c>
      <c r="H7" s="48" t="e">
        <f>_xlfn.XLOOKUP(D7,Tab_Def_Flows[Name(EN)],Tab_Def_Flows[Input_Process],,0,)</f>
        <v>#N/A</v>
      </c>
      <c r="I7" s="58" t="e">
        <f>_xlfn.XLOOKUP(D7,Tab_Def_Flows[Name(EN)],Tab_Def_Flows[Process_ID_I],,0,)</f>
        <v>#N/A</v>
      </c>
      <c r="J7" s="58" t="e">
        <f>_xlfn.XLOOKUP(D7,Tab_Def_Flows[Name(EN)],Tab_Def_Flows[Value_Source],,0,)</f>
        <v>#N/A</v>
      </c>
      <c r="K7" s="58" t="e">
        <f>_xlfn.XLOOKUP(D7,Tab_Def_Flows[Name(EN)],Tab_Def_Flows[WC?],,0,)</f>
        <v>#N/A</v>
      </c>
      <c r="L7" s="58" t="e">
        <f>_xlfn.XLOOKUP(D7,Tab_Def_Flows[Name(EN)],Tab_Def_Flows[DM?],,0,)</f>
        <v>#N/A</v>
      </c>
      <c r="M7" s="58" t="e">
        <f>_xlfn.XLOOKUP(D7,Tab_Def_Flows[Name(EN)],Tab_Def_Flows[CC?],,0,)</f>
        <v>#N/A</v>
      </c>
      <c r="N7" s="92">
        <v>0</v>
      </c>
      <c r="O7" s="85"/>
      <c r="P7" s="89">
        <v>1</v>
      </c>
      <c r="Q7" s="85"/>
      <c r="R7" s="92"/>
      <c r="S7" s="85"/>
    </row>
    <row r="8" spans="1:19" x14ac:dyDescent="0.3">
      <c r="A8" s="81" t="b">
        <v>0</v>
      </c>
      <c r="B8" s="48">
        <f t="shared" si="0"/>
        <v>7</v>
      </c>
      <c r="C8" s="48" t="e">
        <f>_xlfn.XLOOKUP(D8,Tab_Def_Flows[Name(EN)],Tab_Def_Flows[Flow_ID],,0,)</f>
        <v>#N/A</v>
      </c>
      <c r="D8" s="50" t="s">
        <v>426</v>
      </c>
      <c r="E8" s="48" t="e">
        <f>_xlfn.XLOOKUP(D8,Tab_Def_Flows[Name(EN)],Tab_Def_Flows[Type_Biomass],,0,)</f>
        <v>#N/A</v>
      </c>
      <c r="F8" s="48" t="e">
        <f>_xlfn.XLOOKUP(D8,Tab_Def_Flows[Name(EN)],Tab_Def_Flows[Output_Process],,0,)</f>
        <v>#N/A</v>
      </c>
      <c r="G8" s="48" t="e">
        <f>_xlfn.XLOOKUP(D8,Tab_Def_Flows[Name(EN)],Tab_Def_Flows[Process_ID_O],,0,)</f>
        <v>#N/A</v>
      </c>
      <c r="H8" s="48" t="e">
        <f>_xlfn.XLOOKUP(D8,Tab_Def_Flows[Name(EN)],Tab_Def_Flows[Input_Process],,0,)</f>
        <v>#N/A</v>
      </c>
      <c r="I8" s="58" t="e">
        <f>_xlfn.XLOOKUP(D8,Tab_Def_Flows[Name(EN)],Tab_Def_Flows[Process_ID_I],,0,)</f>
        <v>#N/A</v>
      </c>
      <c r="J8" s="58" t="e">
        <f>_xlfn.XLOOKUP(D8,Tab_Def_Flows[Name(EN)],Tab_Def_Flows[Value_Source],,0,)</f>
        <v>#N/A</v>
      </c>
      <c r="K8" s="58" t="e">
        <f>_xlfn.XLOOKUP(D8,Tab_Def_Flows[Name(EN)],Tab_Def_Flows[WC?],,0,)</f>
        <v>#N/A</v>
      </c>
      <c r="L8" s="58" t="e">
        <f>_xlfn.XLOOKUP(D8,Tab_Def_Flows[Name(EN)],Tab_Def_Flows[DM?],,0,)</f>
        <v>#N/A</v>
      </c>
      <c r="M8" s="58" t="e">
        <f>_xlfn.XLOOKUP(D8,Tab_Def_Flows[Name(EN)],Tab_Def_Flows[CC?],,0,)</f>
        <v>#N/A</v>
      </c>
      <c r="N8" s="92">
        <v>0.64</v>
      </c>
      <c r="O8" s="85"/>
      <c r="P8" s="89">
        <v>0.36</v>
      </c>
      <c r="Q8" s="85"/>
      <c r="R8" s="92">
        <v>0.38</v>
      </c>
      <c r="S8" s="85" t="s">
        <v>83</v>
      </c>
    </row>
    <row r="9" spans="1:19" x14ac:dyDescent="0.3">
      <c r="A9" s="81" t="b">
        <v>0</v>
      </c>
      <c r="B9" s="48">
        <f t="shared" si="0"/>
        <v>8</v>
      </c>
      <c r="C9" s="48" t="e">
        <f>_xlfn.XLOOKUP(D9,Tab_Def_Flows[Name(EN)],Tab_Def_Flows[Flow_ID],,0,)</f>
        <v>#N/A</v>
      </c>
      <c r="D9" s="50" t="s">
        <v>427</v>
      </c>
      <c r="E9" s="48" t="e">
        <f>_xlfn.XLOOKUP(D9,Tab_Def_Flows[Name(EN)],Tab_Def_Flows[Type_Biomass],,0,)</f>
        <v>#N/A</v>
      </c>
      <c r="F9" s="48" t="e">
        <f>_xlfn.XLOOKUP(D9,Tab_Def_Flows[Name(EN)],Tab_Def_Flows[Output_Process],,0,)</f>
        <v>#N/A</v>
      </c>
      <c r="G9" s="48" t="e">
        <f>_xlfn.XLOOKUP(D9,Tab_Def_Flows[Name(EN)],Tab_Def_Flows[Process_ID_O],,0,)</f>
        <v>#N/A</v>
      </c>
      <c r="H9" s="48" t="e">
        <f>_xlfn.XLOOKUP(D9,Tab_Def_Flows[Name(EN)],Tab_Def_Flows[Input_Process],,0,)</f>
        <v>#N/A</v>
      </c>
      <c r="I9" s="58" t="e">
        <f>_xlfn.XLOOKUP(D9,Tab_Def_Flows[Name(EN)],Tab_Def_Flows[Process_ID_I],,0,)</f>
        <v>#N/A</v>
      </c>
      <c r="J9" s="58" t="e">
        <f>_xlfn.XLOOKUP(D9,Tab_Def_Flows[Name(EN)],Tab_Def_Flows[Value_Source],,0,)</f>
        <v>#N/A</v>
      </c>
      <c r="K9" s="58" t="e">
        <f>_xlfn.XLOOKUP(D9,Tab_Def_Flows[Name(EN)],Tab_Def_Flows[WC?],,0,)</f>
        <v>#N/A</v>
      </c>
      <c r="L9" s="58" t="e">
        <f>_xlfn.XLOOKUP(D9,Tab_Def_Flows[Name(EN)],Tab_Def_Flows[DM?],,0,)</f>
        <v>#N/A</v>
      </c>
      <c r="M9" s="58" t="e">
        <f>_xlfn.XLOOKUP(D9,Tab_Def_Flows[Name(EN)],Tab_Def_Flows[CC?],,0,)</f>
        <v>#N/A</v>
      </c>
      <c r="N9" s="92">
        <v>0.22</v>
      </c>
      <c r="O9" s="85"/>
      <c r="P9" s="89">
        <v>0.39</v>
      </c>
      <c r="Q9" s="85"/>
      <c r="R9" s="92">
        <v>0.39800000000000002</v>
      </c>
      <c r="S9" s="85"/>
    </row>
    <row r="10" spans="1:19" x14ac:dyDescent="0.3">
      <c r="A10" s="95" t="b">
        <v>1</v>
      </c>
      <c r="B10" s="48">
        <f>ROW()-1</f>
        <v>9</v>
      </c>
      <c r="C10" s="48" t="e">
        <f>_xlfn.XLOOKUP(D10,Tab_Def_Flows[Name(EN)],Tab_Def_Flows[Flow_ID],,0,)</f>
        <v>#N/A</v>
      </c>
      <c r="D10" s="50" t="s">
        <v>428</v>
      </c>
      <c r="E10" s="48" t="e">
        <f>_xlfn.XLOOKUP(D10,Tab_Def_Flows[Name(EN)],Tab_Def_Flows[Type_Biomass],,0,)</f>
        <v>#N/A</v>
      </c>
      <c r="F10" s="48" t="e">
        <f>_xlfn.XLOOKUP(D10,Tab_Def_Flows[Name(EN)],Tab_Def_Flows[Output_Process],,0,)</f>
        <v>#N/A</v>
      </c>
      <c r="G10" s="48" t="e">
        <f>_xlfn.XLOOKUP(D10,Tab_Def_Flows[Name(EN)],Tab_Def_Flows[Process_ID_O],,0,)</f>
        <v>#N/A</v>
      </c>
      <c r="H10" s="48" t="e">
        <f>_xlfn.XLOOKUP(D10,Tab_Def_Flows[Name(EN)],Tab_Def_Flows[Input_Process],,0,)</f>
        <v>#N/A</v>
      </c>
      <c r="I10" s="58" t="e">
        <f>_xlfn.XLOOKUP(D10,Tab_Def_Flows[Name(EN)],Tab_Def_Flows[Process_ID_I],,0,)</f>
        <v>#N/A</v>
      </c>
      <c r="J10" s="58" t="e">
        <f>_xlfn.XLOOKUP(D10,Tab_Def_Flows[Name(EN)],Tab_Def_Flows[Value_Source],,0,)</f>
        <v>#N/A</v>
      </c>
      <c r="K10" s="58" t="e">
        <f>_xlfn.XLOOKUP(D10,Tab_Def_Flows[Name(EN)],Tab_Def_Flows[WC?],,0,)</f>
        <v>#N/A</v>
      </c>
      <c r="L10" s="58" t="e">
        <f>_xlfn.XLOOKUP(D10,Tab_Def_Flows[Name(EN)],Tab_Def_Flows[DM?],,0,)</f>
        <v>#N/A</v>
      </c>
      <c r="M10" s="58" t="e">
        <f>_xlfn.XLOOKUP(D10,Tab_Def_Flows[Name(EN)],Tab_Def_Flows[CC?],,0,)</f>
        <v>#N/A</v>
      </c>
      <c r="N10" s="92"/>
      <c r="O10" s="85"/>
      <c r="P10" s="89"/>
      <c r="Q10" s="85"/>
      <c r="R10" s="92"/>
      <c r="S10" s="85"/>
    </row>
    <row r="11" spans="1:19" x14ac:dyDescent="0.3">
      <c r="A11" s="81" t="b">
        <v>1</v>
      </c>
      <c r="B11" s="48">
        <f t="shared" si="0"/>
        <v>10</v>
      </c>
      <c r="C11" s="48" t="e">
        <f>_xlfn.XLOOKUP(D11,Tab_Def_Flows[Name(EN)],Tab_Def_Flows[Flow_ID],,0,)</f>
        <v>#N/A</v>
      </c>
      <c r="D11" s="50" t="s">
        <v>429</v>
      </c>
      <c r="E11" s="48" t="e">
        <f>_xlfn.XLOOKUP(D11,Tab_Def_Flows[Name(EN)],Tab_Def_Flows[Type_Biomass],,0,)</f>
        <v>#N/A</v>
      </c>
      <c r="F11" s="48" t="e">
        <f>_xlfn.XLOOKUP(D11,Tab_Def_Flows[Name(EN)],Tab_Def_Flows[Output_Process],,0,)</f>
        <v>#N/A</v>
      </c>
      <c r="G11" s="48" t="e">
        <f>_xlfn.XLOOKUP(D11,Tab_Def_Flows[Name(EN)],Tab_Def_Flows[Process_ID_O],,0,)</f>
        <v>#N/A</v>
      </c>
      <c r="H11" s="48" t="e">
        <f>_xlfn.XLOOKUP(D11,Tab_Def_Flows[Name(EN)],Tab_Def_Flows[Input_Process],,0,)</f>
        <v>#N/A</v>
      </c>
      <c r="I11" s="58" t="e">
        <f>_xlfn.XLOOKUP(D11,Tab_Def_Flows[Name(EN)],Tab_Def_Flows[Process_ID_I],,0,)</f>
        <v>#N/A</v>
      </c>
      <c r="J11" s="58" t="e">
        <f>_xlfn.XLOOKUP(D11,Tab_Def_Flows[Name(EN)],Tab_Def_Flows[Value_Source],,0,)</f>
        <v>#N/A</v>
      </c>
      <c r="K11" s="58" t="e">
        <f>_xlfn.XLOOKUP(D11,Tab_Def_Flows[Name(EN)],Tab_Def_Flows[WC?],,0,)</f>
        <v>#N/A</v>
      </c>
      <c r="L11" s="58" t="e">
        <f>_xlfn.XLOOKUP(D11,Tab_Def_Flows[Name(EN)],Tab_Def_Flows[DM?],,0,)</f>
        <v>#N/A</v>
      </c>
      <c r="M11" s="58" t="e">
        <f>_xlfn.XLOOKUP(D11,Tab_Def_Flows[Name(EN)],Tab_Def_Flows[CC?],,0,)</f>
        <v>#N/A</v>
      </c>
      <c r="N11" s="92">
        <v>0</v>
      </c>
      <c r="O11" s="85"/>
      <c r="P11" s="89">
        <v>1</v>
      </c>
      <c r="Q11" s="85"/>
      <c r="R11" s="92">
        <v>0.38</v>
      </c>
      <c r="S11" s="85"/>
    </row>
    <row r="12" spans="1:19" x14ac:dyDescent="0.3">
      <c r="A12" s="81" t="b">
        <v>0</v>
      </c>
      <c r="B12" s="48">
        <f t="shared" si="0"/>
        <v>11</v>
      </c>
      <c r="C12" s="48" t="e">
        <f>_xlfn.XLOOKUP(D12,Tab_Def_Flows[Name(EN)],Tab_Def_Flows[Flow_ID],,0,)</f>
        <v>#N/A</v>
      </c>
      <c r="D12" s="50" t="s">
        <v>430</v>
      </c>
      <c r="E12" s="48" t="e">
        <f>_xlfn.XLOOKUP(D12,Tab_Def_Flows[Name(EN)],Tab_Def_Flows[Type_Biomass],,0,)</f>
        <v>#N/A</v>
      </c>
      <c r="F12" s="48" t="e">
        <f>_xlfn.XLOOKUP(D12,Tab_Def_Flows[Name(EN)],Tab_Def_Flows[Output_Process],,0,)</f>
        <v>#N/A</v>
      </c>
      <c r="G12" s="48" t="e">
        <f>_xlfn.XLOOKUP(D12,Tab_Def_Flows[Name(EN)],Tab_Def_Flows[Process_ID_O],,0,)</f>
        <v>#N/A</v>
      </c>
      <c r="H12" s="48" t="e">
        <f>_xlfn.XLOOKUP(D12,Tab_Def_Flows[Name(EN)],Tab_Def_Flows[Input_Process],,0,)</f>
        <v>#N/A</v>
      </c>
      <c r="I12" s="58" t="e">
        <f>_xlfn.XLOOKUP(D12,Tab_Def_Flows[Name(EN)],Tab_Def_Flows[Process_ID_I],,0,)</f>
        <v>#N/A</v>
      </c>
      <c r="J12" s="58" t="e">
        <f>_xlfn.XLOOKUP(D12,Tab_Def_Flows[Name(EN)],Tab_Def_Flows[Value_Source],,0,)</f>
        <v>#N/A</v>
      </c>
      <c r="K12" s="58" t="e">
        <f>_xlfn.XLOOKUP(D12,Tab_Def_Flows[Name(EN)],Tab_Def_Flows[WC?],,0,)</f>
        <v>#N/A</v>
      </c>
      <c r="L12" s="58" t="e">
        <f>_xlfn.XLOOKUP(D12,Tab_Def_Flows[Name(EN)],Tab_Def_Flows[DM?],,0,)</f>
        <v>#N/A</v>
      </c>
      <c r="M12" s="58" t="e">
        <f>_xlfn.XLOOKUP(D12,Tab_Def_Flows[Name(EN)],Tab_Def_Flows[CC?],,0,)</f>
        <v>#N/A</v>
      </c>
      <c r="N12" s="92">
        <v>0.66</v>
      </c>
      <c r="O12" s="85"/>
      <c r="P12" s="89">
        <v>0.34</v>
      </c>
      <c r="Q12" s="85"/>
      <c r="R12" s="92">
        <v>0.47</v>
      </c>
      <c r="S12" s="85"/>
    </row>
    <row r="13" spans="1:19" x14ac:dyDescent="0.3">
      <c r="A13" s="81" t="b">
        <v>0</v>
      </c>
      <c r="B13" s="48">
        <f t="shared" si="0"/>
        <v>12</v>
      </c>
      <c r="C13" s="48" t="e">
        <f>_xlfn.XLOOKUP(D13,Tab_Def_Flows[Name(EN)],Tab_Def_Flows[Flow_ID],,0,)</f>
        <v>#N/A</v>
      </c>
      <c r="D13" s="50" t="s">
        <v>431</v>
      </c>
      <c r="E13" s="48" t="e">
        <f>_xlfn.XLOOKUP(D13,Tab_Def_Flows[Name(EN)],Tab_Def_Flows[Type_Biomass],,0,)</f>
        <v>#N/A</v>
      </c>
      <c r="F13" s="48" t="e">
        <f>_xlfn.XLOOKUP(D13,Tab_Def_Flows[Name(EN)],Tab_Def_Flows[Output_Process],,0,)</f>
        <v>#N/A</v>
      </c>
      <c r="G13" s="48" t="e">
        <f>_xlfn.XLOOKUP(D13,Tab_Def_Flows[Name(EN)],Tab_Def_Flows[Process_ID_O],,0,)</f>
        <v>#N/A</v>
      </c>
      <c r="H13" s="48" t="e">
        <f>_xlfn.XLOOKUP(D13,Tab_Def_Flows[Name(EN)],Tab_Def_Flows[Input_Process],,0,)</f>
        <v>#N/A</v>
      </c>
      <c r="I13" s="58" t="e">
        <f>_xlfn.XLOOKUP(D13,Tab_Def_Flows[Name(EN)],Tab_Def_Flows[Process_ID_I],,0,)</f>
        <v>#N/A</v>
      </c>
      <c r="J13" s="58" t="e">
        <f>_xlfn.XLOOKUP(D13,Tab_Def_Flows[Name(EN)],Tab_Def_Flows[Value_Source],,0,)</f>
        <v>#N/A</v>
      </c>
      <c r="K13" s="58" t="e">
        <f>_xlfn.XLOOKUP(D13,Tab_Def_Flows[Name(EN)],Tab_Def_Flows[WC?],,0,)</f>
        <v>#N/A</v>
      </c>
      <c r="L13" s="58" t="e">
        <f>_xlfn.XLOOKUP(D13,Tab_Def_Flows[Name(EN)],Tab_Def_Flows[DM?],,0,)</f>
        <v>#N/A</v>
      </c>
      <c r="M13" s="58" t="e">
        <f>_xlfn.XLOOKUP(D13,Tab_Def_Flows[Name(EN)],Tab_Def_Flows[CC?],,0,)</f>
        <v>#N/A</v>
      </c>
      <c r="N13" s="92">
        <v>0.61</v>
      </c>
      <c r="O13" s="85"/>
      <c r="P13" s="89">
        <v>0.39</v>
      </c>
      <c r="Q13" s="85"/>
      <c r="R13" s="92">
        <v>0.4</v>
      </c>
      <c r="S13" s="85"/>
    </row>
    <row r="14" spans="1:19" x14ac:dyDescent="0.3">
      <c r="A14" s="81" t="b">
        <v>0</v>
      </c>
      <c r="B14" s="48">
        <f t="shared" si="0"/>
        <v>13</v>
      </c>
      <c r="C14" s="48" t="e">
        <f>_xlfn.XLOOKUP(D14,Tab_Def_Flows[Name(EN)],Tab_Def_Flows[Flow_ID],,0,)</f>
        <v>#N/A</v>
      </c>
      <c r="D14" s="50" t="s">
        <v>432</v>
      </c>
      <c r="E14" s="48" t="e">
        <f>_xlfn.XLOOKUP(D14,Tab_Def_Flows[Name(EN)],Tab_Def_Flows[Type_Biomass],,0,)</f>
        <v>#N/A</v>
      </c>
      <c r="F14" s="48" t="e">
        <f>_xlfn.XLOOKUP(D14,Tab_Def_Flows[Name(EN)],Tab_Def_Flows[Output_Process],,0,)</f>
        <v>#N/A</v>
      </c>
      <c r="G14" s="48" t="e">
        <f>_xlfn.XLOOKUP(D14,Tab_Def_Flows[Name(EN)],Tab_Def_Flows[Process_ID_O],,0,)</f>
        <v>#N/A</v>
      </c>
      <c r="H14" s="48" t="e">
        <f>_xlfn.XLOOKUP(D14,Tab_Def_Flows[Name(EN)],Tab_Def_Flows[Input_Process],,0,)</f>
        <v>#N/A</v>
      </c>
      <c r="I14" s="58" t="e">
        <f>_xlfn.XLOOKUP(D14,Tab_Def_Flows[Name(EN)],Tab_Def_Flows[Process_ID_I],,0,)</f>
        <v>#N/A</v>
      </c>
      <c r="J14" s="58" t="e">
        <f>_xlfn.XLOOKUP(D14,Tab_Def_Flows[Name(EN)],Tab_Def_Flows[Value_Source],,0,)</f>
        <v>#N/A</v>
      </c>
      <c r="K14" s="58" t="e">
        <f>_xlfn.XLOOKUP(D14,Tab_Def_Flows[Name(EN)],Tab_Def_Flows[WC?],,0,)</f>
        <v>#N/A</v>
      </c>
      <c r="L14" s="58" t="e">
        <f>_xlfn.XLOOKUP(D14,Tab_Def_Flows[Name(EN)],Tab_Def_Flows[DM?],,0,)</f>
        <v>#N/A</v>
      </c>
      <c r="M14" s="58" t="e">
        <f>_xlfn.XLOOKUP(D14,Tab_Def_Flows[Name(EN)],Tab_Def_Flows[CC?],,0,)</f>
        <v>#N/A</v>
      </c>
      <c r="N14" s="92">
        <v>1</v>
      </c>
      <c r="O14" s="85"/>
      <c r="P14" s="89">
        <v>0</v>
      </c>
      <c r="Q14" s="85"/>
      <c r="R14" s="92">
        <v>0</v>
      </c>
      <c r="S14" s="85"/>
    </row>
    <row r="15" spans="1:19" x14ac:dyDescent="0.3">
      <c r="A15" s="81" t="b">
        <v>0</v>
      </c>
      <c r="B15" s="48">
        <f t="shared" si="0"/>
        <v>14</v>
      </c>
      <c r="C15" s="48" t="e">
        <f>_xlfn.XLOOKUP(D15,Tab_Def_Flows[Name(EN)],Tab_Def_Flows[Flow_ID],,0,)</f>
        <v>#N/A</v>
      </c>
      <c r="D15" s="50" t="s">
        <v>433</v>
      </c>
      <c r="E15" s="48" t="e">
        <f>_xlfn.XLOOKUP(D15,Tab_Def_Flows[Name(EN)],Tab_Def_Flows[Type_Biomass],,0,)</f>
        <v>#N/A</v>
      </c>
      <c r="F15" s="48" t="e">
        <f>_xlfn.XLOOKUP(D15,Tab_Def_Flows[Name(EN)],Tab_Def_Flows[Output_Process],,0,)</f>
        <v>#N/A</v>
      </c>
      <c r="G15" s="48" t="e">
        <f>_xlfn.XLOOKUP(D15,Tab_Def_Flows[Name(EN)],Tab_Def_Flows[Process_ID_O],,0,)</f>
        <v>#N/A</v>
      </c>
      <c r="H15" s="48" t="e">
        <f>_xlfn.XLOOKUP(D15,Tab_Def_Flows[Name(EN)],Tab_Def_Flows[Input_Process],,0,)</f>
        <v>#N/A</v>
      </c>
      <c r="I15" s="58" t="e">
        <f>_xlfn.XLOOKUP(D15,Tab_Def_Flows[Name(EN)],Tab_Def_Flows[Process_ID_I],,0,)</f>
        <v>#N/A</v>
      </c>
      <c r="J15" s="58" t="e">
        <f>_xlfn.XLOOKUP(D15,Tab_Def_Flows[Name(EN)],Tab_Def_Flows[Value_Source],,0,)</f>
        <v>#N/A</v>
      </c>
      <c r="K15" s="58" t="e">
        <f>_xlfn.XLOOKUP(D15,Tab_Def_Flows[Name(EN)],Tab_Def_Flows[WC?],,0,)</f>
        <v>#N/A</v>
      </c>
      <c r="L15" s="58" t="e">
        <f>_xlfn.XLOOKUP(D15,Tab_Def_Flows[Name(EN)],Tab_Def_Flows[DM?],,0,)</f>
        <v>#N/A</v>
      </c>
      <c r="M15" s="58" t="e">
        <f>_xlfn.XLOOKUP(D15,Tab_Def_Flows[Name(EN)],Tab_Def_Flows[CC?],,0,)</f>
        <v>#N/A</v>
      </c>
      <c r="N15" s="92">
        <v>1</v>
      </c>
      <c r="O15" s="85"/>
      <c r="P15" s="89">
        <v>0</v>
      </c>
      <c r="Q15" s="85"/>
      <c r="R15" s="92">
        <v>0</v>
      </c>
      <c r="S15" s="85"/>
    </row>
    <row r="16" spans="1:19" x14ac:dyDescent="0.3">
      <c r="A16" s="81" t="b">
        <v>0</v>
      </c>
      <c r="B16" s="48">
        <f t="shared" si="0"/>
        <v>15</v>
      </c>
      <c r="C16" s="48" t="e">
        <f>_xlfn.XLOOKUP(D16,Tab_Def_Flows[Name(EN)],Tab_Def_Flows[Flow_ID],,0,)</f>
        <v>#N/A</v>
      </c>
      <c r="D16" s="50" t="s">
        <v>434</v>
      </c>
      <c r="E16" s="48" t="e">
        <f>_xlfn.XLOOKUP(D16,Tab_Def_Flows[Name(EN)],Tab_Def_Flows[Type_Biomass],,0,)</f>
        <v>#N/A</v>
      </c>
      <c r="F16" s="48" t="e">
        <f>_xlfn.XLOOKUP(D16,Tab_Def_Flows[Name(EN)],Tab_Def_Flows[Output_Process],,0,)</f>
        <v>#N/A</v>
      </c>
      <c r="G16" s="48" t="e">
        <f>_xlfn.XLOOKUP(D16,Tab_Def_Flows[Name(EN)],Tab_Def_Flows[Process_ID_O],,0,)</f>
        <v>#N/A</v>
      </c>
      <c r="H16" s="48" t="e">
        <f>_xlfn.XLOOKUP(D16,Tab_Def_Flows[Name(EN)],Tab_Def_Flows[Input_Process],,0,)</f>
        <v>#N/A</v>
      </c>
      <c r="I16" s="58" t="e">
        <f>_xlfn.XLOOKUP(D16,Tab_Def_Flows[Name(EN)],Tab_Def_Flows[Process_ID_I],,0,)</f>
        <v>#N/A</v>
      </c>
      <c r="J16" s="58" t="e">
        <f>_xlfn.XLOOKUP(D16,Tab_Def_Flows[Name(EN)],Tab_Def_Flows[Value_Source],,0,)</f>
        <v>#N/A</v>
      </c>
      <c r="K16" s="58" t="e">
        <f>_xlfn.XLOOKUP(D16,Tab_Def_Flows[Name(EN)],Tab_Def_Flows[WC?],,0,)</f>
        <v>#N/A</v>
      </c>
      <c r="L16" s="58" t="e">
        <f>_xlfn.XLOOKUP(D16,Tab_Def_Flows[Name(EN)],Tab_Def_Flows[DM?],,0,)</f>
        <v>#N/A</v>
      </c>
      <c r="M16" s="58" t="e">
        <f>_xlfn.XLOOKUP(D16,Tab_Def_Flows[Name(EN)],Tab_Def_Flows[CC?],,0,)</f>
        <v>#N/A</v>
      </c>
      <c r="N16" s="92"/>
      <c r="O16" s="85"/>
      <c r="P16" s="89"/>
      <c r="Q16" s="85"/>
      <c r="R16" s="92"/>
      <c r="S16" s="85"/>
    </row>
    <row r="17" spans="1:23" x14ac:dyDescent="0.3">
      <c r="A17" s="81" t="b">
        <v>0</v>
      </c>
      <c r="B17" s="48">
        <f t="shared" si="0"/>
        <v>16</v>
      </c>
      <c r="C17" s="48" t="e">
        <f>_xlfn.XLOOKUP(D17,Tab_Def_Flows[Name(EN)],Tab_Def_Flows[Flow_ID],,0,)</f>
        <v>#N/A</v>
      </c>
      <c r="D17" s="50" t="s">
        <v>435</v>
      </c>
      <c r="E17" s="48" t="e">
        <f>_xlfn.XLOOKUP(D17,Tab_Def_Flows[Name(EN)],Tab_Def_Flows[Type_Biomass],,0,)</f>
        <v>#N/A</v>
      </c>
      <c r="F17" s="48" t="e">
        <f>_xlfn.XLOOKUP(D17,Tab_Def_Flows[Name(EN)],Tab_Def_Flows[Output_Process],,0,)</f>
        <v>#N/A</v>
      </c>
      <c r="G17" s="48" t="e">
        <f>_xlfn.XLOOKUP(D17,Tab_Def_Flows[Name(EN)],Tab_Def_Flows[Process_ID_O],,0,)</f>
        <v>#N/A</v>
      </c>
      <c r="H17" s="48" t="e">
        <f>_xlfn.XLOOKUP(D17,Tab_Def_Flows[Name(EN)],Tab_Def_Flows[Input_Process],,0,)</f>
        <v>#N/A</v>
      </c>
      <c r="I17" s="58" t="e">
        <f>_xlfn.XLOOKUP(D17,Tab_Def_Flows[Name(EN)],Tab_Def_Flows[Process_ID_I],,0,)</f>
        <v>#N/A</v>
      </c>
      <c r="J17" s="58" t="e">
        <f>_xlfn.XLOOKUP(D17,Tab_Def_Flows[Name(EN)],Tab_Def_Flows[Value_Source],,0,)</f>
        <v>#N/A</v>
      </c>
      <c r="K17" s="58" t="e">
        <f>_xlfn.XLOOKUP(D17,Tab_Def_Flows[Name(EN)],Tab_Def_Flows[WC?],,0,)</f>
        <v>#N/A</v>
      </c>
      <c r="L17" s="58" t="e">
        <f>_xlfn.XLOOKUP(D17,Tab_Def_Flows[Name(EN)],Tab_Def_Flows[DM?],,0,)</f>
        <v>#N/A</v>
      </c>
      <c r="M17" s="58" t="e">
        <f>_xlfn.XLOOKUP(D17,Tab_Def_Flows[Name(EN)],Tab_Def_Flows[CC?],,0,)</f>
        <v>#N/A</v>
      </c>
      <c r="N17" s="92"/>
      <c r="O17" s="85"/>
      <c r="P17" s="89">
        <v>0.39</v>
      </c>
      <c r="Q17" s="85"/>
      <c r="R17" s="92">
        <v>0.4</v>
      </c>
      <c r="S17" s="85"/>
    </row>
    <row r="18" spans="1:23" x14ac:dyDescent="0.3">
      <c r="A18" s="81" t="b">
        <v>0</v>
      </c>
      <c r="B18" s="48">
        <f t="shared" si="0"/>
        <v>17</v>
      </c>
      <c r="C18" s="48" t="e">
        <f>_xlfn.XLOOKUP(D18,Tab_Def_Flows[Name(EN)],Tab_Def_Flows[Flow_ID],,0,)</f>
        <v>#N/A</v>
      </c>
      <c r="D18" s="50" t="s">
        <v>436</v>
      </c>
      <c r="E18" s="48" t="e">
        <f>_xlfn.XLOOKUP(D18,Tab_Def_Flows[Name(EN)],Tab_Def_Flows[Type_Biomass],,0,)</f>
        <v>#N/A</v>
      </c>
      <c r="F18" s="48" t="e">
        <f>_xlfn.XLOOKUP(D18,Tab_Def_Flows[Name(EN)],Tab_Def_Flows[Output_Process],,0,)</f>
        <v>#N/A</v>
      </c>
      <c r="G18" s="48" t="e">
        <f>_xlfn.XLOOKUP(D18,Tab_Def_Flows[Name(EN)],Tab_Def_Flows[Process_ID_O],,0,)</f>
        <v>#N/A</v>
      </c>
      <c r="H18" s="48" t="e">
        <f>_xlfn.XLOOKUP(D18,Tab_Def_Flows[Name(EN)],Tab_Def_Flows[Input_Process],,0,)</f>
        <v>#N/A</v>
      </c>
      <c r="I18" s="58" t="e">
        <f>_xlfn.XLOOKUP(D18,Tab_Def_Flows[Name(EN)],Tab_Def_Flows[Process_ID_I],,0,)</f>
        <v>#N/A</v>
      </c>
      <c r="J18" s="58" t="e">
        <f>_xlfn.XLOOKUP(D18,Tab_Def_Flows[Name(EN)],Tab_Def_Flows[Value_Source],,0,)</f>
        <v>#N/A</v>
      </c>
      <c r="K18" s="58" t="e">
        <f>_xlfn.XLOOKUP(D18,Tab_Def_Flows[Name(EN)],Tab_Def_Flows[WC?],,0,)</f>
        <v>#N/A</v>
      </c>
      <c r="L18" s="58" t="e">
        <f>_xlfn.XLOOKUP(D18,Tab_Def_Flows[Name(EN)],Tab_Def_Flows[DM?],,0,)</f>
        <v>#N/A</v>
      </c>
      <c r="M18" s="58" t="e">
        <f>_xlfn.XLOOKUP(D18,Tab_Def_Flows[Name(EN)],Tab_Def_Flows[CC?],,0,)</f>
        <v>#N/A</v>
      </c>
      <c r="N18" s="92"/>
      <c r="O18" s="85"/>
      <c r="P18" s="89">
        <v>0.39</v>
      </c>
      <c r="Q18" s="85"/>
      <c r="R18" s="92">
        <v>0.4</v>
      </c>
      <c r="S18" s="85"/>
    </row>
    <row r="19" spans="1:23" x14ac:dyDescent="0.3">
      <c r="A19" s="81" t="b">
        <v>0</v>
      </c>
      <c r="B19" s="48">
        <f t="shared" si="0"/>
        <v>18</v>
      </c>
      <c r="C19" s="48" t="e">
        <f>_xlfn.XLOOKUP(D19,Tab_Def_Flows[Name(EN)],Tab_Def_Flows[Flow_ID],,0,)</f>
        <v>#N/A</v>
      </c>
      <c r="D19" s="50" t="s">
        <v>437</v>
      </c>
      <c r="E19" s="48" t="e">
        <f>_xlfn.XLOOKUP(D19,Tab_Def_Flows[Name(EN)],Tab_Def_Flows[Type_Biomass],,0,)</f>
        <v>#N/A</v>
      </c>
      <c r="F19" s="48" t="e">
        <f>_xlfn.XLOOKUP(D19,Tab_Def_Flows[Name(EN)],Tab_Def_Flows[Output_Process],,0,)</f>
        <v>#N/A</v>
      </c>
      <c r="G19" s="48" t="e">
        <f>_xlfn.XLOOKUP(D19,Tab_Def_Flows[Name(EN)],Tab_Def_Flows[Process_ID_O],,0,)</f>
        <v>#N/A</v>
      </c>
      <c r="H19" s="48" t="e">
        <f>_xlfn.XLOOKUP(D19,Tab_Def_Flows[Name(EN)],Tab_Def_Flows[Input_Process],,0,)</f>
        <v>#N/A</v>
      </c>
      <c r="I19" s="58" t="e">
        <f>_xlfn.XLOOKUP(D19,Tab_Def_Flows[Name(EN)],Tab_Def_Flows[Process_ID_I],,0,)</f>
        <v>#N/A</v>
      </c>
      <c r="J19" s="58" t="e">
        <f>_xlfn.XLOOKUP(D19,Tab_Def_Flows[Name(EN)],Tab_Def_Flows[Value_Source],,0,)</f>
        <v>#N/A</v>
      </c>
      <c r="K19" s="58" t="e">
        <f>_xlfn.XLOOKUP(D19,Tab_Def_Flows[Name(EN)],Tab_Def_Flows[WC?],,0,)</f>
        <v>#N/A</v>
      </c>
      <c r="L19" s="58" t="e">
        <f>_xlfn.XLOOKUP(D19,Tab_Def_Flows[Name(EN)],Tab_Def_Flows[DM?],,0,)</f>
        <v>#N/A</v>
      </c>
      <c r="M19" s="58" t="e">
        <f>_xlfn.XLOOKUP(D19,Tab_Def_Flows[Name(EN)],Tab_Def_Flows[CC?],,0,)</f>
        <v>#N/A</v>
      </c>
      <c r="N19" s="92"/>
      <c r="O19" s="85"/>
      <c r="P19" s="89">
        <v>1</v>
      </c>
      <c r="Q19" s="85"/>
      <c r="R19" s="92">
        <v>0.95</v>
      </c>
      <c r="S19" s="85" t="s">
        <v>438</v>
      </c>
      <c r="W19">
        <v>3.67</v>
      </c>
    </row>
    <row r="20" spans="1:23" x14ac:dyDescent="0.3">
      <c r="A20" s="81" t="b">
        <v>0</v>
      </c>
      <c r="B20" s="48">
        <f t="shared" si="0"/>
        <v>19</v>
      </c>
      <c r="C20" s="48" t="e">
        <f>_xlfn.XLOOKUP(D20,Tab_Def_Flows[Name(EN)],Tab_Def_Flows[Flow_ID],,0,)</f>
        <v>#N/A</v>
      </c>
      <c r="D20" s="50" t="s">
        <v>417</v>
      </c>
      <c r="E20" s="48" t="e">
        <f>_xlfn.XLOOKUP(D20,Tab_Def_Flows[Name(EN)],Tab_Def_Flows[Type_Biomass],,0,)</f>
        <v>#N/A</v>
      </c>
      <c r="F20" s="48" t="e">
        <f>_xlfn.XLOOKUP(D20,Tab_Def_Flows[Name(EN)],Tab_Def_Flows[Output_Process],,0,)</f>
        <v>#N/A</v>
      </c>
      <c r="G20" s="48" t="e">
        <f>_xlfn.XLOOKUP(D20,Tab_Def_Flows[Name(EN)],Tab_Def_Flows[Process_ID_O],,0,)</f>
        <v>#N/A</v>
      </c>
      <c r="H20" s="48" t="e">
        <f>_xlfn.XLOOKUP(D20,Tab_Def_Flows[Name(EN)],Tab_Def_Flows[Input_Process],,0,)</f>
        <v>#N/A</v>
      </c>
      <c r="I20" s="58" t="e">
        <f>_xlfn.XLOOKUP(D20,Tab_Def_Flows[Name(EN)],Tab_Def_Flows[Process_ID_I],,0,)</f>
        <v>#N/A</v>
      </c>
      <c r="J20" s="58" t="e">
        <f>_xlfn.XLOOKUP(D20,Tab_Def_Flows[Name(EN)],Tab_Def_Flows[Value_Source],,0,)</f>
        <v>#N/A</v>
      </c>
      <c r="K20" s="58" t="e">
        <f>_xlfn.XLOOKUP(D20,Tab_Def_Flows[Name(EN)],Tab_Def_Flows[WC?],,0,)</f>
        <v>#N/A</v>
      </c>
      <c r="L20" s="58" t="e">
        <f>_xlfn.XLOOKUP(D20,Tab_Def_Flows[Name(EN)],Tab_Def_Flows[DM?],,0,)</f>
        <v>#N/A</v>
      </c>
      <c r="M20" s="58" t="e">
        <f>_xlfn.XLOOKUP(D20,Tab_Def_Flows[Name(EN)],Tab_Def_Flows[CC?],,0,)</f>
        <v>#N/A</v>
      </c>
      <c r="N20" s="92"/>
      <c r="O20" s="85"/>
      <c r="P20" s="89"/>
      <c r="Q20" s="85"/>
      <c r="R20" s="92"/>
      <c r="S20" s="85"/>
    </row>
    <row r="21" spans="1:23" x14ac:dyDescent="0.3">
      <c r="A21" s="81" t="b">
        <v>1</v>
      </c>
      <c r="B21" s="48">
        <f t="shared" si="0"/>
        <v>20</v>
      </c>
      <c r="C21" s="48" t="e">
        <f>_xlfn.XLOOKUP(D21,Tab_Def_Flows[Name(EN)],Tab_Def_Flows[Flow_ID],,0,)</f>
        <v>#N/A</v>
      </c>
      <c r="D21" s="50" t="s">
        <v>439</v>
      </c>
      <c r="E21" s="48" t="e">
        <f>_xlfn.XLOOKUP(D21,Tab_Def_Flows[Name(EN)],Tab_Def_Flows[Type_Biomass],,0,)</f>
        <v>#N/A</v>
      </c>
      <c r="F21" s="48" t="e">
        <f>_xlfn.XLOOKUP(D21,Tab_Def_Flows[Name(EN)],Tab_Def_Flows[Output_Process],,0,)</f>
        <v>#N/A</v>
      </c>
      <c r="G21" s="48" t="e">
        <f>_xlfn.XLOOKUP(D21,Tab_Def_Flows[Name(EN)],Tab_Def_Flows[Process_ID_O],,0,)</f>
        <v>#N/A</v>
      </c>
      <c r="H21" s="48" t="e">
        <f>_xlfn.XLOOKUP(D21,Tab_Def_Flows[Name(EN)],Tab_Def_Flows[Input_Process],,0,)</f>
        <v>#N/A</v>
      </c>
      <c r="I21" s="58" t="e">
        <f>_xlfn.XLOOKUP(D21,Tab_Def_Flows[Name(EN)],Tab_Def_Flows[Process_ID_I],,0,)</f>
        <v>#N/A</v>
      </c>
      <c r="J21" s="58" t="e">
        <f>_xlfn.XLOOKUP(D21,Tab_Def_Flows[Name(EN)],Tab_Def_Flows[Value_Source],,0,)</f>
        <v>#N/A</v>
      </c>
      <c r="K21" s="58" t="e">
        <f>_xlfn.XLOOKUP(D21,Tab_Def_Flows[Name(EN)],Tab_Def_Flows[WC?],,0,)</f>
        <v>#N/A</v>
      </c>
      <c r="L21" s="58" t="e">
        <f>_xlfn.XLOOKUP(D21,Tab_Def_Flows[Name(EN)],Tab_Def_Flows[DM?],,0,)</f>
        <v>#N/A</v>
      </c>
      <c r="M21" s="58" t="e">
        <f>_xlfn.XLOOKUP(D21,Tab_Def_Flows[Name(EN)],Tab_Def_Flows[CC?],,0,)</f>
        <v>#N/A</v>
      </c>
      <c r="N21" s="92"/>
      <c r="O21" s="85"/>
      <c r="P21" s="89"/>
      <c r="Q21" s="85"/>
      <c r="R21" s="92"/>
      <c r="S21" s="85"/>
    </row>
    <row r="22" spans="1:23" x14ac:dyDescent="0.3">
      <c r="A22" s="81" t="b">
        <v>0</v>
      </c>
      <c r="B22" s="48">
        <f t="shared" si="0"/>
        <v>21</v>
      </c>
      <c r="C22" s="48" t="e">
        <f>_xlfn.XLOOKUP(D22,Tab_Def_Flows[Name(EN)],Tab_Def_Flows[Flow_ID],,0,)</f>
        <v>#N/A</v>
      </c>
      <c r="D22" s="50"/>
      <c r="E22" s="48" t="e">
        <f>_xlfn.XLOOKUP(D22,Tab_Def_Flows[Name(EN)],Tab_Def_Flows[Type_Biomass],,0,)</f>
        <v>#N/A</v>
      </c>
      <c r="F22" s="48" t="e">
        <f>_xlfn.XLOOKUP(D22,Tab_Def_Flows[Name(EN)],Tab_Def_Flows[Output_Process],,0,)</f>
        <v>#N/A</v>
      </c>
      <c r="G22" s="48" t="e">
        <f>_xlfn.XLOOKUP(D22,Tab_Def_Flows[Name(EN)],Tab_Def_Flows[Process_ID_O],,0,)</f>
        <v>#N/A</v>
      </c>
      <c r="H22" s="48" t="e">
        <f>_xlfn.XLOOKUP(D22,Tab_Def_Flows[Name(EN)],Tab_Def_Flows[Input_Process],,0,)</f>
        <v>#N/A</v>
      </c>
      <c r="I22" s="58" t="e">
        <f>_xlfn.XLOOKUP(D22,Tab_Def_Flows[Name(EN)],Tab_Def_Flows[Process_ID_I],,0,)</f>
        <v>#N/A</v>
      </c>
      <c r="J22" s="58" t="e">
        <f>_xlfn.XLOOKUP(D22,Tab_Def_Flows[Name(EN)],Tab_Def_Flows[Value_Source],,0,)</f>
        <v>#N/A</v>
      </c>
      <c r="K22" s="58" t="e">
        <f>_xlfn.XLOOKUP(D22,Tab_Def_Flows[Name(EN)],Tab_Def_Flows[WC?],,0,)</f>
        <v>#N/A</v>
      </c>
      <c r="L22" s="58" t="e">
        <f>_xlfn.XLOOKUP(D22,Tab_Def_Flows[Name(EN)],Tab_Def_Flows[DM?],,0,)</f>
        <v>#N/A</v>
      </c>
      <c r="M22" s="58" t="e">
        <f>_xlfn.XLOOKUP(D22,Tab_Def_Flows[Name(EN)],Tab_Def_Flows[CC?],,0,)</f>
        <v>#N/A</v>
      </c>
      <c r="N22" s="92"/>
      <c r="O22" s="85"/>
      <c r="P22" s="89"/>
      <c r="Q22" s="85"/>
      <c r="R22" s="92"/>
      <c r="S22" s="85"/>
    </row>
    <row r="23" spans="1:23" x14ac:dyDescent="0.3">
      <c r="A23" s="81" t="b">
        <v>0</v>
      </c>
      <c r="B23" s="48">
        <f t="shared" si="0"/>
        <v>22</v>
      </c>
      <c r="C23" s="48" t="e">
        <f>_xlfn.XLOOKUP(D23,Tab_Def_Flows[Name(EN)],Tab_Def_Flows[Flow_ID],,0,)</f>
        <v>#N/A</v>
      </c>
      <c r="D23" s="50"/>
      <c r="E23" s="48" t="e">
        <f>_xlfn.XLOOKUP(D23,Tab_Def_Flows[Name(EN)],Tab_Def_Flows[Type_Biomass],,0,)</f>
        <v>#N/A</v>
      </c>
      <c r="F23" s="48" t="e">
        <f>_xlfn.XLOOKUP(D23,Tab_Def_Flows[Name(EN)],Tab_Def_Flows[Output_Process],,0,)</f>
        <v>#N/A</v>
      </c>
      <c r="G23" s="48" t="e">
        <f>_xlfn.XLOOKUP(D23,Tab_Def_Flows[Name(EN)],Tab_Def_Flows[Process_ID_O],,0,)</f>
        <v>#N/A</v>
      </c>
      <c r="H23" s="48" t="e">
        <f>_xlfn.XLOOKUP(D23,Tab_Def_Flows[Name(EN)],Tab_Def_Flows[Input_Process],,0,)</f>
        <v>#N/A</v>
      </c>
      <c r="I23" s="58" t="e">
        <f>_xlfn.XLOOKUP(D23,Tab_Def_Flows[Name(EN)],Tab_Def_Flows[Process_ID_I],,0,)</f>
        <v>#N/A</v>
      </c>
      <c r="J23" s="58" t="e">
        <f>_xlfn.XLOOKUP(D23,Tab_Def_Flows[Name(EN)],Tab_Def_Flows[Value_Source],,0,)</f>
        <v>#N/A</v>
      </c>
      <c r="K23" s="58" t="e">
        <f>_xlfn.XLOOKUP(D23,Tab_Def_Flows[Name(EN)],Tab_Def_Flows[WC?],,0,)</f>
        <v>#N/A</v>
      </c>
      <c r="L23" s="58" t="e">
        <f>_xlfn.XLOOKUP(D23,Tab_Def_Flows[Name(EN)],Tab_Def_Flows[DM?],,0,)</f>
        <v>#N/A</v>
      </c>
      <c r="M23" s="58" t="e">
        <f>_xlfn.XLOOKUP(D23,Tab_Def_Flows[Name(EN)],Tab_Def_Flows[CC?],,0,)</f>
        <v>#N/A</v>
      </c>
      <c r="N23" s="92"/>
      <c r="O23" s="85"/>
      <c r="P23" s="89"/>
      <c r="Q23" s="85"/>
      <c r="R23" s="92"/>
      <c r="S23" s="85"/>
    </row>
    <row r="24" spans="1:23" x14ac:dyDescent="0.3">
      <c r="A24" s="81" t="b">
        <v>0</v>
      </c>
      <c r="B24" s="48">
        <f t="shared" si="0"/>
        <v>23</v>
      </c>
      <c r="C24" s="48" t="e">
        <f>_xlfn.XLOOKUP(D24,Tab_Def_Flows[Name(EN)],Tab_Def_Flows[Flow_ID],,0,)</f>
        <v>#N/A</v>
      </c>
      <c r="D24" s="50"/>
      <c r="E24" s="48" t="e">
        <f>_xlfn.XLOOKUP(D24,Tab_Def_Flows[Name(EN)],Tab_Def_Flows[Type_Biomass],,0,)</f>
        <v>#N/A</v>
      </c>
      <c r="F24" s="48" t="e">
        <f>_xlfn.XLOOKUP(D24,Tab_Def_Flows[Name(EN)],Tab_Def_Flows[Output_Process],,0,)</f>
        <v>#N/A</v>
      </c>
      <c r="G24" s="48" t="e">
        <f>_xlfn.XLOOKUP(D24,Tab_Def_Flows[Name(EN)],Tab_Def_Flows[Process_ID_O],,0,)</f>
        <v>#N/A</v>
      </c>
      <c r="H24" s="48" t="e">
        <f>_xlfn.XLOOKUP(D24,Tab_Def_Flows[Name(EN)],Tab_Def_Flows[Input_Process],,0,)</f>
        <v>#N/A</v>
      </c>
      <c r="I24" s="58" t="e">
        <f>_xlfn.XLOOKUP(D24,Tab_Def_Flows[Name(EN)],Tab_Def_Flows[Process_ID_I],,0,)</f>
        <v>#N/A</v>
      </c>
      <c r="J24" s="58" t="e">
        <f>_xlfn.XLOOKUP(D24,Tab_Def_Flows[Name(EN)],Tab_Def_Flows[Value_Source],,0,)</f>
        <v>#N/A</v>
      </c>
      <c r="K24" s="58" t="e">
        <f>_xlfn.XLOOKUP(D24,Tab_Def_Flows[Name(EN)],Tab_Def_Flows[WC?],,0,)</f>
        <v>#N/A</v>
      </c>
      <c r="L24" s="58" t="e">
        <f>_xlfn.XLOOKUP(D24,Tab_Def_Flows[Name(EN)],Tab_Def_Flows[DM?],,0,)</f>
        <v>#N/A</v>
      </c>
      <c r="M24" s="58" t="e">
        <f>_xlfn.XLOOKUP(D24,Tab_Def_Flows[Name(EN)],Tab_Def_Flows[CC?],,0,)</f>
        <v>#N/A</v>
      </c>
      <c r="N24" s="92"/>
      <c r="O24" s="85"/>
      <c r="P24" s="89"/>
      <c r="Q24" s="85"/>
      <c r="R24" s="92"/>
      <c r="S24" s="85"/>
    </row>
    <row r="25" spans="1:23" x14ac:dyDescent="0.3">
      <c r="A25" s="81" t="b">
        <v>0</v>
      </c>
      <c r="B25" s="48">
        <f t="shared" si="0"/>
        <v>24</v>
      </c>
      <c r="C25" s="48" t="e">
        <f>_xlfn.XLOOKUP(D25,Tab_Def_Flows[Name(EN)],Tab_Def_Flows[Flow_ID],,0,)</f>
        <v>#N/A</v>
      </c>
      <c r="D25" s="50"/>
      <c r="E25" s="48" t="e">
        <f>_xlfn.XLOOKUP(D25,Tab_Def_Flows[Name(EN)],Tab_Def_Flows[Type_Biomass],,0,)</f>
        <v>#N/A</v>
      </c>
      <c r="F25" s="48" t="e">
        <f>_xlfn.XLOOKUP(D25,Tab_Def_Flows[Name(EN)],Tab_Def_Flows[Output_Process],,0,)</f>
        <v>#N/A</v>
      </c>
      <c r="G25" s="48" t="e">
        <f>_xlfn.XLOOKUP(D25,Tab_Def_Flows[Name(EN)],Tab_Def_Flows[Process_ID_O],,0,)</f>
        <v>#N/A</v>
      </c>
      <c r="H25" s="48" t="e">
        <f>_xlfn.XLOOKUP(D25,Tab_Def_Flows[Name(EN)],Tab_Def_Flows[Input_Process],,0,)</f>
        <v>#N/A</v>
      </c>
      <c r="I25" s="58" t="e">
        <f>_xlfn.XLOOKUP(D25,Tab_Def_Flows[Name(EN)],Tab_Def_Flows[Process_ID_I],,0,)</f>
        <v>#N/A</v>
      </c>
      <c r="J25" s="58" t="e">
        <f>_xlfn.XLOOKUP(D25,Tab_Def_Flows[Name(EN)],Tab_Def_Flows[Value_Source],,0,)</f>
        <v>#N/A</v>
      </c>
      <c r="K25" s="58" t="e">
        <f>_xlfn.XLOOKUP(D25,Tab_Def_Flows[Name(EN)],Tab_Def_Flows[WC?],,0,)</f>
        <v>#N/A</v>
      </c>
      <c r="L25" s="58" t="e">
        <f>_xlfn.XLOOKUP(D25,Tab_Def_Flows[Name(EN)],Tab_Def_Flows[DM?],,0,)</f>
        <v>#N/A</v>
      </c>
      <c r="M25" s="58" t="e">
        <f>_xlfn.XLOOKUP(D25,Tab_Def_Flows[Name(EN)],Tab_Def_Flows[CC?],,0,)</f>
        <v>#N/A</v>
      </c>
      <c r="N25" s="92"/>
      <c r="O25" s="85"/>
      <c r="P25" s="89"/>
      <c r="Q25" s="85"/>
      <c r="R25" s="92"/>
      <c r="S25" s="85"/>
    </row>
    <row r="26" spans="1:23" x14ac:dyDescent="0.3">
      <c r="A26" s="81" t="b">
        <v>0</v>
      </c>
      <c r="B26" s="48">
        <f t="shared" si="0"/>
        <v>25</v>
      </c>
      <c r="C26" s="48" t="e">
        <f>_xlfn.XLOOKUP(D26,Tab_Def_Flows[Name(EN)],Tab_Def_Flows[Flow_ID],,0,)</f>
        <v>#N/A</v>
      </c>
      <c r="D26" s="50"/>
      <c r="E26" s="48" t="e">
        <f>_xlfn.XLOOKUP(D26,Tab_Def_Flows[Name(EN)],Tab_Def_Flows[Type_Biomass],,0,)</f>
        <v>#N/A</v>
      </c>
      <c r="F26" s="48" t="e">
        <f>_xlfn.XLOOKUP(D26,Tab_Def_Flows[Name(EN)],Tab_Def_Flows[Output_Process],,0,)</f>
        <v>#N/A</v>
      </c>
      <c r="G26" s="48" t="e">
        <f>_xlfn.XLOOKUP(D26,Tab_Def_Flows[Name(EN)],Tab_Def_Flows[Process_ID_O],,0,)</f>
        <v>#N/A</v>
      </c>
      <c r="H26" s="48" t="e">
        <f>_xlfn.XLOOKUP(D26,Tab_Def_Flows[Name(EN)],Tab_Def_Flows[Input_Process],,0,)</f>
        <v>#N/A</v>
      </c>
      <c r="I26" s="58" t="e">
        <f>_xlfn.XLOOKUP(D26,Tab_Def_Flows[Name(EN)],Tab_Def_Flows[Process_ID_I],,0,)</f>
        <v>#N/A</v>
      </c>
      <c r="J26" s="58" t="e">
        <f>_xlfn.XLOOKUP(D26,Tab_Def_Flows[Name(EN)],Tab_Def_Flows[Value_Source],,0,)</f>
        <v>#N/A</v>
      </c>
      <c r="K26" s="58" t="e">
        <f>_xlfn.XLOOKUP(D26,Tab_Def_Flows[Name(EN)],Tab_Def_Flows[WC?],,0,)</f>
        <v>#N/A</v>
      </c>
      <c r="L26" s="58" t="e">
        <f>_xlfn.XLOOKUP(D26,Tab_Def_Flows[Name(EN)],Tab_Def_Flows[DM?],,0,)</f>
        <v>#N/A</v>
      </c>
      <c r="M26" s="58" t="e">
        <f>_xlfn.XLOOKUP(D26,Tab_Def_Flows[Name(EN)],Tab_Def_Flows[CC?],,0,)</f>
        <v>#N/A</v>
      </c>
      <c r="N26" s="92"/>
      <c r="O26" s="85"/>
      <c r="P26" s="89"/>
      <c r="Q26" s="85"/>
      <c r="R26" s="92"/>
      <c r="S26" s="85"/>
    </row>
    <row r="27" spans="1:23" x14ac:dyDescent="0.3">
      <c r="A27" s="81" t="b">
        <v>0</v>
      </c>
      <c r="B27" s="48">
        <f t="shared" si="0"/>
        <v>26</v>
      </c>
      <c r="C27" s="48" t="e">
        <f>_xlfn.XLOOKUP(D27,Tab_Def_Flows[Name(EN)],Tab_Def_Flows[Flow_ID],,0,)</f>
        <v>#N/A</v>
      </c>
      <c r="D27" s="50"/>
      <c r="E27" s="48" t="e">
        <f>_xlfn.XLOOKUP(D27,Tab_Def_Flows[Name(EN)],Tab_Def_Flows[Type_Biomass],,0,)</f>
        <v>#N/A</v>
      </c>
      <c r="F27" s="48" t="e">
        <f>_xlfn.XLOOKUP(D27,Tab_Def_Flows[Name(EN)],Tab_Def_Flows[Output_Process],,0,)</f>
        <v>#N/A</v>
      </c>
      <c r="G27" s="48" t="e">
        <f>_xlfn.XLOOKUP(D27,Tab_Def_Flows[Name(EN)],Tab_Def_Flows[Process_ID_O],,0,)</f>
        <v>#N/A</v>
      </c>
      <c r="H27" s="48" t="e">
        <f>_xlfn.XLOOKUP(D27,Tab_Def_Flows[Name(EN)],Tab_Def_Flows[Input_Process],,0,)</f>
        <v>#N/A</v>
      </c>
      <c r="I27" s="58" t="e">
        <f>_xlfn.XLOOKUP(D27,Tab_Def_Flows[Name(EN)],Tab_Def_Flows[Process_ID_I],,0,)</f>
        <v>#N/A</v>
      </c>
      <c r="J27" s="58" t="e">
        <f>_xlfn.XLOOKUP(D27,Tab_Def_Flows[Name(EN)],Tab_Def_Flows[Value_Source],,0,)</f>
        <v>#N/A</v>
      </c>
      <c r="K27" s="58" t="e">
        <f>_xlfn.XLOOKUP(D27,Tab_Def_Flows[Name(EN)],Tab_Def_Flows[WC?],,0,)</f>
        <v>#N/A</v>
      </c>
      <c r="L27" s="58" t="e">
        <f>_xlfn.XLOOKUP(D27,Tab_Def_Flows[Name(EN)],Tab_Def_Flows[DM?],,0,)</f>
        <v>#N/A</v>
      </c>
      <c r="M27" s="58" t="e">
        <f>_xlfn.XLOOKUP(D27,Tab_Def_Flows[Name(EN)],Tab_Def_Flows[CC?],,0,)</f>
        <v>#N/A</v>
      </c>
      <c r="N27" s="92"/>
      <c r="O27" s="85"/>
      <c r="P27" s="89"/>
      <c r="Q27" s="85"/>
      <c r="R27" s="92"/>
      <c r="S27" s="85"/>
    </row>
    <row r="28" spans="1:23" x14ac:dyDescent="0.3">
      <c r="A28" s="81" t="b">
        <v>0</v>
      </c>
      <c r="B28" s="48">
        <f t="shared" si="0"/>
        <v>27</v>
      </c>
      <c r="C28" s="48" t="e">
        <f>_xlfn.XLOOKUP(D28,Tab_Def_Flows[Name(EN)],Tab_Def_Flows[Flow_ID],,0,)</f>
        <v>#N/A</v>
      </c>
      <c r="D28" s="50"/>
      <c r="E28" s="48" t="e">
        <f>_xlfn.XLOOKUP(D28,Tab_Def_Flows[Name(EN)],Tab_Def_Flows[Type_Biomass],,0,)</f>
        <v>#N/A</v>
      </c>
      <c r="F28" s="48" t="e">
        <f>_xlfn.XLOOKUP(D28,Tab_Def_Flows[Name(EN)],Tab_Def_Flows[Output_Process],,0,)</f>
        <v>#N/A</v>
      </c>
      <c r="G28" s="48" t="e">
        <f>_xlfn.XLOOKUP(D28,Tab_Def_Flows[Name(EN)],Tab_Def_Flows[Process_ID_O],,0,)</f>
        <v>#N/A</v>
      </c>
      <c r="H28" s="48" t="e">
        <f>_xlfn.XLOOKUP(D28,Tab_Def_Flows[Name(EN)],Tab_Def_Flows[Input_Process],,0,)</f>
        <v>#N/A</v>
      </c>
      <c r="I28" s="58" t="e">
        <f>_xlfn.XLOOKUP(D28,Tab_Def_Flows[Name(EN)],Tab_Def_Flows[Process_ID_I],,0,)</f>
        <v>#N/A</v>
      </c>
      <c r="J28" s="58" t="e">
        <f>_xlfn.XLOOKUP(D28,Tab_Def_Flows[Name(EN)],Tab_Def_Flows[Value_Source],,0,)</f>
        <v>#N/A</v>
      </c>
      <c r="K28" s="58" t="e">
        <f>_xlfn.XLOOKUP(D28,Tab_Def_Flows[Name(EN)],Tab_Def_Flows[WC?],,0,)</f>
        <v>#N/A</v>
      </c>
      <c r="L28" s="58" t="e">
        <f>_xlfn.XLOOKUP(D28,Tab_Def_Flows[Name(EN)],Tab_Def_Flows[DM?],,0,)</f>
        <v>#N/A</v>
      </c>
      <c r="M28" s="58" t="e">
        <f>_xlfn.XLOOKUP(D28,Tab_Def_Flows[Name(EN)],Tab_Def_Flows[CC?],,0,)</f>
        <v>#N/A</v>
      </c>
      <c r="N28" s="92"/>
      <c r="O28" s="85"/>
      <c r="P28" s="89"/>
      <c r="Q28" s="85"/>
      <c r="R28" s="92"/>
      <c r="S28" s="85"/>
    </row>
    <row r="29" spans="1:23" x14ac:dyDescent="0.3">
      <c r="A29" s="81" t="b">
        <v>0</v>
      </c>
      <c r="B29" s="48">
        <f t="shared" si="0"/>
        <v>28</v>
      </c>
      <c r="C29" s="48" t="e">
        <f>_xlfn.XLOOKUP(D29,Tab_Def_Flows[Name(EN)],Tab_Def_Flows[Flow_ID],,0,)</f>
        <v>#N/A</v>
      </c>
      <c r="D29" s="50"/>
      <c r="E29" s="48" t="e">
        <f>_xlfn.XLOOKUP(D29,Tab_Def_Flows[Name(EN)],Tab_Def_Flows[Type_Biomass],,0,)</f>
        <v>#N/A</v>
      </c>
      <c r="F29" s="48" t="e">
        <f>_xlfn.XLOOKUP(D29,Tab_Def_Flows[Name(EN)],Tab_Def_Flows[Output_Process],,0,)</f>
        <v>#N/A</v>
      </c>
      <c r="G29" s="48" t="e">
        <f>_xlfn.XLOOKUP(D29,Tab_Def_Flows[Name(EN)],Tab_Def_Flows[Process_ID_O],,0,)</f>
        <v>#N/A</v>
      </c>
      <c r="H29" s="48" t="e">
        <f>_xlfn.XLOOKUP(D29,Tab_Def_Flows[Name(EN)],Tab_Def_Flows[Input_Process],,0,)</f>
        <v>#N/A</v>
      </c>
      <c r="I29" s="58" t="e">
        <f>_xlfn.XLOOKUP(D29,Tab_Def_Flows[Name(EN)],Tab_Def_Flows[Process_ID_I],,0,)</f>
        <v>#N/A</v>
      </c>
      <c r="J29" s="58" t="e">
        <f>_xlfn.XLOOKUP(D29,Tab_Def_Flows[Name(EN)],Tab_Def_Flows[Value_Source],,0,)</f>
        <v>#N/A</v>
      </c>
      <c r="K29" s="58" t="e">
        <f>_xlfn.XLOOKUP(D29,Tab_Def_Flows[Name(EN)],Tab_Def_Flows[WC?],,0,)</f>
        <v>#N/A</v>
      </c>
      <c r="L29" s="58" t="e">
        <f>_xlfn.XLOOKUP(D29,Tab_Def_Flows[Name(EN)],Tab_Def_Flows[DM?],,0,)</f>
        <v>#N/A</v>
      </c>
      <c r="M29" s="58" t="e">
        <f>_xlfn.XLOOKUP(D29,Tab_Def_Flows[Name(EN)],Tab_Def_Flows[CC?],,0,)</f>
        <v>#N/A</v>
      </c>
      <c r="N29" s="92"/>
      <c r="O29" s="85"/>
      <c r="P29" s="89"/>
      <c r="Q29" s="85"/>
      <c r="R29" s="92"/>
      <c r="S29" s="85"/>
    </row>
    <row r="30" spans="1:23" x14ac:dyDescent="0.3">
      <c r="A30" s="81" t="b">
        <v>0</v>
      </c>
      <c r="B30" s="48">
        <f t="shared" si="0"/>
        <v>29</v>
      </c>
      <c r="C30" s="48" t="e">
        <f>_xlfn.XLOOKUP(D30,Tab_Def_Flows[Name(EN)],Tab_Def_Flows[Flow_ID],,0,)</f>
        <v>#N/A</v>
      </c>
      <c r="D30" s="50"/>
      <c r="E30" s="48" t="e">
        <f>_xlfn.XLOOKUP(D30,Tab_Def_Flows[Name(EN)],Tab_Def_Flows[Type_Biomass],,0,)</f>
        <v>#N/A</v>
      </c>
      <c r="F30" s="48" t="e">
        <f>_xlfn.XLOOKUP(D30,Tab_Def_Flows[Name(EN)],Tab_Def_Flows[Output_Process],,0,)</f>
        <v>#N/A</v>
      </c>
      <c r="G30" s="48" t="e">
        <f>_xlfn.XLOOKUP(D30,Tab_Def_Flows[Name(EN)],Tab_Def_Flows[Process_ID_O],,0,)</f>
        <v>#N/A</v>
      </c>
      <c r="H30" s="48" t="e">
        <f>_xlfn.XLOOKUP(D30,Tab_Def_Flows[Name(EN)],Tab_Def_Flows[Input_Process],,0,)</f>
        <v>#N/A</v>
      </c>
      <c r="I30" s="58" t="e">
        <f>_xlfn.XLOOKUP(D30,Tab_Def_Flows[Name(EN)],Tab_Def_Flows[Process_ID_I],,0,)</f>
        <v>#N/A</v>
      </c>
      <c r="J30" s="58" t="e">
        <f>_xlfn.XLOOKUP(D30,Tab_Def_Flows[Name(EN)],Tab_Def_Flows[Value_Source],,0,)</f>
        <v>#N/A</v>
      </c>
      <c r="K30" s="58" t="e">
        <f>_xlfn.XLOOKUP(D30,Tab_Def_Flows[Name(EN)],Tab_Def_Flows[WC?],,0,)</f>
        <v>#N/A</v>
      </c>
      <c r="L30" s="58" t="e">
        <f>_xlfn.XLOOKUP(D30,Tab_Def_Flows[Name(EN)],Tab_Def_Flows[DM?],,0,)</f>
        <v>#N/A</v>
      </c>
      <c r="M30" s="58" t="e">
        <f>_xlfn.XLOOKUP(D30,Tab_Def_Flows[Name(EN)],Tab_Def_Flows[CC?],,0,)</f>
        <v>#N/A</v>
      </c>
      <c r="N30" s="92"/>
      <c r="O30" s="85"/>
      <c r="P30" s="89"/>
      <c r="Q30" s="85"/>
      <c r="R30" s="92"/>
      <c r="S30" s="85"/>
    </row>
    <row r="31" spans="1:23" x14ac:dyDescent="0.3">
      <c r="A31" s="81" t="b">
        <v>0</v>
      </c>
      <c r="B31" s="48">
        <f t="shared" si="0"/>
        <v>30</v>
      </c>
      <c r="C31" s="48" t="e">
        <f>_xlfn.XLOOKUP(D31,Tab_Def_Flows[Name(EN)],Tab_Def_Flows[Flow_ID],,0,)</f>
        <v>#N/A</v>
      </c>
      <c r="D31" s="50"/>
      <c r="E31" s="48" t="e">
        <f>_xlfn.XLOOKUP(D31,Tab_Def_Flows[Name(EN)],Tab_Def_Flows[Type_Biomass],,0,)</f>
        <v>#N/A</v>
      </c>
      <c r="F31" s="48" t="e">
        <f>_xlfn.XLOOKUP(D31,Tab_Def_Flows[Name(EN)],Tab_Def_Flows[Output_Process],,0,)</f>
        <v>#N/A</v>
      </c>
      <c r="G31" s="48" t="e">
        <f>_xlfn.XLOOKUP(D31,Tab_Def_Flows[Name(EN)],Tab_Def_Flows[Process_ID_O],,0,)</f>
        <v>#N/A</v>
      </c>
      <c r="H31" s="48" t="e">
        <f>_xlfn.XLOOKUP(D31,Tab_Def_Flows[Name(EN)],Tab_Def_Flows[Input_Process],,0,)</f>
        <v>#N/A</v>
      </c>
      <c r="I31" s="58" t="e">
        <f>_xlfn.XLOOKUP(D31,Tab_Def_Flows[Name(EN)],Tab_Def_Flows[Process_ID_I],,0,)</f>
        <v>#N/A</v>
      </c>
      <c r="J31" s="58" t="e">
        <f>_xlfn.XLOOKUP(D31,Tab_Def_Flows[Name(EN)],Tab_Def_Flows[Value_Source],,0,)</f>
        <v>#N/A</v>
      </c>
      <c r="K31" s="58" t="e">
        <f>_xlfn.XLOOKUP(D31,Tab_Def_Flows[Name(EN)],Tab_Def_Flows[WC?],,0,)</f>
        <v>#N/A</v>
      </c>
      <c r="L31" s="58" t="e">
        <f>_xlfn.XLOOKUP(D31,Tab_Def_Flows[Name(EN)],Tab_Def_Flows[DM?],,0,)</f>
        <v>#N/A</v>
      </c>
      <c r="M31" s="58" t="e">
        <f>_xlfn.XLOOKUP(D31,Tab_Def_Flows[Name(EN)],Tab_Def_Flows[CC?],,0,)</f>
        <v>#N/A</v>
      </c>
      <c r="N31" s="92"/>
      <c r="O31" s="85"/>
      <c r="P31" s="89"/>
      <c r="Q31" s="85"/>
      <c r="R31" s="92"/>
      <c r="S31" s="85"/>
    </row>
    <row r="32" spans="1:23" x14ac:dyDescent="0.3">
      <c r="A32" s="81" t="b">
        <v>0</v>
      </c>
      <c r="B32" s="48">
        <f t="shared" si="0"/>
        <v>31</v>
      </c>
      <c r="C32" s="48" t="e">
        <f>_xlfn.XLOOKUP(D32,Tab_Def_Flows[Name(EN)],Tab_Def_Flows[Flow_ID],,0,)</f>
        <v>#N/A</v>
      </c>
      <c r="D32" s="50"/>
      <c r="E32" s="48" t="e">
        <f>_xlfn.XLOOKUP(D32,Tab_Def_Flows[Name(EN)],Tab_Def_Flows[Type_Biomass],,0,)</f>
        <v>#N/A</v>
      </c>
      <c r="F32" s="48" t="e">
        <f>_xlfn.XLOOKUP(D32,Tab_Def_Flows[Name(EN)],Tab_Def_Flows[Output_Process],,0,)</f>
        <v>#N/A</v>
      </c>
      <c r="G32" s="48" t="e">
        <f>_xlfn.XLOOKUP(D32,Tab_Def_Flows[Name(EN)],Tab_Def_Flows[Process_ID_O],,0,)</f>
        <v>#N/A</v>
      </c>
      <c r="H32" s="48" t="e">
        <f>_xlfn.XLOOKUP(D32,Tab_Def_Flows[Name(EN)],Tab_Def_Flows[Input_Process],,0,)</f>
        <v>#N/A</v>
      </c>
      <c r="I32" s="58" t="e">
        <f>_xlfn.XLOOKUP(D32,Tab_Def_Flows[Name(EN)],Tab_Def_Flows[Process_ID_I],,0,)</f>
        <v>#N/A</v>
      </c>
      <c r="J32" s="58" t="e">
        <f>_xlfn.XLOOKUP(D32,Tab_Def_Flows[Name(EN)],Tab_Def_Flows[Value_Source],,0,)</f>
        <v>#N/A</v>
      </c>
      <c r="K32" s="58" t="e">
        <f>_xlfn.XLOOKUP(D32,Tab_Def_Flows[Name(EN)],Tab_Def_Flows[WC?],,0,)</f>
        <v>#N/A</v>
      </c>
      <c r="L32" s="58" t="e">
        <f>_xlfn.XLOOKUP(D32,Tab_Def_Flows[Name(EN)],Tab_Def_Flows[DM?],,0,)</f>
        <v>#N/A</v>
      </c>
      <c r="M32" s="58" t="e">
        <f>_xlfn.XLOOKUP(D32,Tab_Def_Flows[Name(EN)],Tab_Def_Flows[CC?],,0,)</f>
        <v>#N/A</v>
      </c>
      <c r="N32" s="92"/>
      <c r="O32" s="85"/>
      <c r="P32" s="89"/>
      <c r="Q32" s="85"/>
      <c r="R32" s="92"/>
      <c r="S32" s="85"/>
    </row>
    <row r="33" spans="1:19" x14ac:dyDescent="0.3">
      <c r="A33" s="81" t="b">
        <v>0</v>
      </c>
      <c r="B33" s="48">
        <f t="shared" si="0"/>
        <v>32</v>
      </c>
      <c r="C33" s="48" t="e">
        <f>_xlfn.XLOOKUP(D33,Tab_Def_Flows[Name(EN)],Tab_Def_Flows[Flow_ID],,0,)</f>
        <v>#N/A</v>
      </c>
      <c r="D33" s="50"/>
      <c r="E33" s="48" t="e">
        <f>_xlfn.XLOOKUP(D33,Tab_Def_Flows[Name(EN)],Tab_Def_Flows[Type_Biomass],,0,)</f>
        <v>#N/A</v>
      </c>
      <c r="F33" s="48" t="e">
        <f>_xlfn.XLOOKUP(D33,Tab_Def_Flows[Name(EN)],Tab_Def_Flows[Output_Process],,0,)</f>
        <v>#N/A</v>
      </c>
      <c r="G33" s="48" t="e">
        <f>_xlfn.XLOOKUP(D33,Tab_Def_Flows[Name(EN)],Tab_Def_Flows[Process_ID_O],,0,)</f>
        <v>#N/A</v>
      </c>
      <c r="H33" s="48" t="e">
        <f>_xlfn.XLOOKUP(D33,Tab_Def_Flows[Name(EN)],Tab_Def_Flows[Input_Process],,0,)</f>
        <v>#N/A</v>
      </c>
      <c r="I33" s="58" t="e">
        <f>_xlfn.XLOOKUP(D33,Tab_Def_Flows[Name(EN)],Tab_Def_Flows[Process_ID_I],,0,)</f>
        <v>#N/A</v>
      </c>
      <c r="J33" s="58" t="e">
        <f>_xlfn.XLOOKUP(D33,Tab_Def_Flows[Name(EN)],Tab_Def_Flows[Value_Source],,0,)</f>
        <v>#N/A</v>
      </c>
      <c r="K33" s="58" t="e">
        <f>_xlfn.XLOOKUP(D33,Tab_Def_Flows[Name(EN)],Tab_Def_Flows[WC?],,0,)</f>
        <v>#N/A</v>
      </c>
      <c r="L33" s="58" t="e">
        <f>_xlfn.XLOOKUP(D33,Tab_Def_Flows[Name(EN)],Tab_Def_Flows[DM?],,0,)</f>
        <v>#N/A</v>
      </c>
      <c r="M33" s="58" t="e">
        <f>_xlfn.XLOOKUP(D33,Tab_Def_Flows[Name(EN)],Tab_Def_Flows[CC?],,0,)</f>
        <v>#N/A</v>
      </c>
      <c r="N33" s="92"/>
      <c r="O33" s="85"/>
      <c r="P33" s="89"/>
      <c r="Q33" s="85"/>
      <c r="R33" s="92"/>
      <c r="S33" s="85"/>
    </row>
    <row r="34" spans="1:19" x14ac:dyDescent="0.3">
      <c r="A34" s="81" t="b">
        <v>0</v>
      </c>
      <c r="B34" s="48">
        <f t="shared" si="0"/>
        <v>33</v>
      </c>
      <c r="C34" s="48" t="e">
        <f>_xlfn.XLOOKUP(D34,Tab_Def_Flows[Name(EN)],Tab_Def_Flows[Flow_ID],,0,)</f>
        <v>#N/A</v>
      </c>
      <c r="D34" s="50"/>
      <c r="E34" s="48" t="e">
        <f>_xlfn.XLOOKUP(D34,Tab_Def_Flows[Name(EN)],Tab_Def_Flows[Type_Biomass],,0,)</f>
        <v>#N/A</v>
      </c>
      <c r="F34" s="48" t="e">
        <f>_xlfn.XLOOKUP(D34,Tab_Def_Flows[Name(EN)],Tab_Def_Flows[Output_Process],,0,)</f>
        <v>#N/A</v>
      </c>
      <c r="G34" s="48" t="e">
        <f>_xlfn.XLOOKUP(D34,Tab_Def_Flows[Name(EN)],Tab_Def_Flows[Process_ID_O],,0,)</f>
        <v>#N/A</v>
      </c>
      <c r="H34" s="48" t="e">
        <f>_xlfn.XLOOKUP(D34,Tab_Def_Flows[Name(EN)],Tab_Def_Flows[Input_Process],,0,)</f>
        <v>#N/A</v>
      </c>
      <c r="I34" s="58" t="e">
        <f>_xlfn.XLOOKUP(D34,Tab_Def_Flows[Name(EN)],Tab_Def_Flows[Process_ID_I],,0,)</f>
        <v>#N/A</v>
      </c>
      <c r="J34" s="58" t="e">
        <f>_xlfn.XLOOKUP(D34,Tab_Def_Flows[Name(EN)],Tab_Def_Flows[Value_Source],,0,)</f>
        <v>#N/A</v>
      </c>
      <c r="K34" s="58" t="e">
        <f>_xlfn.XLOOKUP(D34,Tab_Def_Flows[Name(EN)],Tab_Def_Flows[WC?],,0,)</f>
        <v>#N/A</v>
      </c>
      <c r="L34" s="58" t="e">
        <f>_xlfn.XLOOKUP(D34,Tab_Def_Flows[Name(EN)],Tab_Def_Flows[DM?],,0,)</f>
        <v>#N/A</v>
      </c>
      <c r="M34" s="58" t="e">
        <f>_xlfn.XLOOKUP(D34,Tab_Def_Flows[Name(EN)],Tab_Def_Flows[CC?],,0,)</f>
        <v>#N/A</v>
      </c>
      <c r="N34" s="92"/>
      <c r="O34" s="85"/>
      <c r="P34" s="89"/>
      <c r="Q34" s="85"/>
      <c r="R34" s="92"/>
      <c r="S34" s="85"/>
    </row>
    <row r="35" spans="1:19" x14ac:dyDescent="0.3">
      <c r="A35" s="81" t="b">
        <v>0</v>
      </c>
      <c r="B35" s="48">
        <f t="shared" si="0"/>
        <v>34</v>
      </c>
      <c r="C35" s="48" t="e">
        <f>_xlfn.XLOOKUP(D35,Tab_Def_Flows[Name(EN)],Tab_Def_Flows[Flow_ID],,0,)</f>
        <v>#N/A</v>
      </c>
      <c r="D35" s="50"/>
      <c r="E35" s="48" t="e">
        <f>_xlfn.XLOOKUP(D35,Tab_Def_Flows[Name(EN)],Tab_Def_Flows[Type_Biomass],,0,)</f>
        <v>#N/A</v>
      </c>
      <c r="F35" s="48" t="e">
        <f>_xlfn.XLOOKUP(D35,Tab_Def_Flows[Name(EN)],Tab_Def_Flows[Output_Process],,0,)</f>
        <v>#N/A</v>
      </c>
      <c r="G35" s="48" t="e">
        <f>_xlfn.XLOOKUP(D35,Tab_Def_Flows[Name(EN)],Tab_Def_Flows[Process_ID_O],,0,)</f>
        <v>#N/A</v>
      </c>
      <c r="H35" s="48" t="e">
        <f>_xlfn.XLOOKUP(D35,Tab_Def_Flows[Name(EN)],Tab_Def_Flows[Input_Process],,0,)</f>
        <v>#N/A</v>
      </c>
      <c r="I35" s="58" t="e">
        <f>_xlfn.XLOOKUP(D35,Tab_Def_Flows[Name(EN)],Tab_Def_Flows[Process_ID_I],,0,)</f>
        <v>#N/A</v>
      </c>
      <c r="J35" s="58" t="e">
        <f>_xlfn.XLOOKUP(D35,Tab_Def_Flows[Name(EN)],Tab_Def_Flows[Value_Source],,0,)</f>
        <v>#N/A</v>
      </c>
      <c r="K35" s="58" t="e">
        <f>_xlfn.XLOOKUP(D35,Tab_Def_Flows[Name(EN)],Tab_Def_Flows[WC?],,0,)</f>
        <v>#N/A</v>
      </c>
      <c r="L35" s="58" t="e">
        <f>_xlfn.XLOOKUP(D35,Tab_Def_Flows[Name(EN)],Tab_Def_Flows[DM?],,0,)</f>
        <v>#N/A</v>
      </c>
      <c r="M35" s="58" t="e">
        <f>_xlfn.XLOOKUP(D35,Tab_Def_Flows[Name(EN)],Tab_Def_Flows[CC?],,0,)</f>
        <v>#N/A</v>
      </c>
      <c r="N35" s="92"/>
      <c r="O35" s="85"/>
      <c r="P35" s="89"/>
      <c r="Q35" s="85"/>
      <c r="R35" s="92"/>
      <c r="S35" s="85"/>
    </row>
    <row r="36" spans="1:19" x14ac:dyDescent="0.3">
      <c r="A36" s="81" t="b">
        <v>0</v>
      </c>
      <c r="B36" s="48">
        <f t="shared" si="0"/>
        <v>35</v>
      </c>
      <c r="C36" s="48" t="e">
        <f>_xlfn.XLOOKUP(D36,Tab_Def_Flows[Name(EN)],Tab_Def_Flows[Flow_ID],,0,)</f>
        <v>#N/A</v>
      </c>
      <c r="D36" s="50"/>
      <c r="E36" s="48" t="e">
        <f>_xlfn.XLOOKUP(D36,Tab_Def_Flows[Name(EN)],Tab_Def_Flows[Type_Biomass],,0,)</f>
        <v>#N/A</v>
      </c>
      <c r="F36" s="48" t="e">
        <f>_xlfn.XLOOKUP(D36,Tab_Def_Flows[Name(EN)],Tab_Def_Flows[Output_Process],,0,)</f>
        <v>#N/A</v>
      </c>
      <c r="G36" s="48" t="e">
        <f>_xlfn.XLOOKUP(D36,Tab_Def_Flows[Name(EN)],Tab_Def_Flows[Process_ID_O],,0,)</f>
        <v>#N/A</v>
      </c>
      <c r="H36" s="48" t="e">
        <f>_xlfn.XLOOKUP(D36,Tab_Def_Flows[Name(EN)],Tab_Def_Flows[Input_Process],,0,)</f>
        <v>#N/A</v>
      </c>
      <c r="I36" s="58" t="e">
        <f>_xlfn.XLOOKUP(D36,Tab_Def_Flows[Name(EN)],Tab_Def_Flows[Process_ID_I],,0,)</f>
        <v>#N/A</v>
      </c>
      <c r="J36" s="58" t="e">
        <f>_xlfn.XLOOKUP(D36,Tab_Def_Flows[Name(EN)],Tab_Def_Flows[Value_Source],,0,)</f>
        <v>#N/A</v>
      </c>
      <c r="K36" s="58" t="e">
        <f>_xlfn.XLOOKUP(D36,Tab_Def_Flows[Name(EN)],Tab_Def_Flows[WC?],,0,)</f>
        <v>#N/A</v>
      </c>
      <c r="L36" s="58" t="e">
        <f>_xlfn.XLOOKUP(D36,Tab_Def_Flows[Name(EN)],Tab_Def_Flows[DM?],,0,)</f>
        <v>#N/A</v>
      </c>
      <c r="M36" s="58" t="e">
        <f>_xlfn.XLOOKUP(D36,Tab_Def_Flows[Name(EN)],Tab_Def_Flows[CC?],,0,)</f>
        <v>#N/A</v>
      </c>
      <c r="N36" s="92"/>
      <c r="O36" s="85"/>
      <c r="P36" s="89"/>
      <c r="Q36" s="85"/>
      <c r="R36" s="92"/>
      <c r="S36" s="85"/>
    </row>
    <row r="37" spans="1:19" x14ac:dyDescent="0.3">
      <c r="A37" s="81" t="b">
        <v>0</v>
      </c>
      <c r="B37" s="48">
        <f t="shared" si="0"/>
        <v>36</v>
      </c>
      <c r="C37" s="48" t="e">
        <f>_xlfn.XLOOKUP(D37,Tab_Def_Flows[Name(EN)],Tab_Def_Flows[Flow_ID],,0,)</f>
        <v>#N/A</v>
      </c>
      <c r="D37" s="50"/>
      <c r="E37" s="48" t="e">
        <f>_xlfn.XLOOKUP(D37,Tab_Def_Flows[Name(EN)],Tab_Def_Flows[Type_Biomass],,0,)</f>
        <v>#N/A</v>
      </c>
      <c r="F37" s="48" t="e">
        <f>_xlfn.XLOOKUP(D37,Tab_Def_Flows[Name(EN)],Tab_Def_Flows[Output_Process],,0,)</f>
        <v>#N/A</v>
      </c>
      <c r="G37" s="48" t="e">
        <f>_xlfn.XLOOKUP(D37,Tab_Def_Flows[Name(EN)],Tab_Def_Flows[Process_ID_O],,0,)</f>
        <v>#N/A</v>
      </c>
      <c r="H37" s="48" t="e">
        <f>_xlfn.XLOOKUP(D37,Tab_Def_Flows[Name(EN)],Tab_Def_Flows[Input_Process],,0,)</f>
        <v>#N/A</v>
      </c>
      <c r="I37" s="58" t="e">
        <f>_xlfn.XLOOKUP(D37,Tab_Def_Flows[Name(EN)],Tab_Def_Flows[Process_ID_I],,0,)</f>
        <v>#N/A</v>
      </c>
      <c r="J37" s="58" t="e">
        <f>_xlfn.XLOOKUP(D37,Tab_Def_Flows[Name(EN)],Tab_Def_Flows[Value_Source],,0,)</f>
        <v>#N/A</v>
      </c>
      <c r="K37" s="58" t="e">
        <f>_xlfn.XLOOKUP(D37,Tab_Def_Flows[Name(EN)],Tab_Def_Flows[WC?],,0,)</f>
        <v>#N/A</v>
      </c>
      <c r="L37" s="58" t="e">
        <f>_xlfn.XLOOKUP(D37,Tab_Def_Flows[Name(EN)],Tab_Def_Flows[DM?],,0,)</f>
        <v>#N/A</v>
      </c>
      <c r="M37" s="58" t="e">
        <f>_xlfn.XLOOKUP(D37,Tab_Def_Flows[Name(EN)],Tab_Def_Flows[CC?],,0,)</f>
        <v>#N/A</v>
      </c>
      <c r="N37" s="92"/>
      <c r="O37" s="85"/>
      <c r="P37" s="89"/>
      <c r="Q37" s="85"/>
      <c r="R37" s="92"/>
      <c r="S37" s="85"/>
    </row>
    <row r="38" spans="1:19" x14ac:dyDescent="0.3">
      <c r="A38" s="81" t="b">
        <v>0</v>
      </c>
      <c r="B38" s="48">
        <f t="shared" si="0"/>
        <v>37</v>
      </c>
      <c r="C38" s="48" t="e">
        <f>_xlfn.XLOOKUP(D38,Tab_Def_Flows[Name(EN)],Tab_Def_Flows[Flow_ID],,0,)</f>
        <v>#N/A</v>
      </c>
      <c r="D38" s="50"/>
      <c r="E38" s="48" t="e">
        <f>_xlfn.XLOOKUP(D38,Tab_Def_Flows[Name(EN)],Tab_Def_Flows[Type_Biomass],,0,)</f>
        <v>#N/A</v>
      </c>
      <c r="F38" s="48" t="e">
        <f>_xlfn.XLOOKUP(D38,Tab_Def_Flows[Name(EN)],Tab_Def_Flows[Output_Process],,0,)</f>
        <v>#N/A</v>
      </c>
      <c r="G38" s="48" t="e">
        <f>_xlfn.XLOOKUP(D38,Tab_Def_Flows[Name(EN)],Tab_Def_Flows[Process_ID_O],,0,)</f>
        <v>#N/A</v>
      </c>
      <c r="H38" s="48" t="e">
        <f>_xlfn.XLOOKUP(D38,Tab_Def_Flows[Name(EN)],Tab_Def_Flows[Input_Process],,0,)</f>
        <v>#N/A</v>
      </c>
      <c r="I38" s="58" t="e">
        <f>_xlfn.XLOOKUP(D38,Tab_Def_Flows[Name(EN)],Tab_Def_Flows[Process_ID_I],,0,)</f>
        <v>#N/A</v>
      </c>
      <c r="J38" s="58" t="e">
        <f>_xlfn.XLOOKUP(D38,Tab_Def_Flows[Name(EN)],Tab_Def_Flows[Value_Source],,0,)</f>
        <v>#N/A</v>
      </c>
      <c r="K38" s="58" t="e">
        <f>_xlfn.XLOOKUP(D38,Tab_Def_Flows[Name(EN)],Tab_Def_Flows[WC?],,0,)</f>
        <v>#N/A</v>
      </c>
      <c r="L38" s="58" t="e">
        <f>_xlfn.XLOOKUP(D38,Tab_Def_Flows[Name(EN)],Tab_Def_Flows[DM?],,0,)</f>
        <v>#N/A</v>
      </c>
      <c r="M38" s="58" t="e">
        <f>_xlfn.XLOOKUP(D38,Tab_Def_Flows[Name(EN)],Tab_Def_Flows[CC?],,0,)</f>
        <v>#N/A</v>
      </c>
      <c r="N38" s="92"/>
      <c r="O38" s="85"/>
      <c r="P38" s="89"/>
      <c r="Q38" s="85"/>
      <c r="R38" s="92"/>
      <c r="S38" s="85"/>
    </row>
    <row r="39" spans="1:19" x14ac:dyDescent="0.3">
      <c r="A39" s="81" t="b">
        <v>0</v>
      </c>
      <c r="B39" s="48">
        <f t="shared" si="0"/>
        <v>38</v>
      </c>
      <c r="C39" s="48" t="e">
        <f>_xlfn.XLOOKUP(D39,Tab_Def_Flows[Name(EN)],Tab_Def_Flows[Flow_ID],,0,)</f>
        <v>#N/A</v>
      </c>
      <c r="D39" s="50"/>
      <c r="E39" s="48" t="e">
        <f>_xlfn.XLOOKUP(D39,Tab_Def_Flows[Name(EN)],Tab_Def_Flows[Type_Biomass],,0,)</f>
        <v>#N/A</v>
      </c>
      <c r="F39" s="48" t="e">
        <f>_xlfn.XLOOKUP(D39,Tab_Def_Flows[Name(EN)],Tab_Def_Flows[Output_Process],,0,)</f>
        <v>#N/A</v>
      </c>
      <c r="G39" s="48" t="e">
        <f>_xlfn.XLOOKUP(D39,Tab_Def_Flows[Name(EN)],Tab_Def_Flows[Process_ID_O],,0,)</f>
        <v>#N/A</v>
      </c>
      <c r="H39" s="48" t="e">
        <f>_xlfn.XLOOKUP(D39,Tab_Def_Flows[Name(EN)],Tab_Def_Flows[Input_Process],,0,)</f>
        <v>#N/A</v>
      </c>
      <c r="I39" s="58" t="e">
        <f>_xlfn.XLOOKUP(D39,Tab_Def_Flows[Name(EN)],Tab_Def_Flows[Process_ID_I],,0,)</f>
        <v>#N/A</v>
      </c>
      <c r="J39" s="58" t="e">
        <f>_xlfn.XLOOKUP(D39,Tab_Def_Flows[Name(EN)],Tab_Def_Flows[Value_Source],,0,)</f>
        <v>#N/A</v>
      </c>
      <c r="K39" s="58" t="e">
        <f>_xlfn.XLOOKUP(D39,Tab_Def_Flows[Name(EN)],Tab_Def_Flows[WC?],,0,)</f>
        <v>#N/A</v>
      </c>
      <c r="L39" s="58" t="e">
        <f>_xlfn.XLOOKUP(D39,Tab_Def_Flows[Name(EN)],Tab_Def_Flows[DM?],,0,)</f>
        <v>#N/A</v>
      </c>
      <c r="M39" s="58" t="e">
        <f>_xlfn.XLOOKUP(D39,Tab_Def_Flows[Name(EN)],Tab_Def_Flows[CC?],,0,)</f>
        <v>#N/A</v>
      </c>
      <c r="N39" s="92"/>
      <c r="O39" s="85"/>
      <c r="P39" s="89"/>
      <c r="Q39" s="85"/>
      <c r="R39" s="92"/>
      <c r="S39" s="85"/>
    </row>
    <row r="40" spans="1:19" x14ac:dyDescent="0.3">
      <c r="A40" s="81" t="b">
        <v>0</v>
      </c>
      <c r="B40" s="48">
        <f t="shared" si="0"/>
        <v>39</v>
      </c>
      <c r="C40" s="48" t="e">
        <f>_xlfn.XLOOKUP(D40,Tab_Def_Flows[Name(EN)],Tab_Def_Flows[Flow_ID],,0,)</f>
        <v>#N/A</v>
      </c>
      <c r="D40" s="50"/>
      <c r="E40" s="48" t="e">
        <f>_xlfn.XLOOKUP(D40,Tab_Def_Flows[Name(EN)],Tab_Def_Flows[Type_Biomass],,0,)</f>
        <v>#N/A</v>
      </c>
      <c r="F40" s="48" t="e">
        <f>_xlfn.XLOOKUP(D40,Tab_Def_Flows[Name(EN)],Tab_Def_Flows[Output_Process],,0,)</f>
        <v>#N/A</v>
      </c>
      <c r="G40" s="48" t="e">
        <f>_xlfn.XLOOKUP(D40,Tab_Def_Flows[Name(EN)],Tab_Def_Flows[Process_ID_O],,0,)</f>
        <v>#N/A</v>
      </c>
      <c r="H40" s="48" t="e">
        <f>_xlfn.XLOOKUP(D40,Tab_Def_Flows[Name(EN)],Tab_Def_Flows[Input_Process],,0,)</f>
        <v>#N/A</v>
      </c>
      <c r="I40" s="58" t="e">
        <f>_xlfn.XLOOKUP(D40,Tab_Def_Flows[Name(EN)],Tab_Def_Flows[Process_ID_I],,0,)</f>
        <v>#N/A</v>
      </c>
      <c r="J40" s="58" t="e">
        <f>_xlfn.XLOOKUP(D40,Tab_Def_Flows[Name(EN)],Tab_Def_Flows[Value_Source],,0,)</f>
        <v>#N/A</v>
      </c>
      <c r="K40" s="58" t="e">
        <f>_xlfn.XLOOKUP(D40,Tab_Def_Flows[Name(EN)],Tab_Def_Flows[WC?],,0,)</f>
        <v>#N/A</v>
      </c>
      <c r="L40" s="58" t="e">
        <f>_xlfn.XLOOKUP(D40,Tab_Def_Flows[Name(EN)],Tab_Def_Flows[DM?],,0,)</f>
        <v>#N/A</v>
      </c>
      <c r="M40" s="58" t="e">
        <f>_xlfn.XLOOKUP(D40,Tab_Def_Flows[Name(EN)],Tab_Def_Flows[CC?],,0,)</f>
        <v>#N/A</v>
      </c>
      <c r="N40" s="92"/>
      <c r="O40" s="85"/>
      <c r="P40" s="89"/>
      <c r="Q40" s="85"/>
      <c r="R40" s="92"/>
      <c r="S40" s="85"/>
    </row>
    <row r="41" spans="1:19" ht="15" thickBot="1" x14ac:dyDescent="0.35">
      <c r="A41" s="81" t="b">
        <v>0</v>
      </c>
      <c r="B41" s="48">
        <f t="shared" si="0"/>
        <v>40</v>
      </c>
      <c r="C41" s="48" t="e">
        <f>_xlfn.XLOOKUP(D41,Tab_Def_Flows[Name(EN)],Tab_Def_Flows[Flow_ID],,0,)</f>
        <v>#N/A</v>
      </c>
      <c r="D41" s="50"/>
      <c r="E41" s="48" t="e">
        <f>_xlfn.XLOOKUP(D41,Tab_Def_Flows[Name(EN)],Tab_Def_Flows[Type_Biomass],,0,)</f>
        <v>#N/A</v>
      </c>
      <c r="F41" s="48" t="e">
        <f>_xlfn.XLOOKUP(D41,Tab_Def_Flows[Name(EN)],Tab_Def_Flows[Output_Process],,0,)</f>
        <v>#N/A</v>
      </c>
      <c r="G41" s="48" t="e">
        <f>_xlfn.XLOOKUP(D41,Tab_Def_Flows[Name(EN)],Tab_Def_Flows[Process_ID_O],,0,)</f>
        <v>#N/A</v>
      </c>
      <c r="H41" s="48" t="e">
        <f>_xlfn.XLOOKUP(D41,Tab_Def_Flows[Name(EN)],Tab_Def_Flows[Input_Process],,0,)</f>
        <v>#N/A</v>
      </c>
      <c r="I41" s="58" t="e">
        <f>_xlfn.XLOOKUP(D41,Tab_Def_Flows[Name(EN)],Tab_Def_Flows[Process_ID_I],,0,)</f>
        <v>#N/A</v>
      </c>
      <c r="J41" s="58" t="e">
        <f>_xlfn.XLOOKUP(D41,Tab_Def_Flows[Name(EN)],Tab_Def_Flows[Value_Source],,0,)</f>
        <v>#N/A</v>
      </c>
      <c r="K41" s="58" t="e">
        <f>_xlfn.XLOOKUP(D41,Tab_Def_Flows[Name(EN)],Tab_Def_Flows[WC?],,0,)</f>
        <v>#N/A</v>
      </c>
      <c r="L41" s="58" t="e">
        <f>_xlfn.XLOOKUP(D41,Tab_Def_Flows[Name(EN)],Tab_Def_Flows[DM?],,0,)</f>
        <v>#N/A</v>
      </c>
      <c r="M41" s="58" t="e">
        <f>_xlfn.XLOOKUP(D41,Tab_Def_Flows[Name(EN)],Tab_Def_Flows[CC?],,0,)</f>
        <v>#N/A</v>
      </c>
      <c r="N41" s="93"/>
      <c r="O41" s="86"/>
      <c r="P41" s="90"/>
      <c r="Q41" s="86"/>
      <c r="R41" s="93"/>
      <c r="S41" s="8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'1_1_Definition_Flows'!$D$12:$D$15</xm:f>
          </x14:formula1>
          <xm:sqref>D1:D16 D22:D1048576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zoomScale="130" zoomScaleNormal="130" workbookViewId="0">
      <selection activeCell="H39" sqref="H39"/>
    </sheetView>
  </sheetViews>
  <sheetFormatPr baseColWidth="10" defaultColWidth="10.77734375" defaultRowHeight="14.4" x14ac:dyDescent="0.3"/>
  <cols>
    <col min="3" max="3" width="16.44140625" customWidth="1"/>
    <col min="4" max="4" width="22" customWidth="1"/>
    <col min="5" max="5" width="13.44140625" customWidth="1"/>
    <col min="6" max="6" width="12.44140625" customWidth="1"/>
    <col min="8" max="8" width="12.44140625" customWidth="1"/>
    <col min="10" max="10" width="12.44140625" customWidth="1"/>
    <col min="12" max="12" width="12.44140625" customWidth="1"/>
    <col min="14" max="14" width="12.44140625" customWidth="1"/>
    <col min="16" max="16" width="13.77734375" customWidth="1"/>
    <col min="18" max="18" width="14.44140625" customWidth="1"/>
    <col min="20" max="20" width="13.77734375" customWidth="1"/>
    <col min="22" max="22" width="13.77734375" customWidth="1"/>
    <col min="24" max="24" width="16.44140625" customWidth="1"/>
    <col min="26" max="26" width="15" customWidth="1"/>
    <col min="28" max="28" width="14.109375" customWidth="1"/>
    <col min="29" max="29" width="24.77734375" customWidth="1"/>
    <col min="32" max="32" width="11.44140625" style="6"/>
    <col min="34" max="34" width="11.44140625" style="6"/>
    <col min="36" max="36" width="11.44140625" style="6"/>
    <col min="38" max="38" width="11.44140625" style="6"/>
    <col min="40" max="40" width="11.44140625" style="6"/>
    <col min="42" max="43" width="11.44140625" style="6"/>
    <col min="47" max="47" width="16.44140625" customWidth="1"/>
  </cols>
  <sheetData>
    <row r="4" spans="2:48" x14ac:dyDescent="0.3">
      <c r="B4" s="319" t="s">
        <v>346</v>
      </c>
      <c r="C4" s="319"/>
      <c r="D4" s="319"/>
      <c r="E4" s="319"/>
      <c r="F4" s="319"/>
      <c r="G4" s="319"/>
      <c r="H4" s="319"/>
      <c r="I4" s="319"/>
      <c r="J4" s="319"/>
      <c r="K4" s="319"/>
      <c r="L4" s="319"/>
      <c r="M4" s="319"/>
      <c r="N4" s="319"/>
      <c r="O4" s="319"/>
      <c r="P4" s="319"/>
      <c r="Q4" s="319"/>
      <c r="R4" s="319"/>
      <c r="S4" s="319"/>
      <c r="T4" s="319"/>
      <c r="U4" s="319"/>
      <c r="V4" s="319"/>
      <c r="W4" s="319"/>
      <c r="X4" s="319"/>
      <c r="Y4" s="319"/>
      <c r="Z4" s="319"/>
      <c r="AA4" s="319"/>
      <c r="AB4" s="319"/>
      <c r="AC4" s="319"/>
      <c r="AD4" s="319"/>
      <c r="AE4" s="319" t="s">
        <v>440</v>
      </c>
      <c r="AF4" s="319"/>
      <c r="AG4" s="319"/>
      <c r="AH4" s="319"/>
      <c r="AI4" s="319"/>
      <c r="AJ4" s="319"/>
      <c r="AK4" s="319"/>
      <c r="AL4" s="319"/>
      <c r="AM4" s="319"/>
      <c r="AN4" s="319"/>
      <c r="AO4" s="241"/>
      <c r="AP4" s="7"/>
      <c r="AQ4" s="7"/>
      <c r="AR4" s="319" t="s">
        <v>89</v>
      </c>
      <c r="AS4" s="319"/>
      <c r="AT4" s="319"/>
      <c r="AU4" s="319"/>
      <c r="AV4" s="319"/>
    </row>
    <row r="5" spans="2:48" x14ac:dyDescent="0.3">
      <c r="B5" t="s">
        <v>347</v>
      </c>
      <c r="C5" t="s">
        <v>349</v>
      </c>
      <c r="D5" t="s">
        <v>350</v>
      </c>
      <c r="E5" t="s">
        <v>351</v>
      </c>
      <c r="F5" t="s">
        <v>441</v>
      </c>
      <c r="G5" t="s">
        <v>442</v>
      </c>
      <c r="H5" t="s">
        <v>443</v>
      </c>
      <c r="I5" t="s">
        <v>444</v>
      </c>
      <c r="J5" t="s">
        <v>445</v>
      </c>
      <c r="K5" t="s">
        <v>446</v>
      </c>
      <c r="L5" t="s">
        <v>447</v>
      </c>
      <c r="M5" t="s">
        <v>448</v>
      </c>
      <c r="N5" t="s">
        <v>449</v>
      </c>
      <c r="O5" t="s">
        <v>450</v>
      </c>
      <c r="P5" t="s">
        <v>451</v>
      </c>
      <c r="Q5" t="s">
        <v>452</v>
      </c>
      <c r="R5" t="s">
        <v>453</v>
      </c>
      <c r="S5" t="s">
        <v>454</v>
      </c>
      <c r="T5" t="s">
        <v>455</v>
      </c>
      <c r="U5" t="s">
        <v>456</v>
      </c>
      <c r="V5" t="s">
        <v>457</v>
      </c>
      <c r="W5" t="s">
        <v>458</v>
      </c>
      <c r="X5" t="s">
        <v>459</v>
      </c>
      <c r="Y5" t="s">
        <v>460</v>
      </c>
      <c r="Z5" t="s">
        <v>461</v>
      </c>
      <c r="AA5" t="s">
        <v>462</v>
      </c>
      <c r="AB5" t="s">
        <v>372</v>
      </c>
      <c r="AC5" t="s">
        <v>373</v>
      </c>
      <c r="AD5" t="s">
        <v>164</v>
      </c>
      <c r="AE5" t="s">
        <v>463</v>
      </c>
      <c r="AF5" s="6" t="s">
        <v>464</v>
      </c>
      <c r="AG5" t="s">
        <v>465</v>
      </c>
      <c r="AH5" s="6" t="s">
        <v>466</v>
      </c>
      <c r="AI5" t="s">
        <v>467</v>
      </c>
      <c r="AJ5" s="6" t="s">
        <v>468</v>
      </c>
      <c r="AK5" t="s">
        <v>469</v>
      </c>
      <c r="AL5" s="6" t="s">
        <v>470</v>
      </c>
      <c r="AM5" t="s">
        <v>471</v>
      </c>
      <c r="AN5" s="6" t="s">
        <v>472</v>
      </c>
      <c r="AO5" t="s">
        <v>473</v>
      </c>
      <c r="AP5" s="6" t="s">
        <v>474</v>
      </c>
      <c r="AQ5" s="6" t="s">
        <v>475</v>
      </c>
      <c r="AR5" t="s">
        <v>476</v>
      </c>
      <c r="AS5" t="s">
        <v>477</v>
      </c>
      <c r="AT5" t="s">
        <v>160</v>
      </c>
      <c r="AU5" t="s">
        <v>161</v>
      </c>
      <c r="AV5" t="s">
        <v>67</v>
      </c>
    </row>
    <row r="6" spans="2:48" x14ac:dyDescent="0.3">
      <c r="B6">
        <v>1</v>
      </c>
      <c r="C6" t="s">
        <v>374</v>
      </c>
      <c r="D6" t="s">
        <v>7</v>
      </c>
      <c r="E6" t="s">
        <v>107</v>
      </c>
      <c r="F6" t="s">
        <v>375</v>
      </c>
      <c r="H6" t="s">
        <v>377</v>
      </c>
      <c r="I6" t="s">
        <v>377</v>
      </c>
      <c r="J6" t="s">
        <v>377</v>
      </c>
      <c r="K6" t="s">
        <v>377</v>
      </c>
      <c r="L6" t="s">
        <v>377</v>
      </c>
      <c r="M6" t="s">
        <v>377</v>
      </c>
      <c r="N6" t="s">
        <v>377</v>
      </c>
      <c r="O6" t="s">
        <v>377</v>
      </c>
      <c r="P6" t="s">
        <v>107</v>
      </c>
      <c r="R6" t="s">
        <v>377</v>
      </c>
      <c r="S6" t="s">
        <v>377</v>
      </c>
      <c r="T6" t="s">
        <v>377</v>
      </c>
      <c r="U6" t="s">
        <v>377</v>
      </c>
      <c r="V6" t="s">
        <v>377</v>
      </c>
      <c r="W6" t="s">
        <v>377</v>
      </c>
      <c r="X6" t="s">
        <v>377</v>
      </c>
      <c r="Y6" t="s">
        <v>377</v>
      </c>
      <c r="Z6" t="s">
        <v>377</v>
      </c>
      <c r="AA6" t="s">
        <v>377</v>
      </c>
      <c r="AB6" t="s">
        <v>44</v>
      </c>
      <c r="AC6" t="s">
        <v>84</v>
      </c>
      <c r="AD6">
        <v>2022</v>
      </c>
      <c r="AE6" t="s">
        <v>377</v>
      </c>
    </row>
    <row r="7" spans="2:48" x14ac:dyDescent="0.3">
      <c r="B7">
        <v>2</v>
      </c>
      <c r="C7" t="s">
        <v>374</v>
      </c>
      <c r="D7" t="s">
        <v>6</v>
      </c>
      <c r="E7" t="s">
        <v>107</v>
      </c>
      <c r="F7" t="s">
        <v>375</v>
      </c>
      <c r="H7" t="s">
        <v>377</v>
      </c>
      <c r="I7" t="s">
        <v>377</v>
      </c>
      <c r="J7" t="s">
        <v>377</v>
      </c>
      <c r="K7" t="s">
        <v>377</v>
      </c>
      <c r="L7" t="s">
        <v>377</v>
      </c>
      <c r="M7" t="s">
        <v>377</v>
      </c>
      <c r="N7" t="s">
        <v>377</v>
      </c>
      <c r="O7" t="s">
        <v>377</v>
      </c>
      <c r="P7" t="s">
        <v>107</v>
      </c>
      <c r="R7" t="s">
        <v>377</v>
      </c>
      <c r="S7" t="s">
        <v>377</v>
      </c>
      <c r="T7" t="s">
        <v>377</v>
      </c>
      <c r="U7" t="s">
        <v>377</v>
      </c>
      <c r="V7" t="s">
        <v>377</v>
      </c>
      <c r="W7" t="s">
        <v>377</v>
      </c>
      <c r="X7" t="s">
        <v>377</v>
      </c>
      <c r="Y7" t="s">
        <v>377</v>
      </c>
      <c r="Z7" t="s">
        <v>377</v>
      </c>
      <c r="AA7" t="s">
        <v>377</v>
      </c>
      <c r="AB7" t="s">
        <v>44</v>
      </c>
      <c r="AC7" t="s">
        <v>84</v>
      </c>
      <c r="AD7">
        <v>2022</v>
      </c>
      <c r="AE7" t="s">
        <v>377</v>
      </c>
    </row>
    <row r="8" spans="2:48" x14ac:dyDescent="0.3">
      <c r="B8">
        <v>3</v>
      </c>
      <c r="C8" t="s">
        <v>374</v>
      </c>
      <c r="D8" t="s">
        <v>7</v>
      </c>
      <c r="E8" t="s">
        <v>107</v>
      </c>
      <c r="F8" t="s">
        <v>375</v>
      </c>
      <c r="H8" t="s">
        <v>377</v>
      </c>
      <c r="I8" t="s">
        <v>377</v>
      </c>
      <c r="J8" t="s">
        <v>377</v>
      </c>
      <c r="K8" t="s">
        <v>377</v>
      </c>
      <c r="L8" t="s">
        <v>377</v>
      </c>
      <c r="M8" t="s">
        <v>377</v>
      </c>
      <c r="N8" t="s">
        <v>377</v>
      </c>
      <c r="O8" t="s">
        <v>377</v>
      </c>
      <c r="P8" t="s">
        <v>107</v>
      </c>
      <c r="R8" t="s">
        <v>377</v>
      </c>
      <c r="S8" t="s">
        <v>377</v>
      </c>
      <c r="T8" t="s">
        <v>377</v>
      </c>
      <c r="U8" t="s">
        <v>377</v>
      </c>
      <c r="V8" t="s">
        <v>377</v>
      </c>
      <c r="W8" t="s">
        <v>377</v>
      </c>
      <c r="X8" t="s">
        <v>377</v>
      </c>
      <c r="Y8" t="s">
        <v>377</v>
      </c>
      <c r="Z8" t="s">
        <v>377</v>
      </c>
      <c r="AA8" t="s">
        <v>377</v>
      </c>
      <c r="AB8" t="s">
        <v>44</v>
      </c>
      <c r="AC8" t="s">
        <v>84</v>
      </c>
      <c r="AD8">
        <v>2012</v>
      </c>
      <c r="AE8" t="s">
        <v>377</v>
      </c>
    </row>
    <row r="9" spans="2:48" x14ac:dyDescent="0.3">
      <c r="B9">
        <v>4</v>
      </c>
      <c r="C9" t="s">
        <v>374</v>
      </c>
      <c r="D9" t="s">
        <v>378</v>
      </c>
      <c r="E9" t="s">
        <v>107</v>
      </c>
      <c r="F9" t="s">
        <v>375</v>
      </c>
      <c r="H9" t="s">
        <v>377</v>
      </c>
      <c r="I9" t="s">
        <v>377</v>
      </c>
      <c r="J9" t="s">
        <v>377</v>
      </c>
      <c r="K9" t="s">
        <v>377</v>
      </c>
      <c r="L9" t="s">
        <v>377</v>
      </c>
      <c r="M9" t="s">
        <v>377</v>
      </c>
      <c r="N9" t="s">
        <v>377</v>
      </c>
      <c r="O9" t="s">
        <v>377</v>
      </c>
      <c r="P9" t="s">
        <v>107</v>
      </c>
      <c r="R9" t="s">
        <v>377</v>
      </c>
      <c r="S9" t="s">
        <v>377</v>
      </c>
      <c r="T9" t="s">
        <v>377</v>
      </c>
      <c r="U9" t="s">
        <v>377</v>
      </c>
      <c r="V9" t="s">
        <v>377</v>
      </c>
      <c r="W9" t="s">
        <v>377</v>
      </c>
      <c r="X9" t="s">
        <v>377</v>
      </c>
      <c r="Y9" t="s">
        <v>377</v>
      </c>
      <c r="Z9" t="s">
        <v>377</v>
      </c>
      <c r="AA9" t="s">
        <v>377</v>
      </c>
      <c r="AB9" t="s">
        <v>44</v>
      </c>
      <c r="AC9" t="s">
        <v>84</v>
      </c>
      <c r="AD9">
        <v>2012</v>
      </c>
      <c r="AE9" t="s">
        <v>377</v>
      </c>
    </row>
    <row r="10" spans="2:48" x14ac:dyDescent="0.3">
      <c r="B10">
        <v>5</v>
      </c>
      <c r="C10" t="s">
        <v>331</v>
      </c>
      <c r="D10" t="s">
        <v>7</v>
      </c>
      <c r="E10" t="s">
        <v>107</v>
      </c>
      <c r="F10" t="s">
        <v>107</v>
      </c>
      <c r="H10" t="s">
        <v>377</v>
      </c>
      <c r="I10" t="s">
        <v>377</v>
      </c>
      <c r="J10" t="s">
        <v>377</v>
      </c>
      <c r="K10" t="s">
        <v>377</v>
      </c>
      <c r="L10" t="s">
        <v>377</v>
      </c>
      <c r="M10" t="s">
        <v>377</v>
      </c>
      <c r="N10" t="s">
        <v>377</v>
      </c>
      <c r="O10" t="s">
        <v>377</v>
      </c>
      <c r="P10" t="s">
        <v>380</v>
      </c>
      <c r="R10" t="s">
        <v>381</v>
      </c>
      <c r="T10" t="s">
        <v>382</v>
      </c>
      <c r="V10" t="s">
        <v>376</v>
      </c>
      <c r="X10" t="s">
        <v>377</v>
      </c>
      <c r="Y10" t="s">
        <v>377</v>
      </c>
      <c r="Z10" t="s">
        <v>377</v>
      </c>
      <c r="AA10" t="s">
        <v>377</v>
      </c>
      <c r="AB10" t="s">
        <v>84</v>
      </c>
      <c r="AC10" t="s">
        <v>84</v>
      </c>
      <c r="AE10" t="s">
        <v>377</v>
      </c>
    </row>
    <row r="11" spans="2:48" x14ac:dyDescent="0.3">
      <c r="B11">
        <v>6</v>
      </c>
      <c r="C11" t="s">
        <v>383</v>
      </c>
      <c r="D11" t="s">
        <v>7</v>
      </c>
      <c r="E11" t="s">
        <v>107</v>
      </c>
      <c r="F11" t="s">
        <v>384</v>
      </c>
      <c r="H11" t="s">
        <v>377</v>
      </c>
      <c r="I11" t="s">
        <v>377</v>
      </c>
      <c r="J11" t="s">
        <v>377</v>
      </c>
      <c r="K11" t="s">
        <v>377</v>
      </c>
      <c r="L11" t="s">
        <v>377</v>
      </c>
      <c r="M11" t="s">
        <v>377</v>
      </c>
      <c r="N11" t="s">
        <v>377</v>
      </c>
      <c r="O11" t="s">
        <v>377</v>
      </c>
      <c r="P11" t="s">
        <v>385</v>
      </c>
      <c r="R11" t="s">
        <v>386</v>
      </c>
      <c r="T11" t="s">
        <v>387</v>
      </c>
      <c r="V11" t="s">
        <v>388</v>
      </c>
      <c r="X11" t="s">
        <v>389</v>
      </c>
      <c r="Z11" t="s">
        <v>390</v>
      </c>
      <c r="AB11" t="s">
        <v>84</v>
      </c>
      <c r="AC11" t="s">
        <v>44</v>
      </c>
      <c r="AD11">
        <v>2023</v>
      </c>
      <c r="AE11" t="str">
        <f>P11</f>
        <v>Sawn timber</v>
      </c>
      <c r="AF11" s="6">
        <v>0.56599999999999995</v>
      </c>
      <c r="AG11" t="str">
        <f t="shared" ref="AG11:AO11" si="0">R11</f>
        <v>Wood chips</v>
      </c>
      <c r="AH11" s="6">
        <v>0.26700000000000002</v>
      </c>
      <c r="AI11" t="str">
        <f t="shared" si="0"/>
        <v>Sawdust</v>
      </c>
      <c r="AJ11" s="6">
        <v>7.4999999999999997E-2</v>
      </c>
      <c r="AK11" t="str">
        <f t="shared" si="0"/>
        <v>Bark</v>
      </c>
      <c r="AL11" s="6">
        <v>5.6000000000000001E-2</v>
      </c>
      <c r="AM11" t="str">
        <f t="shared" si="0"/>
        <v>Wood shavings</v>
      </c>
      <c r="AN11" s="6">
        <v>1.9E-2</v>
      </c>
      <c r="AO11" t="str">
        <f t="shared" si="0"/>
        <v>Residues</v>
      </c>
      <c r="AP11" s="6">
        <v>1.7000000000000001E-2</v>
      </c>
      <c r="AQ11" s="6">
        <f>AF11+AH11+AJ11+AL11+AN11+AP11</f>
        <v>1</v>
      </c>
      <c r="AR11" t="s">
        <v>478</v>
      </c>
      <c r="AS11">
        <v>2024</v>
      </c>
      <c r="AT11" t="s">
        <v>479</v>
      </c>
      <c r="AU11" t="s">
        <v>480</v>
      </c>
      <c r="AV11" t="s">
        <v>377</v>
      </c>
    </row>
    <row r="12" spans="2:48" x14ac:dyDescent="0.3">
      <c r="B12">
        <v>7</v>
      </c>
    </row>
    <row r="13" spans="2:48" x14ac:dyDescent="0.3">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H39" sqref="H39"/>
    </sheetView>
  </sheetViews>
  <sheetFormatPr baseColWidth="10" defaultColWidth="10.77734375" defaultRowHeight="14.4" x14ac:dyDescent="0.3"/>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H39" sqref="H39"/>
    </sheetView>
  </sheetViews>
  <sheetFormatPr baseColWidth="10" defaultColWidth="10.77734375" defaultRowHeight="14.4" x14ac:dyDescent="0.3"/>
  <cols>
    <col min="3" max="3" width="11.44140625" customWidth="1"/>
    <col min="4" max="4" width="28.109375" customWidth="1"/>
    <col min="5" max="5" width="20.109375" customWidth="1"/>
    <col min="6" max="6" width="14.44140625" customWidth="1"/>
    <col min="7" max="7" width="22.109375" customWidth="1"/>
    <col min="8" max="8" width="19.44140625" customWidth="1"/>
    <col min="9" max="9" width="12" customWidth="1"/>
    <col min="10" max="10" width="14.44140625" customWidth="1"/>
    <col min="11" max="11" width="12" customWidth="1"/>
    <col min="12" max="12" width="14.44140625" customWidth="1"/>
    <col min="13" max="13" width="12" customWidth="1"/>
    <col min="14" max="14" width="14.44140625" customWidth="1"/>
    <col min="15" max="15" width="12" customWidth="1"/>
    <col min="16" max="16" width="14.44140625" customWidth="1"/>
    <col min="17" max="17" width="12" customWidth="1"/>
    <col min="18" max="18" width="17" customWidth="1"/>
    <col min="19" max="19" width="12.77734375" customWidth="1"/>
    <col min="20" max="20" width="17" customWidth="1"/>
    <col min="21" max="21" width="12.77734375" customWidth="1"/>
    <col min="22" max="22" width="17" customWidth="1"/>
    <col min="23" max="23" width="12.77734375" customWidth="1"/>
    <col min="24" max="24" width="17" customWidth="1"/>
    <col min="25" max="25" width="12.77734375" customWidth="1"/>
    <col min="26" max="26" width="17" customWidth="1"/>
    <col min="27" max="27" width="12.77734375" customWidth="1"/>
    <col min="28" max="28" width="17" customWidth="1"/>
    <col min="29" max="29" width="13.77734375" customWidth="1"/>
    <col min="30" max="30" width="15.44140625" customWidth="1"/>
    <col min="31" max="31" width="27" customWidth="1"/>
    <col min="35" max="35" width="24" customWidth="1"/>
    <col min="36" max="36" width="16.44140625" customWidth="1"/>
    <col min="41" max="41" width="17.44140625" customWidth="1"/>
    <col min="42" max="42" width="18.44140625" customWidth="1"/>
  </cols>
  <sheetData>
    <row r="1" spans="2:42" ht="15" thickBot="1" x14ac:dyDescent="0.35"/>
    <row r="2" spans="2:42" ht="15" thickBot="1" x14ac:dyDescent="0.35">
      <c r="B2" s="11"/>
      <c r="C2" s="12"/>
      <c r="D2" s="12"/>
      <c r="E2" s="12"/>
      <c r="F2" s="12"/>
      <c r="G2" s="13"/>
      <c r="H2" s="11"/>
      <c r="I2" s="12"/>
      <c r="J2" s="12"/>
      <c r="K2" s="12"/>
      <c r="L2" s="12"/>
      <c r="M2" s="12"/>
      <c r="N2" s="12"/>
      <c r="O2" s="12"/>
      <c r="P2" s="12"/>
      <c r="Q2" s="13"/>
      <c r="R2" s="11"/>
      <c r="S2" s="12"/>
      <c r="T2" s="12"/>
      <c r="U2" s="12"/>
      <c r="V2" s="12"/>
      <c r="W2" s="12"/>
      <c r="X2" s="12"/>
      <c r="Y2" s="12"/>
      <c r="Z2" s="12"/>
      <c r="AA2" s="12"/>
      <c r="AB2" s="12"/>
      <c r="AC2" s="13"/>
      <c r="AF2" s="11"/>
      <c r="AG2" s="321" t="s">
        <v>481</v>
      </c>
      <c r="AH2" s="322"/>
      <c r="AI2" s="322"/>
      <c r="AJ2" s="322"/>
      <c r="AK2" s="323"/>
      <c r="AL2" s="321" t="s">
        <v>482</v>
      </c>
      <c r="AM2" s="322"/>
      <c r="AN2" s="322"/>
      <c r="AO2" s="322"/>
      <c r="AP2" s="323"/>
    </row>
    <row r="3" spans="2:42" x14ac:dyDescent="0.3">
      <c r="B3" s="26" t="s">
        <v>347</v>
      </c>
      <c r="C3" s="23" t="s">
        <v>348</v>
      </c>
      <c r="D3" s="23" t="s">
        <v>349</v>
      </c>
      <c r="E3" s="23" t="s">
        <v>350</v>
      </c>
      <c r="F3" s="23" t="s">
        <v>351</v>
      </c>
      <c r="G3" s="36" t="s">
        <v>352</v>
      </c>
      <c r="H3" s="24" t="s">
        <v>353</v>
      </c>
      <c r="I3" s="25" t="s">
        <v>354</v>
      </c>
      <c r="J3" s="25" t="s">
        <v>355</v>
      </c>
      <c r="K3" s="25" t="s">
        <v>356</v>
      </c>
      <c r="L3" s="25" t="s">
        <v>357</v>
      </c>
      <c r="M3" s="25" t="s">
        <v>139</v>
      </c>
      <c r="N3" s="25" t="s">
        <v>358</v>
      </c>
      <c r="O3" s="25" t="s">
        <v>141</v>
      </c>
      <c r="P3" s="25" t="s">
        <v>359</v>
      </c>
      <c r="Q3" s="31" t="s">
        <v>143</v>
      </c>
      <c r="R3" s="24" t="s">
        <v>360</v>
      </c>
      <c r="S3" s="25" t="s">
        <v>361</v>
      </c>
      <c r="T3" s="25" t="s">
        <v>362</v>
      </c>
      <c r="U3" s="25" t="s">
        <v>363</v>
      </c>
      <c r="V3" s="25" t="s">
        <v>364</v>
      </c>
      <c r="W3" s="25" t="s">
        <v>365</v>
      </c>
      <c r="X3" s="25" t="s">
        <v>366</v>
      </c>
      <c r="Y3" s="25" t="s">
        <v>367</v>
      </c>
      <c r="Z3" s="25" t="s">
        <v>368</v>
      </c>
      <c r="AA3" s="25" t="s">
        <v>369</v>
      </c>
      <c r="AB3" s="25" t="s">
        <v>370</v>
      </c>
      <c r="AC3" s="31" t="s">
        <v>371</v>
      </c>
      <c r="AD3" s="23" t="s">
        <v>372</v>
      </c>
      <c r="AE3" s="23" t="s">
        <v>373</v>
      </c>
      <c r="AF3" s="28" t="s">
        <v>164</v>
      </c>
      <c r="AG3" s="14" t="s">
        <v>483</v>
      </c>
      <c r="AH3" t="s">
        <v>247</v>
      </c>
      <c r="AI3" t="s">
        <v>248</v>
      </c>
      <c r="AJ3" t="s">
        <v>249</v>
      </c>
      <c r="AK3" s="15" t="s">
        <v>250</v>
      </c>
      <c r="AL3" s="14" t="s">
        <v>251</v>
      </c>
      <c r="AM3" t="s">
        <v>252</v>
      </c>
      <c r="AN3" t="s">
        <v>160</v>
      </c>
      <c r="AO3" t="s">
        <v>161</v>
      </c>
      <c r="AP3" s="15" t="s">
        <v>67</v>
      </c>
    </row>
    <row r="4" spans="2:42" x14ac:dyDescent="0.3">
      <c r="B4" s="32">
        <f>Data_Processes!B4</f>
        <v>1</v>
      </c>
      <c r="C4" s="27">
        <f>Data_Processes!C4</f>
        <v>0</v>
      </c>
      <c r="D4" s="27" t="str">
        <f>Data_Processes!D4</f>
        <v>Forest</v>
      </c>
      <c r="E4" s="27" t="str">
        <f>Data_Processes!E4</f>
        <v>Brandenburg</v>
      </c>
      <c r="F4" s="27" t="str">
        <f>Data_Processes!F4</f>
        <v>Wood</v>
      </c>
      <c r="G4" s="33" t="str">
        <f>Data_Processes!G4</f>
        <v>Biosphere</v>
      </c>
      <c r="H4" s="32" t="str">
        <f>Data_Processes!H4</f>
        <v xml:space="preserve">Atmosphere </v>
      </c>
      <c r="I4" s="27">
        <f>Data_Processes!I4</f>
        <v>0</v>
      </c>
      <c r="J4" s="27" t="str">
        <f>Data_Processes!J4</f>
        <v>unused Wood</v>
      </c>
      <c r="K4" s="27">
        <f>Data_Processes!K4</f>
        <v>0</v>
      </c>
      <c r="L4" s="27" t="str">
        <f>Data_Processes!L4</f>
        <v>n.a.</v>
      </c>
      <c r="M4" s="27" t="str">
        <f>Data_Processes!M4</f>
        <v>n.a.</v>
      </c>
      <c r="N4" s="27" t="str">
        <f>Data_Processes!N4</f>
        <v>n.a.</v>
      </c>
      <c r="O4" s="27" t="str">
        <f>Data_Processes!O4</f>
        <v>n.a.</v>
      </c>
      <c r="P4" s="27" t="str">
        <f>Data_Processes!P4</f>
        <v>n.a.</v>
      </c>
      <c r="Q4" s="33" t="str">
        <f>Data_Processes!Q4</f>
        <v>n.a.</v>
      </c>
      <c r="R4" s="32" t="str">
        <f>Data_Processes!R4</f>
        <v>Wood</v>
      </c>
      <c r="S4" s="27">
        <f>Data_Processes!S4</f>
        <v>0</v>
      </c>
      <c r="T4" s="27" t="str">
        <f>Data_Processes!T4</f>
        <v>n.a.</v>
      </c>
      <c r="U4" s="27" t="str">
        <f>Data_Processes!U4</f>
        <v>n.a.</v>
      </c>
      <c r="V4" s="27" t="str">
        <f>Data_Processes!V4</f>
        <v>n.a.</v>
      </c>
      <c r="W4" s="27" t="str">
        <f>Data_Processes!W4</f>
        <v>n.a.</v>
      </c>
      <c r="X4" s="27" t="str">
        <f>Data_Processes!X4</f>
        <v>n.a.</v>
      </c>
      <c r="Y4" s="27" t="str">
        <f>Data_Processes!Y4</f>
        <v>n.a.</v>
      </c>
      <c r="Z4" s="27" t="str">
        <f>Data_Processes!Z4</f>
        <v>n.a.</v>
      </c>
      <c r="AA4" s="27" t="str">
        <f>Data_Processes!AA4</f>
        <v>n.a.</v>
      </c>
      <c r="AB4" s="27" t="str">
        <f>Data_Processes!AB4</f>
        <v>n.a.</v>
      </c>
      <c r="AC4" s="33" t="str">
        <f>Data_Processes!AC4</f>
        <v>n.a.</v>
      </c>
      <c r="AD4" s="27" t="str">
        <f>Data_Processes!AD4</f>
        <v>Yes</v>
      </c>
      <c r="AE4" s="27" t="str">
        <f>Data_Processes!AE4</f>
        <v>No</v>
      </c>
      <c r="AF4" s="14">
        <f>Data_Processes!AF4</f>
        <v>2022</v>
      </c>
      <c r="AG4" s="14">
        <v>325681</v>
      </c>
      <c r="AH4" t="s">
        <v>484</v>
      </c>
      <c r="AI4" t="s">
        <v>485</v>
      </c>
      <c r="AJ4">
        <v>19579</v>
      </c>
      <c r="AK4" s="15" t="s">
        <v>484</v>
      </c>
      <c r="AL4" s="14" t="s">
        <v>486</v>
      </c>
      <c r="AM4">
        <v>2024</v>
      </c>
      <c r="AN4" t="s">
        <v>487</v>
      </c>
      <c r="AO4" t="s">
        <v>488</v>
      </c>
      <c r="AP4" s="15" t="s">
        <v>489</v>
      </c>
    </row>
    <row r="5" spans="2:42" x14ac:dyDescent="0.3">
      <c r="B5" s="14">
        <f>Data_Processes!B5</f>
        <v>2</v>
      </c>
      <c r="C5">
        <f>Data_Processes!C5</f>
        <v>0</v>
      </c>
      <c r="D5" t="str">
        <f>Data_Processes!D5</f>
        <v>Forest</v>
      </c>
      <c r="E5" t="str">
        <f>Data_Processes!E5</f>
        <v>Berlin</v>
      </c>
      <c r="F5" t="str">
        <f>Data_Processes!F5</f>
        <v>Wood</v>
      </c>
      <c r="G5" s="15" t="str">
        <f>Data_Processes!G5</f>
        <v>Biosphere</v>
      </c>
      <c r="H5" s="14"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5" t="str">
        <f>Data_Processes!Q5</f>
        <v>n.a.</v>
      </c>
      <c r="R5" s="14"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5" t="str">
        <f>Data_Processes!AC5</f>
        <v>n.a.</v>
      </c>
      <c r="AD5" t="str">
        <f>Data_Processes!AD5</f>
        <v>Yes</v>
      </c>
      <c r="AE5" t="str">
        <f>Data_Processes!AE5</f>
        <v>No</v>
      </c>
      <c r="AF5" s="14">
        <f>Data_Processes!AF5</f>
        <v>2022</v>
      </c>
      <c r="AG5" s="14">
        <v>4977</v>
      </c>
      <c r="AH5" t="s">
        <v>484</v>
      </c>
      <c r="AI5" t="s">
        <v>485</v>
      </c>
      <c r="AJ5">
        <v>-174</v>
      </c>
      <c r="AK5" s="15" t="s">
        <v>484</v>
      </c>
      <c r="AL5" s="14" t="s">
        <v>486</v>
      </c>
      <c r="AM5">
        <v>2024</v>
      </c>
      <c r="AN5" t="s">
        <v>487</v>
      </c>
      <c r="AO5" t="s">
        <v>488</v>
      </c>
      <c r="AP5" s="15" t="s">
        <v>489</v>
      </c>
    </row>
    <row r="6" spans="2:42" x14ac:dyDescent="0.3">
      <c r="B6" s="34">
        <f>Data_Processes!B6</f>
        <v>3</v>
      </c>
      <c r="C6" s="9">
        <f>Data_Processes!C6</f>
        <v>0</v>
      </c>
      <c r="D6" s="9" t="str">
        <f>Data_Processes!D6</f>
        <v>Forest</v>
      </c>
      <c r="E6" s="9" t="str">
        <f>Data_Processes!E6</f>
        <v>Brandenburg</v>
      </c>
      <c r="F6" s="9" t="str">
        <f>Data_Processes!F6</f>
        <v>Wood</v>
      </c>
      <c r="G6" s="35" t="str">
        <f>Data_Processes!G6</f>
        <v>Biosphere</v>
      </c>
      <c r="H6" s="34" t="str">
        <f>Data_Processes!H6</f>
        <v xml:space="preserve">Atmosphere </v>
      </c>
      <c r="I6" s="9">
        <f>Data_Processes!I6</f>
        <v>0</v>
      </c>
      <c r="J6" s="9" t="str">
        <f>Data_Processes!J6</f>
        <v>unused Wood</v>
      </c>
      <c r="K6" s="9">
        <f>Data_Processes!K6</f>
        <v>0</v>
      </c>
      <c r="L6" s="9" t="str">
        <f>Data_Processes!L6</f>
        <v>n.a.</v>
      </c>
      <c r="M6" s="9" t="str">
        <f>Data_Processes!M6</f>
        <v>n.a.</v>
      </c>
      <c r="N6" s="9" t="str">
        <f>Data_Processes!N6</f>
        <v>n.a.</v>
      </c>
      <c r="O6" s="9" t="str">
        <f>Data_Processes!O6</f>
        <v>n.a.</v>
      </c>
      <c r="P6" s="9" t="str">
        <f>Data_Processes!P6</f>
        <v>n.a.</v>
      </c>
      <c r="Q6" s="35" t="str">
        <f>Data_Processes!Q6</f>
        <v>n.a.</v>
      </c>
      <c r="R6" s="34" t="str">
        <f>Data_Processes!R6</f>
        <v>Wood</v>
      </c>
      <c r="S6" s="9">
        <f>Data_Processes!S6</f>
        <v>0</v>
      </c>
      <c r="T6" s="9" t="str">
        <f>Data_Processes!T6</f>
        <v>n.a.</v>
      </c>
      <c r="U6" s="9" t="str">
        <f>Data_Processes!U6</f>
        <v>n.a.</v>
      </c>
      <c r="V6" s="9" t="str">
        <f>Data_Processes!V6</f>
        <v>n.a.</v>
      </c>
      <c r="W6" s="9" t="str">
        <f>Data_Processes!W6</f>
        <v>n.a.</v>
      </c>
      <c r="X6" s="9" t="str">
        <f>Data_Processes!X6</f>
        <v>n.a.</v>
      </c>
      <c r="Y6" s="9" t="str">
        <f>Data_Processes!Y6</f>
        <v>n.a.</v>
      </c>
      <c r="Z6" s="9" t="str">
        <f>Data_Processes!Z6</f>
        <v>n.a.</v>
      </c>
      <c r="AA6" s="9" t="str">
        <f>Data_Processes!AA6</f>
        <v>n.a.</v>
      </c>
      <c r="AB6" s="9" t="str">
        <f>Data_Processes!AB6</f>
        <v>n.a.</v>
      </c>
      <c r="AC6" s="35" t="str">
        <f>Data_Processes!AC6</f>
        <v>n.a.</v>
      </c>
      <c r="AD6" s="9" t="str">
        <f>Data_Processes!AD6</f>
        <v>Yes</v>
      </c>
      <c r="AE6" s="9" t="str">
        <f>Data_Processes!AE6</f>
        <v>No</v>
      </c>
      <c r="AF6" s="14"/>
      <c r="AG6" s="29">
        <v>222889</v>
      </c>
      <c r="AH6" t="s">
        <v>484</v>
      </c>
      <c r="AI6" t="s">
        <v>377</v>
      </c>
      <c r="AJ6" t="s">
        <v>377</v>
      </c>
      <c r="AK6" s="15" t="s">
        <v>377</v>
      </c>
      <c r="AL6" s="14"/>
      <c r="AM6">
        <v>2013</v>
      </c>
      <c r="AN6" t="s">
        <v>487</v>
      </c>
      <c r="AO6" t="s">
        <v>488</v>
      </c>
      <c r="AP6" s="15" t="s">
        <v>490</v>
      </c>
    </row>
    <row r="7" spans="2:42" x14ac:dyDescent="0.3">
      <c r="B7" s="14">
        <f>Data_Processes!B7</f>
        <v>4</v>
      </c>
      <c r="C7">
        <f>Data_Processes!C7</f>
        <v>0</v>
      </c>
      <c r="D7" t="str">
        <f>Data_Processes!D7</f>
        <v>Forest</v>
      </c>
      <c r="E7" t="str">
        <f>Data_Processes!E7</f>
        <v>Brandenburg + Berlin</v>
      </c>
      <c r="F7" t="str">
        <f>Data_Processes!F7</f>
        <v>Wood</v>
      </c>
      <c r="G7" s="15" t="str">
        <f>Data_Processes!G7</f>
        <v>Biosphere</v>
      </c>
      <c r="H7" s="14"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5" t="str">
        <f>Data_Processes!Q7</f>
        <v>n.a.</v>
      </c>
      <c r="R7" s="14"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5" t="str">
        <f>Data_Processes!AC7</f>
        <v>n.a.</v>
      </c>
      <c r="AD7" t="str">
        <f>Data_Processes!AD7</f>
        <v>Yes</v>
      </c>
      <c r="AE7" t="str">
        <f>Data_Processes!AE7</f>
        <v>No</v>
      </c>
      <c r="AF7" s="14"/>
      <c r="AG7" s="30">
        <v>233943</v>
      </c>
      <c r="AH7" t="s">
        <v>484</v>
      </c>
      <c r="AI7" t="s">
        <v>491</v>
      </c>
      <c r="AJ7">
        <v>53684</v>
      </c>
      <c r="AK7" s="15" t="s">
        <v>484</v>
      </c>
      <c r="AL7" s="14" t="s">
        <v>492</v>
      </c>
      <c r="AM7">
        <v>2012</v>
      </c>
      <c r="AN7" t="s">
        <v>487</v>
      </c>
      <c r="AO7" t="s">
        <v>488</v>
      </c>
      <c r="AP7" s="15" t="s">
        <v>493</v>
      </c>
    </row>
    <row r="8" spans="2:42" x14ac:dyDescent="0.3">
      <c r="B8" s="34">
        <f>Data_Processes!B8</f>
        <v>5</v>
      </c>
      <c r="C8" s="9">
        <f>Data_Processes!C8</f>
        <v>0</v>
      </c>
      <c r="D8" s="9" t="str">
        <f>Data_Processes!D8</f>
        <v>Forestry</v>
      </c>
      <c r="E8" s="9" t="str">
        <f>Data_Processes!E8</f>
        <v>Brandenburg</v>
      </c>
      <c r="F8" s="9" t="str">
        <f>Data_Processes!F8</f>
        <v>Wood</v>
      </c>
      <c r="G8" s="35" t="str">
        <f>Data_Processes!G8</f>
        <v>Raw material production</v>
      </c>
      <c r="H8" s="34" t="str">
        <f>Data_Processes!H8</f>
        <v>Wood</v>
      </c>
      <c r="I8" s="9">
        <f>Data_Processes!I8</f>
        <v>0</v>
      </c>
      <c r="J8" s="9" t="str">
        <f>Data_Processes!J8</f>
        <v>n.a.</v>
      </c>
      <c r="K8" s="9" t="str">
        <f>Data_Processes!K8</f>
        <v>n.a.</v>
      </c>
      <c r="L8" s="9" t="str">
        <f>Data_Processes!L8</f>
        <v>n.a.</v>
      </c>
      <c r="M8" s="9" t="str">
        <f>Data_Processes!M8</f>
        <v>n.a.</v>
      </c>
      <c r="N8" s="9" t="str">
        <f>Data_Processes!N8</f>
        <v>n.a.</v>
      </c>
      <c r="O8" s="9" t="str">
        <f>Data_Processes!O8</f>
        <v>n.a.</v>
      </c>
      <c r="P8" s="9" t="str">
        <f>Data_Processes!P8</f>
        <v>n.a.</v>
      </c>
      <c r="Q8" s="35" t="str">
        <f>Data_Processes!Q8</f>
        <v>n.a.</v>
      </c>
      <c r="R8" s="34" t="str">
        <f>Data_Processes!R8</f>
        <v>Stemwood</v>
      </c>
      <c r="S8" s="9">
        <f>Data_Processes!S8</f>
        <v>0</v>
      </c>
      <c r="T8" s="9" t="str">
        <f>Data_Processes!T8</f>
        <v>Industry Wood</v>
      </c>
      <c r="U8" s="9">
        <f>Data_Processes!U8</f>
        <v>0</v>
      </c>
      <c r="V8" s="9" t="str">
        <f>Data_Processes!V8</f>
        <v>Energy wood</v>
      </c>
      <c r="W8" s="9">
        <f>Data_Processes!W8</f>
        <v>0</v>
      </c>
      <c r="X8" s="9" t="str">
        <f>Data_Processes!X8</f>
        <v>unused Wood</v>
      </c>
      <c r="Y8" s="9">
        <f>Data_Processes!Y8</f>
        <v>0</v>
      </c>
      <c r="Z8" s="9" t="str">
        <f>Data_Processes!Z8</f>
        <v>n.a.</v>
      </c>
      <c r="AA8" s="9" t="str">
        <f>Data_Processes!AA8</f>
        <v>n.a.</v>
      </c>
      <c r="AB8" s="9" t="str">
        <f>Data_Processes!AB8</f>
        <v>n.a.</v>
      </c>
      <c r="AC8" s="35" t="str">
        <f>Data_Processes!AC8</f>
        <v>n.a.</v>
      </c>
      <c r="AD8" s="9" t="str">
        <f>Data_Processes!AD8</f>
        <v>No</v>
      </c>
      <c r="AE8" s="9" t="str">
        <f>Data_Processes!AE8</f>
        <v>No</v>
      </c>
      <c r="AF8" s="14"/>
      <c r="AG8" s="14"/>
      <c r="AK8" s="15"/>
      <c r="AL8" s="14"/>
      <c r="AP8" s="15"/>
    </row>
    <row r="9" spans="2:42" x14ac:dyDescent="0.3">
      <c r="B9" s="14">
        <f>Data_Processes!B9</f>
        <v>6</v>
      </c>
      <c r="C9">
        <f>Data_Processes!C9</f>
        <v>0</v>
      </c>
      <c r="D9" t="str">
        <f>Data_Processes!D9</f>
        <v>Sawmill industry</v>
      </c>
      <c r="E9" t="str">
        <f>Data_Processes!E9</f>
        <v>Brandenburg</v>
      </c>
      <c r="F9" t="str">
        <f>Data_Processes!F9</f>
        <v>Wood</v>
      </c>
      <c r="G9" s="15" t="str">
        <f>Data_Processes!G9</f>
        <v>Product manufacturing</v>
      </c>
      <c r="H9" s="14"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5" t="str">
        <f>Data_Processes!Q9</f>
        <v>n.a.</v>
      </c>
      <c r="R9" s="14"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5">
        <f>Data_Processes!AC9</f>
        <v>0</v>
      </c>
      <c r="AD9" t="str">
        <f>Data_Processes!AD9</f>
        <v>No</v>
      </c>
      <c r="AE9" t="str">
        <f>Data_Processes!AE9</f>
        <v>Yes</v>
      </c>
      <c r="AF9" s="14"/>
      <c r="AG9" s="14"/>
      <c r="AK9" s="15"/>
      <c r="AL9" s="14"/>
      <c r="AP9" s="15"/>
    </row>
    <row r="10" spans="2:42" x14ac:dyDescent="0.3">
      <c r="B10" s="34">
        <f>Data_Processes!B10</f>
        <v>7</v>
      </c>
      <c r="C10" s="9">
        <f>Data_Processes!C10</f>
        <v>0</v>
      </c>
      <c r="D10" s="9" t="str">
        <f>Data_Processes!D10</f>
        <v>Wood-based materials industry</v>
      </c>
      <c r="E10" s="9" t="str">
        <f>Data_Processes!E10</f>
        <v>Brandenburg</v>
      </c>
      <c r="F10" s="9" t="str">
        <f>Data_Processes!F10</f>
        <v>Wood</v>
      </c>
      <c r="G10" s="35" t="str">
        <f>Data_Processes!G10</f>
        <v>Product manufacturing</v>
      </c>
      <c r="H10" s="34" t="str">
        <f>Data_Processes!H10</f>
        <v>Industry wood</v>
      </c>
      <c r="I10" s="9">
        <f>Data_Processes!I10</f>
        <v>0</v>
      </c>
      <c r="J10" s="9" t="str">
        <f>Data_Processes!J10</f>
        <v>Sägespäne aus SI in BB</v>
      </c>
      <c r="K10" s="9">
        <f>Data_Processes!K10</f>
        <v>0</v>
      </c>
      <c r="L10" s="9" t="str">
        <f>Data_Processes!L10</f>
        <v>Hackschnitzel aus SI in BB</v>
      </c>
      <c r="M10" s="9">
        <f>Data_Processes!M10</f>
        <v>0</v>
      </c>
      <c r="N10" s="9" t="str">
        <f>Data_Processes!N10</f>
        <v>Sägenebenprodukte aus NBB</v>
      </c>
      <c r="O10" s="9">
        <f>Data_Processes!O10</f>
        <v>0</v>
      </c>
      <c r="P10" s="9" t="str">
        <f>Data_Processes!P10</f>
        <v>n.a.</v>
      </c>
      <c r="Q10" s="35" t="str">
        <f>Data_Processes!Q10</f>
        <v>n.a.</v>
      </c>
      <c r="R10" s="34" t="str">
        <f>Data_Processes!R10</f>
        <v>Holzwerkstoffe (BB)</v>
      </c>
      <c r="S10" s="9">
        <f>Data_Processes!S10</f>
        <v>0</v>
      </c>
      <c r="T10" s="9" t="str">
        <f>Data_Processes!T10</f>
        <v>Holzwerkstoffe (Export)</v>
      </c>
      <c r="U10" s="9">
        <f>Data_Processes!U10</f>
        <v>0</v>
      </c>
      <c r="V10" s="9" t="str">
        <f>Data_Processes!V10</f>
        <v>Residues</v>
      </c>
      <c r="W10" s="9">
        <f>Data_Processes!W10</f>
        <v>0</v>
      </c>
      <c r="X10" s="9" t="str">
        <f>Data_Processes!X10</f>
        <v>n.a.</v>
      </c>
      <c r="Y10" s="9" t="str">
        <f>Data_Processes!Y10</f>
        <v>n.a.</v>
      </c>
      <c r="Z10" s="9" t="str">
        <f>Data_Processes!Z10</f>
        <v>n.a.</v>
      </c>
      <c r="AA10" s="9" t="str">
        <f>Data_Processes!AA10</f>
        <v>n.a.</v>
      </c>
      <c r="AB10" s="9" t="str">
        <f>Data_Processes!AB10</f>
        <v>n.a.</v>
      </c>
      <c r="AC10" s="35" t="str">
        <f>Data_Processes!AC10</f>
        <v>n.a.</v>
      </c>
      <c r="AD10" s="9">
        <f>Data_Processes!AD10</f>
        <v>0</v>
      </c>
      <c r="AE10" s="9" t="str">
        <f>Data_Processes!AE10</f>
        <v>Yes</v>
      </c>
      <c r="AF10" s="14"/>
      <c r="AG10" s="14"/>
      <c r="AK10" s="15"/>
      <c r="AL10" s="14"/>
      <c r="AP10" s="15"/>
    </row>
    <row r="11" spans="2:42" x14ac:dyDescent="0.3">
      <c r="B11" s="14">
        <f>Data_Processes!B12</f>
        <v>8</v>
      </c>
      <c r="C11">
        <f>Data_Processes!C12</f>
        <v>0</v>
      </c>
      <c r="D11" t="str">
        <f>Data_Processes!D12</f>
        <v>Use-Phase -industry wood</v>
      </c>
      <c r="E11" t="str">
        <f>Data_Processes!E12</f>
        <v>Brandenburg + Berlin</v>
      </c>
      <c r="F11" t="str">
        <f>Data_Processes!F12</f>
        <v>Wood</v>
      </c>
      <c r="G11" s="15" t="str">
        <f>Data_Processes!G12</f>
        <v>Use (Re-use)</v>
      </c>
      <c r="H11" s="14"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5" t="str">
        <f>Data_Processes!Q12</f>
        <v>n.a.</v>
      </c>
      <c r="R11" s="14"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5" t="str">
        <f>Data_Processes!AC12</f>
        <v>n.a.</v>
      </c>
      <c r="AD11" t="str">
        <f>Data_Processes!AD12</f>
        <v>Yes</v>
      </c>
      <c r="AE11">
        <f>Data_Processes!AE12</f>
        <v>0</v>
      </c>
      <c r="AF11" s="14"/>
      <c r="AG11" s="14"/>
      <c r="AK11" s="15"/>
      <c r="AL11" s="14"/>
      <c r="AP11" s="15"/>
    </row>
    <row r="12" spans="2:42" x14ac:dyDescent="0.3">
      <c r="B12" s="34">
        <f>Data_Processes!B13</f>
        <v>9</v>
      </c>
      <c r="C12" s="9">
        <f>Data_Processes!C13</f>
        <v>0</v>
      </c>
      <c r="D12" s="9" t="str">
        <f>Data_Processes!D13</f>
        <v>Use-Phase -Construction wood</v>
      </c>
      <c r="E12" s="9" t="str">
        <f>Data_Processes!E13</f>
        <v>Brandenburg + Berlin</v>
      </c>
      <c r="F12" s="9" t="str">
        <f>Data_Processes!F13</f>
        <v>Wood</v>
      </c>
      <c r="G12" s="35" t="str">
        <f>Data_Processes!G13</f>
        <v>Use (Re-use)</v>
      </c>
      <c r="H12" s="34" t="str">
        <f>Data_Processes!H13</f>
        <v>Construction wood</v>
      </c>
      <c r="I12" s="9">
        <f>Data_Processes!I13</f>
        <v>0</v>
      </c>
      <c r="J12" s="9" t="str">
        <f>Data_Processes!J13</f>
        <v>n.a.</v>
      </c>
      <c r="K12" s="9" t="str">
        <f>Data_Processes!K13</f>
        <v>n.a.</v>
      </c>
      <c r="L12" s="9" t="str">
        <f>Data_Processes!L13</f>
        <v>n.a.</v>
      </c>
      <c r="M12" s="9" t="str">
        <f>Data_Processes!M13</f>
        <v>n.a.</v>
      </c>
      <c r="N12" s="9" t="str">
        <f>Data_Processes!N13</f>
        <v>n.a.</v>
      </c>
      <c r="O12" s="9" t="str">
        <f>Data_Processes!O13</f>
        <v>n.a.</v>
      </c>
      <c r="P12" s="9" t="str">
        <f>Data_Processes!P13</f>
        <v>n.a.</v>
      </c>
      <c r="Q12" s="35" t="str">
        <f>Data_Processes!Q13</f>
        <v>n.a.</v>
      </c>
      <c r="R12" s="34" t="str">
        <f>Data_Processes!R13</f>
        <v>Waste Wood</v>
      </c>
      <c r="S12" s="9">
        <f>Data_Processes!S13</f>
        <v>0</v>
      </c>
      <c r="T12" s="9" t="str">
        <f>Data_Processes!T13</f>
        <v>n.a.</v>
      </c>
      <c r="U12" s="9" t="str">
        <f>Data_Processes!U13</f>
        <v>n.a.</v>
      </c>
      <c r="V12" s="9" t="str">
        <f>Data_Processes!V13</f>
        <v>n.a.</v>
      </c>
      <c r="W12" s="9" t="str">
        <f>Data_Processes!W13</f>
        <v>n.a.</v>
      </c>
      <c r="X12" s="9" t="str">
        <f>Data_Processes!X13</f>
        <v>n.a.</v>
      </c>
      <c r="Y12" s="9" t="str">
        <f>Data_Processes!Y13</f>
        <v>n.a.</v>
      </c>
      <c r="Z12" s="9" t="str">
        <f>Data_Processes!Z13</f>
        <v>n.a.</v>
      </c>
      <c r="AA12" s="9" t="str">
        <f>Data_Processes!AA13</f>
        <v>n.a.</v>
      </c>
      <c r="AB12" s="9" t="str">
        <f>Data_Processes!AB13</f>
        <v>n.a.</v>
      </c>
      <c r="AC12" s="35" t="str">
        <f>Data_Processes!AC13</f>
        <v>n.a.</v>
      </c>
      <c r="AD12" s="9" t="str">
        <f>Data_Processes!AD13</f>
        <v>Yes</v>
      </c>
      <c r="AE12" s="9">
        <f>Data_Processes!AE13</f>
        <v>0</v>
      </c>
      <c r="AF12" s="14"/>
      <c r="AG12" s="14"/>
      <c r="AK12" s="15"/>
      <c r="AL12" s="14"/>
      <c r="AP12" s="15"/>
    </row>
    <row r="13" spans="2:42" x14ac:dyDescent="0.3">
      <c r="B13" s="14">
        <f>Data_Processes!B14</f>
        <v>10</v>
      </c>
      <c r="C13">
        <f>Data_Processes!C14</f>
        <v>0</v>
      </c>
      <c r="D13" t="str">
        <f>Data_Processes!D14</f>
        <v>Waste wood processing plant</v>
      </c>
      <c r="E13" t="str">
        <f>Data_Processes!E14</f>
        <v>Berlin</v>
      </c>
      <c r="F13" t="str">
        <f>Data_Processes!F14</f>
        <v>Wood</v>
      </c>
      <c r="G13" s="15" t="str">
        <f>Data_Processes!G14</f>
        <v>Recycl﻿ing / disposal</v>
      </c>
      <c r="H13" s="14"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5" t="str">
        <f>Data_Processes!Q14</f>
        <v>n.a.</v>
      </c>
      <c r="R13" s="14"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5" t="str">
        <f>Data_Processes!AC14</f>
        <v>n.a.</v>
      </c>
      <c r="AD13">
        <f>Data_Processes!AD14</f>
        <v>0</v>
      </c>
      <c r="AE13">
        <f>Data_Processes!AE14</f>
        <v>0</v>
      </c>
      <c r="AF13" s="14"/>
      <c r="AG13" s="14"/>
      <c r="AK13" s="15"/>
      <c r="AL13" s="14"/>
      <c r="AP13" s="15"/>
    </row>
    <row r="14" spans="2:42" x14ac:dyDescent="0.3">
      <c r="B14" s="34">
        <f>Data_Processes!B15</f>
        <v>11</v>
      </c>
      <c r="C14" s="9">
        <f>Data_Processes!C15</f>
        <v>0</v>
      </c>
      <c r="D14" s="9" t="str">
        <f>Data_Processes!D15</f>
        <v>Waste wood processing plant</v>
      </c>
      <c r="E14" s="9" t="str">
        <f>Data_Processes!E15</f>
        <v>Brandenburg</v>
      </c>
      <c r="F14" s="9" t="str">
        <f>Data_Processes!F15</f>
        <v>Wood</v>
      </c>
      <c r="G14" s="35" t="str">
        <f>Data_Processes!G15</f>
        <v>Recycl﻿ing / disposal</v>
      </c>
      <c r="H14" s="34" t="str">
        <f>Data_Processes!H15</f>
        <v>Waste Wood</v>
      </c>
      <c r="I14" s="9">
        <f>Data_Processes!I15</f>
        <v>0</v>
      </c>
      <c r="J14" s="9" t="str">
        <f>Data_Processes!J15</f>
        <v>Garten und Strauch</v>
      </c>
      <c r="K14" s="9">
        <f>Data_Processes!K15</f>
        <v>0</v>
      </c>
      <c r="L14" s="9" t="str">
        <f>Data_Processes!L15</f>
        <v>n.a.</v>
      </c>
      <c r="M14" s="9" t="str">
        <f>Data_Processes!M15</f>
        <v>n.a.</v>
      </c>
      <c r="N14" s="9" t="str">
        <f>Data_Processes!N15</f>
        <v>n.a.</v>
      </c>
      <c r="O14" s="9" t="str">
        <f>Data_Processes!O15</f>
        <v>n.a.</v>
      </c>
      <c r="P14" s="9" t="str">
        <f>Data_Processes!P15</f>
        <v>n.a.</v>
      </c>
      <c r="Q14" s="35" t="str">
        <f>Data_Processes!Q15</f>
        <v>n.a.</v>
      </c>
      <c r="R14" s="34" t="str">
        <f>Data_Processes!R15</f>
        <v>energetische Verwertung</v>
      </c>
      <c r="S14" s="9">
        <f>Data_Processes!S15</f>
        <v>0</v>
      </c>
      <c r="T14" s="9" t="str">
        <f>Data_Processes!T15</f>
        <v>Kompostierung</v>
      </c>
      <c r="U14" s="9">
        <f>Data_Processes!U15</f>
        <v>0</v>
      </c>
      <c r="V14" s="9" t="str">
        <f>Data_Processes!V15</f>
        <v>stoffliche Verwertung</v>
      </c>
      <c r="W14" s="9">
        <f>Data_Processes!W15</f>
        <v>0</v>
      </c>
      <c r="X14" s="9" t="str">
        <f>Data_Processes!X15</f>
        <v>n.b.</v>
      </c>
      <c r="Y14" s="9">
        <f>Data_Processes!Y15</f>
        <v>0</v>
      </c>
      <c r="Z14" s="9" t="str">
        <f>Data_Processes!Z15</f>
        <v>n.a.</v>
      </c>
      <c r="AA14" s="9" t="str">
        <f>Data_Processes!AA15</f>
        <v>n.a.</v>
      </c>
      <c r="AB14" s="9" t="str">
        <f>Data_Processes!AB15</f>
        <v>n.a.</v>
      </c>
      <c r="AC14" s="35" t="str">
        <f>Data_Processes!AC15</f>
        <v>n.a.</v>
      </c>
      <c r="AD14" s="9" t="str">
        <f>Data_Processes!AD15</f>
        <v>No</v>
      </c>
      <c r="AE14" s="9" t="str">
        <f>Data_Processes!AE15</f>
        <v>Yes</v>
      </c>
      <c r="AF14" s="14"/>
      <c r="AG14" s="14"/>
      <c r="AK14" s="15"/>
      <c r="AL14" s="14"/>
      <c r="AP14" s="15"/>
    </row>
    <row r="15" spans="2:42" x14ac:dyDescent="0.3">
      <c r="B15" s="14">
        <f>Data_Processes!B16</f>
        <v>12</v>
      </c>
      <c r="C15">
        <f>Data_Processes!C16</f>
        <v>0</v>
      </c>
      <c r="D15" t="str">
        <f>Data_Processes!D16</f>
        <v>Biomass power plant</v>
      </c>
      <c r="E15" t="str">
        <f>Data_Processes!E16</f>
        <v>Berlin</v>
      </c>
      <c r="F15" t="str">
        <f>Data_Processes!F16</f>
        <v>Wood</v>
      </c>
      <c r="G15" s="15" t="str">
        <f>Data_Processes!G16</f>
        <v>Recycl﻿ing / disposal</v>
      </c>
      <c r="H15" s="14"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5" t="str">
        <f>Data_Processes!Q16</f>
        <v>n.a.</v>
      </c>
      <c r="R15" s="14"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5" t="str">
        <f>Data_Processes!AC16</f>
        <v>n.a.</v>
      </c>
      <c r="AD15" t="str">
        <f>Data_Processes!AD16</f>
        <v>No</v>
      </c>
      <c r="AE15" t="str">
        <f>Data_Processes!AE16</f>
        <v>Yes</v>
      </c>
      <c r="AF15" s="14"/>
      <c r="AG15" s="14"/>
      <c r="AK15" s="15"/>
      <c r="AL15" s="14"/>
      <c r="AP15" s="15"/>
    </row>
    <row r="16" spans="2:42" x14ac:dyDescent="0.3">
      <c r="B16" s="34">
        <f>Data_Processes!B17</f>
        <v>13</v>
      </c>
      <c r="C16" s="9">
        <f>Data_Processes!C17</f>
        <v>0</v>
      </c>
      <c r="D16" s="9" t="str">
        <f>Data_Processes!D17</f>
        <v>Biomass power plant</v>
      </c>
      <c r="E16" s="9" t="str">
        <f>Data_Processes!E17</f>
        <v>Brandenburg</v>
      </c>
      <c r="F16" s="9" t="str">
        <f>Data_Processes!F17</f>
        <v>Wood</v>
      </c>
      <c r="G16" s="35" t="str">
        <f>Data_Processes!G17</f>
        <v>Recycl﻿ing / disposal</v>
      </c>
      <c r="H16" s="34" t="str">
        <f>Data_Processes!H17</f>
        <v>Waste Wood A1</v>
      </c>
      <c r="I16" s="9">
        <f>Data_Processes!I17</f>
        <v>0</v>
      </c>
      <c r="J16" s="9" t="str">
        <f>Data_Processes!J17</f>
        <v>Waste Wood A2</v>
      </c>
      <c r="K16" s="9">
        <f>Data_Processes!K17</f>
        <v>0</v>
      </c>
      <c r="L16" s="9" t="str">
        <f>Data_Processes!L17</f>
        <v>Waste Wood A3</v>
      </c>
      <c r="M16" s="9">
        <f>Data_Processes!M17</f>
        <v>0</v>
      </c>
      <c r="N16" s="9" t="str">
        <f>Data_Processes!N17</f>
        <v>Waste Wood A4</v>
      </c>
      <c r="O16" s="9">
        <f>Data_Processes!O17</f>
        <v>0</v>
      </c>
      <c r="P16" s="9" t="str">
        <f>Data_Processes!P17</f>
        <v>n.a.</v>
      </c>
      <c r="Q16" s="35" t="str">
        <f>Data_Processes!Q17</f>
        <v>n.a.</v>
      </c>
      <c r="R16" s="34" t="str">
        <f>Data_Processes!R17</f>
        <v>CO2</v>
      </c>
      <c r="S16" s="9">
        <f>Data_Processes!S17</f>
        <v>0</v>
      </c>
      <c r="T16" s="9" t="str">
        <f>Data_Processes!T17</f>
        <v>Ash</v>
      </c>
      <c r="U16" s="9">
        <f>Data_Processes!U17</f>
        <v>0</v>
      </c>
      <c r="V16" s="9" t="str">
        <f>Data_Processes!V17</f>
        <v>n.a.</v>
      </c>
      <c r="W16" s="9" t="str">
        <f>Data_Processes!W17</f>
        <v>n.a.</v>
      </c>
      <c r="X16" s="9" t="str">
        <f>Data_Processes!X17</f>
        <v>n.a.</v>
      </c>
      <c r="Y16" s="9" t="str">
        <f>Data_Processes!Y17</f>
        <v>n.a.</v>
      </c>
      <c r="Z16" s="9" t="str">
        <f>Data_Processes!Z17</f>
        <v>n.a.</v>
      </c>
      <c r="AA16" s="9" t="str">
        <f>Data_Processes!AA17</f>
        <v>n.a.</v>
      </c>
      <c r="AB16" s="9" t="str">
        <f>Data_Processes!AB17</f>
        <v>n.a.</v>
      </c>
      <c r="AC16" s="35" t="str">
        <f>Data_Processes!AC17</f>
        <v>n.a.</v>
      </c>
      <c r="AD16" s="9" t="str">
        <f>Data_Processes!AD17</f>
        <v>No</v>
      </c>
      <c r="AE16" s="9" t="str">
        <f>Data_Processes!AE17</f>
        <v>Yes</v>
      </c>
      <c r="AF16" s="14"/>
      <c r="AG16" s="14"/>
      <c r="AK16" s="15"/>
      <c r="AL16" s="14"/>
      <c r="AP16" s="15"/>
    </row>
    <row r="17" spans="2:42" x14ac:dyDescent="0.3">
      <c r="B17" s="14">
        <f>Data_Processes!B18</f>
        <v>14</v>
      </c>
      <c r="C17">
        <f>Data_Processes!C18</f>
        <v>0</v>
      </c>
      <c r="D17">
        <f>Data_Processes!D18</f>
        <v>0</v>
      </c>
      <c r="E17">
        <f>Data_Processes!E18</f>
        <v>0</v>
      </c>
      <c r="F17">
        <f>Data_Processes!F18</f>
        <v>0</v>
      </c>
      <c r="G17" s="15">
        <f>Data_Processes!G18</f>
        <v>0</v>
      </c>
      <c r="H17" s="14">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5">
        <f>Data_Processes!Q18</f>
        <v>0</v>
      </c>
      <c r="R17" s="14">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5">
        <f>Data_Processes!AC18</f>
        <v>0</v>
      </c>
      <c r="AD17">
        <f>Data_Processes!AD18</f>
        <v>0</v>
      </c>
      <c r="AE17">
        <f>Data_Processes!AE18</f>
        <v>0</v>
      </c>
      <c r="AF17" s="14"/>
      <c r="AG17" s="14"/>
      <c r="AK17" s="15"/>
      <c r="AL17" s="14"/>
      <c r="AP17" s="15"/>
    </row>
    <row r="18" spans="2:42" x14ac:dyDescent="0.3">
      <c r="B18" s="34">
        <f>Data_Processes!B19</f>
        <v>15</v>
      </c>
      <c r="C18" s="9">
        <f>Data_Processes!C19</f>
        <v>0</v>
      </c>
      <c r="D18" s="9">
        <f>Data_Processes!D19</f>
        <v>0</v>
      </c>
      <c r="E18" s="9">
        <f>Data_Processes!E19</f>
        <v>0</v>
      </c>
      <c r="F18" s="9">
        <f>Data_Processes!F19</f>
        <v>0</v>
      </c>
      <c r="G18" s="35">
        <f>Data_Processes!G19</f>
        <v>0</v>
      </c>
      <c r="H18" s="34">
        <f>Data_Processes!H19</f>
        <v>0</v>
      </c>
      <c r="I18" s="9">
        <f>Data_Processes!I19</f>
        <v>0</v>
      </c>
      <c r="J18" s="9">
        <f>Data_Processes!J19</f>
        <v>0</v>
      </c>
      <c r="K18" s="9">
        <f>Data_Processes!K19</f>
        <v>0</v>
      </c>
      <c r="L18" s="9">
        <f>Data_Processes!L19</f>
        <v>0</v>
      </c>
      <c r="M18" s="9">
        <f>Data_Processes!M19</f>
        <v>0</v>
      </c>
      <c r="N18" s="9">
        <f>Data_Processes!N19</f>
        <v>0</v>
      </c>
      <c r="O18" s="9">
        <f>Data_Processes!O19</f>
        <v>0</v>
      </c>
      <c r="P18" s="9">
        <f>Data_Processes!P19</f>
        <v>0</v>
      </c>
      <c r="Q18" s="35">
        <f>Data_Processes!Q19</f>
        <v>0</v>
      </c>
      <c r="R18" s="34">
        <f>Data_Processes!R19</f>
        <v>0</v>
      </c>
      <c r="S18" s="9">
        <f>Data_Processes!S19</f>
        <v>0</v>
      </c>
      <c r="T18" s="9">
        <f>Data_Processes!T19</f>
        <v>0</v>
      </c>
      <c r="U18" s="9">
        <f>Data_Processes!U19</f>
        <v>0</v>
      </c>
      <c r="V18" s="9">
        <f>Data_Processes!V19</f>
        <v>0</v>
      </c>
      <c r="W18" s="9">
        <f>Data_Processes!W19</f>
        <v>0</v>
      </c>
      <c r="X18" s="9">
        <f>Data_Processes!X19</f>
        <v>0</v>
      </c>
      <c r="Y18" s="9">
        <f>Data_Processes!Y19</f>
        <v>0</v>
      </c>
      <c r="Z18" s="9">
        <f>Data_Processes!Z19</f>
        <v>0</v>
      </c>
      <c r="AA18" s="9">
        <f>Data_Processes!AA19</f>
        <v>0</v>
      </c>
      <c r="AB18" s="9">
        <f>Data_Processes!AB19</f>
        <v>0</v>
      </c>
      <c r="AC18" s="35">
        <f>Data_Processes!AC19</f>
        <v>0</v>
      </c>
      <c r="AD18" s="9">
        <f>Data_Processes!AD19</f>
        <v>0</v>
      </c>
      <c r="AE18" s="9">
        <f>Data_Processes!AE19</f>
        <v>0</v>
      </c>
      <c r="AF18" s="14"/>
      <c r="AG18" s="14"/>
      <c r="AK18" s="15"/>
      <c r="AL18" s="14"/>
      <c r="AP18" s="15"/>
    </row>
    <row r="19" spans="2:42" x14ac:dyDescent="0.3">
      <c r="B19" s="14">
        <f>Data_Processes!B20</f>
        <v>16</v>
      </c>
      <c r="C19">
        <f>Data_Processes!C20</f>
        <v>0</v>
      </c>
      <c r="D19">
        <f>Data_Processes!D20</f>
        <v>0</v>
      </c>
      <c r="E19">
        <f>Data_Processes!E20</f>
        <v>0</v>
      </c>
      <c r="F19">
        <f>Data_Processes!F20</f>
        <v>0</v>
      </c>
      <c r="G19" s="15">
        <f>Data_Processes!G20</f>
        <v>0</v>
      </c>
      <c r="H19" s="14">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5">
        <f>Data_Processes!Q20</f>
        <v>0</v>
      </c>
      <c r="R19" s="14">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5">
        <f>Data_Processes!AC20</f>
        <v>0</v>
      </c>
      <c r="AD19">
        <f>Data_Processes!AD20</f>
        <v>0</v>
      </c>
      <c r="AE19">
        <f>Data_Processes!AE20</f>
        <v>0</v>
      </c>
      <c r="AF19" s="14"/>
      <c r="AG19" s="14"/>
      <c r="AK19" s="15"/>
      <c r="AL19" s="14"/>
      <c r="AP19" s="15"/>
    </row>
    <row r="20" spans="2:42" x14ac:dyDescent="0.3">
      <c r="B20" s="34">
        <f>Data_Processes!B21</f>
        <v>17</v>
      </c>
      <c r="C20" s="9">
        <f>Data_Processes!C21</f>
        <v>0</v>
      </c>
      <c r="D20" s="9">
        <f>Data_Processes!D21</f>
        <v>0</v>
      </c>
      <c r="E20" s="9">
        <f>Data_Processes!E21</f>
        <v>0</v>
      </c>
      <c r="F20" s="9">
        <f>Data_Processes!F21</f>
        <v>0</v>
      </c>
      <c r="G20" s="35">
        <f>Data_Processes!G21</f>
        <v>0</v>
      </c>
      <c r="H20" s="34">
        <f>Data_Processes!H21</f>
        <v>0</v>
      </c>
      <c r="I20" s="9">
        <f>Data_Processes!I21</f>
        <v>0</v>
      </c>
      <c r="J20" s="9">
        <f>Data_Processes!J21</f>
        <v>0</v>
      </c>
      <c r="K20" s="9">
        <f>Data_Processes!K21</f>
        <v>0</v>
      </c>
      <c r="L20" s="9">
        <f>Data_Processes!L21</f>
        <v>0</v>
      </c>
      <c r="M20" s="9">
        <f>Data_Processes!M21</f>
        <v>0</v>
      </c>
      <c r="N20" s="9">
        <f>Data_Processes!N21</f>
        <v>0</v>
      </c>
      <c r="O20" s="9">
        <f>Data_Processes!O21</f>
        <v>0</v>
      </c>
      <c r="P20" s="9">
        <f>Data_Processes!P21</f>
        <v>0</v>
      </c>
      <c r="Q20" s="35">
        <f>Data_Processes!Q21</f>
        <v>0</v>
      </c>
      <c r="R20" s="34">
        <f>Data_Processes!R21</f>
        <v>0</v>
      </c>
      <c r="S20" s="9">
        <f>Data_Processes!S21</f>
        <v>0</v>
      </c>
      <c r="T20" s="9">
        <f>Data_Processes!T21</f>
        <v>0</v>
      </c>
      <c r="U20" s="9">
        <f>Data_Processes!U21</f>
        <v>0</v>
      </c>
      <c r="V20" s="9">
        <f>Data_Processes!V21</f>
        <v>0</v>
      </c>
      <c r="W20" s="9">
        <f>Data_Processes!W21</f>
        <v>0</v>
      </c>
      <c r="X20" s="9">
        <f>Data_Processes!X21</f>
        <v>0</v>
      </c>
      <c r="Y20" s="9">
        <f>Data_Processes!Y21</f>
        <v>0</v>
      </c>
      <c r="Z20" s="9">
        <f>Data_Processes!Z21</f>
        <v>0</v>
      </c>
      <c r="AA20" s="9">
        <f>Data_Processes!AA21</f>
        <v>0</v>
      </c>
      <c r="AB20" s="9">
        <f>Data_Processes!AB21</f>
        <v>0</v>
      </c>
      <c r="AC20" s="35">
        <f>Data_Processes!AC21</f>
        <v>0</v>
      </c>
      <c r="AD20" s="9">
        <f>Data_Processes!AD21</f>
        <v>0</v>
      </c>
      <c r="AE20" s="9">
        <f>Data_Processes!AE21</f>
        <v>0</v>
      </c>
      <c r="AF20" s="14"/>
      <c r="AG20" s="14"/>
      <c r="AK20" s="15"/>
      <c r="AL20" s="14"/>
      <c r="AP20" s="15"/>
    </row>
    <row r="21" spans="2:42" x14ac:dyDescent="0.3">
      <c r="B21" s="14">
        <f>Data_Processes!B22</f>
        <v>18</v>
      </c>
      <c r="C21">
        <f>Data_Processes!C22</f>
        <v>0</v>
      </c>
      <c r="D21">
        <f>Data_Processes!D22</f>
        <v>0</v>
      </c>
      <c r="E21">
        <f>Data_Processes!E22</f>
        <v>0</v>
      </c>
      <c r="F21">
        <f>Data_Processes!F22</f>
        <v>0</v>
      </c>
      <c r="G21" s="15">
        <f>Data_Processes!G22</f>
        <v>0</v>
      </c>
      <c r="H21" s="14">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5">
        <f>Data_Processes!Q22</f>
        <v>0</v>
      </c>
      <c r="R21" s="14">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5">
        <f>Data_Processes!AC22</f>
        <v>0</v>
      </c>
      <c r="AD21">
        <f>Data_Processes!AD22</f>
        <v>0</v>
      </c>
      <c r="AE21">
        <f>Data_Processes!AE22</f>
        <v>0</v>
      </c>
      <c r="AF21" s="14"/>
      <c r="AG21" s="14"/>
      <c r="AK21" s="15"/>
      <c r="AL21" s="14"/>
      <c r="AP21" s="15"/>
    </row>
    <row r="22" spans="2:42" x14ac:dyDescent="0.3">
      <c r="B22" s="34">
        <f>Data_Processes!B23</f>
        <v>19</v>
      </c>
      <c r="C22" s="9">
        <f>Data_Processes!C23</f>
        <v>0</v>
      </c>
      <c r="D22" s="9">
        <f>Data_Processes!D23</f>
        <v>0</v>
      </c>
      <c r="E22" s="9">
        <f>Data_Processes!E23</f>
        <v>0</v>
      </c>
      <c r="F22" s="9">
        <f>Data_Processes!F23</f>
        <v>0</v>
      </c>
      <c r="G22" s="35">
        <f>Data_Processes!G23</f>
        <v>0</v>
      </c>
      <c r="H22" s="34">
        <f>Data_Processes!H23</f>
        <v>0</v>
      </c>
      <c r="I22" s="9">
        <f>Data_Processes!I23</f>
        <v>0</v>
      </c>
      <c r="J22" s="9">
        <f>Data_Processes!J23</f>
        <v>0</v>
      </c>
      <c r="K22" s="9">
        <f>Data_Processes!K23</f>
        <v>0</v>
      </c>
      <c r="L22" s="9">
        <f>Data_Processes!L23</f>
        <v>0</v>
      </c>
      <c r="M22" s="9">
        <f>Data_Processes!M23</f>
        <v>0</v>
      </c>
      <c r="N22" s="9">
        <f>Data_Processes!N23</f>
        <v>0</v>
      </c>
      <c r="O22" s="9">
        <f>Data_Processes!O23</f>
        <v>0</v>
      </c>
      <c r="P22" s="9">
        <f>Data_Processes!P23</f>
        <v>0</v>
      </c>
      <c r="Q22" s="35">
        <f>Data_Processes!Q23</f>
        <v>0</v>
      </c>
      <c r="R22" s="34">
        <f>Data_Processes!R23</f>
        <v>0</v>
      </c>
      <c r="S22" s="9">
        <f>Data_Processes!S23</f>
        <v>0</v>
      </c>
      <c r="T22" s="9">
        <f>Data_Processes!T23</f>
        <v>0</v>
      </c>
      <c r="U22" s="9">
        <f>Data_Processes!U23</f>
        <v>0</v>
      </c>
      <c r="V22" s="9">
        <f>Data_Processes!V23</f>
        <v>0</v>
      </c>
      <c r="W22" s="9">
        <f>Data_Processes!W23</f>
        <v>0</v>
      </c>
      <c r="X22" s="9">
        <f>Data_Processes!X23</f>
        <v>0</v>
      </c>
      <c r="Y22" s="9">
        <f>Data_Processes!Y23</f>
        <v>0</v>
      </c>
      <c r="Z22" s="9">
        <f>Data_Processes!Z23</f>
        <v>0</v>
      </c>
      <c r="AA22" s="9">
        <f>Data_Processes!AA23</f>
        <v>0</v>
      </c>
      <c r="AB22" s="9">
        <f>Data_Processes!AB23</f>
        <v>0</v>
      </c>
      <c r="AC22" s="35">
        <f>Data_Processes!AC23</f>
        <v>0</v>
      </c>
      <c r="AD22" s="9">
        <f>Data_Processes!AD23</f>
        <v>0</v>
      </c>
      <c r="AE22" s="9">
        <f>Data_Processes!AE23</f>
        <v>0</v>
      </c>
      <c r="AF22" s="14"/>
      <c r="AG22" s="14"/>
      <c r="AK22" s="15"/>
      <c r="AL22" s="14"/>
      <c r="AP22" s="15"/>
    </row>
    <row r="23" spans="2:42" x14ac:dyDescent="0.3">
      <c r="B23" s="14">
        <f>Data_Processes!B24</f>
        <v>20</v>
      </c>
      <c r="C23">
        <f>Data_Processes!C24</f>
        <v>0</v>
      </c>
      <c r="D23">
        <f>Data_Processes!D24</f>
        <v>0</v>
      </c>
      <c r="E23">
        <f>Data_Processes!E24</f>
        <v>0</v>
      </c>
      <c r="F23">
        <f>Data_Processes!F24</f>
        <v>0</v>
      </c>
      <c r="G23" s="15">
        <f>Data_Processes!G24</f>
        <v>0</v>
      </c>
      <c r="H23" s="14">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5">
        <f>Data_Processes!Q24</f>
        <v>0</v>
      </c>
      <c r="R23" s="14">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5">
        <f>Data_Processes!AC24</f>
        <v>0</v>
      </c>
      <c r="AD23">
        <f>Data_Processes!AD24</f>
        <v>0</v>
      </c>
      <c r="AE23">
        <f>Data_Processes!AE24</f>
        <v>0</v>
      </c>
      <c r="AF23" s="14"/>
      <c r="AG23" s="14"/>
      <c r="AK23" s="15"/>
      <c r="AL23" s="14"/>
      <c r="AP23" s="15"/>
    </row>
    <row r="24" spans="2:42" x14ac:dyDescent="0.3">
      <c r="B24" s="34">
        <f>Data_Processes!B25</f>
        <v>21</v>
      </c>
      <c r="C24" s="9">
        <f>Data_Processes!C25</f>
        <v>0</v>
      </c>
      <c r="D24" s="9">
        <f>Data_Processes!D25</f>
        <v>0</v>
      </c>
      <c r="E24" s="9">
        <f>Data_Processes!E25</f>
        <v>0</v>
      </c>
      <c r="F24" s="9">
        <f>Data_Processes!F25</f>
        <v>0</v>
      </c>
      <c r="G24" s="35">
        <f>Data_Processes!G25</f>
        <v>0</v>
      </c>
      <c r="H24" s="34">
        <f>Data_Processes!H25</f>
        <v>0</v>
      </c>
      <c r="I24" s="9">
        <f>Data_Processes!I25</f>
        <v>0</v>
      </c>
      <c r="J24" s="9">
        <f>Data_Processes!J25</f>
        <v>0</v>
      </c>
      <c r="K24" s="9">
        <f>Data_Processes!K25</f>
        <v>0</v>
      </c>
      <c r="L24" s="9">
        <f>Data_Processes!L25</f>
        <v>0</v>
      </c>
      <c r="M24" s="9">
        <f>Data_Processes!M25</f>
        <v>0</v>
      </c>
      <c r="N24" s="9">
        <f>Data_Processes!N25</f>
        <v>0</v>
      </c>
      <c r="O24" s="9">
        <f>Data_Processes!O25</f>
        <v>0</v>
      </c>
      <c r="P24" s="9">
        <f>Data_Processes!P25</f>
        <v>0</v>
      </c>
      <c r="Q24" s="35">
        <f>Data_Processes!Q25</f>
        <v>0</v>
      </c>
      <c r="R24" s="34">
        <f>Data_Processes!R25</f>
        <v>0</v>
      </c>
      <c r="S24" s="9">
        <f>Data_Processes!S25</f>
        <v>0</v>
      </c>
      <c r="T24" s="9">
        <f>Data_Processes!T25</f>
        <v>0</v>
      </c>
      <c r="U24" s="9">
        <f>Data_Processes!U25</f>
        <v>0</v>
      </c>
      <c r="V24" s="9">
        <f>Data_Processes!V25</f>
        <v>0</v>
      </c>
      <c r="W24" s="9">
        <f>Data_Processes!W25</f>
        <v>0</v>
      </c>
      <c r="X24" s="9">
        <f>Data_Processes!X25</f>
        <v>0</v>
      </c>
      <c r="Y24" s="9">
        <f>Data_Processes!Y25</f>
        <v>0</v>
      </c>
      <c r="Z24" s="9">
        <f>Data_Processes!Z25</f>
        <v>0</v>
      </c>
      <c r="AA24" s="9">
        <f>Data_Processes!AA25</f>
        <v>0</v>
      </c>
      <c r="AB24" s="9">
        <f>Data_Processes!AB25</f>
        <v>0</v>
      </c>
      <c r="AC24" s="35">
        <f>Data_Processes!AC25</f>
        <v>0</v>
      </c>
      <c r="AD24" s="9">
        <f>Data_Processes!AD25</f>
        <v>0</v>
      </c>
      <c r="AE24" s="9">
        <f>Data_Processes!AE25</f>
        <v>0</v>
      </c>
      <c r="AF24" s="14"/>
      <c r="AG24" s="14"/>
      <c r="AK24" s="15"/>
      <c r="AL24" s="14"/>
      <c r="AP24" s="15"/>
    </row>
    <row r="25" spans="2:42" x14ac:dyDescent="0.3">
      <c r="B25" s="14">
        <f>Data_Processes!B26</f>
        <v>22</v>
      </c>
      <c r="C25">
        <f>Data_Processes!C26</f>
        <v>0</v>
      </c>
      <c r="D25">
        <f>Data_Processes!D26</f>
        <v>0</v>
      </c>
      <c r="E25">
        <f>Data_Processes!E26</f>
        <v>0</v>
      </c>
      <c r="F25">
        <f>Data_Processes!F26</f>
        <v>0</v>
      </c>
      <c r="G25" s="15">
        <f>Data_Processes!G26</f>
        <v>0</v>
      </c>
      <c r="H25" s="14">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5">
        <f>Data_Processes!Q26</f>
        <v>0</v>
      </c>
      <c r="R25" s="14">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5">
        <f>Data_Processes!AC26</f>
        <v>0</v>
      </c>
      <c r="AD25">
        <f>Data_Processes!AD26</f>
        <v>0</v>
      </c>
      <c r="AE25">
        <f>Data_Processes!AE26</f>
        <v>0</v>
      </c>
      <c r="AF25" s="14"/>
      <c r="AG25" s="14"/>
      <c r="AK25" s="15"/>
      <c r="AL25" s="14"/>
      <c r="AP25" s="15"/>
    </row>
    <row r="26" spans="2:42" x14ac:dyDescent="0.3">
      <c r="B26" s="34">
        <f>Data_Processes!B27</f>
        <v>23</v>
      </c>
      <c r="C26" s="9">
        <f>Data_Processes!C27</f>
        <v>0</v>
      </c>
      <c r="D26" s="9">
        <f>Data_Processes!D27</f>
        <v>0</v>
      </c>
      <c r="E26" s="9">
        <f>Data_Processes!E27</f>
        <v>0</v>
      </c>
      <c r="F26" s="9">
        <f>Data_Processes!F27</f>
        <v>0</v>
      </c>
      <c r="G26" s="35">
        <f>Data_Processes!G27</f>
        <v>0</v>
      </c>
      <c r="H26" s="34">
        <f>Data_Processes!H27</f>
        <v>0</v>
      </c>
      <c r="I26" s="9">
        <f>Data_Processes!I27</f>
        <v>0</v>
      </c>
      <c r="J26" s="9">
        <f>Data_Processes!J27</f>
        <v>0</v>
      </c>
      <c r="K26" s="9">
        <f>Data_Processes!K27</f>
        <v>0</v>
      </c>
      <c r="L26" s="9">
        <f>Data_Processes!L27</f>
        <v>0</v>
      </c>
      <c r="M26" s="9">
        <f>Data_Processes!M27</f>
        <v>0</v>
      </c>
      <c r="N26" s="9">
        <f>Data_Processes!N27</f>
        <v>0</v>
      </c>
      <c r="O26" s="9">
        <f>Data_Processes!O27</f>
        <v>0</v>
      </c>
      <c r="P26" s="9">
        <f>Data_Processes!P27</f>
        <v>0</v>
      </c>
      <c r="Q26" s="35">
        <f>Data_Processes!Q27</f>
        <v>0</v>
      </c>
      <c r="R26" s="34">
        <f>Data_Processes!R27</f>
        <v>0</v>
      </c>
      <c r="S26" s="9">
        <f>Data_Processes!S27</f>
        <v>0</v>
      </c>
      <c r="T26" s="9">
        <f>Data_Processes!T27</f>
        <v>0</v>
      </c>
      <c r="U26" s="9">
        <f>Data_Processes!U27</f>
        <v>0</v>
      </c>
      <c r="V26" s="9">
        <f>Data_Processes!V27</f>
        <v>0</v>
      </c>
      <c r="W26" s="9">
        <f>Data_Processes!W27</f>
        <v>0</v>
      </c>
      <c r="X26" s="9">
        <f>Data_Processes!X27</f>
        <v>0</v>
      </c>
      <c r="Y26" s="9">
        <f>Data_Processes!Y27</f>
        <v>0</v>
      </c>
      <c r="Z26" s="9">
        <f>Data_Processes!Z27</f>
        <v>0</v>
      </c>
      <c r="AA26" s="9">
        <f>Data_Processes!AA27</f>
        <v>0</v>
      </c>
      <c r="AB26" s="9">
        <f>Data_Processes!AB27</f>
        <v>0</v>
      </c>
      <c r="AC26" s="35">
        <f>Data_Processes!AC27</f>
        <v>0</v>
      </c>
      <c r="AD26" s="9">
        <f>Data_Processes!AD27</f>
        <v>0</v>
      </c>
      <c r="AE26" s="9">
        <f>Data_Processes!AE27</f>
        <v>0</v>
      </c>
      <c r="AF26" s="14"/>
      <c r="AG26" s="14"/>
      <c r="AK26" s="15"/>
      <c r="AL26" s="14"/>
      <c r="AP26" s="15"/>
    </row>
    <row r="27" spans="2:42" x14ac:dyDescent="0.3">
      <c r="B27" s="14">
        <f>Data_Processes!B28</f>
        <v>24</v>
      </c>
      <c r="C27">
        <f>Data_Processes!C28</f>
        <v>0</v>
      </c>
      <c r="D27">
        <f>Data_Processes!D28</f>
        <v>0</v>
      </c>
      <c r="E27">
        <f>Data_Processes!E28</f>
        <v>0</v>
      </c>
      <c r="F27">
        <f>Data_Processes!F28</f>
        <v>0</v>
      </c>
      <c r="G27" s="15">
        <f>Data_Processes!G28</f>
        <v>0</v>
      </c>
      <c r="H27" s="14">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5">
        <f>Data_Processes!Q28</f>
        <v>0</v>
      </c>
      <c r="R27" s="14">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5">
        <f>Data_Processes!AC28</f>
        <v>0</v>
      </c>
      <c r="AD27">
        <f>Data_Processes!AD28</f>
        <v>0</v>
      </c>
      <c r="AE27">
        <f>Data_Processes!AE28</f>
        <v>0</v>
      </c>
      <c r="AF27" s="14"/>
      <c r="AG27" s="14"/>
      <c r="AK27" s="15"/>
      <c r="AL27" s="14"/>
      <c r="AP27" s="15"/>
    </row>
    <row r="28" spans="2:42" x14ac:dyDescent="0.3">
      <c r="B28" s="34">
        <f>Data_Processes!B29</f>
        <v>25</v>
      </c>
      <c r="C28" s="9">
        <f>Data_Processes!C29</f>
        <v>0</v>
      </c>
      <c r="D28" s="9">
        <f>Data_Processes!D29</f>
        <v>0</v>
      </c>
      <c r="E28" s="9">
        <f>Data_Processes!E29</f>
        <v>0</v>
      </c>
      <c r="F28" s="9">
        <f>Data_Processes!F29</f>
        <v>0</v>
      </c>
      <c r="G28" s="35">
        <f>Data_Processes!G29</f>
        <v>0</v>
      </c>
      <c r="H28" s="34">
        <f>Data_Processes!H29</f>
        <v>0</v>
      </c>
      <c r="I28" s="9">
        <f>Data_Processes!I29</f>
        <v>0</v>
      </c>
      <c r="J28" s="9">
        <f>Data_Processes!J29</f>
        <v>0</v>
      </c>
      <c r="K28" s="9">
        <f>Data_Processes!K29</f>
        <v>0</v>
      </c>
      <c r="L28" s="9">
        <f>Data_Processes!L29</f>
        <v>0</v>
      </c>
      <c r="M28" s="9">
        <f>Data_Processes!M29</f>
        <v>0</v>
      </c>
      <c r="N28" s="9">
        <f>Data_Processes!N29</f>
        <v>0</v>
      </c>
      <c r="O28" s="9">
        <f>Data_Processes!O29</f>
        <v>0</v>
      </c>
      <c r="P28" s="9">
        <f>Data_Processes!P29</f>
        <v>0</v>
      </c>
      <c r="Q28" s="35">
        <f>Data_Processes!Q29</f>
        <v>0</v>
      </c>
      <c r="R28" s="34">
        <f>Data_Processes!R29</f>
        <v>0</v>
      </c>
      <c r="S28" s="9">
        <f>Data_Processes!S29</f>
        <v>0</v>
      </c>
      <c r="T28" s="9">
        <f>Data_Processes!T29</f>
        <v>0</v>
      </c>
      <c r="U28" s="9">
        <f>Data_Processes!U29</f>
        <v>0</v>
      </c>
      <c r="V28" s="9">
        <f>Data_Processes!V29</f>
        <v>0</v>
      </c>
      <c r="W28" s="9">
        <f>Data_Processes!W29</f>
        <v>0</v>
      </c>
      <c r="X28" s="9">
        <f>Data_Processes!X29</f>
        <v>0</v>
      </c>
      <c r="Y28" s="9">
        <f>Data_Processes!Y29</f>
        <v>0</v>
      </c>
      <c r="Z28" s="9">
        <f>Data_Processes!Z29</f>
        <v>0</v>
      </c>
      <c r="AA28" s="9">
        <f>Data_Processes!AA29</f>
        <v>0</v>
      </c>
      <c r="AB28" s="9">
        <f>Data_Processes!AB29</f>
        <v>0</v>
      </c>
      <c r="AC28" s="35">
        <f>Data_Processes!AC29</f>
        <v>0</v>
      </c>
      <c r="AD28" s="9">
        <f>Data_Processes!AD29</f>
        <v>0</v>
      </c>
      <c r="AE28" s="9">
        <f>Data_Processes!AE29</f>
        <v>0</v>
      </c>
      <c r="AF28" s="14"/>
      <c r="AG28" s="14"/>
      <c r="AK28" s="15"/>
      <c r="AL28" s="14"/>
      <c r="AP28" s="15"/>
    </row>
    <row r="29" spans="2:42" x14ac:dyDescent="0.3">
      <c r="B29" s="14">
        <f>Data_Processes!B30</f>
        <v>26</v>
      </c>
      <c r="C29">
        <f>Data_Processes!C30</f>
        <v>0</v>
      </c>
      <c r="D29">
        <f>Data_Processes!D30</f>
        <v>0</v>
      </c>
      <c r="E29">
        <f>Data_Processes!E30</f>
        <v>0</v>
      </c>
      <c r="F29">
        <f>Data_Processes!F30</f>
        <v>0</v>
      </c>
      <c r="G29" s="15">
        <f>Data_Processes!G30</f>
        <v>0</v>
      </c>
      <c r="H29" s="14">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5">
        <f>Data_Processes!Q30</f>
        <v>0</v>
      </c>
      <c r="R29" s="14">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5">
        <f>Data_Processes!AC30</f>
        <v>0</v>
      </c>
      <c r="AD29">
        <f>Data_Processes!AD30</f>
        <v>0</v>
      </c>
      <c r="AE29">
        <f>Data_Processes!AE30</f>
        <v>0</v>
      </c>
      <c r="AF29" s="14"/>
      <c r="AG29" s="14"/>
      <c r="AK29" s="15"/>
      <c r="AL29" s="14"/>
      <c r="AP29" s="15"/>
    </row>
    <row r="30" spans="2:42" x14ac:dyDescent="0.3">
      <c r="B30" s="34">
        <f>Data_Processes!B31</f>
        <v>27</v>
      </c>
      <c r="C30" s="9">
        <f>Data_Processes!C31</f>
        <v>0</v>
      </c>
      <c r="D30" s="9">
        <f>Data_Processes!D31</f>
        <v>0</v>
      </c>
      <c r="E30" s="9">
        <f>Data_Processes!E31</f>
        <v>0</v>
      </c>
      <c r="F30" s="9">
        <f>Data_Processes!F31</f>
        <v>0</v>
      </c>
      <c r="G30" s="35">
        <f>Data_Processes!G31</f>
        <v>0</v>
      </c>
      <c r="H30" s="34">
        <f>Data_Processes!H31</f>
        <v>0</v>
      </c>
      <c r="I30" s="9">
        <f>Data_Processes!I31</f>
        <v>0</v>
      </c>
      <c r="J30" s="9">
        <f>Data_Processes!J31</f>
        <v>0</v>
      </c>
      <c r="K30" s="9">
        <f>Data_Processes!K31</f>
        <v>0</v>
      </c>
      <c r="L30" s="9">
        <f>Data_Processes!L31</f>
        <v>0</v>
      </c>
      <c r="M30" s="9">
        <f>Data_Processes!M31</f>
        <v>0</v>
      </c>
      <c r="N30" s="9">
        <f>Data_Processes!N31</f>
        <v>0</v>
      </c>
      <c r="O30" s="9">
        <f>Data_Processes!O31</f>
        <v>0</v>
      </c>
      <c r="P30" s="9">
        <f>Data_Processes!P31</f>
        <v>0</v>
      </c>
      <c r="Q30" s="35">
        <f>Data_Processes!Q31</f>
        <v>0</v>
      </c>
      <c r="R30" s="34">
        <f>Data_Processes!R31</f>
        <v>0</v>
      </c>
      <c r="S30" s="9">
        <f>Data_Processes!S31</f>
        <v>0</v>
      </c>
      <c r="T30" s="9">
        <f>Data_Processes!T31</f>
        <v>0</v>
      </c>
      <c r="U30" s="9">
        <f>Data_Processes!U31</f>
        <v>0</v>
      </c>
      <c r="V30" s="9">
        <f>Data_Processes!V31</f>
        <v>0</v>
      </c>
      <c r="W30" s="9">
        <f>Data_Processes!W31</f>
        <v>0</v>
      </c>
      <c r="X30" s="9">
        <f>Data_Processes!X31</f>
        <v>0</v>
      </c>
      <c r="Y30" s="9">
        <f>Data_Processes!Y31</f>
        <v>0</v>
      </c>
      <c r="Z30" s="9">
        <f>Data_Processes!Z31</f>
        <v>0</v>
      </c>
      <c r="AA30" s="9">
        <f>Data_Processes!AA31</f>
        <v>0</v>
      </c>
      <c r="AB30" s="9">
        <f>Data_Processes!AB31</f>
        <v>0</v>
      </c>
      <c r="AC30" s="35">
        <f>Data_Processes!AC31</f>
        <v>0</v>
      </c>
      <c r="AD30" s="9">
        <f>Data_Processes!AD31</f>
        <v>0</v>
      </c>
      <c r="AE30" s="9">
        <f>Data_Processes!AE31</f>
        <v>0</v>
      </c>
      <c r="AF30" s="14"/>
      <c r="AG30" s="14"/>
      <c r="AK30" s="15"/>
      <c r="AL30" s="14"/>
      <c r="AP30" s="15"/>
    </row>
    <row r="31" spans="2:42" x14ac:dyDescent="0.3">
      <c r="B31" s="14">
        <f>Data_Processes!B32</f>
        <v>28</v>
      </c>
      <c r="C31">
        <f>Data_Processes!C32</f>
        <v>0</v>
      </c>
      <c r="D31">
        <f>Data_Processes!D32</f>
        <v>0</v>
      </c>
      <c r="E31">
        <f>Data_Processes!E32</f>
        <v>0</v>
      </c>
      <c r="F31">
        <f>Data_Processes!F32</f>
        <v>0</v>
      </c>
      <c r="G31" s="15">
        <f>Data_Processes!G32</f>
        <v>0</v>
      </c>
      <c r="H31" s="14">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5">
        <f>Data_Processes!Q32</f>
        <v>0</v>
      </c>
      <c r="R31" s="14">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5">
        <f>Data_Processes!AC32</f>
        <v>0</v>
      </c>
      <c r="AD31">
        <f>Data_Processes!AD32</f>
        <v>0</v>
      </c>
      <c r="AE31">
        <f>Data_Processes!AE32</f>
        <v>0</v>
      </c>
      <c r="AF31" s="14"/>
      <c r="AG31" s="14"/>
      <c r="AK31" s="15"/>
      <c r="AL31" s="14"/>
      <c r="AP31" s="15"/>
    </row>
    <row r="32" spans="2:42" x14ac:dyDescent="0.3">
      <c r="B32" s="34">
        <f>Data_Processes!B33</f>
        <v>29</v>
      </c>
      <c r="C32" s="9">
        <f>Data_Processes!C33</f>
        <v>0</v>
      </c>
      <c r="D32" s="9">
        <f>Data_Processes!D33</f>
        <v>0</v>
      </c>
      <c r="E32" s="9">
        <f>Data_Processes!E33</f>
        <v>0</v>
      </c>
      <c r="F32" s="9">
        <f>Data_Processes!F33</f>
        <v>0</v>
      </c>
      <c r="G32" s="35">
        <f>Data_Processes!G33</f>
        <v>0</v>
      </c>
      <c r="H32" s="34">
        <f>Data_Processes!H33</f>
        <v>0</v>
      </c>
      <c r="I32" s="9">
        <f>Data_Processes!I33</f>
        <v>0</v>
      </c>
      <c r="J32" s="9">
        <f>Data_Processes!J33</f>
        <v>0</v>
      </c>
      <c r="K32" s="9">
        <f>Data_Processes!K33</f>
        <v>0</v>
      </c>
      <c r="L32" s="9">
        <f>Data_Processes!L33</f>
        <v>0</v>
      </c>
      <c r="M32" s="9">
        <f>Data_Processes!M33</f>
        <v>0</v>
      </c>
      <c r="N32" s="9">
        <f>Data_Processes!N33</f>
        <v>0</v>
      </c>
      <c r="O32" s="9">
        <f>Data_Processes!O33</f>
        <v>0</v>
      </c>
      <c r="P32" s="9">
        <f>Data_Processes!P33</f>
        <v>0</v>
      </c>
      <c r="Q32" s="35">
        <f>Data_Processes!Q33</f>
        <v>0</v>
      </c>
      <c r="R32" s="34">
        <f>Data_Processes!R33</f>
        <v>0</v>
      </c>
      <c r="S32" s="9">
        <f>Data_Processes!S33</f>
        <v>0</v>
      </c>
      <c r="T32" s="9">
        <f>Data_Processes!T33</f>
        <v>0</v>
      </c>
      <c r="U32" s="9">
        <f>Data_Processes!U33</f>
        <v>0</v>
      </c>
      <c r="V32" s="9">
        <f>Data_Processes!V33</f>
        <v>0</v>
      </c>
      <c r="W32" s="9">
        <f>Data_Processes!W33</f>
        <v>0</v>
      </c>
      <c r="X32" s="9">
        <f>Data_Processes!X33</f>
        <v>0</v>
      </c>
      <c r="Y32" s="9">
        <f>Data_Processes!Y33</f>
        <v>0</v>
      </c>
      <c r="Z32" s="9">
        <f>Data_Processes!Z33</f>
        <v>0</v>
      </c>
      <c r="AA32" s="9">
        <f>Data_Processes!AA33</f>
        <v>0</v>
      </c>
      <c r="AB32" s="9">
        <f>Data_Processes!AB33</f>
        <v>0</v>
      </c>
      <c r="AC32" s="35">
        <f>Data_Processes!AC33</f>
        <v>0</v>
      </c>
      <c r="AD32" s="9">
        <f>Data_Processes!AD33</f>
        <v>0</v>
      </c>
      <c r="AE32" s="9">
        <f>Data_Processes!AE33</f>
        <v>0</v>
      </c>
      <c r="AF32" s="14"/>
      <c r="AG32" s="14"/>
      <c r="AK32" s="15"/>
      <c r="AL32" s="14"/>
      <c r="AP32" s="15"/>
    </row>
    <row r="33" spans="2:42" x14ac:dyDescent="0.3">
      <c r="B33" s="14">
        <f>Data_Processes!B34</f>
        <v>30</v>
      </c>
      <c r="C33">
        <f>Data_Processes!C34</f>
        <v>0</v>
      </c>
      <c r="D33">
        <f>Data_Processes!D34</f>
        <v>0</v>
      </c>
      <c r="E33">
        <f>Data_Processes!E34</f>
        <v>0</v>
      </c>
      <c r="F33">
        <f>Data_Processes!F34</f>
        <v>0</v>
      </c>
      <c r="G33" s="15">
        <f>Data_Processes!G34</f>
        <v>0</v>
      </c>
      <c r="H33" s="14">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5">
        <f>Data_Processes!Q34</f>
        <v>0</v>
      </c>
      <c r="R33" s="14">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5">
        <f>Data_Processes!AC34</f>
        <v>0</v>
      </c>
      <c r="AD33">
        <f>Data_Processes!AD34</f>
        <v>0</v>
      </c>
      <c r="AE33">
        <f>Data_Processes!AE34</f>
        <v>0</v>
      </c>
      <c r="AF33" s="14"/>
      <c r="AG33" s="14"/>
      <c r="AK33" s="15"/>
      <c r="AL33" s="14"/>
      <c r="AP33" s="15"/>
    </row>
    <row r="34" spans="2:42" x14ac:dyDescent="0.3">
      <c r="B34" s="34">
        <f>Data_Processes!B35</f>
        <v>0</v>
      </c>
      <c r="C34" s="9">
        <f>Data_Processes!C35</f>
        <v>0</v>
      </c>
      <c r="D34" s="9">
        <f>Data_Processes!D35</f>
        <v>0</v>
      </c>
      <c r="E34" s="9">
        <f>Data_Processes!E35</f>
        <v>0</v>
      </c>
      <c r="F34" s="9">
        <f>Data_Processes!F35</f>
        <v>0</v>
      </c>
      <c r="G34" s="35">
        <f>Data_Processes!G35</f>
        <v>0</v>
      </c>
      <c r="H34" s="34">
        <f>Data_Processes!H35</f>
        <v>0</v>
      </c>
      <c r="I34" s="9">
        <f>Data_Processes!I35</f>
        <v>0</v>
      </c>
      <c r="J34" s="9">
        <f>Data_Processes!J35</f>
        <v>0</v>
      </c>
      <c r="K34" s="9">
        <f>Data_Processes!K35</f>
        <v>0</v>
      </c>
      <c r="L34" s="9">
        <f>Data_Processes!L35</f>
        <v>0</v>
      </c>
      <c r="M34" s="9">
        <f>Data_Processes!M35</f>
        <v>0</v>
      </c>
      <c r="N34" s="9">
        <f>Data_Processes!N35</f>
        <v>0</v>
      </c>
      <c r="O34" s="9">
        <f>Data_Processes!O35</f>
        <v>0</v>
      </c>
      <c r="P34" s="9">
        <f>Data_Processes!P35</f>
        <v>0</v>
      </c>
      <c r="Q34" s="35">
        <f>Data_Processes!Q35</f>
        <v>0</v>
      </c>
      <c r="R34" s="34">
        <f>Data_Processes!R35</f>
        <v>0</v>
      </c>
      <c r="S34" s="9">
        <f>Data_Processes!S35</f>
        <v>0</v>
      </c>
      <c r="T34" s="9">
        <f>Data_Processes!T35</f>
        <v>0</v>
      </c>
      <c r="U34" s="9">
        <f>Data_Processes!U35</f>
        <v>0</v>
      </c>
      <c r="V34" s="9">
        <f>Data_Processes!V35</f>
        <v>0</v>
      </c>
      <c r="W34" s="9">
        <f>Data_Processes!W35</f>
        <v>0</v>
      </c>
      <c r="X34" s="9">
        <f>Data_Processes!X35</f>
        <v>0</v>
      </c>
      <c r="Y34" s="9">
        <f>Data_Processes!Y35</f>
        <v>0</v>
      </c>
      <c r="Z34" s="9">
        <f>Data_Processes!Z35</f>
        <v>0</v>
      </c>
      <c r="AA34" s="9">
        <f>Data_Processes!AA35</f>
        <v>0</v>
      </c>
      <c r="AB34" s="9">
        <f>Data_Processes!AB35</f>
        <v>0</v>
      </c>
      <c r="AC34" s="35">
        <f>Data_Processes!AC35</f>
        <v>0</v>
      </c>
      <c r="AD34" s="9">
        <f>Data_Processes!AD35</f>
        <v>0</v>
      </c>
      <c r="AE34" s="9">
        <f>Data_Processes!AE35</f>
        <v>0</v>
      </c>
      <c r="AF34" s="14"/>
      <c r="AG34" s="14"/>
      <c r="AK34" s="15"/>
      <c r="AL34" s="14"/>
      <c r="AP34" s="15"/>
    </row>
    <row r="35" spans="2:42" x14ac:dyDescent="0.3">
      <c r="B35" s="14">
        <f>Data_Processes!B36</f>
        <v>0</v>
      </c>
      <c r="C35">
        <f>Data_Processes!C36</f>
        <v>0</v>
      </c>
      <c r="D35">
        <f>Data_Processes!D36</f>
        <v>0</v>
      </c>
      <c r="E35">
        <f>Data_Processes!E36</f>
        <v>0</v>
      </c>
      <c r="F35">
        <f>Data_Processes!F36</f>
        <v>0</v>
      </c>
      <c r="G35" s="15">
        <f>Data_Processes!G36</f>
        <v>0</v>
      </c>
      <c r="H35" s="14">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5">
        <f>Data_Processes!Q36</f>
        <v>0</v>
      </c>
      <c r="R35" s="14">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5">
        <f>Data_Processes!AC36</f>
        <v>0</v>
      </c>
      <c r="AD35">
        <f>Data_Processes!AD36</f>
        <v>0</v>
      </c>
      <c r="AE35">
        <f>Data_Processes!AE36</f>
        <v>0</v>
      </c>
      <c r="AF35" s="14"/>
      <c r="AG35" s="14"/>
      <c r="AK35" s="15"/>
      <c r="AL35" s="14"/>
      <c r="AP35" s="15"/>
    </row>
    <row r="36" spans="2:42" x14ac:dyDescent="0.3">
      <c r="B36" s="34">
        <f>Data_Processes!B37</f>
        <v>0</v>
      </c>
      <c r="C36" s="9">
        <f>Data_Processes!C37</f>
        <v>0</v>
      </c>
      <c r="D36" s="9">
        <f>Data_Processes!D37</f>
        <v>0</v>
      </c>
      <c r="E36" s="9">
        <f>Data_Processes!E37</f>
        <v>0</v>
      </c>
      <c r="F36" s="9">
        <f>Data_Processes!F37</f>
        <v>0</v>
      </c>
      <c r="G36" s="35">
        <f>Data_Processes!G37</f>
        <v>0</v>
      </c>
      <c r="H36" s="34">
        <f>Data_Processes!H37</f>
        <v>0</v>
      </c>
      <c r="I36" s="9">
        <f>Data_Processes!I37</f>
        <v>0</v>
      </c>
      <c r="J36" s="9">
        <f>Data_Processes!J37</f>
        <v>0</v>
      </c>
      <c r="K36" s="9">
        <f>Data_Processes!K37</f>
        <v>0</v>
      </c>
      <c r="L36" s="9">
        <f>Data_Processes!L37</f>
        <v>0</v>
      </c>
      <c r="M36" s="9">
        <f>Data_Processes!M37</f>
        <v>0</v>
      </c>
      <c r="N36" s="9">
        <f>Data_Processes!N37</f>
        <v>0</v>
      </c>
      <c r="O36" s="9">
        <f>Data_Processes!O37</f>
        <v>0</v>
      </c>
      <c r="P36" s="9">
        <f>Data_Processes!P37</f>
        <v>0</v>
      </c>
      <c r="Q36" s="35">
        <f>Data_Processes!Q37</f>
        <v>0</v>
      </c>
      <c r="R36" s="34">
        <f>Data_Processes!R37</f>
        <v>0</v>
      </c>
      <c r="S36" s="9">
        <f>Data_Processes!S37</f>
        <v>0</v>
      </c>
      <c r="T36" s="9">
        <f>Data_Processes!T37</f>
        <v>0</v>
      </c>
      <c r="U36" s="9">
        <f>Data_Processes!U37</f>
        <v>0</v>
      </c>
      <c r="V36" s="9">
        <f>Data_Processes!V37</f>
        <v>0</v>
      </c>
      <c r="W36" s="9">
        <f>Data_Processes!W37</f>
        <v>0</v>
      </c>
      <c r="X36" s="9">
        <f>Data_Processes!X37</f>
        <v>0</v>
      </c>
      <c r="Y36" s="9">
        <f>Data_Processes!Y37</f>
        <v>0</v>
      </c>
      <c r="Z36" s="9">
        <f>Data_Processes!Z37</f>
        <v>0</v>
      </c>
      <c r="AA36" s="9">
        <f>Data_Processes!AA37</f>
        <v>0</v>
      </c>
      <c r="AB36" s="9">
        <f>Data_Processes!AB37</f>
        <v>0</v>
      </c>
      <c r="AC36" s="35">
        <f>Data_Processes!AC37</f>
        <v>0</v>
      </c>
      <c r="AD36" s="9">
        <f>Data_Processes!AD37</f>
        <v>0</v>
      </c>
      <c r="AE36" s="9">
        <f>Data_Processes!AE37</f>
        <v>0</v>
      </c>
      <c r="AF36" s="14"/>
      <c r="AG36" s="14"/>
      <c r="AK36" s="15"/>
      <c r="AL36" s="14"/>
      <c r="AP36" s="15"/>
    </row>
    <row r="37" spans="2:42" x14ac:dyDescent="0.3">
      <c r="B37" s="14">
        <f>Data_Processes!B38</f>
        <v>0</v>
      </c>
      <c r="C37">
        <f>Data_Processes!C38</f>
        <v>0</v>
      </c>
      <c r="D37">
        <f>Data_Processes!D38</f>
        <v>0</v>
      </c>
      <c r="E37">
        <f>Data_Processes!E38</f>
        <v>0</v>
      </c>
      <c r="F37">
        <f>Data_Processes!F38</f>
        <v>0</v>
      </c>
      <c r="G37" s="15">
        <f>Data_Processes!G38</f>
        <v>0</v>
      </c>
      <c r="H37" s="14">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5">
        <f>Data_Processes!Q38</f>
        <v>0</v>
      </c>
      <c r="R37" s="14">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5">
        <f>Data_Processes!AC38</f>
        <v>0</v>
      </c>
      <c r="AD37">
        <f>Data_Processes!AD38</f>
        <v>0</v>
      </c>
      <c r="AE37">
        <f>Data_Processes!AE38</f>
        <v>0</v>
      </c>
      <c r="AF37" s="14"/>
      <c r="AG37" s="14"/>
      <c r="AK37" s="15"/>
      <c r="AL37" s="14"/>
      <c r="AP37" s="15"/>
    </row>
    <row r="38" spans="2:42" x14ac:dyDescent="0.3">
      <c r="B38" s="34">
        <f>Data_Processes!B39</f>
        <v>0</v>
      </c>
      <c r="C38" s="9">
        <f>Data_Processes!C39</f>
        <v>0</v>
      </c>
      <c r="D38" s="9">
        <f>Data_Processes!D39</f>
        <v>0</v>
      </c>
      <c r="E38" s="9">
        <f>Data_Processes!E39</f>
        <v>0</v>
      </c>
      <c r="F38" s="9">
        <f>Data_Processes!F39</f>
        <v>0</v>
      </c>
      <c r="G38" s="35">
        <f>Data_Processes!G39</f>
        <v>0</v>
      </c>
      <c r="H38" s="34">
        <f>Data_Processes!H39</f>
        <v>0</v>
      </c>
      <c r="I38" s="9">
        <f>Data_Processes!I39</f>
        <v>0</v>
      </c>
      <c r="J38" s="9">
        <f>Data_Processes!J39</f>
        <v>0</v>
      </c>
      <c r="K38" s="9">
        <f>Data_Processes!K39</f>
        <v>0</v>
      </c>
      <c r="L38" s="9">
        <f>Data_Processes!L39</f>
        <v>0</v>
      </c>
      <c r="M38" s="9">
        <f>Data_Processes!M39</f>
        <v>0</v>
      </c>
      <c r="N38" s="9">
        <f>Data_Processes!N39</f>
        <v>0</v>
      </c>
      <c r="O38" s="9">
        <f>Data_Processes!O39</f>
        <v>0</v>
      </c>
      <c r="P38" s="9">
        <f>Data_Processes!P39</f>
        <v>0</v>
      </c>
      <c r="Q38" s="35">
        <f>Data_Processes!Q39</f>
        <v>0</v>
      </c>
      <c r="R38" s="34">
        <f>Data_Processes!R39</f>
        <v>0</v>
      </c>
      <c r="S38" s="9">
        <f>Data_Processes!S39</f>
        <v>0</v>
      </c>
      <c r="T38" s="9">
        <f>Data_Processes!T39</f>
        <v>0</v>
      </c>
      <c r="U38" s="9">
        <f>Data_Processes!U39</f>
        <v>0</v>
      </c>
      <c r="V38" s="9">
        <f>Data_Processes!V39</f>
        <v>0</v>
      </c>
      <c r="W38" s="9">
        <f>Data_Processes!W39</f>
        <v>0</v>
      </c>
      <c r="X38" s="9">
        <f>Data_Processes!X39</f>
        <v>0</v>
      </c>
      <c r="Y38" s="9">
        <f>Data_Processes!Y39</f>
        <v>0</v>
      </c>
      <c r="Z38" s="9">
        <f>Data_Processes!Z39</f>
        <v>0</v>
      </c>
      <c r="AA38" s="9">
        <f>Data_Processes!AA39</f>
        <v>0</v>
      </c>
      <c r="AB38" s="9">
        <f>Data_Processes!AB39</f>
        <v>0</v>
      </c>
      <c r="AC38" s="35">
        <f>Data_Processes!AC39</f>
        <v>0</v>
      </c>
      <c r="AD38" s="9">
        <f>Data_Processes!AD39</f>
        <v>0</v>
      </c>
      <c r="AE38" s="9">
        <f>Data_Processes!AE39</f>
        <v>0</v>
      </c>
      <c r="AF38" s="14"/>
      <c r="AG38" s="14"/>
      <c r="AK38" s="15"/>
      <c r="AL38" s="14"/>
      <c r="AP38" s="15"/>
    </row>
    <row r="39" spans="2:42" x14ac:dyDescent="0.3">
      <c r="B39" s="14">
        <f>Data_Processes!B40</f>
        <v>0</v>
      </c>
      <c r="C39">
        <f>Data_Processes!C40</f>
        <v>0</v>
      </c>
      <c r="D39">
        <f>Data_Processes!D40</f>
        <v>0</v>
      </c>
      <c r="E39">
        <f>Data_Processes!E40</f>
        <v>0</v>
      </c>
      <c r="F39">
        <f>Data_Processes!F40</f>
        <v>0</v>
      </c>
      <c r="G39" s="15">
        <f>Data_Processes!G40</f>
        <v>0</v>
      </c>
      <c r="H39" s="14">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5">
        <f>Data_Processes!Q40</f>
        <v>0</v>
      </c>
      <c r="R39" s="14">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5">
        <f>Data_Processes!AC40</f>
        <v>0</v>
      </c>
      <c r="AD39">
        <f>Data_Processes!AD40</f>
        <v>0</v>
      </c>
      <c r="AE39">
        <f>Data_Processes!AE40</f>
        <v>0</v>
      </c>
      <c r="AF39" s="14"/>
      <c r="AG39" s="14"/>
      <c r="AK39" s="15"/>
      <c r="AL39" s="14"/>
      <c r="AP39" s="15"/>
    </row>
    <row r="40" spans="2:42" x14ac:dyDescent="0.3">
      <c r="B40" s="34">
        <f>Data_Processes!B41</f>
        <v>0</v>
      </c>
      <c r="C40" s="9">
        <f>Data_Processes!C41</f>
        <v>0</v>
      </c>
      <c r="D40" s="9">
        <f>Data_Processes!D41</f>
        <v>0</v>
      </c>
      <c r="E40" s="9">
        <f>Data_Processes!E41</f>
        <v>0</v>
      </c>
      <c r="F40" s="9">
        <f>Data_Processes!F41</f>
        <v>0</v>
      </c>
      <c r="G40" s="35">
        <f>Data_Processes!G41</f>
        <v>0</v>
      </c>
      <c r="H40" s="34">
        <f>Data_Processes!H41</f>
        <v>0</v>
      </c>
      <c r="I40" s="9">
        <f>Data_Processes!I41</f>
        <v>0</v>
      </c>
      <c r="J40" s="9">
        <f>Data_Processes!J41</f>
        <v>0</v>
      </c>
      <c r="K40" s="9">
        <f>Data_Processes!K41</f>
        <v>0</v>
      </c>
      <c r="L40" s="9">
        <f>Data_Processes!L41</f>
        <v>0</v>
      </c>
      <c r="M40" s="9">
        <f>Data_Processes!M41</f>
        <v>0</v>
      </c>
      <c r="N40" s="9">
        <f>Data_Processes!N41</f>
        <v>0</v>
      </c>
      <c r="O40" s="9">
        <f>Data_Processes!O41</f>
        <v>0</v>
      </c>
      <c r="P40" s="9">
        <f>Data_Processes!P41</f>
        <v>0</v>
      </c>
      <c r="Q40" s="35">
        <f>Data_Processes!Q41</f>
        <v>0</v>
      </c>
      <c r="R40" s="34">
        <f>Data_Processes!R41</f>
        <v>0</v>
      </c>
      <c r="S40" s="9">
        <f>Data_Processes!S41</f>
        <v>0</v>
      </c>
      <c r="T40" s="9">
        <f>Data_Processes!T41</f>
        <v>0</v>
      </c>
      <c r="U40" s="9">
        <f>Data_Processes!U41</f>
        <v>0</v>
      </c>
      <c r="V40" s="9">
        <f>Data_Processes!V41</f>
        <v>0</v>
      </c>
      <c r="W40" s="9">
        <f>Data_Processes!W41</f>
        <v>0</v>
      </c>
      <c r="X40" s="9">
        <f>Data_Processes!X41</f>
        <v>0</v>
      </c>
      <c r="Y40" s="9">
        <f>Data_Processes!Y41</f>
        <v>0</v>
      </c>
      <c r="Z40" s="9">
        <f>Data_Processes!Z41</f>
        <v>0</v>
      </c>
      <c r="AA40" s="9">
        <f>Data_Processes!AA41</f>
        <v>0</v>
      </c>
      <c r="AB40" s="9">
        <f>Data_Processes!AB41</f>
        <v>0</v>
      </c>
      <c r="AC40" s="35">
        <f>Data_Processes!AC41</f>
        <v>0</v>
      </c>
      <c r="AD40" s="9">
        <f>Data_Processes!AD41</f>
        <v>0</v>
      </c>
      <c r="AE40" s="9">
        <f>Data_Processes!AE41</f>
        <v>0</v>
      </c>
      <c r="AF40" s="14"/>
      <c r="AG40" s="14"/>
      <c r="AK40" s="15"/>
      <c r="AL40" s="14"/>
      <c r="AP40" s="15"/>
    </row>
    <row r="41" spans="2:42" x14ac:dyDescent="0.3">
      <c r="B41" s="14">
        <f>Data_Processes!B42</f>
        <v>0</v>
      </c>
      <c r="C41">
        <f>Data_Processes!C42</f>
        <v>0</v>
      </c>
      <c r="D41">
        <f>Data_Processes!D42</f>
        <v>0</v>
      </c>
      <c r="E41">
        <f>Data_Processes!E42</f>
        <v>0</v>
      </c>
      <c r="F41">
        <f>Data_Processes!F42</f>
        <v>0</v>
      </c>
      <c r="G41" s="15">
        <f>Data_Processes!G42</f>
        <v>0</v>
      </c>
      <c r="H41" s="14">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5">
        <f>Data_Processes!Q42</f>
        <v>0</v>
      </c>
      <c r="R41" s="14">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5">
        <f>Data_Processes!AC42</f>
        <v>0</v>
      </c>
      <c r="AD41">
        <f>Data_Processes!AD42</f>
        <v>0</v>
      </c>
      <c r="AE41">
        <f>Data_Processes!AE42</f>
        <v>0</v>
      </c>
      <c r="AF41" s="14"/>
      <c r="AG41" s="14"/>
      <c r="AK41" s="15"/>
      <c r="AL41" s="14"/>
      <c r="AP41" s="15"/>
    </row>
    <row r="42" spans="2:42" x14ac:dyDescent="0.3">
      <c r="B42" s="34">
        <f>Data_Processes!B43</f>
        <v>0</v>
      </c>
      <c r="C42" s="9">
        <f>Data_Processes!C43</f>
        <v>0</v>
      </c>
      <c r="D42" s="9">
        <f>Data_Processes!D43</f>
        <v>0</v>
      </c>
      <c r="E42" s="9">
        <f>Data_Processes!E43</f>
        <v>0</v>
      </c>
      <c r="F42" s="9">
        <f>Data_Processes!F43</f>
        <v>0</v>
      </c>
      <c r="G42" s="35">
        <f>Data_Processes!G43</f>
        <v>0</v>
      </c>
      <c r="H42" s="34">
        <f>Data_Processes!H43</f>
        <v>0</v>
      </c>
      <c r="I42" s="9">
        <f>Data_Processes!I43</f>
        <v>0</v>
      </c>
      <c r="J42" s="9">
        <f>Data_Processes!J43</f>
        <v>0</v>
      </c>
      <c r="K42" s="9">
        <f>Data_Processes!K43</f>
        <v>0</v>
      </c>
      <c r="L42" s="9">
        <f>Data_Processes!L43</f>
        <v>0</v>
      </c>
      <c r="M42" s="9">
        <f>Data_Processes!M43</f>
        <v>0</v>
      </c>
      <c r="N42" s="9">
        <f>Data_Processes!N43</f>
        <v>0</v>
      </c>
      <c r="O42" s="9">
        <f>Data_Processes!O43</f>
        <v>0</v>
      </c>
      <c r="P42" s="9">
        <f>Data_Processes!P43</f>
        <v>0</v>
      </c>
      <c r="Q42" s="35">
        <f>Data_Processes!Q43</f>
        <v>0</v>
      </c>
      <c r="R42" s="34">
        <f>Data_Processes!R43</f>
        <v>0</v>
      </c>
      <c r="S42" s="9">
        <f>Data_Processes!S43</f>
        <v>0</v>
      </c>
      <c r="T42" s="9">
        <f>Data_Processes!T43</f>
        <v>0</v>
      </c>
      <c r="U42" s="9">
        <f>Data_Processes!U43</f>
        <v>0</v>
      </c>
      <c r="V42" s="9">
        <f>Data_Processes!V43</f>
        <v>0</v>
      </c>
      <c r="W42" s="9">
        <f>Data_Processes!W43</f>
        <v>0</v>
      </c>
      <c r="X42" s="9">
        <f>Data_Processes!X43</f>
        <v>0</v>
      </c>
      <c r="Y42" s="9">
        <f>Data_Processes!Y43</f>
        <v>0</v>
      </c>
      <c r="Z42" s="9">
        <f>Data_Processes!Z43</f>
        <v>0</v>
      </c>
      <c r="AA42" s="9">
        <f>Data_Processes!AA43</f>
        <v>0</v>
      </c>
      <c r="AB42" s="9">
        <f>Data_Processes!AB43</f>
        <v>0</v>
      </c>
      <c r="AC42" s="35">
        <f>Data_Processes!AC43</f>
        <v>0</v>
      </c>
      <c r="AD42" s="9">
        <f>Data_Processes!AD43</f>
        <v>0</v>
      </c>
      <c r="AE42" s="9">
        <f>Data_Processes!AE43</f>
        <v>0</v>
      </c>
      <c r="AF42" s="14"/>
      <c r="AG42" s="14"/>
      <c r="AK42" s="15"/>
      <c r="AL42" s="14"/>
      <c r="AP42" s="15"/>
    </row>
    <row r="43" spans="2:42" x14ac:dyDescent="0.3">
      <c r="B43" s="14">
        <f>Data_Processes!B44</f>
        <v>0</v>
      </c>
      <c r="C43">
        <f>Data_Processes!C44</f>
        <v>0</v>
      </c>
      <c r="D43">
        <f>Data_Processes!D44</f>
        <v>0</v>
      </c>
      <c r="E43">
        <f>Data_Processes!E44</f>
        <v>0</v>
      </c>
      <c r="F43">
        <f>Data_Processes!F44</f>
        <v>0</v>
      </c>
      <c r="G43" s="15">
        <f>Data_Processes!G44</f>
        <v>0</v>
      </c>
      <c r="H43" s="14">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5">
        <f>Data_Processes!Q44</f>
        <v>0</v>
      </c>
      <c r="R43" s="14">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5">
        <f>Data_Processes!AC44</f>
        <v>0</v>
      </c>
      <c r="AD43">
        <f>Data_Processes!AD44</f>
        <v>0</v>
      </c>
      <c r="AE43">
        <f>Data_Processes!AE44</f>
        <v>0</v>
      </c>
      <c r="AF43" s="14"/>
      <c r="AG43" s="14"/>
      <c r="AK43" s="15"/>
      <c r="AL43" s="14"/>
      <c r="AP43" s="15"/>
    </row>
    <row r="44" spans="2:42" x14ac:dyDescent="0.3">
      <c r="B44" s="34">
        <f>Data_Processes!B45</f>
        <v>0</v>
      </c>
      <c r="C44" s="9">
        <f>Data_Processes!C45</f>
        <v>0</v>
      </c>
      <c r="D44" s="9">
        <f>Data_Processes!D45</f>
        <v>0</v>
      </c>
      <c r="E44" s="9">
        <f>Data_Processes!E45</f>
        <v>0</v>
      </c>
      <c r="F44" s="9">
        <f>Data_Processes!F45</f>
        <v>0</v>
      </c>
      <c r="G44" s="35">
        <f>Data_Processes!G45</f>
        <v>0</v>
      </c>
      <c r="H44" s="34">
        <f>Data_Processes!H45</f>
        <v>0</v>
      </c>
      <c r="I44" s="9">
        <f>Data_Processes!I45</f>
        <v>0</v>
      </c>
      <c r="J44" s="9">
        <f>Data_Processes!J45</f>
        <v>0</v>
      </c>
      <c r="K44" s="9">
        <f>Data_Processes!K45</f>
        <v>0</v>
      </c>
      <c r="L44" s="9">
        <f>Data_Processes!L45</f>
        <v>0</v>
      </c>
      <c r="M44" s="9">
        <f>Data_Processes!M45</f>
        <v>0</v>
      </c>
      <c r="N44" s="9">
        <f>Data_Processes!N45</f>
        <v>0</v>
      </c>
      <c r="O44" s="9">
        <f>Data_Processes!O45</f>
        <v>0</v>
      </c>
      <c r="P44" s="9">
        <f>Data_Processes!P45</f>
        <v>0</v>
      </c>
      <c r="Q44" s="35">
        <f>Data_Processes!Q45</f>
        <v>0</v>
      </c>
      <c r="R44" s="34">
        <f>Data_Processes!R45</f>
        <v>0</v>
      </c>
      <c r="S44" s="9">
        <f>Data_Processes!S45</f>
        <v>0</v>
      </c>
      <c r="T44" s="9">
        <f>Data_Processes!T45</f>
        <v>0</v>
      </c>
      <c r="U44" s="9">
        <f>Data_Processes!U45</f>
        <v>0</v>
      </c>
      <c r="V44" s="9">
        <f>Data_Processes!V45</f>
        <v>0</v>
      </c>
      <c r="W44" s="9">
        <f>Data_Processes!W45</f>
        <v>0</v>
      </c>
      <c r="X44" s="9">
        <f>Data_Processes!X45</f>
        <v>0</v>
      </c>
      <c r="Y44" s="9">
        <f>Data_Processes!Y45</f>
        <v>0</v>
      </c>
      <c r="Z44" s="9">
        <f>Data_Processes!Z45</f>
        <v>0</v>
      </c>
      <c r="AA44" s="9">
        <f>Data_Processes!AA45</f>
        <v>0</v>
      </c>
      <c r="AB44" s="9">
        <f>Data_Processes!AB45</f>
        <v>0</v>
      </c>
      <c r="AC44" s="35">
        <f>Data_Processes!AC45</f>
        <v>0</v>
      </c>
      <c r="AD44" s="9">
        <f>Data_Processes!AD45</f>
        <v>0</v>
      </c>
      <c r="AE44" s="9">
        <f>Data_Processes!AE45</f>
        <v>0</v>
      </c>
      <c r="AF44" s="14"/>
      <c r="AG44" s="14"/>
      <c r="AK44" s="15"/>
      <c r="AL44" s="14"/>
      <c r="AP44" s="15"/>
    </row>
    <row r="45" spans="2:42" x14ac:dyDescent="0.3">
      <c r="B45" s="14">
        <f>Data_Processes!B46</f>
        <v>0</v>
      </c>
      <c r="C45">
        <f>Data_Processes!C46</f>
        <v>0</v>
      </c>
      <c r="D45">
        <f>Data_Processes!D46</f>
        <v>0</v>
      </c>
      <c r="E45">
        <f>Data_Processes!E46</f>
        <v>0</v>
      </c>
      <c r="F45">
        <f>Data_Processes!F46</f>
        <v>0</v>
      </c>
      <c r="G45" s="15">
        <f>Data_Processes!G46</f>
        <v>0</v>
      </c>
      <c r="H45" s="14">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5">
        <f>Data_Processes!Q46</f>
        <v>0</v>
      </c>
      <c r="R45" s="14">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5">
        <f>Data_Processes!AC46</f>
        <v>0</v>
      </c>
      <c r="AD45">
        <f>Data_Processes!AD46</f>
        <v>0</v>
      </c>
      <c r="AE45">
        <f>Data_Processes!AE46</f>
        <v>0</v>
      </c>
      <c r="AF45" s="14"/>
      <c r="AG45" s="14"/>
      <c r="AK45" s="15"/>
      <c r="AL45" s="14"/>
      <c r="AP45" s="15"/>
    </row>
    <row r="46" spans="2:42" x14ac:dyDescent="0.3">
      <c r="B46" s="34">
        <f>Data_Processes!B47</f>
        <v>0</v>
      </c>
      <c r="C46" s="9">
        <f>Data_Processes!C47</f>
        <v>0</v>
      </c>
      <c r="D46" s="9">
        <f>Data_Processes!D47</f>
        <v>0</v>
      </c>
      <c r="E46" s="9">
        <f>Data_Processes!E47</f>
        <v>0</v>
      </c>
      <c r="F46" s="9">
        <f>Data_Processes!F47</f>
        <v>0</v>
      </c>
      <c r="G46" s="35">
        <f>Data_Processes!G47</f>
        <v>0</v>
      </c>
      <c r="H46" s="34">
        <f>Data_Processes!H47</f>
        <v>0</v>
      </c>
      <c r="I46" s="9">
        <f>Data_Processes!I47</f>
        <v>0</v>
      </c>
      <c r="J46" s="9">
        <f>Data_Processes!J47</f>
        <v>0</v>
      </c>
      <c r="K46" s="9">
        <f>Data_Processes!K47</f>
        <v>0</v>
      </c>
      <c r="L46" s="9">
        <f>Data_Processes!L47</f>
        <v>0</v>
      </c>
      <c r="M46" s="9">
        <f>Data_Processes!M47</f>
        <v>0</v>
      </c>
      <c r="N46" s="9">
        <f>Data_Processes!N47</f>
        <v>0</v>
      </c>
      <c r="O46" s="9">
        <f>Data_Processes!O47</f>
        <v>0</v>
      </c>
      <c r="P46" s="9">
        <f>Data_Processes!P47</f>
        <v>0</v>
      </c>
      <c r="Q46" s="35">
        <f>Data_Processes!Q47</f>
        <v>0</v>
      </c>
      <c r="R46" s="34">
        <f>Data_Processes!R47</f>
        <v>0</v>
      </c>
      <c r="S46" s="9">
        <f>Data_Processes!S47</f>
        <v>0</v>
      </c>
      <c r="T46" s="9">
        <f>Data_Processes!T47</f>
        <v>0</v>
      </c>
      <c r="U46" s="9">
        <f>Data_Processes!U47</f>
        <v>0</v>
      </c>
      <c r="V46" s="9">
        <f>Data_Processes!V47</f>
        <v>0</v>
      </c>
      <c r="W46" s="9">
        <f>Data_Processes!W47</f>
        <v>0</v>
      </c>
      <c r="X46" s="9">
        <f>Data_Processes!X47</f>
        <v>0</v>
      </c>
      <c r="Y46" s="9">
        <f>Data_Processes!Y47</f>
        <v>0</v>
      </c>
      <c r="Z46" s="9">
        <f>Data_Processes!Z47</f>
        <v>0</v>
      </c>
      <c r="AA46" s="9">
        <f>Data_Processes!AA47</f>
        <v>0</v>
      </c>
      <c r="AB46" s="9">
        <f>Data_Processes!AB47</f>
        <v>0</v>
      </c>
      <c r="AC46" s="35">
        <f>Data_Processes!AC47</f>
        <v>0</v>
      </c>
      <c r="AD46" s="9">
        <f>Data_Processes!AD47</f>
        <v>0</v>
      </c>
      <c r="AE46" s="9">
        <f>Data_Processes!AE47</f>
        <v>0</v>
      </c>
      <c r="AF46" s="14"/>
      <c r="AG46" s="14"/>
      <c r="AK46" s="15"/>
      <c r="AL46" s="14"/>
      <c r="AP46" s="15"/>
    </row>
    <row r="47" spans="2:42" x14ac:dyDescent="0.3">
      <c r="B47" s="14">
        <f>Data_Processes!B48</f>
        <v>0</v>
      </c>
      <c r="C47">
        <f>Data_Processes!C48</f>
        <v>0</v>
      </c>
      <c r="D47">
        <f>Data_Processes!D48</f>
        <v>0</v>
      </c>
      <c r="E47">
        <f>Data_Processes!E48</f>
        <v>0</v>
      </c>
      <c r="F47">
        <f>Data_Processes!F48</f>
        <v>0</v>
      </c>
      <c r="G47" s="15">
        <f>Data_Processes!G48</f>
        <v>0</v>
      </c>
      <c r="H47" s="14">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5">
        <f>Data_Processes!Q48</f>
        <v>0</v>
      </c>
      <c r="R47" s="14">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5">
        <f>Data_Processes!AC48</f>
        <v>0</v>
      </c>
      <c r="AD47">
        <f>Data_Processes!AD48</f>
        <v>0</v>
      </c>
      <c r="AE47">
        <f>Data_Processes!AE48</f>
        <v>0</v>
      </c>
      <c r="AF47" s="14"/>
      <c r="AG47" s="14"/>
      <c r="AK47" s="15"/>
      <c r="AL47" s="14"/>
      <c r="AP47" s="15"/>
    </row>
    <row r="48" spans="2:42" x14ac:dyDescent="0.3">
      <c r="B48" s="34">
        <f>Data_Processes!B49</f>
        <v>0</v>
      </c>
      <c r="C48" s="9">
        <f>Data_Processes!C49</f>
        <v>0</v>
      </c>
      <c r="D48" s="9">
        <f>Data_Processes!D49</f>
        <v>0</v>
      </c>
      <c r="E48" s="9">
        <f>Data_Processes!E49</f>
        <v>0</v>
      </c>
      <c r="F48" s="9">
        <f>Data_Processes!F49</f>
        <v>0</v>
      </c>
      <c r="G48" s="35">
        <f>Data_Processes!G49</f>
        <v>0</v>
      </c>
      <c r="H48" s="34">
        <f>Data_Processes!H49</f>
        <v>0</v>
      </c>
      <c r="I48" s="9">
        <f>Data_Processes!I49</f>
        <v>0</v>
      </c>
      <c r="J48" s="9">
        <f>Data_Processes!J49</f>
        <v>0</v>
      </c>
      <c r="K48" s="9">
        <f>Data_Processes!K49</f>
        <v>0</v>
      </c>
      <c r="L48" s="9">
        <f>Data_Processes!L49</f>
        <v>0</v>
      </c>
      <c r="M48" s="9">
        <f>Data_Processes!M49</f>
        <v>0</v>
      </c>
      <c r="N48" s="9">
        <f>Data_Processes!N49</f>
        <v>0</v>
      </c>
      <c r="O48" s="9">
        <f>Data_Processes!O49</f>
        <v>0</v>
      </c>
      <c r="P48" s="9">
        <f>Data_Processes!P49</f>
        <v>0</v>
      </c>
      <c r="Q48" s="35">
        <f>Data_Processes!Q49</f>
        <v>0</v>
      </c>
      <c r="R48" s="34">
        <f>Data_Processes!R49</f>
        <v>0</v>
      </c>
      <c r="S48" s="9">
        <f>Data_Processes!S49</f>
        <v>0</v>
      </c>
      <c r="T48" s="9">
        <f>Data_Processes!T49</f>
        <v>0</v>
      </c>
      <c r="U48" s="9">
        <f>Data_Processes!U49</f>
        <v>0</v>
      </c>
      <c r="V48" s="9">
        <f>Data_Processes!V49</f>
        <v>0</v>
      </c>
      <c r="W48" s="9">
        <f>Data_Processes!W49</f>
        <v>0</v>
      </c>
      <c r="X48" s="9">
        <f>Data_Processes!X49</f>
        <v>0</v>
      </c>
      <c r="Y48" s="9">
        <f>Data_Processes!Y49</f>
        <v>0</v>
      </c>
      <c r="Z48" s="9">
        <f>Data_Processes!Z49</f>
        <v>0</v>
      </c>
      <c r="AA48" s="9">
        <f>Data_Processes!AA49</f>
        <v>0</v>
      </c>
      <c r="AB48" s="9">
        <f>Data_Processes!AB49</f>
        <v>0</v>
      </c>
      <c r="AC48" s="35">
        <f>Data_Processes!AC49</f>
        <v>0</v>
      </c>
      <c r="AD48" s="9">
        <f>Data_Processes!AD49</f>
        <v>0</v>
      </c>
      <c r="AE48" s="9">
        <f>Data_Processes!AE49</f>
        <v>0</v>
      </c>
      <c r="AF48" s="14"/>
      <c r="AG48" s="14"/>
      <c r="AK48" s="15"/>
      <c r="AL48" s="14"/>
      <c r="AP48" s="15"/>
    </row>
    <row r="49" spans="2:42" ht="15" thickBot="1" x14ac:dyDescent="0.35">
      <c r="B49" s="16">
        <f>Data_Processes!B50</f>
        <v>0</v>
      </c>
      <c r="C49" s="17">
        <f>Data_Processes!C50</f>
        <v>0</v>
      </c>
      <c r="D49" s="17">
        <f>Data_Processes!D50</f>
        <v>0</v>
      </c>
      <c r="E49" s="17">
        <f>Data_Processes!E50</f>
        <v>0</v>
      </c>
      <c r="F49" s="17">
        <f>Data_Processes!F50</f>
        <v>0</v>
      </c>
      <c r="G49" s="18">
        <f>Data_Processes!G50</f>
        <v>0</v>
      </c>
      <c r="H49" s="16">
        <f>Data_Processes!H50</f>
        <v>0</v>
      </c>
      <c r="I49" s="17">
        <f>Data_Processes!I50</f>
        <v>0</v>
      </c>
      <c r="J49" s="17">
        <f>Data_Processes!J50</f>
        <v>0</v>
      </c>
      <c r="K49" s="17">
        <f>Data_Processes!K50</f>
        <v>0</v>
      </c>
      <c r="L49" s="17">
        <f>Data_Processes!L50</f>
        <v>0</v>
      </c>
      <c r="M49" s="17">
        <f>Data_Processes!M50</f>
        <v>0</v>
      </c>
      <c r="N49" s="17">
        <f>Data_Processes!N50</f>
        <v>0</v>
      </c>
      <c r="O49" s="17">
        <f>Data_Processes!O50</f>
        <v>0</v>
      </c>
      <c r="P49" s="17">
        <f>Data_Processes!P50</f>
        <v>0</v>
      </c>
      <c r="Q49" s="18">
        <f>Data_Processes!Q50</f>
        <v>0</v>
      </c>
      <c r="R49" s="16">
        <f>Data_Processes!R50</f>
        <v>0</v>
      </c>
      <c r="S49" s="17">
        <f>Data_Processes!S50</f>
        <v>0</v>
      </c>
      <c r="T49" s="17">
        <f>Data_Processes!T50</f>
        <v>0</v>
      </c>
      <c r="U49" s="17">
        <f>Data_Processes!U50</f>
        <v>0</v>
      </c>
      <c r="V49" s="17">
        <f>Data_Processes!V50</f>
        <v>0</v>
      </c>
      <c r="W49" s="17">
        <f>Data_Processes!W50</f>
        <v>0</v>
      </c>
      <c r="X49" s="17">
        <f>Data_Processes!X50</f>
        <v>0</v>
      </c>
      <c r="Y49" s="17">
        <f>Data_Processes!Y50</f>
        <v>0</v>
      </c>
      <c r="Z49" s="17">
        <f>Data_Processes!Z50</f>
        <v>0</v>
      </c>
      <c r="AA49" s="17">
        <f>Data_Processes!AA50</f>
        <v>0</v>
      </c>
      <c r="AB49" s="17">
        <f>Data_Processes!AB50</f>
        <v>0</v>
      </c>
      <c r="AC49" s="18">
        <f>Data_Processes!AC50</f>
        <v>0</v>
      </c>
      <c r="AD49" s="10">
        <f>Data_Processes!AD50</f>
        <v>0</v>
      </c>
      <c r="AE49" s="10">
        <f>Data_Processes!AE50</f>
        <v>0</v>
      </c>
      <c r="AF49" s="16"/>
      <c r="AG49" s="16"/>
      <c r="AH49" s="17"/>
      <c r="AI49" s="17"/>
      <c r="AJ49" s="17"/>
      <c r="AK49" s="18"/>
      <c r="AL49" s="16"/>
      <c r="AM49" s="17"/>
      <c r="AN49" s="17"/>
      <c r="AO49" s="17"/>
      <c r="AP49" s="18"/>
    </row>
  </sheetData>
  <mergeCells count="2">
    <mergeCell ref="AG2:AK2"/>
    <mergeCell ref="AL2:AP2"/>
  </mergeCells>
  <pageMargins left="0.7" right="0.7" top="0.78740157499999996" bottom="0.78740157499999996"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H39" sqref="H39"/>
    </sheetView>
  </sheetViews>
  <sheetFormatPr baseColWidth="10" defaultColWidth="10.77734375" defaultRowHeight="14.4" x14ac:dyDescent="0.3"/>
  <cols>
    <col min="3" max="3" width="11.44140625" customWidth="1"/>
    <col min="4" max="4" width="27.44140625" customWidth="1"/>
    <col min="5" max="5" width="19.109375" customWidth="1"/>
    <col min="6" max="6" width="14.44140625" customWidth="1"/>
    <col min="7" max="7" width="23.44140625" customWidth="1"/>
    <col min="8" max="8" width="17.44140625" customWidth="1"/>
    <col min="9" max="9" width="12" customWidth="1"/>
    <col min="10" max="10" width="19.109375" customWidth="1"/>
    <col min="11" max="11" width="12" customWidth="1"/>
    <col min="12" max="12" width="14.44140625" customWidth="1"/>
    <col min="13" max="13" width="12" customWidth="1"/>
    <col min="14" max="14" width="14.44140625" customWidth="1"/>
    <col min="15" max="15" width="12" customWidth="1"/>
    <col min="16" max="16" width="14.44140625" customWidth="1"/>
    <col min="17" max="17" width="12" customWidth="1"/>
    <col min="18" max="18" width="17" customWidth="1"/>
    <col min="19" max="19" width="12.77734375" customWidth="1"/>
    <col min="20" max="20" width="17" customWidth="1"/>
    <col min="21" max="21" width="12.77734375" customWidth="1"/>
    <col min="22" max="22" width="17" customWidth="1"/>
    <col min="23" max="23" width="12.77734375" customWidth="1"/>
    <col min="24" max="24" width="17" customWidth="1"/>
    <col min="25" max="25" width="12.77734375" customWidth="1"/>
    <col min="26" max="26" width="17" customWidth="1"/>
    <col min="27" max="27" width="12.77734375" customWidth="1"/>
    <col min="28" max="28" width="17" customWidth="1"/>
    <col min="29" max="29" width="13.77734375" customWidth="1"/>
    <col min="30" max="30" width="15.44140625" customWidth="1"/>
    <col min="31" max="31" width="27" customWidth="1"/>
    <col min="33" max="33" width="22.77734375" customWidth="1"/>
    <col min="35" max="35" width="15.44140625" customWidth="1"/>
    <col min="37" max="37" width="19.77734375" customWidth="1"/>
    <col min="46" max="46" width="36.109375" customWidth="1"/>
    <col min="48" max="48" width="15" customWidth="1"/>
    <col min="49" max="49" width="17.44140625" customWidth="1"/>
  </cols>
  <sheetData>
    <row r="2" spans="2:50" ht="15" thickBot="1" x14ac:dyDescent="0.35">
      <c r="AG2" s="324" t="s">
        <v>440</v>
      </c>
      <c r="AH2" s="324"/>
      <c r="AI2" s="324"/>
      <c r="AJ2" s="324"/>
      <c r="AK2" s="324"/>
      <c r="AL2" s="324"/>
      <c r="AM2" s="324"/>
      <c r="AN2" s="324"/>
      <c r="AO2" s="324"/>
      <c r="AP2" s="324"/>
      <c r="AQ2" s="324"/>
      <c r="AR2" s="324"/>
      <c r="AS2" s="324"/>
      <c r="AT2" s="319" t="s">
        <v>89</v>
      </c>
      <c r="AU2" s="319"/>
      <c r="AV2" s="319"/>
      <c r="AW2" s="319"/>
      <c r="AX2" s="319"/>
    </row>
    <row r="3" spans="2:50" x14ac:dyDescent="0.3">
      <c r="B3" s="28" t="s">
        <v>347</v>
      </c>
      <c r="C3" s="8" t="s">
        <v>348</v>
      </c>
      <c r="D3" s="8" t="s">
        <v>349</v>
      </c>
      <c r="E3" s="8" t="s">
        <v>350</v>
      </c>
      <c r="F3" s="8" t="s">
        <v>351</v>
      </c>
      <c r="G3" s="37" t="s">
        <v>352</v>
      </c>
      <c r="H3" s="20" t="s">
        <v>353</v>
      </c>
      <c r="I3" s="21" t="s">
        <v>354</v>
      </c>
      <c r="J3" s="21" t="s">
        <v>355</v>
      </c>
      <c r="K3" s="21" t="s">
        <v>356</v>
      </c>
      <c r="L3" s="21" t="s">
        <v>357</v>
      </c>
      <c r="M3" s="21" t="s">
        <v>139</v>
      </c>
      <c r="N3" s="21" t="s">
        <v>358</v>
      </c>
      <c r="O3" s="21" t="s">
        <v>141</v>
      </c>
      <c r="P3" s="21" t="s">
        <v>359</v>
      </c>
      <c r="Q3" s="22" t="s">
        <v>143</v>
      </c>
      <c r="R3" s="20" t="s">
        <v>360</v>
      </c>
      <c r="S3" s="21" t="s">
        <v>361</v>
      </c>
      <c r="T3" s="21" t="s">
        <v>362</v>
      </c>
      <c r="U3" s="21" t="s">
        <v>363</v>
      </c>
      <c r="V3" s="21" t="s">
        <v>364</v>
      </c>
      <c r="W3" s="21" t="s">
        <v>365</v>
      </c>
      <c r="X3" s="21" t="s">
        <v>366</v>
      </c>
      <c r="Y3" s="21" t="s">
        <v>367</v>
      </c>
      <c r="Z3" s="21" t="s">
        <v>368</v>
      </c>
      <c r="AA3" s="21" t="s">
        <v>369</v>
      </c>
      <c r="AB3" s="21" t="s">
        <v>370</v>
      </c>
      <c r="AC3" s="22" t="s">
        <v>371</v>
      </c>
      <c r="AD3" s="8" t="s">
        <v>372</v>
      </c>
      <c r="AE3" s="8" t="s">
        <v>373</v>
      </c>
      <c r="AF3" s="28" t="s">
        <v>164</v>
      </c>
      <c r="AG3" s="20" t="s">
        <v>463</v>
      </c>
      <c r="AH3" s="39" t="s">
        <v>464</v>
      </c>
      <c r="AI3" s="21" t="s">
        <v>465</v>
      </c>
      <c r="AJ3" s="39" t="s">
        <v>466</v>
      </c>
      <c r="AK3" s="21" t="s">
        <v>467</v>
      </c>
      <c r="AL3" s="39" t="s">
        <v>468</v>
      </c>
      <c r="AM3" s="21" t="s">
        <v>469</v>
      </c>
      <c r="AN3" s="39" t="s">
        <v>470</v>
      </c>
      <c r="AO3" s="21" t="s">
        <v>471</v>
      </c>
      <c r="AP3" s="39" t="s">
        <v>472</v>
      </c>
      <c r="AQ3" s="21" t="s">
        <v>473</v>
      </c>
      <c r="AR3" s="39" t="s">
        <v>474</v>
      </c>
      <c r="AS3" s="39" t="s">
        <v>475</v>
      </c>
      <c r="AT3" s="21" t="s">
        <v>158</v>
      </c>
      <c r="AU3" s="21" t="s">
        <v>494</v>
      </c>
      <c r="AV3" s="21" t="s">
        <v>160</v>
      </c>
      <c r="AW3" s="21" t="s">
        <v>161</v>
      </c>
      <c r="AX3" s="22" t="s">
        <v>67</v>
      </c>
    </row>
    <row r="4" spans="2:50" x14ac:dyDescent="0.3">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4" t="s">
        <v>377</v>
      </c>
      <c r="AH4" s="43"/>
      <c r="AI4" s="9"/>
      <c r="AJ4" s="43"/>
      <c r="AK4" s="9"/>
      <c r="AL4" s="43"/>
      <c r="AM4" s="9"/>
      <c r="AN4" s="43"/>
      <c r="AO4" s="9"/>
      <c r="AP4" s="40"/>
      <c r="AQ4" s="9"/>
      <c r="AR4" s="40"/>
      <c r="AS4" s="40"/>
      <c r="AT4" s="9"/>
      <c r="AU4" s="9"/>
      <c r="AV4" s="9"/>
      <c r="AW4" s="9"/>
      <c r="AX4" s="35"/>
    </row>
    <row r="5" spans="2:50" x14ac:dyDescent="0.3">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4" t="s">
        <v>377</v>
      </c>
      <c r="AH5" s="44"/>
      <c r="AJ5" s="44"/>
      <c r="AL5" s="44"/>
      <c r="AN5" s="44"/>
      <c r="AP5" s="6"/>
      <c r="AR5" s="6"/>
      <c r="AS5" s="6"/>
      <c r="AX5" s="15"/>
    </row>
    <row r="6" spans="2:50" x14ac:dyDescent="0.3">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4" t="s">
        <v>377</v>
      </c>
      <c r="AH6" s="43"/>
      <c r="AI6" s="9"/>
      <c r="AJ6" s="43"/>
      <c r="AK6" s="9"/>
      <c r="AL6" s="43"/>
      <c r="AM6" s="9"/>
      <c r="AN6" s="43"/>
      <c r="AO6" s="9"/>
      <c r="AP6" s="40"/>
      <c r="AQ6" s="9"/>
      <c r="AR6" s="40"/>
      <c r="AS6" s="40"/>
      <c r="AT6" s="9"/>
      <c r="AU6" s="9"/>
      <c r="AV6" s="9"/>
      <c r="AW6" s="9"/>
      <c r="AX6" s="35"/>
    </row>
    <row r="7" spans="2:50" x14ac:dyDescent="0.3">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4" t="s">
        <v>377</v>
      </c>
      <c r="AH7" s="44"/>
      <c r="AJ7" s="44"/>
      <c r="AL7" s="44"/>
      <c r="AN7" s="44"/>
      <c r="AP7" s="6"/>
      <c r="AR7" s="6"/>
      <c r="AS7" s="6"/>
      <c r="AX7" s="15"/>
    </row>
    <row r="8" spans="2:50" x14ac:dyDescent="0.3">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4" t="s">
        <v>377</v>
      </c>
      <c r="AH8" s="43"/>
      <c r="AI8" s="9"/>
      <c r="AJ8" s="43"/>
      <c r="AK8" s="9"/>
      <c r="AL8" s="43"/>
      <c r="AM8" s="9"/>
      <c r="AN8" s="43"/>
      <c r="AO8" s="9"/>
      <c r="AP8" s="40"/>
      <c r="AQ8" s="9"/>
      <c r="AR8" s="40"/>
      <c r="AS8" s="40"/>
      <c r="AT8" s="9"/>
      <c r="AU8" s="9"/>
      <c r="AV8" s="9"/>
      <c r="AW8" s="9"/>
      <c r="AX8" s="35"/>
    </row>
    <row r="9" spans="2:50" x14ac:dyDescent="0.3">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1" t="str">
        <f>R9</f>
        <v>Sawn timber</v>
      </c>
      <c r="AH9" s="45">
        <v>0.56599999999999995</v>
      </c>
      <c r="AI9" s="10" t="str">
        <f t="shared" ref="AI9:AQ9" si="0">T9</f>
        <v>Wood chips</v>
      </c>
      <c r="AJ9" s="45">
        <v>0.26700000000000002</v>
      </c>
      <c r="AK9" s="10" t="str">
        <f t="shared" si="0"/>
        <v>Sawdust</v>
      </c>
      <c r="AL9" s="45">
        <v>7.4999999999999997E-2</v>
      </c>
      <c r="AM9" s="10" t="str">
        <f t="shared" si="0"/>
        <v>Bark</v>
      </c>
      <c r="AN9" s="45">
        <v>5.6000000000000001E-2</v>
      </c>
      <c r="AO9" s="10" t="str">
        <f t="shared" si="0"/>
        <v>Wood shavings</v>
      </c>
      <c r="AP9" s="38">
        <v>1.9E-2</v>
      </c>
      <c r="AQ9" s="10" t="str">
        <f t="shared" si="0"/>
        <v>Residues</v>
      </c>
      <c r="AR9" s="38">
        <v>1.7000000000000001E-2</v>
      </c>
      <c r="AS9" s="38">
        <f>AH9+AJ9+AL9+AN9+AP9+AR9</f>
        <v>1</v>
      </c>
      <c r="AT9" s="10" t="s">
        <v>478</v>
      </c>
      <c r="AU9" s="10">
        <v>2024</v>
      </c>
      <c r="AV9" s="10" t="s">
        <v>479</v>
      </c>
      <c r="AW9" s="10" t="s">
        <v>480</v>
      </c>
      <c r="AX9" s="42" t="s">
        <v>377</v>
      </c>
    </row>
    <row r="10" spans="2:50" x14ac:dyDescent="0.3">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4"/>
      <c r="AH10" s="44"/>
      <c r="AJ10" s="44"/>
      <c r="AL10" s="44"/>
      <c r="AN10" s="44"/>
      <c r="AS10" s="38">
        <f>AH10+AJ10+AL10+AN10+AP10+AR10</f>
        <v>0</v>
      </c>
      <c r="AX10" s="15"/>
    </row>
    <row r="11" spans="2:50" x14ac:dyDescent="0.3">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4"/>
      <c r="AH11" s="44"/>
      <c r="AJ11" s="44"/>
      <c r="AL11" s="44"/>
      <c r="AN11" s="44"/>
      <c r="AS11" s="38">
        <f>AH11+AJ11+AL11+AN11+AP11+AR11</f>
        <v>0</v>
      </c>
      <c r="AX11" s="15"/>
    </row>
    <row r="12" spans="2:50" x14ac:dyDescent="0.3">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4"/>
      <c r="AH12" s="44"/>
      <c r="AJ12" s="44"/>
      <c r="AL12" s="44"/>
      <c r="AN12" s="44"/>
      <c r="AS12" s="38">
        <f>AH12+AJ12+AL12+AN12+AP12+AR12</f>
        <v>0</v>
      </c>
      <c r="AX12" s="15"/>
    </row>
    <row r="13" spans="2:50" x14ac:dyDescent="0.3">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4" t="str">
        <f>Tabelle11[[#This Row],[Output Flow O_1]]</f>
        <v>energetische Verwertung</v>
      </c>
      <c r="AH13" s="44">
        <v>0.93</v>
      </c>
      <c r="AI13" t="s">
        <v>408</v>
      </c>
      <c r="AJ13" s="44">
        <v>0.04</v>
      </c>
      <c r="AK13" t="str">
        <f>Tabelle11[[#This Row],[Output Flow O_3]]</f>
        <v>stoffliche Verwertung</v>
      </c>
      <c r="AL13" s="44">
        <v>0.02</v>
      </c>
      <c r="AM13" t="str">
        <f>Tabelle11[[#This Row],[Output Flow O_4]]</f>
        <v>n.b.</v>
      </c>
      <c r="AN13" s="44">
        <v>0.01</v>
      </c>
      <c r="AS13" s="38">
        <f>AH13+AJ13+AL13+AN13+AP13+AR13</f>
        <v>1</v>
      </c>
      <c r="AT13" t="s">
        <v>495</v>
      </c>
      <c r="AU13">
        <v>2024</v>
      </c>
      <c r="AV13" t="s">
        <v>496</v>
      </c>
      <c r="AW13" t="s">
        <v>497</v>
      </c>
      <c r="AX13" s="15" t="s">
        <v>498</v>
      </c>
    </row>
    <row r="14" spans="2:50" x14ac:dyDescent="0.3">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4" t="str">
        <f>Tabelle11[[#This Row],[Output Flow O_1]]</f>
        <v>energetische Verwertung</v>
      </c>
      <c r="AH14" s="44"/>
      <c r="AJ14" s="44"/>
      <c r="AL14" s="44"/>
      <c r="AN14" s="44"/>
      <c r="AX14" s="15"/>
    </row>
    <row r="15" spans="2:50" x14ac:dyDescent="0.3">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4"/>
      <c r="AH15" s="44"/>
      <c r="AJ15" s="44"/>
      <c r="AL15" s="44"/>
      <c r="AN15" s="44"/>
      <c r="AX15" s="15"/>
    </row>
    <row r="16" spans="2:50" x14ac:dyDescent="0.3">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4"/>
      <c r="AH16" s="44"/>
      <c r="AJ16" s="44"/>
      <c r="AL16" s="44"/>
      <c r="AN16" s="44"/>
      <c r="AX16" s="15"/>
    </row>
    <row r="17" spans="2:50" x14ac:dyDescent="0.3">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4"/>
      <c r="AH17" s="44"/>
      <c r="AJ17" s="44"/>
      <c r="AL17" s="44"/>
      <c r="AN17" s="44"/>
      <c r="AX17" s="15"/>
    </row>
    <row r="18" spans="2:50" x14ac:dyDescent="0.3">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4"/>
      <c r="AH18" s="44"/>
      <c r="AJ18" s="44"/>
      <c r="AL18" s="44"/>
      <c r="AN18" s="44"/>
      <c r="AX18" s="15"/>
    </row>
    <row r="19" spans="2:50" x14ac:dyDescent="0.3">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4"/>
      <c r="AH19" s="44"/>
      <c r="AJ19" s="44"/>
      <c r="AL19" s="44"/>
      <c r="AN19" s="44"/>
      <c r="AX19" s="15"/>
    </row>
    <row r="20" spans="2:50" x14ac:dyDescent="0.3">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4"/>
      <c r="AH20" s="44"/>
      <c r="AJ20" s="44"/>
      <c r="AL20" s="44"/>
      <c r="AN20" s="44"/>
      <c r="AX20" s="15"/>
    </row>
    <row r="21" spans="2:50" x14ac:dyDescent="0.3">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4"/>
      <c r="AH21" s="44"/>
      <c r="AJ21" s="44"/>
      <c r="AL21" s="44"/>
      <c r="AN21" s="44"/>
      <c r="AX21" s="15"/>
    </row>
    <row r="22" spans="2:50" x14ac:dyDescent="0.3">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4"/>
      <c r="AH22" s="44"/>
      <c r="AJ22" s="44"/>
      <c r="AL22" s="44"/>
      <c r="AN22" s="44"/>
      <c r="AX22" s="15"/>
    </row>
    <row r="23" spans="2:50" x14ac:dyDescent="0.3">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4"/>
      <c r="AH23" s="44"/>
      <c r="AJ23" s="44"/>
      <c r="AL23" s="44"/>
      <c r="AN23" s="44"/>
      <c r="AX23" s="15"/>
    </row>
    <row r="24" spans="2:50" x14ac:dyDescent="0.3">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4"/>
      <c r="AH24" s="44"/>
      <c r="AJ24" s="44"/>
      <c r="AL24" s="44"/>
      <c r="AN24" s="44"/>
      <c r="AX24" s="15"/>
    </row>
    <row r="25" spans="2:50" x14ac:dyDescent="0.3">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4"/>
      <c r="AH25" s="44"/>
      <c r="AJ25" s="44"/>
      <c r="AL25" s="44"/>
      <c r="AN25" s="44"/>
      <c r="AX25" s="15"/>
    </row>
    <row r="26" spans="2:50" x14ac:dyDescent="0.3">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4"/>
      <c r="AH26" s="44"/>
      <c r="AJ26" s="44"/>
      <c r="AL26" s="44"/>
      <c r="AN26" s="44"/>
      <c r="AX26" s="15"/>
    </row>
    <row r="27" spans="2:50" x14ac:dyDescent="0.3">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4"/>
      <c r="AH27" s="44"/>
      <c r="AJ27" s="44"/>
      <c r="AL27" s="44"/>
      <c r="AN27" s="44"/>
      <c r="AX27" s="15"/>
    </row>
    <row r="28" spans="2:50" x14ac:dyDescent="0.3">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4"/>
      <c r="AH28" s="44"/>
      <c r="AJ28" s="44"/>
      <c r="AL28" s="44"/>
      <c r="AN28" s="44"/>
      <c r="AX28" s="15"/>
    </row>
    <row r="29" spans="2:50" x14ac:dyDescent="0.3">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4"/>
      <c r="AH29" s="44"/>
      <c r="AJ29" s="44"/>
      <c r="AL29" s="44"/>
      <c r="AN29" s="44"/>
      <c r="AX29" s="15"/>
    </row>
    <row r="30" spans="2:50" x14ac:dyDescent="0.3">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4"/>
      <c r="AH30" s="44"/>
      <c r="AJ30" s="44"/>
      <c r="AL30" s="44"/>
      <c r="AN30" s="44"/>
      <c r="AX30" s="15"/>
    </row>
    <row r="31" spans="2:50" x14ac:dyDescent="0.3">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4"/>
      <c r="AH31" s="44"/>
      <c r="AJ31" s="44"/>
      <c r="AL31" s="44"/>
      <c r="AN31" s="44"/>
      <c r="AX31" s="15"/>
    </row>
    <row r="32" spans="2:50" x14ac:dyDescent="0.3">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4"/>
      <c r="AH32" s="44"/>
      <c r="AJ32" s="44"/>
      <c r="AL32" s="44"/>
      <c r="AN32" s="44"/>
      <c r="AX32" s="15"/>
    </row>
    <row r="33" spans="2:50" x14ac:dyDescent="0.3">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4"/>
      <c r="AH33" s="44"/>
      <c r="AJ33" s="44"/>
      <c r="AL33" s="44"/>
      <c r="AN33" s="44"/>
      <c r="AX33" s="15"/>
    </row>
    <row r="34" spans="2:50" x14ac:dyDescent="0.3">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4"/>
      <c r="AH34" s="44"/>
      <c r="AJ34" s="44"/>
      <c r="AL34" s="44"/>
      <c r="AN34" s="44"/>
      <c r="AX34" s="15"/>
    </row>
    <row r="35" spans="2:50" x14ac:dyDescent="0.3">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4"/>
      <c r="AH35" s="44"/>
      <c r="AJ35" s="44"/>
      <c r="AL35" s="44"/>
      <c r="AN35" s="44"/>
      <c r="AX35" s="15"/>
    </row>
    <row r="36" spans="2:50" x14ac:dyDescent="0.3">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4"/>
      <c r="AH36" s="44"/>
      <c r="AJ36" s="44"/>
      <c r="AL36" s="44"/>
      <c r="AN36" s="44"/>
      <c r="AX36" s="15"/>
    </row>
    <row r="37" spans="2:50" x14ac:dyDescent="0.3">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4"/>
      <c r="AH37" s="44"/>
      <c r="AJ37" s="44"/>
      <c r="AL37" s="44"/>
      <c r="AN37" s="44"/>
      <c r="AX37" s="15"/>
    </row>
    <row r="38" spans="2:50" x14ac:dyDescent="0.3">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4"/>
      <c r="AH38" s="44"/>
      <c r="AJ38" s="44"/>
      <c r="AL38" s="44"/>
      <c r="AN38" s="44"/>
      <c r="AX38" s="15"/>
    </row>
    <row r="39" spans="2:50" x14ac:dyDescent="0.3">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4"/>
      <c r="AH39" s="44"/>
      <c r="AJ39" s="44"/>
      <c r="AL39" s="44"/>
      <c r="AN39" s="44"/>
      <c r="AX39" s="15"/>
    </row>
    <row r="40" spans="2:50" x14ac:dyDescent="0.3">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4"/>
      <c r="AH40" s="44"/>
      <c r="AJ40" s="44"/>
      <c r="AL40" s="44"/>
      <c r="AN40" s="44"/>
      <c r="AX40" s="15"/>
    </row>
    <row r="41" spans="2:50" x14ac:dyDescent="0.3">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4"/>
      <c r="AH41" s="44"/>
      <c r="AJ41" s="44"/>
      <c r="AL41" s="44"/>
      <c r="AN41" s="44"/>
      <c r="AX41" s="15"/>
    </row>
    <row r="42" spans="2:50" x14ac:dyDescent="0.3">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4"/>
      <c r="AH42" s="44"/>
      <c r="AJ42" s="44"/>
      <c r="AL42" s="44"/>
      <c r="AN42" s="44"/>
      <c r="AX42" s="15"/>
    </row>
    <row r="43" spans="2:50" x14ac:dyDescent="0.3">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4"/>
      <c r="AH43" s="44"/>
      <c r="AJ43" s="44"/>
      <c r="AL43" s="44"/>
      <c r="AN43" s="44"/>
      <c r="AX43" s="15"/>
    </row>
    <row r="44" spans="2:50" x14ac:dyDescent="0.3">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4"/>
      <c r="AH44" s="44"/>
      <c r="AJ44" s="44"/>
      <c r="AL44" s="44"/>
      <c r="AN44" s="44"/>
      <c r="AX44" s="15"/>
    </row>
    <row r="45" spans="2:50" x14ac:dyDescent="0.3">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4"/>
      <c r="AH45" s="44"/>
      <c r="AJ45" s="44"/>
      <c r="AL45" s="44"/>
      <c r="AN45" s="44"/>
      <c r="AX45" s="15"/>
    </row>
    <row r="46" spans="2:50" x14ac:dyDescent="0.3">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4"/>
      <c r="AH46" s="44"/>
      <c r="AJ46" s="44"/>
      <c r="AL46" s="44"/>
      <c r="AN46" s="44"/>
      <c r="AX46" s="15"/>
    </row>
    <row r="47" spans="2:50" x14ac:dyDescent="0.3">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4"/>
      <c r="AH47" s="44"/>
      <c r="AJ47" s="44"/>
      <c r="AL47" s="44"/>
      <c r="AN47" s="44"/>
      <c r="AX47" s="15"/>
    </row>
    <row r="48" spans="2:50" x14ac:dyDescent="0.3">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4"/>
      <c r="AH48" s="44"/>
      <c r="AJ48" s="44"/>
      <c r="AL48" s="44"/>
      <c r="AN48" s="44"/>
      <c r="AX48" s="15"/>
    </row>
    <row r="49" spans="2:50" x14ac:dyDescent="0.3">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4"/>
      <c r="AH49" s="44"/>
      <c r="AJ49" s="44"/>
      <c r="AL49" s="44"/>
      <c r="AN49" s="44"/>
      <c r="AX49" s="15"/>
    </row>
    <row r="50" spans="2:50" x14ac:dyDescent="0.3">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4"/>
      <c r="AH50" s="44"/>
      <c r="AJ50" s="44"/>
      <c r="AL50" s="44"/>
      <c r="AN50" s="44"/>
      <c r="AX50" s="15"/>
    </row>
    <row r="51" spans="2:50" ht="15" thickBot="1" x14ac:dyDescent="0.35">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6"/>
      <c r="AH51" s="46"/>
      <c r="AI51" s="17"/>
      <c r="AJ51" s="46"/>
      <c r="AK51" s="17"/>
      <c r="AL51" s="46"/>
      <c r="AM51" s="17"/>
      <c r="AN51" s="46"/>
      <c r="AO51" s="17"/>
      <c r="AP51" s="17"/>
      <c r="AQ51" s="17"/>
      <c r="AR51" s="17"/>
      <c r="AS51" s="17"/>
      <c r="AT51" s="17"/>
      <c r="AU51" s="17"/>
      <c r="AV51" s="17"/>
      <c r="AW51" s="17"/>
      <c r="AX51" s="18"/>
    </row>
  </sheetData>
  <mergeCells count="2">
    <mergeCell ref="AT2:AX2"/>
    <mergeCell ref="AG2:AS2"/>
  </mergeCells>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baseColWidth="10" defaultColWidth="10.77734375" defaultRowHeight="14.4" x14ac:dyDescent="0.3"/>
  <cols>
    <col min="3" max="3" width="20" customWidth="1"/>
    <col min="4" max="4" width="13.77734375" customWidth="1"/>
    <col min="5" max="5" width="11.44140625" customWidth="1"/>
    <col min="7" max="7" width="12.77734375" customWidth="1"/>
    <col min="9" max="9" width="14.44140625" customWidth="1"/>
    <col min="10" max="10" width="25.44140625" customWidth="1"/>
    <col min="14" max="14" width="23.109375" customWidth="1"/>
    <col min="15" max="15" width="16" customWidth="1"/>
    <col min="17" max="17" width="23.44140625" customWidth="1"/>
    <col min="20" max="20" width="16.77734375" customWidth="1"/>
  </cols>
  <sheetData>
    <row r="3" spans="1:28" x14ac:dyDescent="0.3">
      <c r="A3" s="319" t="s">
        <v>346</v>
      </c>
      <c r="B3" s="319"/>
      <c r="C3" s="319"/>
      <c r="D3" s="319"/>
      <c r="E3" s="319"/>
      <c r="F3" s="319"/>
      <c r="G3" s="319"/>
      <c r="H3" s="319"/>
      <c r="I3" s="319"/>
      <c r="J3" s="319"/>
      <c r="K3" s="319"/>
      <c r="L3" s="319" t="s">
        <v>481</v>
      </c>
      <c r="M3" s="319"/>
      <c r="N3" s="319"/>
      <c r="O3" s="319"/>
      <c r="P3" s="319"/>
      <c r="Q3" s="319" t="s">
        <v>482</v>
      </c>
      <c r="R3" s="319"/>
      <c r="S3" s="319"/>
      <c r="T3" s="319"/>
      <c r="U3" s="319"/>
      <c r="Y3" s="319" t="s">
        <v>499</v>
      </c>
      <c r="Z3" s="319"/>
      <c r="AA3" s="319"/>
      <c r="AB3" s="319"/>
    </row>
    <row r="4" spans="1:28" x14ac:dyDescent="0.3">
      <c r="A4" t="s">
        <v>347</v>
      </c>
      <c r="B4" t="s">
        <v>349</v>
      </c>
      <c r="C4" t="s">
        <v>350</v>
      </c>
      <c r="D4" t="s">
        <v>351</v>
      </c>
      <c r="E4" t="s">
        <v>500</v>
      </c>
      <c r="F4" t="s">
        <v>501</v>
      </c>
      <c r="G4" t="s">
        <v>502</v>
      </c>
      <c r="H4" t="s">
        <v>503</v>
      </c>
      <c r="I4" t="s">
        <v>372</v>
      </c>
      <c r="J4" t="s">
        <v>373</v>
      </c>
      <c r="K4" t="s">
        <v>164</v>
      </c>
      <c r="L4" t="s">
        <v>483</v>
      </c>
      <c r="M4" t="s">
        <v>247</v>
      </c>
      <c r="N4" t="s">
        <v>248</v>
      </c>
      <c r="O4" t="s">
        <v>249</v>
      </c>
      <c r="P4" t="s">
        <v>250</v>
      </c>
      <c r="Q4" t="s">
        <v>251</v>
      </c>
      <c r="R4" t="s">
        <v>252</v>
      </c>
      <c r="S4" t="s">
        <v>160</v>
      </c>
      <c r="T4" t="s">
        <v>161</v>
      </c>
      <c r="U4" t="s">
        <v>67</v>
      </c>
      <c r="Y4" t="s">
        <v>504</v>
      </c>
      <c r="AB4" t="s">
        <v>505</v>
      </c>
    </row>
    <row r="5" spans="1:28" x14ac:dyDescent="0.3">
      <c r="A5">
        <v>1</v>
      </c>
      <c r="B5" t="s">
        <v>374</v>
      </c>
      <c r="C5" t="s">
        <v>7</v>
      </c>
      <c r="D5" t="s">
        <v>107</v>
      </c>
      <c r="E5" t="s">
        <v>375</v>
      </c>
      <c r="G5" t="s">
        <v>107</v>
      </c>
      <c r="I5" t="s">
        <v>44</v>
      </c>
      <c r="J5" t="s">
        <v>84</v>
      </c>
      <c r="K5">
        <v>2022</v>
      </c>
      <c r="L5">
        <v>325681</v>
      </c>
      <c r="M5" t="s">
        <v>484</v>
      </c>
      <c r="N5" t="s">
        <v>485</v>
      </c>
      <c r="O5">
        <v>19579</v>
      </c>
      <c r="P5" t="s">
        <v>484</v>
      </c>
      <c r="Q5" t="s">
        <v>486</v>
      </c>
      <c r="R5">
        <v>2024</v>
      </c>
      <c r="S5" t="s">
        <v>487</v>
      </c>
      <c r="T5" t="s">
        <v>488</v>
      </c>
      <c r="U5" t="s">
        <v>489</v>
      </c>
    </row>
    <row r="6" spans="1:28" x14ac:dyDescent="0.3">
      <c r="A6">
        <v>2</v>
      </c>
      <c r="B6" t="s">
        <v>374</v>
      </c>
      <c r="C6" t="s">
        <v>6</v>
      </c>
      <c r="D6" t="s">
        <v>107</v>
      </c>
      <c r="E6" t="s">
        <v>375</v>
      </c>
      <c r="G6" t="s">
        <v>107</v>
      </c>
      <c r="I6" t="s">
        <v>44</v>
      </c>
      <c r="J6" t="s">
        <v>84</v>
      </c>
      <c r="K6">
        <v>2022</v>
      </c>
      <c r="L6">
        <v>4977</v>
      </c>
      <c r="M6" t="s">
        <v>484</v>
      </c>
      <c r="N6" t="s">
        <v>485</v>
      </c>
      <c r="O6">
        <v>-174</v>
      </c>
      <c r="P6" t="s">
        <v>484</v>
      </c>
      <c r="Q6" t="s">
        <v>486</v>
      </c>
      <c r="R6">
        <v>2024</v>
      </c>
      <c r="S6" t="s">
        <v>487</v>
      </c>
      <c r="T6" t="s">
        <v>488</v>
      </c>
      <c r="U6" t="s">
        <v>489</v>
      </c>
    </row>
    <row r="7" spans="1:28" x14ac:dyDescent="0.3">
      <c r="A7">
        <v>3</v>
      </c>
      <c r="B7" t="s">
        <v>374</v>
      </c>
      <c r="C7" t="s">
        <v>7</v>
      </c>
      <c r="D7" t="s">
        <v>107</v>
      </c>
      <c r="E7" t="s">
        <v>375</v>
      </c>
      <c r="G7" t="s">
        <v>107</v>
      </c>
      <c r="I7" t="s">
        <v>44</v>
      </c>
      <c r="J7" t="s">
        <v>84</v>
      </c>
      <c r="K7">
        <v>2012</v>
      </c>
      <c r="L7" s="4">
        <v>222889</v>
      </c>
      <c r="M7" t="s">
        <v>484</v>
      </c>
      <c r="N7" t="s">
        <v>377</v>
      </c>
      <c r="O7" t="s">
        <v>377</v>
      </c>
      <c r="P7" t="s">
        <v>377</v>
      </c>
      <c r="R7">
        <v>2013</v>
      </c>
      <c r="S7" t="s">
        <v>487</v>
      </c>
      <c r="T7" t="s">
        <v>488</v>
      </c>
      <c r="U7" t="s">
        <v>490</v>
      </c>
    </row>
    <row r="8" spans="1:28" x14ac:dyDescent="0.3">
      <c r="A8">
        <v>4</v>
      </c>
      <c r="B8" t="s">
        <v>374</v>
      </c>
      <c r="C8" t="s">
        <v>378</v>
      </c>
      <c r="D8" t="s">
        <v>107</v>
      </c>
      <c r="E8" t="s">
        <v>375</v>
      </c>
      <c r="G8" t="s">
        <v>107</v>
      </c>
      <c r="I8" t="s">
        <v>44</v>
      </c>
      <c r="K8">
        <v>2012</v>
      </c>
      <c r="L8" s="5">
        <v>233943</v>
      </c>
      <c r="M8" t="s">
        <v>484</v>
      </c>
      <c r="N8" t="s">
        <v>491</v>
      </c>
      <c r="O8">
        <v>53684</v>
      </c>
      <c r="P8" t="s">
        <v>484</v>
      </c>
      <c r="Q8" t="s">
        <v>492</v>
      </c>
      <c r="R8">
        <v>2012</v>
      </c>
      <c r="S8" t="s">
        <v>487</v>
      </c>
      <c r="T8" t="s">
        <v>488</v>
      </c>
      <c r="U8" t="s">
        <v>493</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20</vt:i4>
      </vt:variant>
      <vt:variant>
        <vt:lpstr>Benannte Bereiche</vt:lpstr>
      </vt:variant>
      <vt:variant>
        <vt:i4>1</vt:i4>
      </vt:variant>
    </vt:vector>
  </HeadingPairs>
  <TitlesOfParts>
    <vt:vector size="21" baseType="lpstr">
      <vt:lpstr>Intro</vt:lpstr>
      <vt:lpstr>1_1_Definition_Flows</vt:lpstr>
      <vt:lpstr>2_1_Definition_Processes</vt:lpstr>
      <vt:lpstr>1_2_Data_Flows</vt:lpstr>
      <vt:lpstr>2_2_Process_Data</vt:lpstr>
      <vt:lpstr>2_3_Process_TCs</vt:lpstr>
      <vt:lpstr>2_4_Process_Stock_</vt:lpstr>
      <vt:lpstr>2_5_dynamic_tcs</vt:lpstr>
      <vt:lpstr>Tabelle1</vt:lpstr>
      <vt:lpstr>PX - Template</vt:lpstr>
      <vt:lpstr>3_1_Calculation_factors (Waste)</vt:lpstr>
      <vt:lpstr>3_1_Calculation_factors (Wood)</vt:lpstr>
      <vt:lpstr>4_1 Codelists</vt:lpstr>
      <vt:lpstr>Data_Processes</vt:lpstr>
      <vt:lpstr>1_2_WC_DM_CC_Flows</vt:lpstr>
      <vt:lpstr>Data_Processes_TCs</vt:lpstr>
      <vt:lpstr>2_3_Process_TC</vt:lpstr>
      <vt:lpstr>Tabelle2</vt:lpstr>
      <vt:lpstr>Tabelle3</vt:lpstr>
      <vt:lpstr>Data_Processes_Stocks</vt:lpstr>
      <vt:lpstr>'2_5_dynamic_tcs'!Tab_Process_TCs_dyn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Johannes</dc:creator>
  <cp:keywords/>
  <dc:description/>
  <cp:lastModifiedBy>Tobi Flo</cp:lastModifiedBy>
  <cp:revision/>
  <dcterms:created xsi:type="dcterms:W3CDTF">2015-06-05T18:19:34Z</dcterms:created>
  <dcterms:modified xsi:type="dcterms:W3CDTF">2025-07-09T13:29:54Z</dcterms:modified>
  <cp:category/>
  <cp:contentStatus/>
</cp:coreProperties>
</file>