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hannes\Nextcloud\BioDYM\bioDYM-CERT-edit-main\biodym_mfa_tool\studies\Casestudy_2_Wood\"/>
    </mc:Choice>
  </mc:AlternateContent>
  <xr:revisionPtr revIDLastSave="0" documentId="13_ncr:1_{64348272-AF0F-448C-91DB-DED4A9D35AEF}" xr6:coauthVersionLast="47" xr6:coauthVersionMax="47" xr10:uidLastSave="{00000000-0000-0000-0000-000000000000}"/>
  <bookViews>
    <workbookView xWindow="-19310" yWindow="-110" windowWidth="19420" windowHeight="11500" xr2:uid="{00000000-000D-0000-FFFF-FFFF00000000}"/>
  </bookViews>
  <sheets>
    <sheet name="Wood_Yield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/>
  <c r="F3" i="1"/>
  <c r="F4" i="1"/>
  <c r="F5" i="1"/>
  <c r="F6" i="1"/>
  <c r="F7" i="1"/>
  <c r="F8" i="1"/>
  <c r="F9" i="1"/>
  <c r="F10" i="1"/>
  <c r="G10" i="1" s="1"/>
  <c r="F11" i="1"/>
  <c r="G11" i="1" s="1"/>
  <c r="F12" i="1"/>
  <c r="G12" i="1" s="1"/>
  <c r="F13" i="1"/>
  <c r="G13" i="1" s="1"/>
  <c r="F14" i="1"/>
  <c r="G14" i="1" s="1"/>
  <c r="F15" i="1"/>
  <c r="F16" i="1"/>
  <c r="F17" i="1"/>
  <c r="F18" i="1"/>
  <c r="F19" i="1"/>
  <c r="F20" i="1"/>
  <c r="F21" i="1"/>
  <c r="F22" i="1"/>
  <c r="G22" i="1" s="1"/>
  <c r="F23" i="1"/>
  <c r="G23" i="1" s="1"/>
  <c r="F24" i="1"/>
  <c r="G24" i="1" s="1"/>
  <c r="F25" i="1"/>
  <c r="G25" i="1" s="1"/>
  <c r="F26" i="1"/>
  <c r="G26" i="1" s="1"/>
  <c r="F27" i="1"/>
  <c r="F28" i="1"/>
  <c r="F29" i="1"/>
  <c r="F30" i="1"/>
  <c r="F31" i="1"/>
  <c r="F32" i="1"/>
  <c r="F33" i="1"/>
  <c r="F34" i="1"/>
  <c r="G34" i="1" s="1"/>
  <c r="F35" i="1"/>
  <c r="G35" i="1" s="1"/>
  <c r="F36" i="1"/>
  <c r="G36" i="1" s="1"/>
  <c r="F37" i="1"/>
  <c r="G37" i="1" s="1"/>
  <c r="F38" i="1"/>
  <c r="G38" i="1" s="1"/>
  <c r="F39" i="1"/>
  <c r="F40" i="1"/>
  <c r="F41" i="1"/>
  <c r="F42" i="1"/>
  <c r="F43" i="1"/>
  <c r="F44" i="1"/>
  <c r="F45" i="1"/>
  <c r="F46" i="1"/>
  <c r="G46" i="1" s="1"/>
  <c r="F47" i="1"/>
  <c r="G47" i="1" s="1"/>
  <c r="F48" i="1"/>
  <c r="G48" i="1" s="1"/>
  <c r="F49" i="1"/>
  <c r="G49" i="1" s="1"/>
  <c r="F50" i="1"/>
  <c r="G50" i="1" s="1"/>
  <c r="F51" i="1"/>
  <c r="F52" i="1"/>
  <c r="F53" i="1"/>
  <c r="F54" i="1"/>
  <c r="F55" i="1"/>
  <c r="F56" i="1"/>
  <c r="F57" i="1"/>
  <c r="F58" i="1"/>
  <c r="G58" i="1" s="1"/>
  <c r="F59" i="1"/>
  <c r="G59" i="1" s="1"/>
  <c r="F60" i="1"/>
  <c r="G60" i="1" s="1"/>
  <c r="F61" i="1"/>
  <c r="G61" i="1" s="1"/>
  <c r="F62" i="1"/>
  <c r="G62" i="1" s="1"/>
  <c r="F63" i="1"/>
  <c r="F64" i="1"/>
  <c r="F65" i="1"/>
  <c r="F66" i="1"/>
  <c r="F67" i="1"/>
  <c r="F68" i="1"/>
  <c r="F69" i="1"/>
  <c r="F70" i="1"/>
  <c r="G70" i="1" s="1"/>
  <c r="F71" i="1"/>
  <c r="G71" i="1" s="1"/>
  <c r="F72" i="1"/>
  <c r="G72" i="1" s="1"/>
  <c r="F73" i="1"/>
  <c r="G73" i="1" s="1"/>
  <c r="F74" i="1"/>
  <c r="G74" i="1" s="1"/>
  <c r="F75" i="1"/>
  <c r="F76" i="1"/>
  <c r="F77" i="1"/>
  <c r="F78" i="1"/>
  <c r="F79" i="1"/>
  <c r="F80" i="1"/>
  <c r="F81" i="1"/>
  <c r="F82" i="1"/>
  <c r="G82" i="1" s="1"/>
  <c r="F83" i="1"/>
  <c r="G83" i="1" s="1"/>
  <c r="F84" i="1"/>
  <c r="G84" i="1" s="1"/>
  <c r="F85" i="1"/>
  <c r="G85" i="1" s="1"/>
  <c r="F86" i="1"/>
  <c r="G86" i="1" s="1"/>
  <c r="F87" i="1"/>
  <c r="F88" i="1"/>
  <c r="F89" i="1"/>
  <c r="F90" i="1"/>
  <c r="F91" i="1"/>
  <c r="F92" i="1"/>
  <c r="F93" i="1"/>
  <c r="F94" i="1"/>
  <c r="G94" i="1" s="1"/>
  <c r="F95" i="1"/>
  <c r="G95" i="1" s="1"/>
  <c r="F96" i="1"/>
  <c r="G96" i="1" s="1"/>
  <c r="F97" i="1"/>
  <c r="G97" i="1" s="1"/>
  <c r="F98" i="1"/>
  <c r="G98" i="1" s="1"/>
  <c r="F99" i="1"/>
  <c r="F100" i="1"/>
  <c r="F101" i="1"/>
  <c r="F102" i="1"/>
  <c r="F103" i="1"/>
  <c r="F104" i="1"/>
  <c r="F105" i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F112" i="1"/>
  <c r="F113" i="1"/>
  <c r="F114" i="1"/>
  <c r="F115" i="1"/>
  <c r="F116" i="1"/>
  <c r="F117" i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F124" i="1"/>
  <c r="F125" i="1"/>
  <c r="F126" i="1"/>
  <c r="F127" i="1"/>
  <c r="F128" i="1"/>
  <c r="F129" i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F136" i="1"/>
  <c r="F137" i="1"/>
  <c r="F138" i="1"/>
  <c r="F139" i="1"/>
  <c r="F140" i="1"/>
  <c r="F141" i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F148" i="1"/>
  <c r="F149" i="1"/>
  <c r="F150" i="1"/>
  <c r="F151" i="1"/>
  <c r="F152" i="1"/>
  <c r="G3" i="1"/>
  <c r="G4" i="1"/>
  <c r="G5" i="1"/>
  <c r="G6" i="1"/>
  <c r="G7" i="1"/>
  <c r="G8" i="1"/>
  <c r="G9" i="1"/>
  <c r="G15" i="1"/>
  <c r="G16" i="1"/>
  <c r="G17" i="1"/>
  <c r="G18" i="1"/>
  <c r="G19" i="1"/>
  <c r="G20" i="1"/>
  <c r="G21" i="1"/>
  <c r="G27" i="1"/>
  <c r="G28" i="1"/>
  <c r="G29" i="1"/>
  <c r="G30" i="1"/>
  <c r="G31" i="1"/>
  <c r="G32" i="1"/>
  <c r="G33" i="1"/>
  <c r="G39" i="1"/>
  <c r="G40" i="1"/>
  <c r="G41" i="1"/>
  <c r="G42" i="1"/>
  <c r="G43" i="1"/>
  <c r="G44" i="1"/>
  <c r="G45" i="1"/>
  <c r="G51" i="1"/>
  <c r="G52" i="1"/>
  <c r="G53" i="1"/>
  <c r="G54" i="1"/>
  <c r="G55" i="1"/>
  <c r="G56" i="1"/>
  <c r="G57" i="1"/>
  <c r="G63" i="1"/>
  <c r="G64" i="1"/>
  <c r="G65" i="1"/>
  <c r="G66" i="1"/>
  <c r="G67" i="1"/>
  <c r="G68" i="1"/>
  <c r="G69" i="1"/>
  <c r="G75" i="1"/>
  <c r="G76" i="1"/>
  <c r="G77" i="1"/>
  <c r="G78" i="1"/>
  <c r="G79" i="1"/>
  <c r="G80" i="1"/>
  <c r="G81" i="1"/>
  <c r="G87" i="1"/>
  <c r="G88" i="1"/>
  <c r="G89" i="1"/>
  <c r="G90" i="1"/>
  <c r="G91" i="1"/>
  <c r="G92" i="1"/>
  <c r="G93" i="1"/>
  <c r="G99" i="1"/>
  <c r="G100" i="1"/>
  <c r="G101" i="1"/>
  <c r="G102" i="1"/>
  <c r="G103" i="1"/>
  <c r="G104" i="1"/>
  <c r="G105" i="1"/>
  <c r="G111" i="1"/>
  <c r="G112" i="1"/>
  <c r="G113" i="1"/>
  <c r="G114" i="1"/>
  <c r="G115" i="1"/>
  <c r="G116" i="1"/>
  <c r="G117" i="1"/>
  <c r="G123" i="1"/>
  <c r="G124" i="1"/>
  <c r="G125" i="1"/>
  <c r="G126" i="1"/>
  <c r="G127" i="1"/>
  <c r="G128" i="1"/>
  <c r="G129" i="1"/>
  <c r="G135" i="1"/>
  <c r="G136" i="1"/>
  <c r="G137" i="1"/>
  <c r="G138" i="1"/>
  <c r="G139" i="1"/>
  <c r="G140" i="1"/>
  <c r="G141" i="1"/>
  <c r="G147" i="1"/>
  <c r="G148" i="1"/>
  <c r="G149" i="1"/>
  <c r="G150" i="1"/>
  <c r="G151" i="1"/>
  <c r="G152" i="1"/>
  <c r="E4" i="1"/>
  <c r="E9" i="1"/>
  <c r="E13" i="1"/>
  <c r="E14" i="1"/>
  <c r="E16" i="1"/>
  <c r="E21" i="1"/>
  <c r="E24" i="1"/>
  <c r="E25" i="1"/>
  <c r="E26" i="1"/>
  <c r="E28" i="1"/>
  <c r="E29" i="1"/>
  <c r="E33" i="1"/>
  <c r="E36" i="1"/>
  <c r="E37" i="1"/>
  <c r="E38" i="1"/>
  <c r="E40" i="1"/>
  <c r="E41" i="1"/>
  <c r="E45" i="1"/>
  <c r="E48" i="1"/>
  <c r="E49" i="1"/>
  <c r="E50" i="1"/>
  <c r="E52" i="1"/>
  <c r="E53" i="1"/>
  <c r="E57" i="1"/>
  <c r="E60" i="1"/>
  <c r="E61" i="1"/>
  <c r="E62" i="1"/>
  <c r="E64" i="1"/>
  <c r="E65" i="1"/>
  <c r="E69" i="1"/>
  <c r="E72" i="1"/>
  <c r="E73" i="1"/>
  <c r="E74" i="1"/>
  <c r="E76" i="1"/>
  <c r="E77" i="1"/>
  <c r="E81" i="1"/>
  <c r="E84" i="1"/>
  <c r="E85" i="1"/>
  <c r="E86" i="1"/>
  <c r="E88" i="1"/>
  <c r="E89" i="1"/>
  <c r="E93" i="1"/>
  <c r="E96" i="1"/>
  <c r="E97" i="1"/>
  <c r="E98" i="1"/>
  <c r="E100" i="1"/>
  <c r="E101" i="1"/>
  <c r="E105" i="1"/>
  <c r="E108" i="1"/>
  <c r="E109" i="1"/>
  <c r="E110" i="1"/>
  <c r="E112" i="1"/>
  <c r="E113" i="1"/>
  <c r="E117" i="1"/>
  <c r="E120" i="1"/>
  <c r="E121" i="1"/>
  <c r="E122" i="1"/>
  <c r="E124" i="1"/>
  <c r="E125" i="1"/>
  <c r="E129" i="1"/>
  <c r="E132" i="1"/>
  <c r="E133" i="1"/>
  <c r="E134" i="1"/>
  <c r="E136" i="1"/>
  <c r="E137" i="1"/>
  <c r="E141" i="1"/>
  <c r="E144" i="1"/>
  <c r="E145" i="1"/>
  <c r="E146" i="1"/>
  <c r="E148" i="1"/>
  <c r="E149" i="1"/>
  <c r="D3" i="1"/>
  <c r="E3" i="1" s="1"/>
  <c r="D4" i="1"/>
  <c r="D5" i="1"/>
  <c r="E5" i="1" s="1"/>
  <c r="D6" i="1"/>
  <c r="E6" i="1" s="1"/>
  <c r="D7" i="1"/>
  <c r="E7" i="1" s="1"/>
  <c r="D8" i="1"/>
  <c r="E8" i="1" s="1"/>
  <c r="D9" i="1"/>
  <c r="D10" i="1"/>
  <c r="E10" i="1" s="1"/>
  <c r="D11" i="1"/>
  <c r="E11" i="1" s="1"/>
  <c r="D12" i="1"/>
  <c r="E12" i="1" s="1"/>
  <c r="D13" i="1"/>
  <c r="D14" i="1"/>
  <c r="D15" i="1"/>
  <c r="E15" i="1" s="1"/>
  <c r="D16" i="1"/>
  <c r="D17" i="1"/>
  <c r="E17" i="1" s="1"/>
  <c r="D18" i="1"/>
  <c r="E18" i="1" s="1"/>
  <c r="D19" i="1"/>
  <c r="E19" i="1" s="1"/>
  <c r="D20" i="1"/>
  <c r="E20" i="1" s="1"/>
  <c r="D21" i="1"/>
  <c r="D22" i="1"/>
  <c r="E22" i="1" s="1"/>
  <c r="D23" i="1"/>
  <c r="E23" i="1" s="1"/>
  <c r="D24" i="1"/>
  <c r="D25" i="1"/>
  <c r="D26" i="1"/>
  <c r="D27" i="1"/>
  <c r="E27" i="1" s="1"/>
  <c r="D28" i="1"/>
  <c r="D29" i="1"/>
  <c r="D30" i="1"/>
  <c r="E30" i="1" s="1"/>
  <c r="D31" i="1"/>
  <c r="E31" i="1" s="1"/>
  <c r="D32" i="1"/>
  <c r="E32" i="1" s="1"/>
  <c r="D33" i="1"/>
  <c r="D34" i="1"/>
  <c r="E34" i="1" s="1"/>
  <c r="D35" i="1"/>
  <c r="E35" i="1" s="1"/>
  <c r="D36" i="1"/>
  <c r="D37" i="1"/>
  <c r="D38" i="1"/>
  <c r="D39" i="1"/>
  <c r="E39" i="1" s="1"/>
  <c r="D40" i="1"/>
  <c r="D41" i="1"/>
  <c r="D42" i="1"/>
  <c r="E42" i="1" s="1"/>
  <c r="D43" i="1"/>
  <c r="E43" i="1" s="1"/>
  <c r="D44" i="1"/>
  <c r="E44" i="1" s="1"/>
  <c r="D45" i="1"/>
  <c r="D46" i="1"/>
  <c r="E46" i="1" s="1"/>
  <c r="D47" i="1"/>
  <c r="E47" i="1" s="1"/>
  <c r="D48" i="1"/>
  <c r="D49" i="1"/>
  <c r="D50" i="1"/>
  <c r="D51" i="1"/>
  <c r="E51" i="1" s="1"/>
  <c r="D52" i="1"/>
  <c r="D53" i="1"/>
  <c r="D54" i="1"/>
  <c r="E54" i="1" s="1"/>
  <c r="D55" i="1"/>
  <c r="E55" i="1" s="1"/>
  <c r="D56" i="1"/>
  <c r="E56" i="1" s="1"/>
  <c r="D57" i="1"/>
  <c r="D58" i="1"/>
  <c r="E58" i="1" s="1"/>
  <c r="D59" i="1"/>
  <c r="E59" i="1" s="1"/>
  <c r="D60" i="1"/>
  <c r="D61" i="1"/>
  <c r="D62" i="1"/>
  <c r="D63" i="1"/>
  <c r="E63" i="1" s="1"/>
  <c r="D64" i="1"/>
  <c r="D65" i="1"/>
  <c r="D66" i="1"/>
  <c r="E66" i="1" s="1"/>
  <c r="D67" i="1"/>
  <c r="E67" i="1" s="1"/>
  <c r="D68" i="1"/>
  <c r="E68" i="1" s="1"/>
  <c r="D69" i="1"/>
  <c r="D70" i="1"/>
  <c r="E70" i="1" s="1"/>
  <c r="D71" i="1"/>
  <c r="E71" i="1" s="1"/>
  <c r="D72" i="1"/>
  <c r="D73" i="1"/>
  <c r="D74" i="1"/>
  <c r="D75" i="1"/>
  <c r="E75" i="1" s="1"/>
  <c r="D76" i="1"/>
  <c r="D77" i="1"/>
  <c r="D78" i="1"/>
  <c r="E78" i="1" s="1"/>
  <c r="D79" i="1"/>
  <c r="E79" i="1" s="1"/>
  <c r="D80" i="1"/>
  <c r="E80" i="1" s="1"/>
  <c r="D81" i="1"/>
  <c r="D82" i="1"/>
  <c r="E82" i="1" s="1"/>
  <c r="D83" i="1"/>
  <c r="E83" i="1" s="1"/>
  <c r="D84" i="1"/>
  <c r="D85" i="1"/>
  <c r="D86" i="1"/>
  <c r="D87" i="1"/>
  <c r="E87" i="1" s="1"/>
  <c r="D88" i="1"/>
  <c r="D89" i="1"/>
  <c r="D90" i="1"/>
  <c r="E90" i="1" s="1"/>
  <c r="D91" i="1"/>
  <c r="E91" i="1" s="1"/>
  <c r="D92" i="1"/>
  <c r="E92" i="1" s="1"/>
  <c r="D93" i="1"/>
  <c r="D94" i="1"/>
  <c r="E94" i="1" s="1"/>
  <c r="D95" i="1"/>
  <c r="E95" i="1" s="1"/>
  <c r="D96" i="1"/>
  <c r="D97" i="1"/>
  <c r="D98" i="1"/>
  <c r="D99" i="1"/>
  <c r="E99" i="1" s="1"/>
  <c r="D100" i="1"/>
  <c r="D101" i="1"/>
  <c r="D102" i="1"/>
  <c r="E102" i="1" s="1"/>
  <c r="D103" i="1"/>
  <c r="E103" i="1" s="1"/>
  <c r="D104" i="1"/>
  <c r="E104" i="1" s="1"/>
  <c r="D105" i="1"/>
  <c r="D106" i="1"/>
  <c r="E106" i="1" s="1"/>
  <c r="D107" i="1"/>
  <c r="E107" i="1" s="1"/>
  <c r="D108" i="1"/>
  <c r="D109" i="1"/>
  <c r="D110" i="1"/>
  <c r="D111" i="1"/>
  <c r="E111" i="1" s="1"/>
  <c r="D112" i="1"/>
  <c r="D113" i="1"/>
  <c r="D114" i="1"/>
  <c r="E114" i="1" s="1"/>
  <c r="D115" i="1"/>
  <c r="E115" i="1" s="1"/>
  <c r="D116" i="1"/>
  <c r="E116" i="1" s="1"/>
  <c r="D117" i="1"/>
  <c r="D118" i="1"/>
  <c r="E118" i="1" s="1"/>
  <c r="D119" i="1"/>
  <c r="E119" i="1" s="1"/>
  <c r="D120" i="1"/>
  <c r="D121" i="1"/>
  <c r="D122" i="1"/>
  <c r="D123" i="1"/>
  <c r="E123" i="1" s="1"/>
  <c r="D124" i="1"/>
  <c r="D125" i="1"/>
  <c r="D126" i="1"/>
  <c r="E126" i="1" s="1"/>
  <c r="D127" i="1"/>
  <c r="E127" i="1" s="1"/>
  <c r="D128" i="1"/>
  <c r="E128" i="1" s="1"/>
  <c r="D129" i="1"/>
  <c r="D130" i="1"/>
  <c r="E130" i="1" s="1"/>
  <c r="D131" i="1"/>
  <c r="E131" i="1" s="1"/>
  <c r="D132" i="1"/>
  <c r="D133" i="1"/>
  <c r="D134" i="1"/>
  <c r="D135" i="1"/>
  <c r="E135" i="1" s="1"/>
  <c r="D136" i="1"/>
  <c r="D137" i="1"/>
  <c r="D138" i="1"/>
  <c r="E138" i="1" s="1"/>
  <c r="D139" i="1"/>
  <c r="E139" i="1" s="1"/>
  <c r="D140" i="1"/>
  <c r="E140" i="1" s="1"/>
  <c r="D141" i="1"/>
  <c r="D142" i="1"/>
  <c r="E142" i="1" s="1"/>
  <c r="D143" i="1"/>
  <c r="E143" i="1" s="1"/>
  <c r="D144" i="1"/>
  <c r="D145" i="1"/>
  <c r="D146" i="1"/>
  <c r="D147" i="1"/>
  <c r="E147" i="1" s="1"/>
  <c r="D148" i="1"/>
  <c r="D149" i="1"/>
  <c r="D150" i="1"/>
  <c r="E150" i="1" s="1"/>
  <c r="D151" i="1"/>
  <c r="E151" i="1" s="1"/>
  <c r="D152" i="1"/>
  <c r="E152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D2" i="1"/>
  <c r="C2" i="1"/>
  <c r="F2" i="1" l="1"/>
  <c r="G2" i="1" s="1"/>
  <c r="E2" i="1"/>
  <c r="J2" i="1" s="1"/>
</calcChain>
</file>

<file path=xl/sharedStrings.xml><?xml version="1.0" encoding="utf-8"?>
<sst xmlns="http://schemas.openxmlformats.org/spreadsheetml/2006/main" count="2" uniqueCount="2">
  <si>
    <t>Year</t>
  </si>
  <si>
    <t>Projected_Yield_Tonnes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</si>
</sst>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2"/>
  <sheetViews>
    <sheetView tabSelected="1" workbookViewId="0">
      <selection activeCell="O11" sqref="O11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</row>
    <row r="2" spans="1:10" x14ac:dyDescent="0.25">
      <c r="A2">
        <v>1900</v>
      </c>
      <c r="B2">
        <v>923957.12658340763</v>
      </c>
      <c r="C2">
        <f>B2*0.15</f>
        <v>138593.56898751113</v>
      </c>
      <c r="D2">
        <f>B2*0.85</f>
        <v>785363.55759589642</v>
      </c>
      <c r="E2">
        <f>D2*0.5</f>
        <v>392681.77879794821</v>
      </c>
      <c r="F2">
        <f>D2-E2</f>
        <v>392681.77879794821</v>
      </c>
      <c r="G2">
        <f>F2+C2</f>
        <v>531275.34778545937</v>
      </c>
      <c r="H2">
        <f>C2/G2</f>
        <v>0.2608695652173913</v>
      </c>
      <c r="I2">
        <f>F2/G2</f>
        <v>0.73913043478260865</v>
      </c>
      <c r="J2">
        <f>E2/B2</f>
        <v>0.42499999999999999</v>
      </c>
    </row>
    <row r="3" spans="1:10" x14ac:dyDescent="0.25">
      <c r="A3">
        <v>1901</v>
      </c>
      <c r="B3">
        <v>954520.60945352993</v>
      </c>
      <c r="C3">
        <f t="shared" ref="C3:C66" si="0">B3*0.15</f>
        <v>143178.09141802948</v>
      </c>
      <c r="D3">
        <f t="shared" ref="D3:D66" si="1">B3*0.85</f>
        <v>811342.51803550043</v>
      </c>
      <c r="E3">
        <f t="shared" ref="E3:E66" si="2">D3*0.5</f>
        <v>405671.25901775021</v>
      </c>
      <c r="F3">
        <f t="shared" ref="F3:F66" si="3">D3-E3</f>
        <v>405671.25901775021</v>
      </c>
      <c r="G3">
        <f t="shared" ref="G3:G66" si="4">F3+C3</f>
        <v>548849.35043577966</v>
      </c>
    </row>
    <row r="4" spans="1:10" x14ac:dyDescent="0.25">
      <c r="A4">
        <v>1902</v>
      </c>
      <c r="B4">
        <v>770821.1517962208</v>
      </c>
      <c r="C4">
        <f t="shared" si="0"/>
        <v>115623.17276943312</v>
      </c>
      <c r="D4">
        <f t="shared" si="1"/>
        <v>655197.97902678768</v>
      </c>
      <c r="E4">
        <f t="shared" si="2"/>
        <v>327598.98951339384</v>
      </c>
      <c r="F4">
        <f t="shared" si="3"/>
        <v>327598.98951339384</v>
      </c>
      <c r="G4">
        <f t="shared" si="4"/>
        <v>443222.16228282696</v>
      </c>
    </row>
    <row r="5" spans="1:10" x14ac:dyDescent="0.25">
      <c r="A5">
        <v>1903</v>
      </c>
      <c r="B5">
        <v>913574.18151272542</v>
      </c>
      <c r="C5">
        <f t="shared" si="0"/>
        <v>137036.12722690881</v>
      </c>
      <c r="D5">
        <f t="shared" si="1"/>
        <v>776538.05428581662</v>
      </c>
      <c r="E5">
        <f t="shared" si="2"/>
        <v>388269.02714290831</v>
      </c>
      <c r="F5">
        <f t="shared" si="3"/>
        <v>388269.02714290831</v>
      </c>
      <c r="G5">
        <f t="shared" si="4"/>
        <v>525305.15436981712</v>
      </c>
    </row>
    <row r="6" spans="1:10" x14ac:dyDescent="0.25">
      <c r="A6">
        <v>1904</v>
      </c>
      <c r="B6">
        <v>716115.23727243172</v>
      </c>
      <c r="C6">
        <f t="shared" si="0"/>
        <v>107417.28559086476</v>
      </c>
      <c r="D6">
        <f t="shared" si="1"/>
        <v>608697.95168156701</v>
      </c>
      <c r="E6">
        <f t="shared" si="2"/>
        <v>304348.9758407835</v>
      </c>
      <c r="F6">
        <f t="shared" si="3"/>
        <v>304348.9758407835</v>
      </c>
      <c r="G6">
        <f t="shared" si="4"/>
        <v>411766.26143164828</v>
      </c>
    </row>
    <row r="7" spans="1:10" x14ac:dyDescent="0.25">
      <c r="A7">
        <v>1905</v>
      </c>
      <c r="B7">
        <v>945260.28716734657</v>
      </c>
      <c r="C7">
        <f t="shared" si="0"/>
        <v>141789.04307510197</v>
      </c>
      <c r="D7">
        <f t="shared" si="1"/>
        <v>803471.24409224454</v>
      </c>
      <c r="E7">
        <f t="shared" si="2"/>
        <v>401735.62204612227</v>
      </c>
      <c r="F7">
        <f t="shared" si="3"/>
        <v>401735.62204612227</v>
      </c>
      <c r="G7">
        <f t="shared" si="4"/>
        <v>543524.66512122424</v>
      </c>
    </row>
    <row r="8" spans="1:10" x14ac:dyDescent="0.25">
      <c r="A8">
        <v>1906</v>
      </c>
      <c r="B8">
        <v>1019150.89607745</v>
      </c>
      <c r="C8">
        <f t="shared" si="0"/>
        <v>152872.6344116175</v>
      </c>
      <c r="D8">
        <f t="shared" si="1"/>
        <v>866278.26166583248</v>
      </c>
      <c r="E8">
        <f t="shared" si="2"/>
        <v>433139.13083291624</v>
      </c>
      <c r="F8">
        <f t="shared" si="3"/>
        <v>433139.13083291624</v>
      </c>
      <c r="G8">
        <f t="shared" si="4"/>
        <v>586011.76524453377</v>
      </c>
    </row>
    <row r="9" spans="1:10" x14ac:dyDescent="0.25">
      <c r="A9">
        <v>1907</v>
      </c>
      <c r="B9">
        <v>793575.82098101359</v>
      </c>
      <c r="C9">
        <f t="shared" si="0"/>
        <v>119036.37314715203</v>
      </c>
      <c r="D9">
        <f t="shared" si="1"/>
        <v>674539.44783386157</v>
      </c>
      <c r="E9">
        <f t="shared" si="2"/>
        <v>337269.72391693079</v>
      </c>
      <c r="F9">
        <f t="shared" si="3"/>
        <v>337269.72391693079</v>
      </c>
      <c r="G9">
        <f t="shared" si="4"/>
        <v>456306.0970640828</v>
      </c>
    </row>
    <row r="10" spans="1:10" x14ac:dyDescent="0.25">
      <c r="A10">
        <v>1908</v>
      </c>
      <c r="B10">
        <v>831118.67710996023</v>
      </c>
      <c r="C10">
        <f t="shared" si="0"/>
        <v>124667.80156649403</v>
      </c>
      <c r="D10">
        <f t="shared" si="1"/>
        <v>706450.87554346619</v>
      </c>
      <c r="E10">
        <f t="shared" si="2"/>
        <v>353225.43777173309</v>
      </c>
      <c r="F10">
        <f t="shared" si="3"/>
        <v>353225.43777173309</v>
      </c>
      <c r="G10">
        <f t="shared" si="4"/>
        <v>477893.23933822714</v>
      </c>
    </row>
    <row r="11" spans="1:10" x14ac:dyDescent="0.25">
      <c r="A11">
        <v>1909</v>
      </c>
      <c r="B11">
        <v>985588.97971713915</v>
      </c>
      <c r="C11">
        <f t="shared" si="0"/>
        <v>147838.34695757087</v>
      </c>
      <c r="D11">
        <f t="shared" si="1"/>
        <v>837750.63275956828</v>
      </c>
      <c r="E11">
        <f t="shared" si="2"/>
        <v>418875.31637978414</v>
      </c>
      <c r="F11">
        <f t="shared" si="3"/>
        <v>418875.31637978414</v>
      </c>
      <c r="G11">
        <f t="shared" si="4"/>
        <v>566713.66333735501</v>
      </c>
    </row>
    <row r="12" spans="1:10" x14ac:dyDescent="0.25">
      <c r="A12">
        <v>1910</v>
      </c>
      <c r="B12">
        <v>1070257.8692019249</v>
      </c>
      <c r="C12">
        <f t="shared" si="0"/>
        <v>160538.68038028872</v>
      </c>
      <c r="D12">
        <f t="shared" si="1"/>
        <v>909719.18882163614</v>
      </c>
      <c r="E12">
        <f t="shared" si="2"/>
        <v>454859.59441081807</v>
      </c>
      <c r="F12">
        <f t="shared" si="3"/>
        <v>454859.59441081807</v>
      </c>
      <c r="G12">
        <f t="shared" si="4"/>
        <v>615398.27479110681</v>
      </c>
    </row>
    <row r="13" spans="1:10" x14ac:dyDescent="0.25">
      <c r="A13">
        <v>1911</v>
      </c>
      <c r="B13">
        <v>860584.45381928701</v>
      </c>
      <c r="C13">
        <f t="shared" si="0"/>
        <v>129087.66807289305</v>
      </c>
      <c r="D13">
        <f t="shared" si="1"/>
        <v>731496.78574639396</v>
      </c>
      <c r="E13">
        <f t="shared" si="2"/>
        <v>365748.39287319698</v>
      </c>
      <c r="F13">
        <f t="shared" si="3"/>
        <v>365748.39287319698</v>
      </c>
      <c r="G13">
        <f t="shared" si="4"/>
        <v>494836.06094609003</v>
      </c>
    </row>
    <row r="14" spans="1:10" x14ac:dyDescent="0.25">
      <c r="A14">
        <v>1912</v>
      </c>
      <c r="B14">
        <v>974814.61398853664</v>
      </c>
      <c r="C14">
        <f t="shared" si="0"/>
        <v>146222.1920982805</v>
      </c>
      <c r="D14">
        <f t="shared" si="1"/>
        <v>828592.42189025611</v>
      </c>
      <c r="E14">
        <f t="shared" si="2"/>
        <v>414296.21094512806</v>
      </c>
      <c r="F14">
        <f t="shared" si="3"/>
        <v>414296.21094512806</v>
      </c>
      <c r="G14">
        <f t="shared" si="4"/>
        <v>560518.40304340853</v>
      </c>
    </row>
    <row r="15" spans="1:10" x14ac:dyDescent="0.25">
      <c r="A15">
        <v>1913</v>
      </c>
      <c r="B15">
        <v>842657.20717553876</v>
      </c>
      <c r="C15">
        <f t="shared" si="0"/>
        <v>126398.58107633081</v>
      </c>
      <c r="D15">
        <f t="shared" si="1"/>
        <v>716258.6260992079</v>
      </c>
      <c r="E15">
        <f t="shared" si="2"/>
        <v>358129.31304960395</v>
      </c>
      <c r="F15">
        <f t="shared" si="3"/>
        <v>358129.31304960395</v>
      </c>
      <c r="G15">
        <f t="shared" si="4"/>
        <v>484527.89412593475</v>
      </c>
    </row>
    <row r="16" spans="1:10" x14ac:dyDescent="0.25">
      <c r="A16">
        <v>1914</v>
      </c>
      <c r="B16">
        <v>867562.50108833413</v>
      </c>
      <c r="C16">
        <f t="shared" si="0"/>
        <v>130134.37516325011</v>
      </c>
      <c r="D16">
        <f t="shared" si="1"/>
        <v>737428.12592508399</v>
      </c>
      <c r="E16">
        <f t="shared" si="2"/>
        <v>368714.062962542</v>
      </c>
      <c r="F16">
        <f t="shared" si="3"/>
        <v>368714.062962542</v>
      </c>
      <c r="G16">
        <f t="shared" si="4"/>
        <v>498848.43812579208</v>
      </c>
    </row>
    <row r="17" spans="1:7" x14ac:dyDescent="0.25">
      <c r="A17">
        <v>1915</v>
      </c>
      <c r="B17">
        <v>924362.84658474964</v>
      </c>
      <c r="C17">
        <f t="shared" si="0"/>
        <v>138654.42698771245</v>
      </c>
      <c r="D17">
        <f t="shared" si="1"/>
        <v>785708.41959703714</v>
      </c>
      <c r="E17">
        <f t="shared" si="2"/>
        <v>392854.20979851857</v>
      </c>
      <c r="F17">
        <f t="shared" si="3"/>
        <v>392854.20979851857</v>
      </c>
      <c r="G17">
        <f t="shared" si="4"/>
        <v>531508.63678623107</v>
      </c>
    </row>
    <row r="18" spans="1:7" x14ac:dyDescent="0.25">
      <c r="A18">
        <v>1916</v>
      </c>
      <c r="B18">
        <v>823572.67695471446</v>
      </c>
      <c r="C18">
        <f t="shared" si="0"/>
        <v>123535.90154320716</v>
      </c>
      <c r="D18">
        <f t="shared" si="1"/>
        <v>700036.77541150723</v>
      </c>
      <c r="E18">
        <f t="shared" si="2"/>
        <v>350018.38770575362</v>
      </c>
      <c r="F18">
        <f t="shared" si="3"/>
        <v>350018.38770575362</v>
      </c>
      <c r="G18">
        <f t="shared" si="4"/>
        <v>473554.28924896079</v>
      </c>
    </row>
    <row r="19" spans="1:7" x14ac:dyDescent="0.25">
      <c r="A19">
        <v>1917</v>
      </c>
      <c r="B19">
        <v>1032475.621352162</v>
      </c>
      <c r="C19">
        <f t="shared" si="0"/>
        <v>154871.3432028243</v>
      </c>
      <c r="D19">
        <f t="shared" si="1"/>
        <v>877604.27814933762</v>
      </c>
      <c r="E19">
        <f t="shared" si="2"/>
        <v>438802.13907466881</v>
      </c>
      <c r="F19">
        <f t="shared" si="3"/>
        <v>438802.13907466881</v>
      </c>
      <c r="G19">
        <f t="shared" si="4"/>
        <v>593673.48227749311</v>
      </c>
    </row>
    <row r="20" spans="1:7" x14ac:dyDescent="0.25">
      <c r="A20">
        <v>1918</v>
      </c>
      <c r="B20">
        <v>994012.16715526232</v>
      </c>
      <c r="C20">
        <f t="shared" si="0"/>
        <v>149101.82507328934</v>
      </c>
      <c r="D20">
        <f t="shared" si="1"/>
        <v>844910.34208197298</v>
      </c>
      <c r="E20">
        <f t="shared" si="2"/>
        <v>422455.17104098649</v>
      </c>
      <c r="F20">
        <f t="shared" si="3"/>
        <v>422455.17104098649</v>
      </c>
      <c r="G20">
        <f t="shared" si="4"/>
        <v>571556.99611427588</v>
      </c>
    </row>
    <row r="21" spans="1:7" x14ac:dyDescent="0.25">
      <c r="A21">
        <v>1919</v>
      </c>
      <c r="B21">
        <v>991934.95507546014</v>
      </c>
      <c r="C21">
        <f t="shared" si="0"/>
        <v>148790.243261319</v>
      </c>
      <c r="D21">
        <f t="shared" si="1"/>
        <v>843144.71181414113</v>
      </c>
      <c r="E21">
        <f t="shared" si="2"/>
        <v>421572.35590707057</v>
      </c>
      <c r="F21">
        <f t="shared" si="3"/>
        <v>421572.35590707057</v>
      </c>
      <c r="G21">
        <f t="shared" si="4"/>
        <v>570362.59916838957</v>
      </c>
    </row>
    <row r="22" spans="1:7" x14ac:dyDescent="0.25">
      <c r="A22">
        <v>1920</v>
      </c>
      <c r="B22">
        <v>1031031.270789043</v>
      </c>
      <c r="C22">
        <f t="shared" si="0"/>
        <v>154654.69061835646</v>
      </c>
      <c r="D22">
        <f t="shared" si="1"/>
        <v>876376.58017068659</v>
      </c>
      <c r="E22">
        <f t="shared" si="2"/>
        <v>438188.29008534329</v>
      </c>
      <c r="F22">
        <f t="shared" si="3"/>
        <v>438188.29008534329</v>
      </c>
      <c r="G22">
        <f t="shared" si="4"/>
        <v>592842.98070369975</v>
      </c>
    </row>
    <row r="23" spans="1:7" x14ac:dyDescent="0.25">
      <c r="A23">
        <v>1921</v>
      </c>
      <c r="B23">
        <v>987448.59574984782</v>
      </c>
      <c r="C23">
        <f t="shared" si="0"/>
        <v>148117.28936247717</v>
      </c>
      <c r="D23">
        <f t="shared" si="1"/>
        <v>839331.30638737069</v>
      </c>
      <c r="E23">
        <f t="shared" si="2"/>
        <v>419665.65319368534</v>
      </c>
      <c r="F23">
        <f t="shared" si="3"/>
        <v>419665.65319368534</v>
      </c>
      <c r="G23">
        <f t="shared" si="4"/>
        <v>567782.94255616248</v>
      </c>
    </row>
    <row r="24" spans="1:7" x14ac:dyDescent="0.25">
      <c r="A24">
        <v>1922</v>
      </c>
      <c r="B24">
        <v>920052.12058308313</v>
      </c>
      <c r="C24">
        <f t="shared" si="0"/>
        <v>138007.81808746245</v>
      </c>
      <c r="D24">
        <f t="shared" si="1"/>
        <v>782044.30249562068</v>
      </c>
      <c r="E24">
        <f t="shared" si="2"/>
        <v>391022.15124781034</v>
      </c>
      <c r="F24">
        <f t="shared" si="3"/>
        <v>391022.15124781034</v>
      </c>
      <c r="G24">
        <f t="shared" si="4"/>
        <v>529029.96933527279</v>
      </c>
    </row>
    <row r="25" spans="1:7" x14ac:dyDescent="0.25">
      <c r="A25">
        <v>1923</v>
      </c>
      <c r="B25">
        <v>827795.90911928134</v>
      </c>
      <c r="C25">
        <f t="shared" si="0"/>
        <v>124169.38636789219</v>
      </c>
      <c r="D25">
        <f t="shared" si="1"/>
        <v>703626.52275138907</v>
      </c>
      <c r="E25">
        <f t="shared" si="2"/>
        <v>351813.26137569454</v>
      </c>
      <c r="F25">
        <f t="shared" si="3"/>
        <v>351813.26137569454</v>
      </c>
      <c r="G25">
        <f t="shared" si="4"/>
        <v>475982.64774358674</v>
      </c>
    </row>
    <row r="26" spans="1:7" x14ac:dyDescent="0.25">
      <c r="A26">
        <v>1924</v>
      </c>
      <c r="B26">
        <v>889772.77030049881</v>
      </c>
      <c r="C26">
        <f t="shared" si="0"/>
        <v>133465.91554507482</v>
      </c>
      <c r="D26">
        <f t="shared" si="1"/>
        <v>756306.85475542396</v>
      </c>
      <c r="E26">
        <f t="shared" si="2"/>
        <v>378153.42737771198</v>
      </c>
      <c r="F26">
        <f t="shared" si="3"/>
        <v>378153.42737771198</v>
      </c>
      <c r="G26">
        <f t="shared" si="4"/>
        <v>511619.34292278683</v>
      </c>
    </row>
    <row r="27" spans="1:7" x14ac:dyDescent="0.25">
      <c r="A27">
        <v>1925</v>
      </c>
      <c r="B27">
        <v>719366.08896332269</v>
      </c>
      <c r="C27">
        <f t="shared" si="0"/>
        <v>107904.9133444984</v>
      </c>
      <c r="D27">
        <f t="shared" si="1"/>
        <v>611461.17561882432</v>
      </c>
      <c r="E27">
        <f t="shared" si="2"/>
        <v>305730.58780941216</v>
      </c>
      <c r="F27">
        <f t="shared" si="3"/>
        <v>305730.58780941216</v>
      </c>
      <c r="G27">
        <f t="shared" si="4"/>
        <v>413635.50115391053</v>
      </c>
    </row>
    <row r="28" spans="1:7" x14ac:dyDescent="0.25">
      <c r="A28">
        <v>1926</v>
      </c>
      <c r="B28">
        <v>1060930.86452014</v>
      </c>
      <c r="C28">
        <f t="shared" si="0"/>
        <v>159139.62967802098</v>
      </c>
      <c r="D28">
        <f t="shared" si="1"/>
        <v>901791.23484211892</v>
      </c>
      <c r="E28">
        <f t="shared" si="2"/>
        <v>450895.61742105946</v>
      </c>
      <c r="F28">
        <f t="shared" si="3"/>
        <v>450895.61742105946</v>
      </c>
      <c r="G28">
        <f t="shared" si="4"/>
        <v>610035.24709908047</v>
      </c>
    </row>
    <row r="29" spans="1:7" x14ac:dyDescent="0.25">
      <c r="A29">
        <v>1927</v>
      </c>
      <c r="B29">
        <v>904394.32223446073</v>
      </c>
      <c r="C29">
        <f t="shared" si="0"/>
        <v>135659.1483351691</v>
      </c>
      <c r="D29">
        <f t="shared" si="1"/>
        <v>768735.17389929155</v>
      </c>
      <c r="E29">
        <f t="shared" si="2"/>
        <v>384367.58694964577</v>
      </c>
      <c r="F29">
        <f t="shared" si="3"/>
        <v>384367.58694964577</v>
      </c>
      <c r="G29">
        <f t="shared" si="4"/>
        <v>520026.73528481484</v>
      </c>
    </row>
    <row r="30" spans="1:7" x14ac:dyDescent="0.25">
      <c r="A30">
        <v>1928</v>
      </c>
      <c r="B30">
        <v>990402.65772768226</v>
      </c>
      <c r="C30">
        <f t="shared" si="0"/>
        <v>148560.39865915233</v>
      </c>
      <c r="D30">
        <f t="shared" si="1"/>
        <v>841842.25906852994</v>
      </c>
      <c r="E30">
        <f t="shared" si="2"/>
        <v>420921.12953426497</v>
      </c>
      <c r="F30">
        <f t="shared" si="3"/>
        <v>420921.12953426497</v>
      </c>
      <c r="G30">
        <f t="shared" si="4"/>
        <v>569481.52819341724</v>
      </c>
    </row>
    <row r="31" spans="1:7" x14ac:dyDescent="0.25">
      <c r="A31">
        <v>1929</v>
      </c>
      <c r="B31">
        <v>916158.84431507345</v>
      </c>
      <c r="C31">
        <f t="shared" si="0"/>
        <v>137423.82664726101</v>
      </c>
      <c r="D31">
        <f t="shared" si="1"/>
        <v>778735.01766781241</v>
      </c>
      <c r="E31">
        <f t="shared" si="2"/>
        <v>389367.50883390621</v>
      </c>
      <c r="F31">
        <f t="shared" si="3"/>
        <v>389367.50883390621</v>
      </c>
      <c r="G31">
        <f t="shared" si="4"/>
        <v>526791.33548116719</v>
      </c>
    </row>
    <row r="32" spans="1:7" x14ac:dyDescent="0.25">
      <c r="A32">
        <v>1930</v>
      </c>
      <c r="B32">
        <v>855057.17336542439</v>
      </c>
      <c r="C32">
        <f t="shared" si="0"/>
        <v>128258.57600481366</v>
      </c>
      <c r="D32">
        <f t="shared" si="1"/>
        <v>726798.59736061073</v>
      </c>
      <c r="E32">
        <f t="shared" si="2"/>
        <v>363399.29868030536</v>
      </c>
      <c r="F32">
        <f t="shared" si="3"/>
        <v>363399.29868030536</v>
      </c>
      <c r="G32">
        <f t="shared" si="4"/>
        <v>491657.87468511902</v>
      </c>
    </row>
    <row r="33" spans="1:7" x14ac:dyDescent="0.25">
      <c r="A33">
        <v>1931</v>
      </c>
      <c r="B33">
        <v>1021654.486475345</v>
      </c>
      <c r="C33">
        <f t="shared" si="0"/>
        <v>153248.17297130174</v>
      </c>
      <c r="D33">
        <f t="shared" si="1"/>
        <v>868406.31350404327</v>
      </c>
      <c r="E33">
        <f t="shared" si="2"/>
        <v>434203.15675202163</v>
      </c>
      <c r="F33">
        <f t="shared" si="3"/>
        <v>434203.15675202163</v>
      </c>
      <c r="G33">
        <f t="shared" si="4"/>
        <v>587451.32972332335</v>
      </c>
    </row>
    <row r="34" spans="1:7" x14ac:dyDescent="0.25">
      <c r="A34">
        <v>1932</v>
      </c>
      <c r="B34">
        <v>1008485.017276065</v>
      </c>
      <c r="C34">
        <f t="shared" si="0"/>
        <v>151272.75259140975</v>
      </c>
      <c r="D34">
        <f t="shared" si="1"/>
        <v>857212.26468465524</v>
      </c>
      <c r="E34">
        <f t="shared" si="2"/>
        <v>428606.13234232762</v>
      </c>
      <c r="F34">
        <f t="shared" si="3"/>
        <v>428606.13234232762</v>
      </c>
      <c r="G34">
        <f t="shared" si="4"/>
        <v>579878.88493373734</v>
      </c>
    </row>
    <row r="35" spans="1:7" x14ac:dyDescent="0.25">
      <c r="A35">
        <v>1933</v>
      </c>
      <c r="B35">
        <v>793202.18219991669</v>
      </c>
      <c r="C35">
        <f t="shared" si="0"/>
        <v>118980.3273299875</v>
      </c>
      <c r="D35">
        <f t="shared" si="1"/>
        <v>674221.85486992914</v>
      </c>
      <c r="E35">
        <f t="shared" si="2"/>
        <v>337110.92743496457</v>
      </c>
      <c r="F35">
        <f t="shared" si="3"/>
        <v>337110.92743496457</v>
      </c>
      <c r="G35">
        <f t="shared" si="4"/>
        <v>456091.25476495206</v>
      </c>
    </row>
    <row r="36" spans="1:7" x14ac:dyDescent="0.25">
      <c r="A36">
        <v>1934</v>
      </c>
      <c r="B36">
        <v>681594.11531071551</v>
      </c>
      <c r="C36">
        <f t="shared" si="0"/>
        <v>102239.11729660732</v>
      </c>
      <c r="D36">
        <f t="shared" si="1"/>
        <v>579354.99801410816</v>
      </c>
      <c r="E36">
        <f t="shared" si="2"/>
        <v>289677.49900705408</v>
      </c>
      <c r="F36">
        <f t="shared" si="3"/>
        <v>289677.49900705408</v>
      </c>
      <c r="G36">
        <f t="shared" si="4"/>
        <v>391916.61630366137</v>
      </c>
    </row>
    <row r="37" spans="1:7" x14ac:dyDescent="0.25">
      <c r="A37">
        <v>1935</v>
      </c>
      <c r="B37">
        <v>828719.68238180364</v>
      </c>
      <c r="C37">
        <f t="shared" si="0"/>
        <v>124307.95235727054</v>
      </c>
      <c r="D37">
        <f t="shared" si="1"/>
        <v>704411.73002453311</v>
      </c>
      <c r="E37">
        <f t="shared" si="2"/>
        <v>352205.86501226656</v>
      </c>
      <c r="F37">
        <f t="shared" si="3"/>
        <v>352205.86501226656</v>
      </c>
      <c r="G37">
        <f t="shared" si="4"/>
        <v>476513.81736953708</v>
      </c>
    </row>
    <row r="38" spans="1:7" x14ac:dyDescent="0.25">
      <c r="A38">
        <v>1936</v>
      </c>
      <c r="B38">
        <v>703745.75829216349</v>
      </c>
      <c r="C38">
        <f t="shared" si="0"/>
        <v>105561.86374382452</v>
      </c>
      <c r="D38">
        <f t="shared" si="1"/>
        <v>598183.89454833895</v>
      </c>
      <c r="E38">
        <f t="shared" si="2"/>
        <v>299091.94727416948</v>
      </c>
      <c r="F38">
        <f t="shared" si="3"/>
        <v>299091.94727416948</v>
      </c>
      <c r="G38">
        <f t="shared" si="4"/>
        <v>404653.81101799401</v>
      </c>
    </row>
    <row r="39" spans="1:7" x14ac:dyDescent="0.25">
      <c r="A39">
        <v>1937</v>
      </c>
      <c r="B39">
        <v>958677.0046804013</v>
      </c>
      <c r="C39">
        <f t="shared" si="0"/>
        <v>143801.55070206019</v>
      </c>
      <c r="D39">
        <f t="shared" si="1"/>
        <v>814875.45397834107</v>
      </c>
      <c r="E39">
        <f t="shared" si="2"/>
        <v>407437.72698917054</v>
      </c>
      <c r="F39">
        <f t="shared" si="3"/>
        <v>407437.72698917054</v>
      </c>
      <c r="G39">
        <f t="shared" si="4"/>
        <v>551239.27769123076</v>
      </c>
    </row>
    <row r="40" spans="1:7" x14ac:dyDescent="0.25">
      <c r="A40">
        <v>1938</v>
      </c>
      <c r="B40">
        <v>1006589.326632539</v>
      </c>
      <c r="C40">
        <f t="shared" si="0"/>
        <v>150988.39899488084</v>
      </c>
      <c r="D40">
        <f t="shared" si="1"/>
        <v>855600.9276376582</v>
      </c>
      <c r="E40">
        <f t="shared" si="2"/>
        <v>427800.4638188291</v>
      </c>
      <c r="F40">
        <f t="shared" si="3"/>
        <v>427800.4638188291</v>
      </c>
      <c r="G40">
        <f t="shared" si="4"/>
        <v>578788.86281371</v>
      </c>
    </row>
    <row r="41" spans="1:7" x14ac:dyDescent="0.25">
      <c r="A41">
        <v>1939</v>
      </c>
      <c r="B41">
        <v>1080842.9390095931</v>
      </c>
      <c r="C41">
        <f t="shared" si="0"/>
        <v>162126.44085143897</v>
      </c>
      <c r="D41">
        <f t="shared" si="1"/>
        <v>918716.49815815408</v>
      </c>
      <c r="E41">
        <f t="shared" si="2"/>
        <v>459358.24907907704</v>
      </c>
      <c r="F41">
        <f t="shared" si="3"/>
        <v>459358.24907907704</v>
      </c>
      <c r="G41">
        <f t="shared" si="4"/>
        <v>621484.68993051606</v>
      </c>
    </row>
    <row r="42" spans="1:7" x14ac:dyDescent="0.25">
      <c r="A42">
        <v>1940</v>
      </c>
      <c r="B42">
        <v>1019929.0395814941</v>
      </c>
      <c r="C42">
        <f t="shared" si="0"/>
        <v>152989.35593722411</v>
      </c>
      <c r="D42">
        <f t="shared" si="1"/>
        <v>866939.68364426994</v>
      </c>
      <c r="E42">
        <f t="shared" si="2"/>
        <v>433469.84182213497</v>
      </c>
      <c r="F42">
        <f t="shared" si="3"/>
        <v>433469.84182213497</v>
      </c>
      <c r="G42">
        <f t="shared" si="4"/>
        <v>586459.19775935914</v>
      </c>
    </row>
    <row r="43" spans="1:7" x14ac:dyDescent="0.25">
      <c r="A43">
        <v>1941</v>
      </c>
      <c r="B43">
        <v>824645.40908119921</v>
      </c>
      <c r="C43">
        <f t="shared" si="0"/>
        <v>123696.81136217987</v>
      </c>
      <c r="D43">
        <f t="shared" si="1"/>
        <v>700948.59771901928</v>
      </c>
      <c r="E43">
        <f t="shared" si="2"/>
        <v>350474.29885950964</v>
      </c>
      <c r="F43">
        <f t="shared" si="3"/>
        <v>350474.29885950964</v>
      </c>
      <c r="G43">
        <f t="shared" si="4"/>
        <v>474171.11022168951</v>
      </c>
    </row>
    <row r="44" spans="1:7" x14ac:dyDescent="0.25">
      <c r="A44">
        <v>1942</v>
      </c>
      <c r="B44">
        <v>1096168.8730620591</v>
      </c>
      <c r="C44">
        <f t="shared" si="0"/>
        <v>164425.33095930886</v>
      </c>
      <c r="D44">
        <f t="shared" si="1"/>
        <v>931743.54210275016</v>
      </c>
      <c r="E44">
        <f t="shared" si="2"/>
        <v>465871.77105137508</v>
      </c>
      <c r="F44">
        <f t="shared" si="3"/>
        <v>465871.77105137508</v>
      </c>
      <c r="G44">
        <f t="shared" si="4"/>
        <v>630297.10201068397</v>
      </c>
    </row>
    <row r="45" spans="1:7" x14ac:dyDescent="0.25">
      <c r="A45">
        <v>1943</v>
      </c>
      <c r="B45">
        <v>1029619.568273789</v>
      </c>
      <c r="C45">
        <f t="shared" si="0"/>
        <v>154442.93524106834</v>
      </c>
      <c r="D45">
        <f t="shared" si="1"/>
        <v>875176.63303272065</v>
      </c>
      <c r="E45">
        <f t="shared" si="2"/>
        <v>437588.31651636033</v>
      </c>
      <c r="F45">
        <f t="shared" si="3"/>
        <v>437588.31651636033</v>
      </c>
      <c r="G45">
        <f t="shared" si="4"/>
        <v>592031.25175742863</v>
      </c>
    </row>
    <row r="46" spans="1:7" x14ac:dyDescent="0.25">
      <c r="A46">
        <v>1944</v>
      </c>
      <c r="B46">
        <v>1066577.479846763</v>
      </c>
      <c r="C46">
        <f t="shared" si="0"/>
        <v>159986.62197701444</v>
      </c>
      <c r="D46">
        <f t="shared" si="1"/>
        <v>906590.85786974849</v>
      </c>
      <c r="E46">
        <f t="shared" si="2"/>
        <v>453295.42893487425</v>
      </c>
      <c r="F46">
        <f t="shared" si="3"/>
        <v>453295.42893487425</v>
      </c>
      <c r="G46">
        <f t="shared" si="4"/>
        <v>613282.05091188871</v>
      </c>
    </row>
    <row r="47" spans="1:7" x14ac:dyDescent="0.25">
      <c r="A47">
        <v>1945</v>
      </c>
      <c r="B47">
        <v>1070448.2791816411</v>
      </c>
      <c r="C47">
        <f t="shared" si="0"/>
        <v>160567.24187724615</v>
      </c>
      <c r="D47">
        <f t="shared" si="1"/>
        <v>909881.03730439488</v>
      </c>
      <c r="E47">
        <f t="shared" si="2"/>
        <v>454940.51865219744</v>
      </c>
      <c r="F47">
        <f t="shared" si="3"/>
        <v>454940.51865219744</v>
      </c>
      <c r="G47">
        <f t="shared" si="4"/>
        <v>615507.76052944362</v>
      </c>
    </row>
    <row r="48" spans="1:7" x14ac:dyDescent="0.25">
      <c r="A48">
        <v>1946</v>
      </c>
      <c r="B48">
        <v>895170.45810763526</v>
      </c>
      <c r="C48">
        <f t="shared" si="0"/>
        <v>134275.5687161453</v>
      </c>
      <c r="D48">
        <f t="shared" si="1"/>
        <v>760894.88939148991</v>
      </c>
      <c r="E48">
        <f t="shared" si="2"/>
        <v>380447.44469574495</v>
      </c>
      <c r="F48">
        <f t="shared" si="3"/>
        <v>380447.44469574495</v>
      </c>
      <c r="G48">
        <f t="shared" si="4"/>
        <v>514723.01341189025</v>
      </c>
    </row>
    <row r="49" spans="1:7" x14ac:dyDescent="0.25">
      <c r="A49">
        <v>1947</v>
      </c>
      <c r="B49">
        <v>949264.64193169773</v>
      </c>
      <c r="C49">
        <f t="shared" si="0"/>
        <v>142389.69628975465</v>
      </c>
      <c r="D49">
        <f t="shared" si="1"/>
        <v>806874.94564194302</v>
      </c>
      <c r="E49">
        <f t="shared" si="2"/>
        <v>403437.47282097151</v>
      </c>
      <c r="F49">
        <f t="shared" si="3"/>
        <v>403437.47282097151</v>
      </c>
      <c r="G49">
        <f t="shared" si="4"/>
        <v>545827.1691107261</v>
      </c>
    </row>
    <row r="50" spans="1:7" x14ac:dyDescent="0.25">
      <c r="A50">
        <v>1948</v>
      </c>
      <c r="B50">
        <v>947672.71467060316</v>
      </c>
      <c r="C50">
        <f t="shared" si="0"/>
        <v>142150.90720059047</v>
      </c>
      <c r="D50">
        <f t="shared" si="1"/>
        <v>805521.80747001269</v>
      </c>
      <c r="E50">
        <f t="shared" si="2"/>
        <v>402760.90373500634</v>
      </c>
      <c r="F50">
        <f t="shared" si="3"/>
        <v>402760.90373500634</v>
      </c>
      <c r="G50">
        <f t="shared" si="4"/>
        <v>544911.81093559682</v>
      </c>
    </row>
    <row r="51" spans="1:7" x14ac:dyDescent="0.25">
      <c r="A51">
        <v>1949</v>
      </c>
      <c r="B51">
        <v>1064153.792025605</v>
      </c>
      <c r="C51">
        <f t="shared" si="0"/>
        <v>159623.06880384075</v>
      </c>
      <c r="D51">
        <f t="shared" si="1"/>
        <v>904530.7232217642</v>
      </c>
      <c r="E51">
        <f t="shared" si="2"/>
        <v>452265.3616108821</v>
      </c>
      <c r="F51">
        <f t="shared" si="3"/>
        <v>452265.3616108821</v>
      </c>
      <c r="G51">
        <f t="shared" si="4"/>
        <v>611888.43041472288</v>
      </c>
    </row>
    <row r="52" spans="1:7" x14ac:dyDescent="0.25">
      <c r="A52">
        <v>1950</v>
      </c>
      <c r="B52">
        <v>941367.46329384658</v>
      </c>
      <c r="C52">
        <f t="shared" si="0"/>
        <v>141205.11949407699</v>
      </c>
      <c r="D52">
        <f t="shared" si="1"/>
        <v>800162.34379976953</v>
      </c>
      <c r="E52">
        <f t="shared" si="2"/>
        <v>400081.17189988476</v>
      </c>
      <c r="F52">
        <f t="shared" si="3"/>
        <v>400081.17189988476</v>
      </c>
      <c r="G52">
        <f t="shared" si="4"/>
        <v>541286.29139396176</v>
      </c>
    </row>
    <row r="53" spans="1:7" x14ac:dyDescent="0.25">
      <c r="A53">
        <v>1951</v>
      </c>
      <c r="B53">
        <v>696407.9681684433</v>
      </c>
      <c r="C53">
        <f t="shared" si="0"/>
        <v>104461.19522526649</v>
      </c>
      <c r="D53">
        <f t="shared" si="1"/>
        <v>591946.77294317679</v>
      </c>
      <c r="E53">
        <f t="shared" si="2"/>
        <v>295973.3864715884</v>
      </c>
      <c r="F53">
        <f t="shared" si="3"/>
        <v>295973.3864715884</v>
      </c>
      <c r="G53">
        <f t="shared" si="4"/>
        <v>400434.5816968549</v>
      </c>
    </row>
    <row r="54" spans="1:7" x14ac:dyDescent="0.25">
      <c r="A54">
        <v>1952</v>
      </c>
      <c r="B54">
        <v>965191.06846019649</v>
      </c>
      <c r="C54">
        <f t="shared" si="0"/>
        <v>144778.66026902947</v>
      </c>
      <c r="D54">
        <f t="shared" si="1"/>
        <v>820412.40819116705</v>
      </c>
      <c r="E54">
        <f t="shared" si="2"/>
        <v>410206.20409558353</v>
      </c>
      <c r="F54">
        <f t="shared" si="3"/>
        <v>410206.20409558353</v>
      </c>
      <c r="G54">
        <f t="shared" si="4"/>
        <v>554984.86436461296</v>
      </c>
    </row>
    <row r="55" spans="1:7" x14ac:dyDescent="0.25">
      <c r="A55">
        <v>1953</v>
      </c>
      <c r="B55">
        <v>813359.88891479734</v>
      </c>
      <c r="C55">
        <f t="shared" si="0"/>
        <v>122003.9833372196</v>
      </c>
      <c r="D55">
        <f t="shared" si="1"/>
        <v>691355.90557757777</v>
      </c>
      <c r="E55">
        <f t="shared" si="2"/>
        <v>345677.95278878888</v>
      </c>
      <c r="F55">
        <f t="shared" si="3"/>
        <v>345677.95278878888</v>
      </c>
      <c r="G55">
        <f t="shared" si="4"/>
        <v>467681.93612600851</v>
      </c>
    </row>
    <row r="56" spans="1:7" x14ac:dyDescent="0.25">
      <c r="A56">
        <v>1954</v>
      </c>
      <c r="B56">
        <v>928985.47225756815</v>
      </c>
      <c r="C56">
        <f t="shared" si="0"/>
        <v>139347.82083863521</v>
      </c>
      <c r="D56">
        <f t="shared" si="1"/>
        <v>789637.65141893295</v>
      </c>
      <c r="E56">
        <f t="shared" si="2"/>
        <v>394818.82570946647</v>
      </c>
      <c r="F56">
        <f t="shared" si="3"/>
        <v>394818.82570946647</v>
      </c>
      <c r="G56">
        <f t="shared" si="4"/>
        <v>534166.64654810168</v>
      </c>
    </row>
    <row r="57" spans="1:7" x14ac:dyDescent="0.25">
      <c r="A57">
        <v>1955</v>
      </c>
      <c r="B57">
        <v>968177.4993475317</v>
      </c>
      <c r="C57">
        <f t="shared" si="0"/>
        <v>145226.62490212976</v>
      </c>
      <c r="D57">
        <f t="shared" si="1"/>
        <v>822950.87444540195</v>
      </c>
      <c r="E57">
        <f t="shared" si="2"/>
        <v>411475.43722270097</v>
      </c>
      <c r="F57">
        <f t="shared" si="3"/>
        <v>411475.43722270097</v>
      </c>
      <c r="G57">
        <f t="shared" si="4"/>
        <v>556702.06212483067</v>
      </c>
    </row>
    <row r="58" spans="1:7" x14ac:dyDescent="0.25">
      <c r="A58">
        <v>1956</v>
      </c>
      <c r="B58">
        <v>910839.088855137</v>
      </c>
      <c r="C58">
        <f t="shared" si="0"/>
        <v>136625.86332827056</v>
      </c>
      <c r="D58">
        <f t="shared" si="1"/>
        <v>774213.22552686639</v>
      </c>
      <c r="E58">
        <f t="shared" si="2"/>
        <v>387106.61276343319</v>
      </c>
      <c r="F58">
        <f t="shared" si="3"/>
        <v>387106.61276343319</v>
      </c>
      <c r="G58">
        <f t="shared" si="4"/>
        <v>523732.47609170375</v>
      </c>
    </row>
    <row r="59" spans="1:7" x14ac:dyDescent="0.25">
      <c r="A59">
        <v>1957</v>
      </c>
      <c r="B59">
        <v>1008563.885401903</v>
      </c>
      <c r="C59">
        <f t="shared" si="0"/>
        <v>151284.58281028544</v>
      </c>
      <c r="D59">
        <f t="shared" si="1"/>
        <v>857279.30259161745</v>
      </c>
      <c r="E59">
        <f t="shared" si="2"/>
        <v>428639.65129580873</v>
      </c>
      <c r="F59">
        <f t="shared" si="3"/>
        <v>428639.65129580873</v>
      </c>
      <c r="G59">
        <f t="shared" si="4"/>
        <v>579924.23410609411</v>
      </c>
    </row>
    <row r="60" spans="1:7" x14ac:dyDescent="0.25">
      <c r="A60">
        <v>1958</v>
      </c>
      <c r="B60">
        <v>796137.94750965992</v>
      </c>
      <c r="C60">
        <f t="shared" si="0"/>
        <v>119420.69212644898</v>
      </c>
      <c r="D60">
        <f t="shared" si="1"/>
        <v>676717.25538321096</v>
      </c>
      <c r="E60">
        <f t="shared" si="2"/>
        <v>338358.62769160548</v>
      </c>
      <c r="F60">
        <f t="shared" si="3"/>
        <v>338358.62769160548</v>
      </c>
      <c r="G60">
        <f t="shared" si="4"/>
        <v>457779.31981805444</v>
      </c>
    </row>
    <row r="61" spans="1:7" x14ac:dyDescent="0.25">
      <c r="A61">
        <v>1959</v>
      </c>
      <c r="B61">
        <v>1039709.729519222</v>
      </c>
      <c r="C61">
        <f t="shared" si="0"/>
        <v>155956.4594278833</v>
      </c>
      <c r="D61">
        <f t="shared" si="1"/>
        <v>883753.27009133867</v>
      </c>
      <c r="E61">
        <f t="shared" si="2"/>
        <v>441876.63504566933</v>
      </c>
      <c r="F61">
        <f t="shared" si="3"/>
        <v>441876.63504566933</v>
      </c>
      <c r="G61">
        <f t="shared" si="4"/>
        <v>597833.09447355266</v>
      </c>
    </row>
    <row r="62" spans="1:7" x14ac:dyDescent="0.25">
      <c r="A62">
        <v>1960</v>
      </c>
      <c r="B62">
        <v>877520.76305331523</v>
      </c>
      <c r="C62">
        <f t="shared" si="0"/>
        <v>131628.11445799729</v>
      </c>
      <c r="D62">
        <f t="shared" si="1"/>
        <v>745892.64859531797</v>
      </c>
      <c r="E62">
        <f t="shared" si="2"/>
        <v>372946.32429765898</v>
      </c>
      <c r="F62">
        <f t="shared" si="3"/>
        <v>372946.32429765898</v>
      </c>
      <c r="G62">
        <f t="shared" si="4"/>
        <v>504574.43875565624</v>
      </c>
    </row>
    <row r="63" spans="1:7" x14ac:dyDescent="0.25">
      <c r="A63">
        <v>1961</v>
      </c>
      <c r="B63">
        <v>1013485.730664326</v>
      </c>
      <c r="C63">
        <f t="shared" si="0"/>
        <v>152022.85959964889</v>
      </c>
      <c r="D63">
        <f t="shared" si="1"/>
        <v>861462.87106467702</v>
      </c>
      <c r="E63">
        <f t="shared" si="2"/>
        <v>430731.43553233851</v>
      </c>
      <c r="F63">
        <f t="shared" si="3"/>
        <v>430731.43553233851</v>
      </c>
      <c r="G63">
        <f t="shared" si="4"/>
        <v>582754.29513198743</v>
      </c>
    </row>
    <row r="64" spans="1:7" x14ac:dyDescent="0.25">
      <c r="A64">
        <v>1962</v>
      </c>
      <c r="B64">
        <v>1053726.3332368019</v>
      </c>
      <c r="C64">
        <f t="shared" si="0"/>
        <v>158058.94998552027</v>
      </c>
      <c r="D64">
        <f t="shared" si="1"/>
        <v>895667.38325128157</v>
      </c>
      <c r="E64">
        <f t="shared" si="2"/>
        <v>447833.69162564079</v>
      </c>
      <c r="F64">
        <f t="shared" si="3"/>
        <v>447833.69162564079</v>
      </c>
      <c r="G64">
        <f t="shared" si="4"/>
        <v>605892.64161116106</v>
      </c>
    </row>
    <row r="65" spans="1:7" x14ac:dyDescent="0.25">
      <c r="A65">
        <v>1963</v>
      </c>
      <c r="B65">
        <v>981145.10037722206</v>
      </c>
      <c r="C65">
        <f t="shared" si="0"/>
        <v>147171.7650565833</v>
      </c>
      <c r="D65">
        <f t="shared" si="1"/>
        <v>833973.33532063873</v>
      </c>
      <c r="E65">
        <f t="shared" si="2"/>
        <v>416986.66766031936</v>
      </c>
      <c r="F65">
        <f t="shared" si="3"/>
        <v>416986.66766031936</v>
      </c>
      <c r="G65">
        <f t="shared" si="4"/>
        <v>564158.43271690269</v>
      </c>
    </row>
    <row r="66" spans="1:7" x14ac:dyDescent="0.25">
      <c r="A66">
        <v>1964</v>
      </c>
      <c r="B66">
        <v>907495.3878303573</v>
      </c>
      <c r="C66">
        <f t="shared" si="0"/>
        <v>136124.30817455359</v>
      </c>
      <c r="D66">
        <f t="shared" si="1"/>
        <v>771371.07965580374</v>
      </c>
      <c r="E66">
        <f t="shared" si="2"/>
        <v>385685.53982790187</v>
      </c>
      <c r="F66">
        <f t="shared" si="3"/>
        <v>385685.53982790187</v>
      </c>
      <c r="G66">
        <f t="shared" si="4"/>
        <v>521809.84800245543</v>
      </c>
    </row>
    <row r="67" spans="1:7" x14ac:dyDescent="0.25">
      <c r="A67">
        <v>1965</v>
      </c>
      <c r="B67">
        <v>922550.85013508599</v>
      </c>
      <c r="C67">
        <f t="shared" ref="C67:C130" si="5">B67*0.15</f>
        <v>138382.6275202629</v>
      </c>
      <c r="D67">
        <f t="shared" ref="D67:D130" si="6">B67*0.85</f>
        <v>784168.22261482303</v>
      </c>
      <c r="E67">
        <f t="shared" ref="E67:E130" si="7">D67*0.5</f>
        <v>392084.11130741151</v>
      </c>
      <c r="F67">
        <f t="shared" ref="F67:F130" si="8">D67-E67</f>
        <v>392084.11130741151</v>
      </c>
      <c r="G67">
        <f t="shared" ref="G67:G130" si="9">F67+C67</f>
        <v>530466.73882767442</v>
      </c>
    </row>
    <row r="68" spans="1:7" x14ac:dyDescent="0.25">
      <c r="A68">
        <v>1966</v>
      </c>
      <c r="B68">
        <v>1033447.37271186</v>
      </c>
      <c r="C68">
        <f t="shared" si="5"/>
        <v>155017.105906779</v>
      </c>
      <c r="D68">
        <f t="shared" si="6"/>
        <v>878430.26680508093</v>
      </c>
      <c r="E68">
        <f t="shared" si="7"/>
        <v>439215.13340254046</v>
      </c>
      <c r="F68">
        <f t="shared" si="8"/>
        <v>439215.13340254046</v>
      </c>
      <c r="G68">
        <f t="shared" si="9"/>
        <v>594232.23930931953</v>
      </c>
    </row>
    <row r="69" spans="1:7" x14ac:dyDescent="0.25">
      <c r="A69">
        <v>1967</v>
      </c>
      <c r="B69">
        <v>1157139.314457102</v>
      </c>
      <c r="C69">
        <f t="shared" si="5"/>
        <v>173570.89716856528</v>
      </c>
      <c r="D69">
        <f t="shared" si="6"/>
        <v>983568.41728853667</v>
      </c>
      <c r="E69">
        <f t="shared" si="7"/>
        <v>491784.20864426834</v>
      </c>
      <c r="F69">
        <f t="shared" si="8"/>
        <v>491784.20864426834</v>
      </c>
      <c r="G69">
        <f t="shared" si="9"/>
        <v>665355.10581283364</v>
      </c>
    </row>
    <row r="70" spans="1:7" x14ac:dyDescent="0.25">
      <c r="A70">
        <v>1968</v>
      </c>
      <c r="B70">
        <v>735901.15836821496</v>
      </c>
      <c r="C70">
        <f t="shared" si="5"/>
        <v>110385.17375523224</v>
      </c>
      <c r="D70">
        <f t="shared" si="6"/>
        <v>625515.98461298272</v>
      </c>
      <c r="E70">
        <f t="shared" si="7"/>
        <v>312757.99230649136</v>
      </c>
      <c r="F70">
        <f t="shared" si="8"/>
        <v>312757.99230649136</v>
      </c>
      <c r="G70">
        <f t="shared" si="9"/>
        <v>423143.1660617236</v>
      </c>
    </row>
    <row r="71" spans="1:7" x14ac:dyDescent="0.25">
      <c r="A71">
        <v>1969</v>
      </c>
      <c r="B71">
        <v>815296.73854285141</v>
      </c>
      <c r="C71">
        <f t="shared" si="5"/>
        <v>122294.5107814277</v>
      </c>
      <c r="D71">
        <f t="shared" si="6"/>
        <v>693002.22776142368</v>
      </c>
      <c r="E71">
        <f t="shared" si="7"/>
        <v>346501.11388071184</v>
      </c>
      <c r="F71">
        <f t="shared" si="8"/>
        <v>346501.11388071184</v>
      </c>
      <c r="G71">
        <f t="shared" si="9"/>
        <v>468795.62466213957</v>
      </c>
    </row>
    <row r="72" spans="1:7" x14ac:dyDescent="0.25">
      <c r="A72">
        <v>1970</v>
      </c>
      <c r="B72">
        <v>745659.78565533902</v>
      </c>
      <c r="C72">
        <f t="shared" si="5"/>
        <v>111848.96784830085</v>
      </c>
      <c r="D72">
        <f t="shared" si="6"/>
        <v>633810.8178070382</v>
      </c>
      <c r="E72">
        <f t="shared" si="7"/>
        <v>316905.4089035191</v>
      </c>
      <c r="F72">
        <f t="shared" si="8"/>
        <v>316905.4089035191</v>
      </c>
      <c r="G72">
        <f t="shared" si="9"/>
        <v>428754.37675181997</v>
      </c>
    </row>
    <row r="73" spans="1:7" x14ac:dyDescent="0.25">
      <c r="A73">
        <v>1971</v>
      </c>
      <c r="B73">
        <v>707659.81305902777</v>
      </c>
      <c r="C73">
        <f t="shared" si="5"/>
        <v>106148.97195885416</v>
      </c>
      <c r="D73">
        <f t="shared" si="6"/>
        <v>601510.84110017354</v>
      </c>
      <c r="E73">
        <f t="shared" si="7"/>
        <v>300755.42055008677</v>
      </c>
      <c r="F73">
        <f t="shared" si="8"/>
        <v>300755.42055008677</v>
      </c>
      <c r="G73">
        <f t="shared" si="9"/>
        <v>406904.39250894095</v>
      </c>
    </row>
    <row r="74" spans="1:7" x14ac:dyDescent="0.25">
      <c r="A74">
        <v>1972</v>
      </c>
      <c r="B74">
        <v>988584.64916777937</v>
      </c>
      <c r="C74">
        <f t="shared" si="5"/>
        <v>148287.6973751669</v>
      </c>
      <c r="D74">
        <f t="shared" si="6"/>
        <v>840296.95179261244</v>
      </c>
      <c r="E74">
        <f t="shared" si="7"/>
        <v>420148.47589630622</v>
      </c>
      <c r="F74">
        <f t="shared" si="8"/>
        <v>420148.47589630622</v>
      </c>
      <c r="G74">
        <f t="shared" si="9"/>
        <v>568436.17327147315</v>
      </c>
    </row>
    <row r="75" spans="1:7" x14ac:dyDescent="0.25">
      <c r="A75">
        <v>1973</v>
      </c>
      <c r="B75">
        <v>823817.38145566883</v>
      </c>
      <c r="C75">
        <f t="shared" si="5"/>
        <v>123572.60721835031</v>
      </c>
      <c r="D75">
        <f t="shared" si="6"/>
        <v>700244.77423731843</v>
      </c>
      <c r="E75">
        <f t="shared" si="7"/>
        <v>350122.38711865922</v>
      </c>
      <c r="F75">
        <f t="shared" si="8"/>
        <v>350122.38711865922</v>
      </c>
      <c r="G75">
        <f t="shared" si="9"/>
        <v>473694.9943370095</v>
      </c>
    </row>
    <row r="76" spans="1:7" x14ac:dyDescent="0.25">
      <c r="A76">
        <v>1974</v>
      </c>
      <c r="B76">
        <v>1155612.926350517</v>
      </c>
      <c r="C76">
        <f t="shared" si="5"/>
        <v>173341.93895257753</v>
      </c>
      <c r="D76">
        <f t="shared" si="6"/>
        <v>982270.98739793943</v>
      </c>
      <c r="E76">
        <f t="shared" si="7"/>
        <v>491135.49369896972</v>
      </c>
      <c r="F76">
        <f t="shared" si="8"/>
        <v>491135.49369896972</v>
      </c>
      <c r="G76">
        <f t="shared" si="9"/>
        <v>664477.43265154725</v>
      </c>
    </row>
    <row r="77" spans="1:7" x14ac:dyDescent="0.25">
      <c r="A77">
        <v>1975</v>
      </c>
      <c r="B77">
        <v>668579.42477798695</v>
      </c>
      <c r="C77">
        <f t="shared" si="5"/>
        <v>100286.91371669804</v>
      </c>
      <c r="D77">
        <f t="shared" si="6"/>
        <v>568292.51106128888</v>
      </c>
      <c r="E77">
        <f t="shared" si="7"/>
        <v>284146.25553064444</v>
      </c>
      <c r="F77">
        <f t="shared" si="8"/>
        <v>284146.25553064444</v>
      </c>
      <c r="G77">
        <f t="shared" si="9"/>
        <v>384433.16924734251</v>
      </c>
    </row>
    <row r="78" spans="1:7" x14ac:dyDescent="0.25">
      <c r="A78">
        <v>1976</v>
      </c>
      <c r="B78">
        <v>825828.94957880944</v>
      </c>
      <c r="C78">
        <f t="shared" si="5"/>
        <v>123874.3424368214</v>
      </c>
      <c r="D78">
        <f t="shared" si="6"/>
        <v>701954.607141988</v>
      </c>
      <c r="E78">
        <f t="shared" si="7"/>
        <v>350977.303570994</v>
      </c>
      <c r="F78">
        <f t="shared" si="8"/>
        <v>350977.303570994</v>
      </c>
      <c r="G78">
        <f t="shared" si="9"/>
        <v>474851.64600781538</v>
      </c>
    </row>
    <row r="79" spans="1:7" x14ac:dyDescent="0.25">
      <c r="A79">
        <v>1977</v>
      </c>
      <c r="B79">
        <v>930462.30489832931</v>
      </c>
      <c r="C79">
        <f t="shared" si="5"/>
        <v>139569.3457347494</v>
      </c>
      <c r="D79">
        <f t="shared" si="6"/>
        <v>790892.95916357986</v>
      </c>
      <c r="E79">
        <f t="shared" si="7"/>
        <v>395446.47958178993</v>
      </c>
      <c r="F79">
        <f t="shared" si="8"/>
        <v>395446.47958178993</v>
      </c>
      <c r="G79">
        <f t="shared" si="9"/>
        <v>535015.82531653927</v>
      </c>
    </row>
    <row r="80" spans="1:7" x14ac:dyDescent="0.25">
      <c r="A80">
        <v>1978</v>
      </c>
      <c r="B80">
        <v>787029.51100495062</v>
      </c>
      <c r="C80">
        <f t="shared" si="5"/>
        <v>118054.42665074259</v>
      </c>
      <c r="D80">
        <f t="shared" si="6"/>
        <v>668975.08435420797</v>
      </c>
      <c r="E80">
        <f t="shared" si="7"/>
        <v>334487.54217710398</v>
      </c>
      <c r="F80">
        <f t="shared" si="8"/>
        <v>334487.54217710398</v>
      </c>
      <c r="G80">
        <f t="shared" si="9"/>
        <v>452541.96882784658</v>
      </c>
    </row>
    <row r="81" spans="1:7" x14ac:dyDescent="0.25">
      <c r="A81">
        <v>1979</v>
      </c>
      <c r="B81">
        <v>957489.04589288589</v>
      </c>
      <c r="C81">
        <f t="shared" si="5"/>
        <v>143623.35688393287</v>
      </c>
      <c r="D81">
        <f t="shared" si="6"/>
        <v>813865.68900895293</v>
      </c>
      <c r="E81">
        <f t="shared" si="7"/>
        <v>406932.84450447647</v>
      </c>
      <c r="F81">
        <f t="shared" si="8"/>
        <v>406932.84450447647</v>
      </c>
      <c r="G81">
        <f t="shared" si="9"/>
        <v>550556.20138840936</v>
      </c>
    </row>
    <row r="82" spans="1:7" x14ac:dyDescent="0.25">
      <c r="A82">
        <v>1980</v>
      </c>
      <c r="B82">
        <v>1001815.441751365</v>
      </c>
      <c r="C82">
        <f t="shared" si="5"/>
        <v>150272.31626270473</v>
      </c>
      <c r="D82">
        <f t="shared" si="6"/>
        <v>851543.12548866018</v>
      </c>
      <c r="E82">
        <f t="shared" si="7"/>
        <v>425771.56274433009</v>
      </c>
      <c r="F82">
        <f t="shared" si="8"/>
        <v>425771.56274433009</v>
      </c>
      <c r="G82">
        <f t="shared" si="9"/>
        <v>576043.87900703482</v>
      </c>
    </row>
    <row r="83" spans="1:7" x14ac:dyDescent="0.25">
      <c r="A83">
        <v>1981</v>
      </c>
      <c r="B83">
        <v>959208.08154243382</v>
      </c>
      <c r="C83">
        <f t="shared" si="5"/>
        <v>143881.21223136506</v>
      </c>
      <c r="D83">
        <f t="shared" si="6"/>
        <v>815326.86931106867</v>
      </c>
      <c r="E83">
        <f t="shared" si="7"/>
        <v>407663.43465553434</v>
      </c>
      <c r="F83">
        <f t="shared" si="8"/>
        <v>407663.43465553434</v>
      </c>
      <c r="G83">
        <f t="shared" si="9"/>
        <v>551544.64688689937</v>
      </c>
    </row>
    <row r="84" spans="1:7" x14ac:dyDescent="0.25">
      <c r="A84">
        <v>1982</v>
      </c>
      <c r="B84">
        <v>882795.78526720707</v>
      </c>
      <c r="C84">
        <f t="shared" si="5"/>
        <v>132419.36779008104</v>
      </c>
      <c r="D84">
        <f t="shared" si="6"/>
        <v>750376.417477126</v>
      </c>
      <c r="E84">
        <f t="shared" si="7"/>
        <v>375188.208738563</v>
      </c>
      <c r="F84">
        <f t="shared" si="8"/>
        <v>375188.208738563</v>
      </c>
      <c r="G84">
        <f t="shared" si="9"/>
        <v>507607.57652864407</v>
      </c>
    </row>
    <row r="85" spans="1:7" x14ac:dyDescent="0.25">
      <c r="A85">
        <v>1983</v>
      </c>
      <c r="B85">
        <v>704112.46883721254</v>
      </c>
      <c r="C85">
        <f t="shared" si="5"/>
        <v>105616.87032558188</v>
      </c>
      <c r="D85">
        <f t="shared" si="6"/>
        <v>598495.59851163067</v>
      </c>
      <c r="E85">
        <f t="shared" si="7"/>
        <v>299247.79925581533</v>
      </c>
      <c r="F85">
        <f t="shared" si="8"/>
        <v>299247.79925581533</v>
      </c>
      <c r="G85">
        <f t="shared" si="9"/>
        <v>404864.6695813972</v>
      </c>
    </row>
    <row r="86" spans="1:7" x14ac:dyDescent="0.25">
      <c r="A86">
        <v>1984</v>
      </c>
      <c r="B86">
        <v>867756.36093912262</v>
      </c>
      <c r="C86">
        <f t="shared" si="5"/>
        <v>130163.45414086839</v>
      </c>
      <c r="D86">
        <f t="shared" si="6"/>
        <v>737592.90679825423</v>
      </c>
      <c r="E86">
        <f t="shared" si="7"/>
        <v>368796.45339912712</v>
      </c>
      <c r="F86">
        <f t="shared" si="8"/>
        <v>368796.45339912712</v>
      </c>
      <c r="G86">
        <f t="shared" si="9"/>
        <v>498959.9075399955</v>
      </c>
    </row>
    <row r="87" spans="1:7" x14ac:dyDescent="0.25">
      <c r="A87">
        <v>1985</v>
      </c>
      <c r="B87">
        <v>659708.21634816751</v>
      </c>
      <c r="C87">
        <f t="shared" si="5"/>
        <v>98956.232452225129</v>
      </c>
      <c r="D87">
        <f t="shared" si="6"/>
        <v>560751.98389594234</v>
      </c>
      <c r="E87">
        <f t="shared" si="7"/>
        <v>280375.99194797117</v>
      </c>
      <c r="F87">
        <f t="shared" si="8"/>
        <v>280375.99194797117</v>
      </c>
      <c r="G87">
        <f t="shared" si="9"/>
        <v>379332.22440019628</v>
      </c>
    </row>
    <row r="88" spans="1:7" x14ac:dyDescent="0.25">
      <c r="A88">
        <v>1986</v>
      </c>
      <c r="B88">
        <v>842233.19879165338</v>
      </c>
      <c r="C88">
        <f t="shared" si="5"/>
        <v>126334.979818748</v>
      </c>
      <c r="D88">
        <f t="shared" si="6"/>
        <v>715898.21897290531</v>
      </c>
      <c r="E88">
        <f t="shared" si="7"/>
        <v>357949.10948645265</v>
      </c>
      <c r="F88">
        <f t="shared" si="8"/>
        <v>357949.10948645265</v>
      </c>
      <c r="G88">
        <f t="shared" si="9"/>
        <v>484284.08930520067</v>
      </c>
    </row>
    <row r="89" spans="1:7" x14ac:dyDescent="0.25">
      <c r="A89">
        <v>1987</v>
      </c>
      <c r="B89">
        <v>755836.45764957403</v>
      </c>
      <c r="C89">
        <f t="shared" si="5"/>
        <v>113375.46864743611</v>
      </c>
      <c r="D89">
        <f t="shared" si="6"/>
        <v>642460.98900213791</v>
      </c>
      <c r="E89">
        <f t="shared" si="7"/>
        <v>321230.49450106896</v>
      </c>
      <c r="F89">
        <f t="shared" si="8"/>
        <v>321230.49450106896</v>
      </c>
      <c r="G89">
        <f t="shared" si="9"/>
        <v>434605.96314850508</v>
      </c>
    </row>
    <row r="90" spans="1:7" x14ac:dyDescent="0.25">
      <c r="A90">
        <v>1988</v>
      </c>
      <c r="B90">
        <v>1007553.613387519</v>
      </c>
      <c r="C90">
        <f t="shared" si="5"/>
        <v>151133.04200812784</v>
      </c>
      <c r="D90">
        <f t="shared" si="6"/>
        <v>856420.57137939113</v>
      </c>
      <c r="E90">
        <f t="shared" si="7"/>
        <v>428210.28568969556</v>
      </c>
      <c r="F90">
        <f t="shared" si="8"/>
        <v>428210.28568969556</v>
      </c>
      <c r="G90">
        <f t="shared" si="9"/>
        <v>579343.32769782341</v>
      </c>
    </row>
    <row r="91" spans="1:7" x14ac:dyDescent="0.25">
      <c r="A91">
        <v>1989</v>
      </c>
      <c r="B91">
        <v>1038458.689419264</v>
      </c>
      <c r="C91">
        <f t="shared" si="5"/>
        <v>155768.8034128896</v>
      </c>
      <c r="D91">
        <f t="shared" si="6"/>
        <v>882689.88600637438</v>
      </c>
      <c r="E91">
        <f t="shared" si="7"/>
        <v>441344.94300318719</v>
      </c>
      <c r="F91">
        <f t="shared" si="8"/>
        <v>441344.94300318719</v>
      </c>
      <c r="G91">
        <f t="shared" si="9"/>
        <v>597113.74641607678</v>
      </c>
    </row>
    <row r="92" spans="1:7" x14ac:dyDescent="0.25">
      <c r="A92">
        <v>1990</v>
      </c>
      <c r="B92">
        <v>1093375.923602636</v>
      </c>
      <c r="C92">
        <f t="shared" si="5"/>
        <v>164006.38854039539</v>
      </c>
      <c r="D92">
        <f t="shared" si="6"/>
        <v>929369.53506224055</v>
      </c>
      <c r="E92">
        <f t="shared" si="7"/>
        <v>464684.76753112028</v>
      </c>
      <c r="F92">
        <f t="shared" si="8"/>
        <v>464684.76753112028</v>
      </c>
      <c r="G92">
        <f t="shared" si="9"/>
        <v>628691.15607151564</v>
      </c>
    </row>
    <row r="93" spans="1:7" x14ac:dyDescent="0.25">
      <c r="A93">
        <v>1991</v>
      </c>
      <c r="B93">
        <v>1063546.6437196089</v>
      </c>
      <c r="C93">
        <f t="shared" si="5"/>
        <v>159531.99655794134</v>
      </c>
      <c r="D93">
        <f t="shared" si="6"/>
        <v>904014.64716166758</v>
      </c>
      <c r="E93">
        <f t="shared" si="7"/>
        <v>452007.32358083379</v>
      </c>
      <c r="F93">
        <f t="shared" si="8"/>
        <v>452007.32358083379</v>
      </c>
      <c r="G93">
        <f t="shared" si="9"/>
        <v>611539.32013877516</v>
      </c>
    </row>
    <row r="94" spans="1:7" x14ac:dyDescent="0.25">
      <c r="A94">
        <v>1992</v>
      </c>
      <c r="B94">
        <v>974916.49506653554</v>
      </c>
      <c r="C94">
        <f t="shared" si="5"/>
        <v>146237.47425998031</v>
      </c>
      <c r="D94">
        <f t="shared" si="6"/>
        <v>828679.02080655517</v>
      </c>
      <c r="E94">
        <f t="shared" si="7"/>
        <v>414339.51040327759</v>
      </c>
      <c r="F94">
        <f t="shared" si="8"/>
        <v>414339.51040327759</v>
      </c>
      <c r="G94">
        <f t="shared" si="9"/>
        <v>560576.98466325784</v>
      </c>
    </row>
    <row r="95" spans="1:7" x14ac:dyDescent="0.25">
      <c r="A95">
        <v>1993</v>
      </c>
      <c r="B95">
        <v>857172.5576222809</v>
      </c>
      <c r="C95">
        <f t="shared" si="5"/>
        <v>128575.88364334212</v>
      </c>
      <c r="D95">
        <f t="shared" si="6"/>
        <v>728596.67397893872</v>
      </c>
      <c r="E95">
        <f t="shared" si="7"/>
        <v>364298.33698946936</v>
      </c>
      <c r="F95">
        <f t="shared" si="8"/>
        <v>364298.33698946936</v>
      </c>
      <c r="G95">
        <f t="shared" si="9"/>
        <v>492874.22063281148</v>
      </c>
    </row>
    <row r="96" spans="1:7" x14ac:dyDescent="0.25">
      <c r="A96">
        <v>1994</v>
      </c>
      <c r="B96">
        <v>1165709.1941025881</v>
      </c>
      <c r="C96">
        <f t="shared" si="5"/>
        <v>174856.3791153882</v>
      </c>
      <c r="D96">
        <f t="shared" si="6"/>
        <v>990852.81498719985</v>
      </c>
      <c r="E96">
        <f t="shared" si="7"/>
        <v>495426.40749359992</v>
      </c>
      <c r="F96">
        <f t="shared" si="8"/>
        <v>495426.40749359992</v>
      </c>
      <c r="G96">
        <f t="shared" si="9"/>
        <v>670282.78660898819</v>
      </c>
    </row>
    <row r="97" spans="1:7" x14ac:dyDescent="0.25">
      <c r="A97">
        <v>1995</v>
      </c>
      <c r="B97">
        <v>1283530.9937677439</v>
      </c>
      <c r="C97">
        <f t="shared" si="5"/>
        <v>192529.64906516159</v>
      </c>
      <c r="D97">
        <f t="shared" si="6"/>
        <v>1091001.3447025823</v>
      </c>
      <c r="E97">
        <f t="shared" si="7"/>
        <v>545500.67235129117</v>
      </c>
      <c r="F97">
        <f t="shared" si="8"/>
        <v>545500.67235129117</v>
      </c>
      <c r="G97">
        <f t="shared" si="9"/>
        <v>738030.32141645276</v>
      </c>
    </row>
    <row r="98" spans="1:7" x14ac:dyDescent="0.25">
      <c r="A98">
        <v>1996</v>
      </c>
      <c r="B98">
        <v>826265.91266077384</v>
      </c>
      <c r="C98">
        <f t="shared" si="5"/>
        <v>123939.88689911607</v>
      </c>
      <c r="D98">
        <f t="shared" si="6"/>
        <v>702326.02576165774</v>
      </c>
      <c r="E98">
        <f t="shared" si="7"/>
        <v>351163.01288082887</v>
      </c>
      <c r="F98">
        <f t="shared" si="8"/>
        <v>351163.01288082887</v>
      </c>
      <c r="G98">
        <f t="shared" si="9"/>
        <v>475102.89977994491</v>
      </c>
    </row>
    <row r="99" spans="1:7" x14ac:dyDescent="0.25">
      <c r="A99">
        <v>1997</v>
      </c>
      <c r="B99">
        <v>922437.03072151844</v>
      </c>
      <c r="C99">
        <f t="shared" si="5"/>
        <v>138365.55460822777</v>
      </c>
      <c r="D99">
        <f t="shared" si="6"/>
        <v>784071.47611329064</v>
      </c>
      <c r="E99">
        <f t="shared" si="7"/>
        <v>392035.73805664532</v>
      </c>
      <c r="F99">
        <f t="shared" si="8"/>
        <v>392035.73805664532</v>
      </c>
      <c r="G99">
        <f t="shared" si="9"/>
        <v>530401.29266487306</v>
      </c>
    </row>
    <row r="100" spans="1:7" x14ac:dyDescent="0.25">
      <c r="A100">
        <v>1998</v>
      </c>
      <c r="B100">
        <v>973613.38133585104</v>
      </c>
      <c r="C100">
        <f t="shared" si="5"/>
        <v>146042.00720037764</v>
      </c>
      <c r="D100">
        <f t="shared" si="6"/>
        <v>827571.37413547339</v>
      </c>
      <c r="E100">
        <f t="shared" si="7"/>
        <v>413785.6870677367</v>
      </c>
      <c r="F100">
        <f t="shared" si="8"/>
        <v>413785.6870677367</v>
      </c>
      <c r="G100">
        <f t="shared" si="9"/>
        <v>559827.6942681144</v>
      </c>
    </row>
    <row r="101" spans="1:7" x14ac:dyDescent="0.25">
      <c r="A101">
        <v>1999</v>
      </c>
      <c r="B101">
        <v>1093753.4315726829</v>
      </c>
      <c r="C101">
        <f t="shared" si="5"/>
        <v>164063.01473590243</v>
      </c>
      <c r="D101">
        <f t="shared" si="6"/>
        <v>929690.4168367805</v>
      </c>
      <c r="E101">
        <f t="shared" si="7"/>
        <v>464845.20841839025</v>
      </c>
      <c r="F101">
        <f t="shared" si="8"/>
        <v>464845.20841839025</v>
      </c>
      <c r="G101">
        <f t="shared" si="9"/>
        <v>628908.22315429267</v>
      </c>
    </row>
    <row r="102" spans="1:7" x14ac:dyDescent="0.25">
      <c r="A102">
        <v>2000</v>
      </c>
      <c r="B102">
        <v>1156517.0565277541</v>
      </c>
      <c r="C102">
        <f t="shared" si="5"/>
        <v>173477.5584791631</v>
      </c>
      <c r="D102">
        <f t="shared" si="6"/>
        <v>983039.49804859096</v>
      </c>
      <c r="E102">
        <f t="shared" si="7"/>
        <v>491519.74902429548</v>
      </c>
      <c r="F102">
        <f t="shared" si="8"/>
        <v>491519.74902429548</v>
      </c>
      <c r="G102">
        <f t="shared" si="9"/>
        <v>664997.30750345858</v>
      </c>
    </row>
    <row r="103" spans="1:7" x14ac:dyDescent="0.25">
      <c r="A103">
        <v>2001</v>
      </c>
      <c r="B103">
        <v>899548.85251182655</v>
      </c>
      <c r="C103">
        <f t="shared" si="5"/>
        <v>134932.32787677398</v>
      </c>
      <c r="D103">
        <f t="shared" si="6"/>
        <v>764616.52463505254</v>
      </c>
      <c r="E103">
        <f t="shared" si="7"/>
        <v>382308.26231752627</v>
      </c>
      <c r="F103">
        <f t="shared" si="8"/>
        <v>382308.26231752627</v>
      </c>
      <c r="G103">
        <f t="shared" si="9"/>
        <v>517240.59019430028</v>
      </c>
    </row>
    <row r="104" spans="1:7" x14ac:dyDescent="0.25">
      <c r="A104">
        <v>2002</v>
      </c>
      <c r="B104">
        <v>1024227.500395594</v>
      </c>
      <c r="C104">
        <f t="shared" si="5"/>
        <v>153634.1250593391</v>
      </c>
      <c r="D104">
        <f t="shared" si="6"/>
        <v>870593.37533625495</v>
      </c>
      <c r="E104">
        <f t="shared" si="7"/>
        <v>435296.68766812747</v>
      </c>
      <c r="F104">
        <f t="shared" si="8"/>
        <v>435296.68766812747</v>
      </c>
      <c r="G104">
        <f t="shared" si="9"/>
        <v>588930.81272746657</v>
      </c>
    </row>
    <row r="105" spans="1:7" x14ac:dyDescent="0.25">
      <c r="A105">
        <v>2003</v>
      </c>
      <c r="B105">
        <v>858559.96233666269</v>
      </c>
      <c r="C105">
        <f t="shared" si="5"/>
        <v>128783.9943504994</v>
      </c>
      <c r="D105">
        <f t="shared" si="6"/>
        <v>729775.96798616322</v>
      </c>
      <c r="E105">
        <f t="shared" si="7"/>
        <v>364887.98399308161</v>
      </c>
      <c r="F105">
        <f t="shared" si="8"/>
        <v>364887.98399308161</v>
      </c>
      <c r="G105">
        <f t="shared" si="9"/>
        <v>493671.97834358102</v>
      </c>
    </row>
    <row r="106" spans="1:7" x14ac:dyDescent="0.25">
      <c r="A106">
        <v>2004</v>
      </c>
      <c r="B106">
        <v>1111874.661021533</v>
      </c>
      <c r="C106">
        <f t="shared" si="5"/>
        <v>166781.19915322994</v>
      </c>
      <c r="D106">
        <f t="shared" si="6"/>
        <v>945093.46186830301</v>
      </c>
      <c r="E106">
        <f t="shared" si="7"/>
        <v>472546.73093415151</v>
      </c>
      <c r="F106">
        <f t="shared" si="8"/>
        <v>472546.73093415151</v>
      </c>
      <c r="G106">
        <f t="shared" si="9"/>
        <v>639327.93008738151</v>
      </c>
    </row>
    <row r="107" spans="1:7" x14ac:dyDescent="0.25">
      <c r="A107">
        <v>2005</v>
      </c>
      <c r="B107">
        <v>1018373.6180832681</v>
      </c>
      <c r="C107">
        <f t="shared" si="5"/>
        <v>152756.04271249019</v>
      </c>
      <c r="D107">
        <f t="shared" si="6"/>
        <v>865617.57537077786</v>
      </c>
      <c r="E107">
        <f t="shared" si="7"/>
        <v>432808.78768538893</v>
      </c>
      <c r="F107">
        <f t="shared" si="8"/>
        <v>432808.78768538893</v>
      </c>
      <c r="G107">
        <f t="shared" si="9"/>
        <v>585564.83039787912</v>
      </c>
    </row>
    <row r="108" spans="1:7" x14ac:dyDescent="0.25">
      <c r="A108">
        <v>2006</v>
      </c>
      <c r="B108">
        <v>993600.68016924756</v>
      </c>
      <c r="C108">
        <f t="shared" si="5"/>
        <v>149040.10202538714</v>
      </c>
      <c r="D108">
        <f t="shared" si="6"/>
        <v>844560.57814386045</v>
      </c>
      <c r="E108">
        <f t="shared" si="7"/>
        <v>422280.28907193022</v>
      </c>
      <c r="F108">
        <f t="shared" si="8"/>
        <v>422280.28907193022</v>
      </c>
      <c r="G108">
        <f t="shared" si="9"/>
        <v>571320.39109731733</v>
      </c>
    </row>
    <row r="109" spans="1:7" x14ac:dyDescent="0.25">
      <c r="A109">
        <v>2007</v>
      </c>
      <c r="B109">
        <v>1125798.3352622611</v>
      </c>
      <c r="C109">
        <f t="shared" si="5"/>
        <v>168869.75028933916</v>
      </c>
      <c r="D109">
        <f t="shared" si="6"/>
        <v>956928.58497292188</v>
      </c>
      <c r="E109">
        <f t="shared" si="7"/>
        <v>478464.29248646094</v>
      </c>
      <c r="F109">
        <f t="shared" si="8"/>
        <v>478464.29248646094</v>
      </c>
      <c r="G109">
        <f t="shared" si="9"/>
        <v>647334.0427758001</v>
      </c>
    </row>
    <row r="110" spans="1:7" x14ac:dyDescent="0.25">
      <c r="A110">
        <v>2008</v>
      </c>
      <c r="B110">
        <v>931962.88639445684</v>
      </c>
      <c r="C110">
        <f t="shared" si="5"/>
        <v>139794.43295916851</v>
      </c>
      <c r="D110">
        <f t="shared" si="6"/>
        <v>792168.45343528828</v>
      </c>
      <c r="E110">
        <f t="shared" si="7"/>
        <v>396084.22671764414</v>
      </c>
      <c r="F110">
        <f t="shared" si="8"/>
        <v>396084.22671764414</v>
      </c>
      <c r="G110">
        <f t="shared" si="9"/>
        <v>535878.65967681259</v>
      </c>
    </row>
    <row r="111" spans="1:7" x14ac:dyDescent="0.25">
      <c r="A111">
        <v>2009</v>
      </c>
      <c r="B111">
        <v>1051163.082549901</v>
      </c>
      <c r="C111">
        <f t="shared" si="5"/>
        <v>157674.46238248513</v>
      </c>
      <c r="D111">
        <f t="shared" si="6"/>
        <v>893488.62016741582</v>
      </c>
      <c r="E111">
        <f t="shared" si="7"/>
        <v>446744.31008370791</v>
      </c>
      <c r="F111">
        <f t="shared" si="8"/>
        <v>446744.31008370791</v>
      </c>
      <c r="G111">
        <f t="shared" si="9"/>
        <v>604418.77246619307</v>
      </c>
    </row>
    <row r="112" spans="1:7" x14ac:dyDescent="0.25">
      <c r="A112">
        <v>2010</v>
      </c>
      <c r="B112">
        <v>801217.41687624902</v>
      </c>
      <c r="C112">
        <f t="shared" si="5"/>
        <v>120182.61253143735</v>
      </c>
      <c r="D112">
        <f t="shared" si="6"/>
        <v>681034.80434481159</v>
      </c>
      <c r="E112">
        <f t="shared" si="7"/>
        <v>340517.4021724058</v>
      </c>
      <c r="F112">
        <f t="shared" si="8"/>
        <v>340517.4021724058</v>
      </c>
      <c r="G112">
        <f t="shared" si="9"/>
        <v>460700.01470384316</v>
      </c>
    </row>
    <row r="113" spans="1:7" x14ac:dyDescent="0.25">
      <c r="A113">
        <v>2011</v>
      </c>
      <c r="B113">
        <v>1098189.2897672791</v>
      </c>
      <c r="C113">
        <f t="shared" si="5"/>
        <v>164728.39346509185</v>
      </c>
      <c r="D113">
        <f t="shared" si="6"/>
        <v>933460.89630218712</v>
      </c>
      <c r="E113">
        <f t="shared" si="7"/>
        <v>466730.44815109356</v>
      </c>
      <c r="F113">
        <f t="shared" si="8"/>
        <v>466730.44815109356</v>
      </c>
      <c r="G113">
        <f t="shared" si="9"/>
        <v>631458.84161618538</v>
      </c>
    </row>
    <row r="114" spans="1:7" x14ac:dyDescent="0.25">
      <c r="A114">
        <v>2012</v>
      </c>
      <c r="B114">
        <v>1018757.57041449</v>
      </c>
      <c r="C114">
        <f t="shared" si="5"/>
        <v>152813.6355621735</v>
      </c>
      <c r="D114">
        <f t="shared" si="6"/>
        <v>865943.93485231639</v>
      </c>
      <c r="E114">
        <f t="shared" si="7"/>
        <v>432971.9674261582</v>
      </c>
      <c r="F114">
        <f t="shared" si="8"/>
        <v>432971.9674261582</v>
      </c>
      <c r="G114">
        <f t="shared" si="9"/>
        <v>585785.6029883317</v>
      </c>
    </row>
    <row r="115" spans="1:7" x14ac:dyDescent="0.25">
      <c r="A115">
        <v>2013</v>
      </c>
      <c r="B115">
        <v>614352.10968156764</v>
      </c>
      <c r="C115">
        <f t="shared" si="5"/>
        <v>92152.816452235144</v>
      </c>
      <c r="D115">
        <f t="shared" si="6"/>
        <v>522199.29322933248</v>
      </c>
      <c r="E115">
        <f t="shared" si="7"/>
        <v>261099.64661466624</v>
      </c>
      <c r="F115">
        <f t="shared" si="8"/>
        <v>261099.64661466624</v>
      </c>
      <c r="G115">
        <f t="shared" si="9"/>
        <v>353252.46306690137</v>
      </c>
    </row>
    <row r="116" spans="1:7" x14ac:dyDescent="0.25">
      <c r="A116">
        <v>2014</v>
      </c>
      <c r="B116">
        <v>940842.19613878301</v>
      </c>
      <c r="C116">
        <f t="shared" si="5"/>
        <v>141126.32942081743</v>
      </c>
      <c r="D116">
        <f t="shared" si="6"/>
        <v>799715.86671796557</v>
      </c>
      <c r="E116">
        <f t="shared" si="7"/>
        <v>399857.93335898279</v>
      </c>
      <c r="F116">
        <f t="shared" si="8"/>
        <v>399857.93335898279</v>
      </c>
      <c r="G116">
        <f t="shared" si="9"/>
        <v>540984.26277980022</v>
      </c>
    </row>
    <row r="117" spans="1:7" x14ac:dyDescent="0.25">
      <c r="A117">
        <v>2015</v>
      </c>
      <c r="B117">
        <v>842302.44391763478</v>
      </c>
      <c r="C117">
        <f t="shared" si="5"/>
        <v>126345.36658764521</v>
      </c>
      <c r="D117">
        <f t="shared" si="6"/>
        <v>715957.07732998952</v>
      </c>
      <c r="E117">
        <f t="shared" si="7"/>
        <v>357978.53866499476</v>
      </c>
      <c r="F117">
        <f t="shared" si="8"/>
        <v>357978.53866499476</v>
      </c>
      <c r="G117">
        <f t="shared" si="9"/>
        <v>484323.90525263996</v>
      </c>
    </row>
    <row r="118" spans="1:7" x14ac:dyDescent="0.25">
      <c r="A118">
        <v>2016</v>
      </c>
      <c r="B118">
        <v>984466.19294437545</v>
      </c>
      <c r="C118">
        <f t="shared" si="5"/>
        <v>147669.92894165631</v>
      </c>
      <c r="D118">
        <f t="shared" si="6"/>
        <v>836796.26400271908</v>
      </c>
      <c r="E118">
        <f t="shared" si="7"/>
        <v>418398.13200135954</v>
      </c>
      <c r="F118">
        <f t="shared" si="8"/>
        <v>418398.13200135954</v>
      </c>
      <c r="G118">
        <f t="shared" si="9"/>
        <v>566068.06094301585</v>
      </c>
    </row>
    <row r="119" spans="1:7" x14ac:dyDescent="0.25">
      <c r="A119">
        <v>2017</v>
      </c>
      <c r="B119">
        <v>932951.2805592902</v>
      </c>
      <c r="C119">
        <f t="shared" si="5"/>
        <v>139942.69208389352</v>
      </c>
      <c r="D119">
        <f t="shared" si="6"/>
        <v>793008.58847539662</v>
      </c>
      <c r="E119">
        <f t="shared" si="7"/>
        <v>396504.29423769831</v>
      </c>
      <c r="F119">
        <f t="shared" si="8"/>
        <v>396504.29423769831</v>
      </c>
      <c r="G119">
        <f t="shared" si="9"/>
        <v>536446.98632159177</v>
      </c>
    </row>
    <row r="120" spans="1:7" x14ac:dyDescent="0.25">
      <c r="A120">
        <v>2018</v>
      </c>
      <c r="B120">
        <v>814300.3511198801</v>
      </c>
      <c r="C120">
        <f t="shared" si="5"/>
        <v>122145.052667982</v>
      </c>
      <c r="D120">
        <f t="shared" si="6"/>
        <v>692155.29845189804</v>
      </c>
      <c r="E120">
        <f t="shared" si="7"/>
        <v>346077.64922594902</v>
      </c>
      <c r="F120">
        <f t="shared" si="8"/>
        <v>346077.64922594902</v>
      </c>
      <c r="G120">
        <f t="shared" si="9"/>
        <v>468222.70189393102</v>
      </c>
    </row>
    <row r="121" spans="1:7" x14ac:dyDescent="0.25">
      <c r="A121">
        <v>2019</v>
      </c>
      <c r="B121">
        <v>1179303.9181589</v>
      </c>
      <c r="C121">
        <f t="shared" si="5"/>
        <v>176895.58772383499</v>
      </c>
      <c r="D121">
        <f t="shared" si="6"/>
        <v>1002408.330435065</v>
      </c>
      <c r="E121">
        <f t="shared" si="7"/>
        <v>501204.16521753249</v>
      </c>
      <c r="F121">
        <f t="shared" si="8"/>
        <v>501204.16521753249</v>
      </c>
      <c r="G121">
        <f t="shared" si="9"/>
        <v>678099.75294136745</v>
      </c>
    </row>
    <row r="122" spans="1:7" x14ac:dyDescent="0.25">
      <c r="A122">
        <v>2020</v>
      </c>
      <c r="B122">
        <v>901958.7134804154</v>
      </c>
      <c r="C122">
        <f t="shared" si="5"/>
        <v>135293.8070220623</v>
      </c>
      <c r="D122">
        <f t="shared" si="6"/>
        <v>766664.90645835304</v>
      </c>
      <c r="E122">
        <f t="shared" si="7"/>
        <v>383332.45322917652</v>
      </c>
      <c r="F122">
        <f t="shared" si="8"/>
        <v>383332.45322917652</v>
      </c>
      <c r="G122">
        <f t="shared" si="9"/>
        <v>518626.26025123883</v>
      </c>
    </row>
    <row r="123" spans="1:7" x14ac:dyDescent="0.25">
      <c r="A123">
        <v>2021</v>
      </c>
      <c r="B123">
        <v>995750.65989263752</v>
      </c>
      <c r="C123">
        <f t="shared" si="5"/>
        <v>149362.59898389562</v>
      </c>
      <c r="D123">
        <f t="shared" si="6"/>
        <v>846388.0609087419</v>
      </c>
      <c r="E123">
        <f t="shared" si="7"/>
        <v>423194.03045437095</v>
      </c>
      <c r="F123">
        <f t="shared" si="8"/>
        <v>423194.03045437095</v>
      </c>
      <c r="G123">
        <f t="shared" si="9"/>
        <v>572556.62943826662</v>
      </c>
    </row>
    <row r="124" spans="1:7" x14ac:dyDescent="0.25">
      <c r="A124">
        <v>2022</v>
      </c>
      <c r="B124">
        <v>1063187.488724445</v>
      </c>
      <c r="C124">
        <f t="shared" si="5"/>
        <v>159478.12330866675</v>
      </c>
      <c r="D124">
        <f t="shared" si="6"/>
        <v>903709.36541577824</v>
      </c>
      <c r="E124">
        <f t="shared" si="7"/>
        <v>451854.68270788912</v>
      </c>
      <c r="F124">
        <f t="shared" si="8"/>
        <v>451854.68270788912</v>
      </c>
      <c r="G124">
        <f t="shared" si="9"/>
        <v>611332.80601655587</v>
      </c>
    </row>
    <row r="125" spans="1:7" x14ac:dyDescent="0.25">
      <c r="A125">
        <v>2023</v>
      </c>
      <c r="B125">
        <v>761468.78171696037</v>
      </c>
      <c r="C125">
        <f t="shared" si="5"/>
        <v>114220.31725754405</v>
      </c>
      <c r="D125">
        <f t="shared" si="6"/>
        <v>647248.46445941634</v>
      </c>
      <c r="E125">
        <f t="shared" si="7"/>
        <v>323624.23222970817</v>
      </c>
      <c r="F125">
        <f t="shared" si="8"/>
        <v>323624.23222970817</v>
      </c>
      <c r="G125">
        <f t="shared" si="9"/>
        <v>437844.54948725225</v>
      </c>
    </row>
    <row r="126" spans="1:7" x14ac:dyDescent="0.25">
      <c r="A126">
        <v>2024</v>
      </c>
      <c r="B126">
        <v>845427.97703716904</v>
      </c>
      <c r="C126">
        <f t="shared" si="5"/>
        <v>126814.19655557536</v>
      </c>
      <c r="D126">
        <f t="shared" si="6"/>
        <v>718613.78048159368</v>
      </c>
      <c r="E126">
        <f t="shared" si="7"/>
        <v>359306.89024079684</v>
      </c>
      <c r="F126">
        <f t="shared" si="8"/>
        <v>359306.89024079684</v>
      </c>
      <c r="G126">
        <f t="shared" si="9"/>
        <v>486121.0867963722</v>
      </c>
    </row>
    <row r="127" spans="1:7" x14ac:dyDescent="0.25">
      <c r="A127">
        <v>2025</v>
      </c>
      <c r="B127">
        <v>918689.25604915479</v>
      </c>
      <c r="C127">
        <f t="shared" si="5"/>
        <v>137803.38840737322</v>
      </c>
      <c r="D127">
        <f t="shared" si="6"/>
        <v>780885.86764178157</v>
      </c>
      <c r="E127">
        <f t="shared" si="7"/>
        <v>390442.93382089079</v>
      </c>
      <c r="F127">
        <f t="shared" si="8"/>
        <v>390442.93382089079</v>
      </c>
      <c r="G127">
        <f t="shared" si="9"/>
        <v>528246.32222826406</v>
      </c>
    </row>
    <row r="128" spans="1:7" x14ac:dyDescent="0.25">
      <c r="A128">
        <v>2026</v>
      </c>
      <c r="B128">
        <v>857170.51023576932</v>
      </c>
      <c r="C128">
        <f t="shared" si="5"/>
        <v>128575.5765353654</v>
      </c>
      <c r="D128">
        <f t="shared" si="6"/>
        <v>728594.9337004039</v>
      </c>
      <c r="E128">
        <f t="shared" si="7"/>
        <v>364297.46685020195</v>
      </c>
      <c r="F128">
        <f t="shared" si="8"/>
        <v>364297.46685020195</v>
      </c>
      <c r="G128">
        <f t="shared" si="9"/>
        <v>492873.04338556738</v>
      </c>
    </row>
    <row r="129" spans="1:7" x14ac:dyDescent="0.25">
      <c r="A129">
        <v>2027</v>
      </c>
      <c r="B129">
        <v>971182.24070378824</v>
      </c>
      <c r="C129">
        <f t="shared" si="5"/>
        <v>145677.33610556822</v>
      </c>
      <c r="D129">
        <f t="shared" si="6"/>
        <v>825504.90459822002</v>
      </c>
      <c r="E129">
        <f t="shared" si="7"/>
        <v>412752.45229911001</v>
      </c>
      <c r="F129">
        <f t="shared" si="8"/>
        <v>412752.45229911001</v>
      </c>
      <c r="G129">
        <f t="shared" si="9"/>
        <v>558429.78840467823</v>
      </c>
    </row>
    <row r="130" spans="1:7" x14ac:dyDescent="0.25">
      <c r="A130">
        <v>2028</v>
      </c>
      <c r="B130">
        <v>962906.37066845829</v>
      </c>
      <c r="C130">
        <f t="shared" si="5"/>
        <v>144435.95560026873</v>
      </c>
      <c r="D130">
        <f t="shared" si="6"/>
        <v>818470.4150681895</v>
      </c>
      <c r="E130">
        <f t="shared" si="7"/>
        <v>409235.20753409475</v>
      </c>
      <c r="F130">
        <f t="shared" si="8"/>
        <v>409235.20753409475</v>
      </c>
      <c r="G130">
        <f t="shared" si="9"/>
        <v>553671.16313436348</v>
      </c>
    </row>
    <row r="131" spans="1:7" x14ac:dyDescent="0.25">
      <c r="A131">
        <v>2029</v>
      </c>
      <c r="B131">
        <v>925788.44761007</v>
      </c>
      <c r="C131">
        <f t="shared" ref="C131:C152" si="10">B131*0.15</f>
        <v>138868.2671415105</v>
      </c>
      <c r="D131">
        <f t="shared" ref="D131:D152" si="11">B131*0.85</f>
        <v>786920.1804685595</v>
      </c>
      <c r="E131">
        <f t="shared" ref="E131:E152" si="12">D131*0.5</f>
        <v>393460.09023427975</v>
      </c>
      <c r="F131">
        <f t="shared" ref="F131:F152" si="13">D131-E131</f>
        <v>393460.09023427975</v>
      </c>
      <c r="G131">
        <f t="shared" ref="G131:G152" si="14">F131+C131</f>
        <v>532328.35737579025</v>
      </c>
    </row>
    <row r="132" spans="1:7" x14ac:dyDescent="0.25">
      <c r="A132">
        <v>2030</v>
      </c>
      <c r="B132">
        <v>1034456.622374701</v>
      </c>
      <c r="C132">
        <f t="shared" si="10"/>
        <v>155168.49335620514</v>
      </c>
      <c r="D132">
        <f t="shared" si="11"/>
        <v>879288.12901849579</v>
      </c>
      <c r="E132">
        <f t="shared" si="12"/>
        <v>439644.0645092479</v>
      </c>
      <c r="F132">
        <f t="shared" si="13"/>
        <v>439644.0645092479</v>
      </c>
      <c r="G132">
        <f t="shared" si="14"/>
        <v>594812.55786545307</v>
      </c>
    </row>
    <row r="133" spans="1:7" x14ac:dyDescent="0.25">
      <c r="A133">
        <v>2031</v>
      </c>
      <c r="B133">
        <v>944885.23781059054</v>
      </c>
      <c r="C133">
        <f t="shared" si="10"/>
        <v>141732.78567158859</v>
      </c>
      <c r="D133">
        <f t="shared" si="11"/>
        <v>803152.45213900192</v>
      </c>
      <c r="E133">
        <f t="shared" si="12"/>
        <v>401576.22606950096</v>
      </c>
      <c r="F133">
        <f t="shared" si="13"/>
        <v>401576.22606950096</v>
      </c>
      <c r="G133">
        <f t="shared" si="14"/>
        <v>543309.01174108952</v>
      </c>
    </row>
    <row r="134" spans="1:7" x14ac:dyDescent="0.25">
      <c r="A134">
        <v>2032</v>
      </c>
      <c r="B134">
        <v>761572.5780756328</v>
      </c>
      <c r="C134">
        <f t="shared" si="10"/>
        <v>114235.88671134492</v>
      </c>
      <c r="D134">
        <f t="shared" si="11"/>
        <v>647336.69136428786</v>
      </c>
      <c r="E134">
        <f t="shared" si="12"/>
        <v>323668.34568214393</v>
      </c>
      <c r="F134">
        <f t="shared" si="13"/>
        <v>323668.34568214393</v>
      </c>
      <c r="G134">
        <f t="shared" si="14"/>
        <v>437904.23239348887</v>
      </c>
    </row>
    <row r="135" spans="1:7" x14ac:dyDescent="0.25">
      <c r="A135">
        <v>2033</v>
      </c>
      <c r="B135">
        <v>946487.21673652809</v>
      </c>
      <c r="C135">
        <f t="shared" si="10"/>
        <v>141973.0825104792</v>
      </c>
      <c r="D135">
        <f t="shared" si="11"/>
        <v>804514.13422604883</v>
      </c>
      <c r="E135">
        <f t="shared" si="12"/>
        <v>402257.06711302442</v>
      </c>
      <c r="F135">
        <f t="shared" si="13"/>
        <v>402257.06711302442</v>
      </c>
      <c r="G135">
        <f t="shared" si="14"/>
        <v>544230.14962350368</v>
      </c>
    </row>
    <row r="136" spans="1:7" x14ac:dyDescent="0.25">
      <c r="A136">
        <v>2034</v>
      </c>
      <c r="B136">
        <v>1077053.9038643951</v>
      </c>
      <c r="C136">
        <f t="shared" si="10"/>
        <v>161558.08557965927</v>
      </c>
      <c r="D136">
        <f t="shared" si="11"/>
        <v>915495.81828473578</v>
      </c>
      <c r="E136">
        <f t="shared" si="12"/>
        <v>457747.90914236789</v>
      </c>
      <c r="F136">
        <f t="shared" si="13"/>
        <v>457747.90914236789</v>
      </c>
      <c r="G136">
        <f t="shared" si="14"/>
        <v>619305.9947220271</v>
      </c>
    </row>
    <row r="137" spans="1:7" x14ac:dyDescent="0.25">
      <c r="A137">
        <v>2035</v>
      </c>
      <c r="B137">
        <v>716546.29932338465</v>
      </c>
      <c r="C137">
        <f t="shared" si="10"/>
        <v>107481.94489850769</v>
      </c>
      <c r="D137">
        <f t="shared" si="11"/>
        <v>609064.35442487698</v>
      </c>
      <c r="E137">
        <f t="shared" si="12"/>
        <v>304532.17721243849</v>
      </c>
      <c r="F137">
        <f t="shared" si="13"/>
        <v>304532.17721243849</v>
      </c>
      <c r="G137">
        <f t="shared" si="14"/>
        <v>412014.12211094616</v>
      </c>
    </row>
    <row r="138" spans="1:7" x14ac:dyDescent="0.25">
      <c r="A138">
        <v>2036</v>
      </c>
      <c r="B138">
        <v>726711.28926498722</v>
      </c>
      <c r="C138">
        <f t="shared" si="10"/>
        <v>109006.69338974808</v>
      </c>
      <c r="D138">
        <f t="shared" si="11"/>
        <v>617704.59587523912</v>
      </c>
      <c r="E138">
        <f t="shared" si="12"/>
        <v>308852.29793761956</v>
      </c>
      <c r="F138">
        <f t="shared" si="13"/>
        <v>308852.29793761956</v>
      </c>
      <c r="G138">
        <f t="shared" si="14"/>
        <v>417858.99132736761</v>
      </c>
    </row>
    <row r="139" spans="1:7" x14ac:dyDescent="0.25">
      <c r="A139">
        <v>2037</v>
      </c>
      <c r="B139">
        <v>1271048.079403189</v>
      </c>
      <c r="C139">
        <f t="shared" si="10"/>
        <v>190657.21191047833</v>
      </c>
      <c r="D139">
        <f t="shared" si="11"/>
        <v>1080390.8674927107</v>
      </c>
      <c r="E139">
        <f t="shared" si="12"/>
        <v>540195.43374635535</v>
      </c>
      <c r="F139">
        <f t="shared" si="13"/>
        <v>540195.43374635535</v>
      </c>
      <c r="G139">
        <f t="shared" si="14"/>
        <v>730852.64565683366</v>
      </c>
    </row>
    <row r="140" spans="1:7" x14ac:dyDescent="0.25">
      <c r="A140">
        <v>2038</v>
      </c>
      <c r="B140">
        <v>868854.63496319717</v>
      </c>
      <c r="C140">
        <f t="shared" si="10"/>
        <v>130328.19524447958</v>
      </c>
      <c r="D140">
        <f t="shared" si="11"/>
        <v>738526.43971871759</v>
      </c>
      <c r="E140">
        <f t="shared" si="12"/>
        <v>369263.2198593588</v>
      </c>
      <c r="F140">
        <f t="shared" si="13"/>
        <v>369263.2198593588</v>
      </c>
      <c r="G140">
        <f t="shared" si="14"/>
        <v>499591.41510383837</v>
      </c>
    </row>
    <row r="141" spans="1:7" x14ac:dyDescent="0.25">
      <c r="A141">
        <v>2039</v>
      </c>
      <c r="B141">
        <v>1034459.38293172</v>
      </c>
      <c r="C141">
        <f t="shared" si="10"/>
        <v>155168.90743975798</v>
      </c>
      <c r="D141">
        <f t="shared" si="11"/>
        <v>879290.47549196193</v>
      </c>
      <c r="E141">
        <f t="shared" si="12"/>
        <v>439645.23774598096</v>
      </c>
      <c r="F141">
        <f t="shared" si="13"/>
        <v>439645.23774598096</v>
      </c>
      <c r="G141">
        <f t="shared" si="14"/>
        <v>594814.14518573892</v>
      </c>
    </row>
    <row r="142" spans="1:7" x14ac:dyDescent="0.25">
      <c r="A142">
        <v>2040</v>
      </c>
      <c r="B142">
        <v>882943.97343564651</v>
      </c>
      <c r="C142">
        <f t="shared" si="10"/>
        <v>132441.59601534696</v>
      </c>
      <c r="D142">
        <f t="shared" si="11"/>
        <v>750502.37742029945</v>
      </c>
      <c r="E142">
        <f t="shared" si="12"/>
        <v>375251.18871014973</v>
      </c>
      <c r="F142">
        <f t="shared" si="13"/>
        <v>375251.18871014973</v>
      </c>
      <c r="G142">
        <f t="shared" si="14"/>
        <v>507692.78472549666</v>
      </c>
    </row>
    <row r="143" spans="1:7" x14ac:dyDescent="0.25">
      <c r="A143">
        <v>2041</v>
      </c>
      <c r="B143">
        <v>814552.63696248177</v>
      </c>
      <c r="C143">
        <f t="shared" si="10"/>
        <v>122182.89554437227</v>
      </c>
      <c r="D143">
        <f t="shared" si="11"/>
        <v>692369.74141810951</v>
      </c>
      <c r="E143">
        <f t="shared" si="12"/>
        <v>346184.87070905475</v>
      </c>
      <c r="F143">
        <f t="shared" si="13"/>
        <v>346184.87070905475</v>
      </c>
      <c r="G143">
        <f t="shared" si="14"/>
        <v>468367.76625342702</v>
      </c>
    </row>
    <row r="144" spans="1:7" x14ac:dyDescent="0.25">
      <c r="A144">
        <v>2042</v>
      </c>
      <c r="B144">
        <v>803823.80894899182</v>
      </c>
      <c r="C144">
        <f t="shared" si="10"/>
        <v>120573.57134234876</v>
      </c>
      <c r="D144">
        <f t="shared" si="11"/>
        <v>683250.237606643</v>
      </c>
      <c r="E144">
        <f t="shared" si="12"/>
        <v>341625.1188033215</v>
      </c>
      <c r="F144">
        <f t="shared" si="13"/>
        <v>341625.1188033215</v>
      </c>
      <c r="G144">
        <f t="shared" si="14"/>
        <v>462198.69014567026</v>
      </c>
    </row>
    <row r="145" spans="1:7" x14ac:dyDescent="0.25">
      <c r="A145">
        <v>2043</v>
      </c>
      <c r="B145">
        <v>875914.32219723379</v>
      </c>
      <c r="C145">
        <f t="shared" si="10"/>
        <v>131387.14832958506</v>
      </c>
      <c r="D145">
        <f t="shared" si="11"/>
        <v>744527.1738676487</v>
      </c>
      <c r="E145">
        <f t="shared" si="12"/>
        <v>372263.58693382435</v>
      </c>
      <c r="F145">
        <f t="shared" si="13"/>
        <v>372263.58693382435</v>
      </c>
      <c r="G145">
        <f t="shared" si="14"/>
        <v>503650.73526340944</v>
      </c>
    </row>
    <row r="146" spans="1:7" x14ac:dyDescent="0.25">
      <c r="A146">
        <v>2044</v>
      </c>
      <c r="B146">
        <v>1148986.373478807</v>
      </c>
      <c r="C146">
        <f t="shared" si="10"/>
        <v>172347.95602182104</v>
      </c>
      <c r="D146">
        <f t="shared" si="11"/>
        <v>976638.41745698592</v>
      </c>
      <c r="E146">
        <f t="shared" si="12"/>
        <v>488319.20872849296</v>
      </c>
      <c r="F146">
        <f t="shared" si="13"/>
        <v>488319.20872849296</v>
      </c>
      <c r="G146">
        <f t="shared" si="14"/>
        <v>660667.16475031397</v>
      </c>
    </row>
    <row r="147" spans="1:7" x14ac:dyDescent="0.25">
      <c r="A147">
        <v>2045</v>
      </c>
      <c r="B147">
        <v>911581.16541577829</v>
      </c>
      <c r="C147">
        <f t="shared" si="10"/>
        <v>136737.17481236675</v>
      </c>
      <c r="D147">
        <f t="shared" si="11"/>
        <v>774843.99060341157</v>
      </c>
      <c r="E147">
        <f t="shared" si="12"/>
        <v>387421.99530170579</v>
      </c>
      <c r="F147">
        <f t="shared" si="13"/>
        <v>387421.99530170579</v>
      </c>
      <c r="G147">
        <f t="shared" si="14"/>
        <v>524159.17011407251</v>
      </c>
    </row>
    <row r="148" spans="1:7" x14ac:dyDescent="0.25">
      <c r="A148">
        <v>2046</v>
      </c>
      <c r="B148">
        <v>839286.30432221713</v>
      </c>
      <c r="C148">
        <f t="shared" si="10"/>
        <v>125892.94564833256</v>
      </c>
      <c r="D148">
        <f t="shared" si="11"/>
        <v>713393.35867388453</v>
      </c>
      <c r="E148">
        <f t="shared" si="12"/>
        <v>356696.67933694227</v>
      </c>
      <c r="F148">
        <f t="shared" si="13"/>
        <v>356696.67933694227</v>
      </c>
      <c r="G148">
        <f t="shared" si="14"/>
        <v>482589.62498527486</v>
      </c>
    </row>
    <row r="149" spans="1:7" x14ac:dyDescent="0.25">
      <c r="A149">
        <v>2047</v>
      </c>
      <c r="B149">
        <v>743072.36316483177</v>
      </c>
      <c r="C149">
        <f t="shared" si="10"/>
        <v>111460.85447472477</v>
      </c>
      <c r="D149">
        <f t="shared" si="11"/>
        <v>631611.50869010703</v>
      </c>
      <c r="E149">
        <f t="shared" si="12"/>
        <v>315805.75434505352</v>
      </c>
      <c r="F149">
        <f t="shared" si="13"/>
        <v>315805.75434505352</v>
      </c>
      <c r="G149">
        <f t="shared" si="14"/>
        <v>427266.60881977831</v>
      </c>
    </row>
    <row r="150" spans="1:7" x14ac:dyDescent="0.25">
      <c r="A150">
        <v>2048</v>
      </c>
      <c r="B150">
        <v>885261.64788881002</v>
      </c>
      <c r="C150">
        <f t="shared" si="10"/>
        <v>132789.24718332151</v>
      </c>
      <c r="D150">
        <f t="shared" si="11"/>
        <v>752472.40070548852</v>
      </c>
      <c r="E150">
        <f t="shared" si="12"/>
        <v>376236.20035274426</v>
      </c>
      <c r="F150">
        <f t="shared" si="13"/>
        <v>376236.20035274426</v>
      </c>
      <c r="G150">
        <f t="shared" si="14"/>
        <v>509025.44753606577</v>
      </c>
    </row>
    <row r="151" spans="1:7" x14ac:dyDescent="0.25">
      <c r="A151">
        <v>2049</v>
      </c>
      <c r="B151">
        <v>852086.55711795657</v>
      </c>
      <c r="C151">
        <f t="shared" si="10"/>
        <v>127812.98356769347</v>
      </c>
      <c r="D151">
        <f t="shared" si="11"/>
        <v>724273.57355026307</v>
      </c>
      <c r="E151">
        <f t="shared" si="12"/>
        <v>362136.78677513154</v>
      </c>
      <c r="F151">
        <f t="shared" si="13"/>
        <v>362136.78677513154</v>
      </c>
      <c r="G151">
        <f t="shared" si="14"/>
        <v>489949.77034282498</v>
      </c>
    </row>
    <row r="152" spans="1:7" x14ac:dyDescent="0.25">
      <c r="A152">
        <v>2050</v>
      </c>
      <c r="B152">
        <v>1082482.464705182</v>
      </c>
      <c r="C152">
        <f t="shared" si="10"/>
        <v>162372.3697057773</v>
      </c>
      <c r="D152">
        <f t="shared" si="11"/>
        <v>920110.09499940462</v>
      </c>
      <c r="E152">
        <f t="shared" si="12"/>
        <v>460055.04749970231</v>
      </c>
      <c r="F152">
        <f t="shared" si="13"/>
        <v>460055.04749970231</v>
      </c>
      <c r="G152">
        <f t="shared" si="14"/>
        <v>622427.41720547958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Wood_Yield_Data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Johannes Scholz</cp:lastModifiedBy>
  <dcterms:created xsi:type="dcterms:W3CDTF">2025-09-15T19:28:02Z</dcterms:created>
  <dcterms:modified xsi:type="dcterms:W3CDTF">2025-09-16T11:16:01Z</dcterms:modified>
</cp:coreProperties>
</file>