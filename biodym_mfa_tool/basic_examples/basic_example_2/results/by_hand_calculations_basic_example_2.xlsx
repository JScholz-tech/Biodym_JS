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Desktop\"/>
    </mc:Choice>
  </mc:AlternateContent>
  <xr:revisionPtr revIDLastSave="0" documentId="13_ncr:1_{DC739AB9-F6BE-487A-80AA-ED5677D40269}" xr6:coauthVersionLast="47" xr6:coauthVersionMax="47" xr10:uidLastSave="{00000000-0000-0000-0000-000000000000}"/>
  <bookViews>
    <workbookView xWindow="-110" yWindow="-110" windowWidth="19420" windowHeight="10560" activeTab="1" xr2:uid="{3C1A2E4B-2709-4C2B-94F1-2EC0759C7D50}"/>
  </bookViews>
  <sheets>
    <sheet name="biomass" sheetId="1" r:id="rId1"/>
    <sheet name="carb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2" i="3"/>
  <c r="J3" i="3"/>
  <c r="H3" i="3"/>
  <c r="H4" i="3"/>
  <c r="H5" i="3"/>
  <c r="H2" i="3"/>
  <c r="J2" i="3" s="1"/>
  <c r="B3" i="3"/>
  <c r="B4" i="3"/>
  <c r="B5" i="3"/>
  <c r="B2" i="3"/>
  <c r="J3" i="1"/>
  <c r="I3" i="1"/>
  <c r="I4" i="1"/>
  <c r="I5" i="1"/>
  <c r="I2" i="1"/>
  <c r="H3" i="1"/>
  <c r="H4" i="1"/>
  <c r="H5" i="1"/>
  <c r="H2" i="1"/>
  <c r="J2" i="1" s="1"/>
  <c r="J4" i="3" l="1"/>
  <c r="J4" i="1"/>
  <c r="J5" i="1" s="1"/>
  <c r="J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tc={B65E6DA8-7DF0-4757-B4DB-B941B2E3325B}</author>
    <author>tc={973992B6-7D0E-42BB-8B80-0F72CD104E11}</author>
    <author>tc={08F4B4E8-B4C4-4414-B07A-EFC4656653AF}</author>
  </authors>
  <commentList>
    <comment ref="A8" authorId="0" shapeId="0" xr:uid="{B65E6DA8-7DF0-4757-B4DB-B941B2E3325B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
Dai, J., Bean, B., Brown, B., Bruening, W., Edwards, J., Flowers, M., Karow, R., Lee, C., Morgan, G., Ottman, M., Ransom, J., &amp; Wiersma, J. (2016). Harvest index and straw yield of five classes of wheat. Biomass and Bioenergy, 85, 223–227. 
https://doi.org/10.1016/j.biombioe.2015.12.023</t>
      </text>
    </comment>
    <comment ref="A9" authorId="1" shapeId="0" xr:uid="{973992B6-7D0E-42BB-8B80-0F72CD104E11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
Kumar, M., Singh, R. P., Panigrahy, S., &amp; Raghubanshi, A. (2014). Carbon density and accumulation in agroecosystem of Indo-Gangetic Plains and Vindhyan highlands, India. Environmental Monitoring and Assessment, 186. 
https://doi.org/10.1007/s10661-014-3752-3</t>
      </text>
    </comment>
    <comment ref="A10" authorId="2" shapeId="0" xr:uid="{08F4B4E8-B4C4-4414-B07A-EFC4656653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from
Kumar, M., Singh, R. P., Panigrahy, S., &amp; Raghubanshi, A. (2014). Carbon density and accumulation in agroecosystem of Indo-Gangetic Plains and Vindhyan highlands, India. Environmental Monitoring and Assessment, 186. 
https://doi.org/10.1007/s10661-014-3752-3
</t>
      </text>
    </comment>
  </commentList>
</comments>
</file>

<file path=xl/sharedStrings.xml><?xml version="1.0" encoding="utf-8"?>
<sst xmlns="http://schemas.openxmlformats.org/spreadsheetml/2006/main" count="13" uniqueCount="8">
  <si>
    <t>Year</t>
  </si>
  <si>
    <t>F_0_1</t>
  </si>
  <si>
    <t>F_1_2</t>
  </si>
  <si>
    <t>S_2</t>
  </si>
  <si>
    <t>harvest_index</t>
  </si>
  <si>
    <t>grain_c_conten</t>
  </si>
  <si>
    <t>straw_c_content</t>
  </si>
  <si>
    <t>F_1_0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</si>
</sst>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U-Pseudonym 9055540188463204" id="{539CE0AB-BC21-4194-AD6E-4400131F6433}" userId="S::9055540188463204@msopseudo.tu-berlin.de::f91bf609-7611-46e6-9fb8-36b89ba70c4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" dT="2025-02-05T12:12:31.09" personId="{539CE0AB-BC21-4194-AD6E-4400131F6433}" id="{B65E6DA8-7DF0-4757-B4DB-B941B2E3325B}">
    <text>from 
Dai, J., Bean, B., Brown, B., Bruening, W., Edwards, J., Flowers, M., Karow, R., Lee, C., Morgan, G., Ottman, M., Ransom, J., &amp; Wiersma, J. (2016). Harvest index and straw yield of five classes of wheat. Biomass and Bioenergy, 85, 223–227. 
https://doi.org/10.1016/j.biombioe.2015.12.023</text>
    <extLst>
      <x:ext xmlns:xltc2="http://schemas.microsoft.com/office/spreadsheetml/2020/threadedcomments2" uri="{F7C98A9C-CBB3-438F-8F68-D28B6AF4A901}">
        <xltc2:checksum>2570720551</xltc2:checksum>
        <xltc2:hyperlink startIndex="247" length="46" url="https://doi.org/10.1016/j.biombioe.2015.12.023"/>
      </x:ext>
    </extLst>
  </threadedComment>
  <threadedComment ref="A9" dT="2025-02-05T12:13:02.64" personId="{539CE0AB-BC21-4194-AD6E-4400131F6433}" id="{973992B6-7D0E-42BB-8B80-0F72CD104E11}">
    <text>from
Kumar, M., Singh, R. P., Panigrahy, S., &amp; Raghubanshi, A. (2014). Carbon density and accumulation in agroecosystem of Indo-Gangetic Plains and Vindhyan highlands, India. Environmental Monitoring and Assessment, 186. 
https://doi.org/10.1007/s10661-014-3752-3</text>
    <extLst>
      <x:ext xmlns:xltc2="http://schemas.microsoft.com/office/spreadsheetml/2020/threadedcomments2" uri="{F7C98A9C-CBB3-438F-8F68-D28B6AF4A901}">
        <xltc2:checksum>454017745</xltc2:checksum>
        <xltc2:hyperlink startIndex="222" length="41" url="https://doi.org/10.1007/s10661-014-3752-3"/>
      </x:ext>
    </extLst>
  </threadedComment>
  <threadedComment ref="A10" dT="2025-02-05T12:13:07.69" personId="{539CE0AB-BC21-4194-AD6E-4400131F6433}" id="{08F4B4E8-B4C4-4414-B07A-EFC4656653AF}">
    <text xml:space="preserve">from
Kumar, M., Singh, R. P., Panigrahy, S., &amp; Raghubanshi, A. (2014). Carbon density and accumulation in agroecosystem of Indo-Gangetic Plains and Vindhyan highlands, India. Environmental Monitoring and Assessment, 186. 
https://doi.org/10.1007/s10661-014-3752-3
</text>
    <extLst>
      <x:ext xmlns:xltc2="http://schemas.microsoft.com/office/spreadsheetml/2020/threadedcomments2" uri="{F7C98A9C-CBB3-438F-8F68-D28B6AF4A901}">
        <xltc2:checksum>3269155125</xltc2:checksum>
        <xltc2:hyperlink startIndex="222" length="41" url="https://doi.org/10.1007/s10661-014-3752-3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8CAF-8C23-4E06-88DD-7CBA5D7FA9D7}">
  <dimension ref="A1:J10"/>
  <sheetViews>
    <sheetView workbookViewId="0">
      <selection activeCell="K12" sqref="K12"/>
    </sheetView>
  </sheetViews>
  <sheetFormatPr defaultRowHeight="14.5" x14ac:dyDescent="0.35"/>
  <cols>
    <col min="1" max="1" width="14.54296875" customWidth="1"/>
  </cols>
  <sheetData>
    <row r="1" spans="1:10" x14ac:dyDescent="0.35">
      <c r="A1" t="s">
        <v>0</v>
      </c>
      <c r="B1" t="s">
        <v>1</v>
      </c>
      <c r="H1" t="s">
        <v>2</v>
      </c>
      <c r="I1" t="s">
        <v>7</v>
      </c>
      <c r="J1" t="s">
        <v>3</v>
      </c>
    </row>
    <row r="2" spans="1:10" x14ac:dyDescent="0.35">
      <c r="A2">
        <v>2025</v>
      </c>
      <c r="B2">
        <v>100</v>
      </c>
      <c r="H2">
        <f>B2*$B$8</f>
        <v>45</v>
      </c>
      <c r="I2">
        <f>B2-H2</f>
        <v>55</v>
      </c>
      <c r="J2">
        <f>H2</f>
        <v>45</v>
      </c>
    </row>
    <row r="3" spans="1:10" x14ac:dyDescent="0.35">
      <c r="A3">
        <v>2026</v>
      </c>
      <c r="B3">
        <v>110</v>
      </c>
      <c r="H3">
        <f>B3*$B$8</f>
        <v>49.5</v>
      </c>
      <c r="I3">
        <f t="shared" ref="I3:I5" si="0">B3-H3</f>
        <v>60.5</v>
      </c>
      <c r="J3">
        <f>J2+H3</f>
        <v>94.5</v>
      </c>
    </row>
    <row r="4" spans="1:10" x14ac:dyDescent="0.35">
      <c r="A4">
        <v>2027</v>
      </c>
      <c r="B4">
        <v>120</v>
      </c>
      <c r="H4">
        <f t="shared" ref="H3:H5" si="1">B4*$B$8</f>
        <v>54</v>
      </c>
      <c r="I4">
        <f t="shared" si="0"/>
        <v>66</v>
      </c>
      <c r="J4">
        <f>J3+H4</f>
        <v>148.5</v>
      </c>
    </row>
    <row r="5" spans="1:10" x14ac:dyDescent="0.35">
      <c r="A5">
        <v>2028</v>
      </c>
      <c r="B5">
        <v>130</v>
      </c>
      <c r="H5">
        <f t="shared" si="1"/>
        <v>58.5</v>
      </c>
      <c r="I5">
        <f t="shared" si="0"/>
        <v>71.5</v>
      </c>
      <c r="J5">
        <f>J4+H5</f>
        <v>207</v>
      </c>
    </row>
    <row r="8" spans="1:10" x14ac:dyDescent="0.35">
      <c r="A8" t="s">
        <v>4</v>
      </c>
      <c r="B8">
        <v>0.45</v>
      </c>
    </row>
    <row r="9" spans="1:10" x14ac:dyDescent="0.35">
      <c r="A9" t="s">
        <v>5</v>
      </c>
      <c r="B9">
        <v>0.41</v>
      </c>
    </row>
    <row r="10" spans="1:10" x14ac:dyDescent="0.35">
      <c r="A10" t="s">
        <v>6</v>
      </c>
      <c r="B10">
        <v>0.42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EAB89-0A39-40B2-9A80-D3C75E7AD6AE}">
  <dimension ref="A1:J5"/>
  <sheetViews>
    <sheetView tabSelected="1" workbookViewId="0">
      <selection activeCell="H6" sqref="H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H1" t="s">
        <v>2</v>
      </c>
      <c r="I1" t="s">
        <v>7</v>
      </c>
      <c r="J1" t="s">
        <v>3</v>
      </c>
    </row>
    <row r="2" spans="1:10" x14ac:dyDescent="0.35">
      <c r="A2">
        <v>2025</v>
      </c>
      <c r="B2">
        <f>biomass!B2*biomass!$B$8*biomass!$B$9+biomass!B2*(1-biomass!$B$8)*biomass!$B$10</f>
        <v>41.55</v>
      </c>
      <c r="H2">
        <f>biomass!H2*biomass!$B$9</f>
        <v>18.45</v>
      </c>
      <c r="I2">
        <f>biomass!I2*biomass!$B$10</f>
        <v>23.099999999999998</v>
      </c>
      <c r="J2">
        <f>H2</f>
        <v>18.45</v>
      </c>
    </row>
    <row r="3" spans="1:10" x14ac:dyDescent="0.35">
      <c r="A3">
        <v>2026</v>
      </c>
      <c r="B3">
        <f>biomass!B3*biomass!$B$8*biomass!$B$9+biomass!B3*(1-biomass!$B$8)*biomass!$B$10</f>
        <v>45.704999999999998</v>
      </c>
      <c r="H3">
        <f>biomass!H3*biomass!$B$9</f>
        <v>20.294999999999998</v>
      </c>
      <c r="I3">
        <f>biomass!I3*biomass!$B$10</f>
        <v>25.41</v>
      </c>
      <c r="J3">
        <f>J2+H3</f>
        <v>38.744999999999997</v>
      </c>
    </row>
    <row r="4" spans="1:10" x14ac:dyDescent="0.35">
      <c r="A4">
        <v>2027</v>
      </c>
      <c r="B4">
        <f>biomass!B4*biomass!$B$8*biomass!$B$9+biomass!B4*(1-biomass!$B$8)*biomass!$B$10</f>
        <v>49.86</v>
      </c>
      <c r="H4">
        <f>biomass!H4*biomass!$B$9</f>
        <v>22.139999999999997</v>
      </c>
      <c r="I4">
        <f>biomass!I4*biomass!$B$10</f>
        <v>27.72</v>
      </c>
      <c r="J4">
        <f>J3+H4</f>
        <v>60.884999999999991</v>
      </c>
    </row>
    <row r="5" spans="1:10" x14ac:dyDescent="0.35">
      <c r="A5">
        <v>2028</v>
      </c>
      <c r="B5">
        <f>biomass!B5*biomass!$B$8*biomass!$B$9+biomass!B5*(1-biomass!$B$8)*biomass!$B$10</f>
        <v>54.015000000000001</v>
      </c>
      <c r="H5">
        <f>biomass!H5*biomass!$B$9</f>
        <v>23.984999999999999</v>
      </c>
      <c r="I5">
        <f>biomass!I5*biomass!$B$10</f>
        <v>30.029999999999998</v>
      </c>
      <c r="J5">
        <f>J4+H5</f>
        <v>84.86999999999999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biomass</vt:lpstr>
      <vt:lpstr>carbon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9055540188463204</dc:creator>
  <cp:lastModifiedBy>TU-Pseudonym 9055540188463204</cp:lastModifiedBy>
  <dcterms:created xsi:type="dcterms:W3CDTF">2025-01-24T19:42:42Z</dcterms:created>
  <dcterms:modified xsi:type="dcterms:W3CDTF">2025-02-05T12:22:18Z</dcterms:modified>
</cp:coreProperties>
</file>