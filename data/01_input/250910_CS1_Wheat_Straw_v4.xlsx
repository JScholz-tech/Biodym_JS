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8_{27CBC01F-F7EA-46BC-B15E-D2416F77CDDC}" xr6:coauthVersionLast="47" xr6:coauthVersionMax="47" xr10:uidLastSave="{00000000-0000-0000-0000-000000000000}"/>
  <bookViews>
    <workbookView xWindow="38280" yWindow="-8865" windowWidth="16440" windowHeight="30240" tabRatio="840" firstSheet="14" activeTab="16"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sheetId="27" r:id="rId20"/>
    <sheet name="4. Calculation_factors&gt;&gt;&gt;&gt;" sheetId="13" r:id="rId21"/>
    <sheet name="Sheet2" sheetId="43" r:id="rId22"/>
    <sheet name="4. Codelists&gt;&gt;&gt;&gt;" sheetId="3" r:id="rId23"/>
    <sheet name="4_1 Codelists" sheetId="17" r:id="rId24"/>
    <sheet name="5. Wastefiles &gt;&gt;&gt;&gt;" sheetId="14" r:id="rId25"/>
  </sheet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44" l="1"/>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B3" i="46" s="1"/>
  <c r="C4" i="46"/>
  <c r="B4" i="46" s="1"/>
  <c r="C5" i="46"/>
  <c r="B5" i="46" s="1"/>
  <c r="C6" i="46"/>
  <c r="B6" i="46" s="1"/>
  <c r="C7" i="46"/>
  <c r="C8" i="46"/>
  <c r="C9" i="46"/>
  <c r="C10" i="46"/>
  <c r="B10" i="46" s="1"/>
  <c r="C11" i="46"/>
  <c r="B11" i="46" s="1"/>
  <c r="C12" i="46"/>
  <c r="B12" i="46" s="1"/>
  <c r="C13" i="46"/>
  <c r="B13" i="46" s="1"/>
  <c r="C14" i="46"/>
  <c r="B14" i="46" s="1"/>
  <c r="C15" i="46"/>
  <c r="B15" i="46" s="1"/>
  <c r="C16" i="46"/>
  <c r="B16" i="46" s="1"/>
  <c r="C17" i="46"/>
  <c r="C18" i="46"/>
  <c r="C19" i="46"/>
  <c r="C20" i="46"/>
  <c r="B20" i="46" s="1"/>
  <c r="C21" i="46"/>
  <c r="C22" i="46"/>
  <c r="B22" i="46" s="1"/>
  <c r="C23" i="46"/>
  <c r="B23" i="46" s="1"/>
  <c r="C24" i="46"/>
  <c r="B24" i="46" s="1"/>
  <c r="C25" i="46"/>
  <c r="B25" i="46" s="1"/>
  <c r="C26" i="46"/>
  <c r="B26" i="46" s="1"/>
  <c r="C27" i="46"/>
  <c r="B27" i="46" s="1"/>
  <c r="C28" i="46"/>
  <c r="B28" i="46" s="1"/>
  <c r="C29" i="46"/>
  <c r="B29" i="46" s="1"/>
  <c r="C30" i="46"/>
  <c r="B30" i="46" s="1"/>
  <c r="C31" i="46"/>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B2" i="46" s="1"/>
  <c r="A51" i="46"/>
  <c r="A50" i="46"/>
  <c r="A49" i="46"/>
  <c r="A48" i="46"/>
  <c r="A47" i="46"/>
  <c r="A46" i="46"/>
  <c r="A45" i="46"/>
  <c r="A44" i="46"/>
  <c r="B43" i="46"/>
  <c r="A43" i="46"/>
  <c r="B42" i="46"/>
  <c r="A42" i="46"/>
  <c r="B41" i="46"/>
  <c r="A41" i="46"/>
  <c r="A40" i="46"/>
  <c r="A39" i="46"/>
  <c r="A38" i="46"/>
  <c r="A37" i="46"/>
  <c r="A36" i="46"/>
  <c r="A35" i="46"/>
  <c r="A34" i="46"/>
  <c r="A33" i="46"/>
  <c r="B32" i="46"/>
  <c r="A32" i="46"/>
  <c r="B31" i="46"/>
  <c r="A31" i="46"/>
  <c r="A30" i="46"/>
  <c r="A29" i="46"/>
  <c r="A28" i="46"/>
  <c r="A27" i="46"/>
  <c r="A26" i="46"/>
  <c r="A25" i="46"/>
  <c r="A24" i="46"/>
  <c r="A23" i="46"/>
  <c r="A22" i="46"/>
  <c r="B21" i="46"/>
  <c r="A21" i="46"/>
  <c r="A20" i="46"/>
  <c r="B19" i="46"/>
  <c r="A19" i="46"/>
  <c r="B18" i="46"/>
  <c r="A18" i="46"/>
  <c r="B17" i="46"/>
  <c r="A17" i="46"/>
  <c r="A16" i="46"/>
  <c r="A15" i="46"/>
  <c r="A14" i="46"/>
  <c r="A13" i="46"/>
  <c r="A12" i="46"/>
  <c r="A11" i="46"/>
  <c r="A10" i="46"/>
  <c r="B9" i="46"/>
  <c r="A9" i="46"/>
  <c r="B8" i="46"/>
  <c r="A8" i="46"/>
  <c r="B7" i="46"/>
  <c r="A7" i="46"/>
  <c r="A6" i="46"/>
  <c r="A5" i="46"/>
  <c r="A4" i="46"/>
  <c r="A3" i="46"/>
  <c r="A2" i="46"/>
  <c r="D3" i="44"/>
  <c r="C3" i="44" s="1"/>
  <c r="D4" i="44"/>
  <c r="C4" i="44" s="1"/>
  <c r="D5" i="44"/>
  <c r="C5" i="44" s="1"/>
  <c r="D6" i="44"/>
  <c r="C6" i="44" s="1"/>
  <c r="D7" i="44"/>
  <c r="C7" i="44" s="1"/>
  <c r="D8" i="44"/>
  <c r="C8" i="44" s="1"/>
  <c r="D9" i="44"/>
  <c r="C9" i="44" s="1"/>
  <c r="D10" i="44"/>
  <c r="C10" i="44" s="1"/>
  <c r="D11" i="44"/>
  <c r="C11" i="44" s="1"/>
  <c r="D12" i="44"/>
  <c r="C12" i="44" s="1"/>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O2" i="37" l="1"/>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A10" i="42" l="1"/>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C5" i="37" l="1"/>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3" i="39" l="1"/>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1" i="39" s="1"/>
  <c r="O11"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4" i="39" l="1"/>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N7" i="39" s="1"/>
  <c r="O7" i="39" s="1"/>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1" i="39" l="1"/>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3" i="39" s="1"/>
  <c r="O13" i="39" s="1"/>
  <c r="C10" i="15"/>
  <c r="R17" i="16"/>
  <c r="AD10" i="16"/>
  <c r="C11" i="15"/>
  <c r="N6" i="39" s="1"/>
  <c r="O6" i="39" s="1"/>
  <c r="C17" i="15"/>
  <c r="N48" i="39" s="1"/>
  <c r="O48"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5" i="39" l="1"/>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J2" i="33"/>
  <c r="AT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<sst xmlns="http://schemas.openxmlformats.org/spreadsheetml/2006/main" count="3781" uniqueCount="807">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</sst>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4">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5" fillId="36" borderId="12" xfId="3" applyNumberFormat="1" applyFont="1" applyFill="1" applyBorder="1"/>
    <xf numFmtId="0" fontId="5" fillId="6" borderId="12" xfId="4" applyNumberFormat="1" applyFont="1" applyFill="1" applyBorder="1">
      <protection locked="0"/>
    </xf>
    <xf numFmtId="0" fontId="6" fillId="8" borderId="12" xfId="5" applyNumberFormat="1" applyFont="1" applyFill="1" applyBorder="1">
      <protection locked="0"/>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04" headerRowCellStyle="05_Header">
  <autoFilter ref="A1:U59" xr:uid="{7602A998-85E6-499A-B1A3-C584F22BB41F}"/>
  <tableColumns count="21">
    <tableColumn id="33" xr3:uid="{2E104FB0-3B3F-413B-B1B0-969D126AA7B1}" name="Complete?" dataDxfId="103" dataCellStyle="04_Comments"/>
    <tableColumn id="1" xr3:uid="{B9E05773-FB7F-407B-8FB3-BE93F6BB50D9}" name="ID" dataDxfId="102">
      <calculatedColumnFormula>ROW()-1</calculatedColumnFormula>
    </tableColumn>
    <tableColumn id="2" xr3:uid="{4324CFF4-5791-4829-80A7-8BA4CF2CD799}" name="Process_ID" dataDxfId="101">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00">
      <calculatedColumnFormula>_xlfn.XLOOKUP($D2,Tab_Def_Processes[Name(EN)],Tab_Def_Processes[Initial_Stock?],,0,)</calculatedColumnFormula>
    </tableColumn>
    <tableColumn id="12" xr3:uid="{1AEDC949-1281-46C8-9543-F9AB0A724F08}" name="DSM?" dataDxfId="99">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8" headerRowCellStyle="05_Header">
  <autoFilter ref="A1:U63" xr:uid="{7602A998-85E6-499A-B1A3-C584F22BB41F}"/>
  <tableColumns count="21">
    <tableColumn id="24" xr3:uid="{799CF049-9A74-47E4-BCE6-68EB92DFEDD4}" name="Complete?" dataDxfId="97" dataCellStyle="04_Comments"/>
    <tableColumn id="1" xr3:uid="{75AB9428-C675-46D8-B904-74A952E29611}" name="ID" dataDxfId="96">
      <calculatedColumnFormula>ROW()-1</calculatedColumnFormula>
    </tableColumn>
    <tableColumn id="22" xr3:uid="{055CB3E4-C1DF-486D-9F8E-E65039E95278}" name="Stock_ID" dataDxfId="9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3" headerRowBorderDxfId="92" tableBorderDxfId="91">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0" dataCellStyle="04_Comments"/>
    <tableColumn id="1" xr3:uid="{CE7CE076-C32F-4791-85A9-C6321A66E672}" name="ID" dataDxfId="89">
      <calculatedColumnFormula>ROW()-1</calculatedColumnFormula>
    </tableColumn>
    <tableColumn id="2" xr3:uid="{F7259AFD-9D16-4ACC-BDB2-8D0DCC203B92}" name="Process_ID" dataDxfId="88"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7"/>
    <tableColumn id="57" xr3:uid="{D3D78B03-02F6-42CA-BD33-6A54DF04FE86}" name="Column1"/>
    <tableColumn id="11" xr3:uid="{D4C9F650-44B6-4DD5-875E-10DEE39F6D03}" name="Input_Flow_I_1" dataDxfId="86">
      <calculatedColumnFormula>_xlfn.XLOOKUP($D2,Tab_Def_Processes[Name(EN)],Tab_Def_Processes[Input_Flow_I_1],,0,)</calculatedColumnFormula>
    </tableColumn>
    <tableColumn id="12" xr3:uid="{5D9673E4-4F5C-4A02-8FE3-DAF7E360A271}" name="Flow_ID_I_1" dataDxfId="85">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4">
      <calculatedColumnFormula>_xlfn.XLOOKUP($D2,Tab_Def_Processes[Name(EN)],Tab_Def_Processes[Input_Flow_I_2],,0,)</calculatedColumnFormula>
    </tableColumn>
    <tableColumn id="14" xr3:uid="{39DCAF4C-C94E-4F6B-9473-486EB368D1A4}" name="Flow_ID_I_3" dataDxfId="83">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2">
      <calculatedColumnFormula>_xlfn.XLOOKUP($D2,Tab_Def_Processes[Name(EN)],Tab_Def_Processes[Input_Flow_I_3],,0,)</calculatedColumnFormula>
    </tableColumn>
    <tableColumn id="16" xr3:uid="{59EB2AB7-4406-48E2-A12E-175CA457D434}" name="Flow ID I_3" dataDxfId="81">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0">
      <calculatedColumnFormula>_xlfn.XLOOKUP($D2,Tab_Def_Processes[Name(EN)],Tab_Def_Processes[Input_Flow_I_4],,0,)</calculatedColumnFormula>
    </tableColumn>
    <tableColumn id="18" xr3:uid="{6B6A8FB7-CFFD-4E02-B4C2-DA33227D2D15}" name="Flow ID I_4" dataDxfId="79">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8">
      <calculatedColumnFormula>_xlfn.XLOOKUP($D2,Tab_Def_Processes[Name(EN)],Tab_Def_Processes[Input_Flow_I_5],,0,)</calculatedColumnFormula>
    </tableColumn>
    <tableColumn id="20" xr3:uid="{4DEF4D28-396A-452E-A2BA-F6E3F074F47C}" name="Flow ID I_5" dataDxfId="77">
      <calculatedColumnFormula>_xlfn.XLOOKUP($D2,Tab_Def_Processes[Name(EN)],Tab_Def_Processes[Flow_ID_I_5],,0,)</calculatedColumnFormula>
    </tableColumn>
    <tableColumn id="39" xr3:uid="{31A505D2-1052-4114-89A3-0125D2AEA2C0}" name="Flow_TC_I_5_[%]"/>
    <tableColumn id="34" xr3:uid="{87220065-CDDC-4D7C-BE11-D9EA0B3FF3E5}" name="Sum_TC_I" dataDxfId="76">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75">
      <calculatedColumnFormula>_xlfn.XLOOKUP($D2,#REF!,#REF!,,0,)</calculatedColumnFormula>
    </tableColumn>
    <tableColumn id="22" xr3:uid="{B381C1D4-C8F7-4BE4-A024-4BBD1B417D36}" name="Flow_ID_O_1" dataDxfId="74">
      <calculatedColumnFormula>_xlfn.XLOOKUP($D2,#REF!,#REF!,,0,)</calculatedColumnFormula>
    </tableColumn>
    <tableColumn id="63" xr3:uid="{C44CA027-9688-45B0-88EB-F14F3A7BECB8}" name="TC_ID_O_1_Year" dataDxfId="73">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2"/>
    <tableColumn id="23" xr3:uid="{B25FB2F6-238F-410A-AF2E-782A213D011A}" name="Output_Flow_O_2" dataDxfId="71">
      <calculatedColumnFormula>_xlfn.XLOOKUP($D2,#REF!,#REF!,,0,)</calculatedColumnFormula>
    </tableColumn>
    <tableColumn id="24" xr3:uid="{97798FE5-868B-45C0-AE3B-C29AF4C86E8E}" name="Flow_ID_O_2" dataDxfId="70">
      <calculatedColumnFormula>_xlfn.XLOOKUP($D2,#REF!,#REF!,,0,)</calculatedColumnFormula>
    </tableColumn>
    <tableColumn id="64" xr3:uid="{3679F173-262B-4D42-9125-71B27049FF31}" name="TC_ID_O_2_Year" dataDxfId="69">
      <calculatedColumnFormula>Tab_Process_TCs2527[[#This Row],[Flow_ID]]</calculatedColumnFormula>
    </tableColumn>
    <tableColumn id="54" xr3:uid="{59052527-1CA5-4A17-978F-E10A4CF13AAE}" name="TC_ID_O_2" dataDxfId="68">
      <calculatedColumnFormula>"TC"&amp;"_"&amp;RIGHT(AI2,5)</calculatedColumnFormula>
    </tableColumn>
    <tableColumn id="41" xr3:uid="{7F915D49-034F-4E82-9BAA-B8ED5CA4F335}" name="TC_O_2_[%]" dataDxfId="67" dataCellStyle="Percent"/>
    <tableColumn id="25" xr3:uid="{5714904F-F57E-48CA-BFAA-826C1CEFD309}" name="Output_Flow_O_3" dataDxfId="66">
      <calculatedColumnFormula>_xlfn.XLOOKUP($D2,#REF!,#REF!,,0,)</calculatedColumnFormula>
    </tableColumn>
    <tableColumn id="26" xr3:uid="{BF841E8C-9EB2-40B0-BD1F-8C768DE188AD}" name="Flow_ID_O_3" dataDxfId="65">
      <calculatedColumnFormula>_xlfn.XLOOKUP($D2,#REF!,#REF!,,0,)</calculatedColumnFormula>
    </tableColumn>
    <tableColumn id="65" xr3:uid="{40F24D12-78F3-4E2A-85F5-F634958096FD}" name="TC_ID_O_3_Year" dataDxfId="64">
      <calculatedColumnFormula>Tab_Process_TCs2527[[#This Row],[Flow_ID]]</calculatedColumnFormula>
    </tableColumn>
    <tableColumn id="42" xr3:uid="{231A0501-9932-43B0-A3F9-EB8BB036203D}" name="TC_ID_O_3" dataDxfId="63">
      <calculatedColumnFormula>"TC"&amp;"_"&amp;RIGHT(AN2,5)</calculatedColumnFormula>
    </tableColumn>
    <tableColumn id="27" xr3:uid="{25A11679-9BF9-4DEC-B798-B8A275D3B8AC}" name="TC_O_3_[%]" dataDxfId="62" dataCellStyle="Percent"/>
    <tableColumn id="28" xr3:uid="{67E45B1E-4E5D-4D83-A664-45983FD6F9D1}" name="Output_Flow_O_4" dataDxfId="61">
      <calculatedColumnFormula>_xlfn.XLOOKUP($D2,#REF!,#REF!,,0,)</calculatedColumnFormula>
    </tableColumn>
    <tableColumn id="43" xr3:uid="{C5680328-8545-431B-B943-966088B5B85B}" name="Flow_ID_O_4" dataDxfId="60">
      <calculatedColumnFormula>_xlfn.XLOOKUP($D2,#REF!,#REF!,,0,)</calculatedColumnFormula>
    </tableColumn>
    <tableColumn id="66" xr3:uid="{3C939FEA-060E-42BF-AC8F-37677818A9F4}" name="TC_ID_O_4_Year" dataDxfId="59">
      <calculatedColumnFormula>Tab_Process_TCs2527[[#This Row],[Flow_ID]]</calculatedColumnFormula>
    </tableColumn>
    <tableColumn id="29" xr3:uid="{5B8610D8-109C-4CC7-9DE9-5EF61CC39BD7}" name="TC_ID_O_4" dataDxfId="58">
      <calculatedColumnFormula>"TC"&amp;"_"&amp;RIGHT(AN2,5)</calculatedColumnFormula>
    </tableColumn>
    <tableColumn id="30" xr3:uid="{8DFBA5BB-ECEC-455D-9C69-3FF71622F2AC}" name="TC_O_4_[%]" dataDxfId="57" dataCellStyle="Percent"/>
    <tableColumn id="44" xr3:uid="{5785B5EE-01FF-44CB-9D74-9D2780652646}" name="Output_Flow_O_5" dataDxfId="56">
      <calculatedColumnFormula>_xlfn.XLOOKUP($D2,#REF!,#REF!,,0,)</calculatedColumnFormula>
    </tableColumn>
    <tableColumn id="31" xr3:uid="{54C02504-99D3-419C-9253-1DA532111E60}" name="Flow_ID_O_5" dataDxfId="55">
      <calculatedColumnFormula>_xlfn.XLOOKUP($D2,#REF!,#REF!,,0,)</calculatedColumnFormula>
    </tableColumn>
    <tableColumn id="67" xr3:uid="{770D2E29-F077-423A-9DDE-B86470FADA38}" name="TC_ID_O_5_Year" dataDxfId="54">
      <calculatedColumnFormula>Tab_Process_TCs2527[[#This Row],[Flow_ID]]</calculatedColumnFormula>
    </tableColumn>
    <tableColumn id="46" xr3:uid="{CBB535D2-9A64-4C2F-AF19-4CF0A79C6798}" name="TC_ID_O_5" dataDxfId="53">
      <calculatedColumnFormula>"TC"&amp;"_"&amp;RIGHT(AX2,5)</calculatedColumnFormula>
    </tableColumn>
    <tableColumn id="45" xr3:uid="{43E42E8C-202D-4522-9E50-CB3B80F8EE29}" name="TC O_5_[%]" dataDxfId="52" dataCellStyle="Percent"/>
    <tableColumn id="32" xr3:uid="{FD3810B5-3F37-4777-8ACB-D2CAAFA5C5EB}" name="Output_Flow_O_6" dataDxfId="51">
      <calculatedColumnFormula>_xlfn.XLOOKUP($D2,#REF!,#REF!,,0,)</calculatedColumnFormula>
    </tableColumn>
    <tableColumn id="48" xr3:uid="{EF811571-9CC9-41DC-BFA4-320CD8D9C0C6}" name="Flow_ID_O_6" dataDxfId="50">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9">
      <calculatedColumnFormula>"TC"&amp;"_"&amp;RIGHT(BC2,5)</calculatedColumnFormula>
    </tableColumn>
    <tableColumn id="50" xr3:uid="{5AF5E9BC-3B3E-4244-A22E-AC3284E0E97C}" name="TC O_6_[%]" dataDxfId="48" dataCellStyle="Percent"/>
    <tableColumn id="51" xr3:uid="{B76A3DEE-BBAC-4CE1-BE1D-2941B928DB78}" name="Sum_TC_O" dataDxfId="47"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46" dataDxfId="45" tableBorderDxfId="44">
  <autoFilter ref="A1:R51" xr:uid="{258723AD-03F6-4700-9C12-0435A55E108D}"/>
  <tableColumns count="18">
    <tableColumn id="1" xr3:uid="{33B8EF63-7663-4BA6-9B91-D446C0C9C276}" name="Complete?" dataCellStyle="04_Comments"/>
    <tableColumn id="2" xr3:uid="{6589C290-508A-4E8E-8896-B6E09EB1B594}" name="ID" dataDxfId="43">
      <calculatedColumnFormula>ROW()-1</calculatedColumnFormula>
    </tableColumn>
    <tableColumn id="4" xr3:uid="{F4E33EB8-7313-4BD5-8A0A-D0E18A2A18E9}" name="Process_ID" dataDxfId="42">
      <calculatedColumnFormula>_xlfn.XLOOKUP($D2,Tab_Def_Processes[Name(EN)],Tab_Def_Processes[Process_ID],,0,)</calculatedColumnFormula>
    </tableColumn>
    <tableColumn id="5" xr3:uid="{E9F30AE4-3733-473D-B124-CDB1D225C217}" name="Name(EN)" dataDxfId="41"/>
    <tableColumn id="6" xr3:uid="{8636F935-6448-4819-ADDF-71DFA45559FA}" name="Process_Type" dataDxfId="40">
      <calculatedColumnFormula>_xlfn.XLOOKUP($D2,Tab_Def_Processes[Name(EN)],Tab_Def_Processes[Process_Type],,0,)</calculatedColumnFormula>
    </tableColumn>
    <tableColumn id="11" xr3:uid="{60B3771B-3986-46D1-B5BA-CE7814BD4A11}" name="TC?" dataDxfId="39">
      <calculatedColumnFormula>_xlfn.XLOOKUP($D2,Tab_Def_Processes[Name(EN)],Tab_Def_Processes[TC?],,0,)</calculatedColumnFormula>
    </tableColumn>
    <tableColumn id="12" xr3:uid="{A2F17CD8-5CAE-47C5-88AC-65F98D1E04A7}" name="Dyn_TC?" dataDxfId="38">
      <calculatedColumnFormula>_xlfn.XLOOKUP($D2,Tab_Def_Processes[Name(EN)],Tab_Def_Processes[Dyn_TC?],,0,)</calculatedColumnFormula>
    </tableColumn>
    <tableColumn id="13" xr3:uid="{AAC3F32E-5E29-4B43-870A-6E7FC451D4C7}" name="Stock?" dataDxfId="37">
      <calculatedColumnFormula>_xlfn.XLOOKUP($D2,Tab_Def_Processes[Name(EN)],Tab_Def_Processes[Stock?],,0,)</calculatedColumnFormula>
    </tableColumn>
    <tableColumn id="14" xr3:uid="{46AA84AB-D3F4-4DFC-AFA9-73ECA93071B0}" name="Initial_Stock?" dataDxfId="36">
      <calculatedColumnFormula>_xlfn.XLOOKUP($D2,Tab_Def_Processes[Name(EN)],Tab_Def_Processes[Initial_Stock?],,0,)</calculatedColumnFormula>
    </tableColumn>
    <tableColumn id="7" xr3:uid="{4D982150-569B-49F8-B2ED-A59759BD8284}" name="DSM?" dataDxfId="35"/>
    <tableColumn id="8" xr3:uid="{722B87D6-F9E5-415C-984B-850168F8B4C0}" name="FOMP?" dataDxfId="34"/>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3" tableBorderDxfId="32" headerRowCellStyle="05_Header">
  <autoFilter ref="A1:Q41" xr:uid="{258723AD-03F6-4700-9C12-0435A55E108D}"/>
  <tableColumns count="17">
    <tableColumn id="1" xr3:uid="{45321D18-7A58-4FFA-814A-4BFE5587094A}" name="Complete?" dataCellStyle="04_Comments"/>
    <tableColumn id="2" xr3:uid="{EC881CBD-180B-4D64-9A86-8AA6EC24B7F6}" name="ID" dataDxfId="31">
      <calculatedColumnFormula>ROW()-1</calculatedColumnFormula>
    </tableColumn>
    <tableColumn id="4" xr3:uid="{844E5006-9125-4DE3-A7C3-7D82AE3725EE}" name="Process_ID" dataDxfId="30">
      <calculatedColumnFormula>_xlfn.XLOOKUP($D2,Tab_Def_Processes[Name(EN)],Tab_Def_Processes[Process_ID],,0,)</calculatedColumnFormula>
    </tableColumn>
    <tableColumn id="5" xr3:uid="{0A9A4390-230F-4C39-9AF5-D72E04524EC5}" name="Name(EN)" dataDxfId="29"/>
    <tableColumn id="6" xr3:uid="{27F8000C-3015-4447-BAA8-364798FFAAFF}" name="Process_Type" dataDxfId="28">
      <calculatedColumnFormula>_xlfn.XLOOKUP($D2,Tab_Def_Processes[Name(EN)],Tab_Def_Processes[Process_Type],,0,)</calculatedColumnFormula>
    </tableColumn>
    <tableColumn id="11" xr3:uid="{CC767FA8-EDF4-482B-B626-0EE382C271A5}" name="TC?" dataDxfId="27">
      <calculatedColumnFormula>_xlfn.XLOOKUP($D2,Tab_Def_Processes[Name(EN)],Tab_Def_Processes[TC?],,0,)</calculatedColumnFormula>
    </tableColumn>
    <tableColumn id="12" xr3:uid="{E84B3ABE-4E12-4E6F-A681-7D39D8B20B42}" name="Dyn_TC?" dataDxfId="26">
      <calculatedColumnFormula>_xlfn.XLOOKUP($D2,Tab_Def_Processes[Name(EN)],Tab_Def_Processes[Dyn_TC?],,0,)</calculatedColumnFormula>
    </tableColumn>
    <tableColumn id="13" xr3:uid="{981DEE9B-FA47-4F47-8F80-39B1E8690449}" name="Stock?" dataDxfId="25">
      <calculatedColumnFormula>_xlfn.XLOOKUP($D2,Tab_Def_Processes[Name(EN)],Tab_Def_Processes[Stock?],,0,)</calculatedColumnFormula>
    </tableColumn>
    <tableColumn id="14" xr3:uid="{69989678-F20B-45BE-B37C-4E9CE9AA75DC}" name="Initial_Stock?" dataDxfId="24">
      <calculatedColumnFormula>_xlfn.XLOOKUP($D2,Tab_Def_Processes[Name(EN)],Tab_Def_Processes[Initial_Stock?],,0,)</calculatedColumnFormula>
    </tableColumn>
    <tableColumn id="7" xr3:uid="{3CFB9275-BB11-4A48-A179-F10B662CD314}" name="DSM?" dataDxfId="23">
      <calculatedColumnFormula>_xlfn.XLOOKUP($D2,Tab_Def_Processes[Name(EN)],Tab_Def_Processes[DSM?],,0,)</calculatedColumnFormula>
    </tableColumn>
    <tableColumn id="8" xr3:uid="{10C6F948-DB35-488A-BBCF-1C22C3F74E52}" name="FOMP?" dataDxfId="22">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1">
  <autoFilter ref="A1:P59" xr:uid="{FF9E0B7D-0B53-4192-BACF-A733D16BD97E}"/>
  <tableColumns count="16">
    <tableColumn id="1" xr3:uid="{AEAC6F38-4A16-4B89-B940-1815E01565C6}" name="Complete?" dataDxfId="20" dataCellStyle="04_Comments"/>
    <tableColumn id="2" xr3:uid="{974E84B3-B7E5-4EAB-BE6D-E4CA3B941720}" name="ID" dataDxfId="19" dataCellStyle="03_Auto_Calcaulation">
      <calculatedColumnFormula>ROW()-1</calculatedColumnFormula>
    </tableColumn>
    <tableColumn id="3" xr3:uid="{C80F74B1-CB58-477D-916E-9E36937DCC7C}" name="Process_ID" dataDxfId="18" dataCellStyle="03_Auto_Calcaulation">
      <calculatedColumnFormula>_xlfn.XLOOKUP($D2,Tab_Def_Processes[Name(EN)],Tab_Def_Processes[ID],,0,)</calculatedColumnFormula>
    </tableColumn>
    <tableColumn id="4" xr3:uid="{3B5A389D-DBD4-440A-B4C9-D7D490F921D1}" name="Name(EN)" dataDxfId="17" dataCellStyle="02_Data_Input (DD)"/>
    <tableColumn id="12" xr3:uid="{41BA6A81-81C1-4463-8311-87562C351952}" name="Color_Category" dataDxfId="16" dataCellStyle="02_Data_Input (DD)"/>
    <tableColumn id="11" xr3:uid="{A6B3115D-C460-49E4-B156-47D34854C0D6}" name="Node_Color" dataDxfId="15"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tableColumn id="18" xr3:uid="{2E57A6C6-B3EF-4634-AAF9-87A6ECBCB804}" name="Y_Position_Material"/>
    <tableColumn id="15" xr3:uid="{62ECE32F-D685-470C-A01A-248F35573A19}" name="X_Position_WC"/>
    <tableColumn id="16" xr3:uid="{9BC5D25F-216C-4D47-AEBA-A7531D662034}" name="Y_Position_WC"/>
    <tableColumn id="13" xr3:uid="{933D7E13-AD29-4E2C-8093-404376884124}" name="X_Position_DM"/>
    <tableColumn id="14" xr3:uid="{82B5D442-49D5-446C-9D48-84D32D76F9B1}" name="Y_Position_DM"/>
    <tableColumn id="7" xr3:uid="{8EAF1E3F-5E3F-4E4C-A3CE-FE20E6CB89A6}" name="X_Position_CC"/>
    <tableColumn id="8" xr3:uid="{E450BC7E-840A-485B-854D-9457E679EDB3}" name="Y_Position_CC"/>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14">
  <autoFilter ref="A1:F51" xr:uid="{C3FEF386-C709-41D8-A84A-E296EE975D12}"/>
  <tableColumns count="6">
    <tableColumn id="1" xr3:uid="{B6E6225C-23E8-433A-835E-8BB33C78FBC1}" name="ID" dataDxfId="13" dataCellStyle="03_Auto_Calcaulation">
      <calculatedColumnFormula>ROW()-1</calculatedColumnFormula>
    </tableColumn>
    <tableColumn id="2" xr3:uid="{D19AA7EE-8012-4211-95D9-A412AE73FEA7}" name="Flow_ID" dataDxfId="12"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1" headerRowBorderDxfId="10" tableBorderDxfId="9">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8" headerRowBorderDxfId="7" tableBorderDxfId="6">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0" t="s">
        <v>29</v>
      </c>
      <c r="C12" s="230"/>
      <c r="D12" s="230"/>
      <c r="E12" s="230"/>
      <c r="F12" s="230"/>
      <c r="G12" s="230"/>
      <c r="H12" s="230"/>
      <c r="I12" s="230"/>
      <c r="J12" s="230"/>
      <c r="K12" s="230"/>
      <c r="L12" s="230"/>
      <c r="M12" s="230"/>
      <c r="T12">
        <v>2031</v>
      </c>
    </row>
    <row r="13" spans="2:20" x14ac:dyDescent="0.25">
      <c r="B13" s="230"/>
      <c r="C13" s="230"/>
      <c r="D13" s="230"/>
      <c r="E13" s="230"/>
      <c r="F13" s="230"/>
      <c r="G13" s="230"/>
      <c r="H13" s="230"/>
      <c r="I13" s="230"/>
      <c r="J13" s="230"/>
      <c r="K13" s="230"/>
      <c r="L13" s="230"/>
      <c r="M13" s="230"/>
      <c r="T13">
        <v>2032</v>
      </c>
    </row>
    <row r="14" spans="2:20" x14ac:dyDescent="0.25">
      <c r="B14" s="230"/>
      <c r="C14" s="230"/>
      <c r="D14" s="230"/>
      <c r="E14" s="230"/>
      <c r="F14" s="230"/>
      <c r="G14" s="230"/>
      <c r="H14" s="230"/>
      <c r="I14" s="230"/>
      <c r="J14" s="230"/>
      <c r="K14" s="230"/>
      <c r="L14" s="230"/>
      <c r="M14" s="230"/>
      <c r="T14">
        <v>2033</v>
      </c>
    </row>
    <row r="15" spans="2:20" x14ac:dyDescent="0.25">
      <c r="B15" s="231" t="s">
        <v>30</v>
      </c>
      <c r="C15" s="231"/>
      <c r="D15" s="231"/>
      <c r="E15" s="231"/>
      <c r="F15" s="231"/>
      <c r="G15" s="231"/>
      <c r="H15" s="231"/>
      <c r="I15" s="231"/>
      <c r="J15" s="231"/>
      <c r="K15" s="231"/>
      <c r="L15" s="231"/>
      <c r="T15">
        <v>2034</v>
      </c>
    </row>
    <row r="16" spans="2:20" x14ac:dyDescent="0.25">
      <c r="B16" s="231"/>
      <c r="C16" s="231"/>
      <c r="D16" s="231"/>
      <c r="E16" s="231"/>
      <c r="F16" s="231"/>
      <c r="G16" s="231"/>
      <c r="H16" s="231"/>
      <c r="I16" s="231"/>
      <c r="J16" s="231"/>
      <c r="K16" s="231"/>
      <c r="L16" s="231"/>
      <c r="T16">
        <v>2035</v>
      </c>
    </row>
    <row r="17" spans="2:20" x14ac:dyDescent="0.25">
      <c r="B17" s="231"/>
      <c r="C17" s="231"/>
      <c r="D17" s="231"/>
      <c r="E17" s="231"/>
      <c r="F17" s="231"/>
      <c r="G17" s="231"/>
      <c r="H17" s="231"/>
      <c r="I17" s="231"/>
      <c r="J17" s="231"/>
      <c r="K17" s="231"/>
      <c r="L17" s="231"/>
      <c r="T17">
        <v>2036</v>
      </c>
    </row>
    <row r="18" spans="2:20" x14ac:dyDescent="0.25">
      <c r="B18" s="231"/>
      <c r="C18" s="231"/>
      <c r="D18" s="231"/>
      <c r="E18" s="231"/>
      <c r="F18" s="231"/>
      <c r="G18" s="231"/>
      <c r="H18" s="231"/>
      <c r="I18" s="231"/>
      <c r="J18" s="231"/>
      <c r="K18" s="231"/>
      <c r="L18" s="231"/>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N17" sqref="N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1</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15" zoomScaleNormal="115" workbookViewId="0">
      <pane xSplit="4" ySplit="16" topLeftCell="H17" activePane="bottomRight" state="frozen"/>
      <selection pane="topRight" activeCell="E1" sqref="E1"/>
      <selection pane="bottomLeft" activeCell="A14" sqref="A14"/>
      <selection pane="bottomRight" activeCell="H31" sqref="H31"/>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0</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0</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0.23841961794348115</v>
      </c>
      <c r="P18" s="55" t="s">
        <v>192</v>
      </c>
      <c r="Q18" s="183">
        <v>0.76158038205651879</v>
      </c>
      <c r="R18" s="55" t="s">
        <v>192</v>
      </c>
      <c r="S18" s="183">
        <v>0</v>
      </c>
      <c r="T18" s="55" t="s">
        <v>192</v>
      </c>
      <c r="U18" s="190">
        <f>Tab_Def_Flows[[#This Row],[CC_DM'[%']]]*Tab_Def_Flows[[#This Row],[DM]]</f>
        <v>0</v>
      </c>
      <c r="V18" s="11" t="s">
        <v>193</v>
      </c>
    </row>
    <row r="19" spans="1:22" x14ac:dyDescent="0.25">
      <c r="A19" s="194" t="b">
        <v>0</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0</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0</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0.14000000000000001</v>
      </c>
      <c r="P21" s="55" t="s">
        <v>192</v>
      </c>
      <c r="Q21" s="183">
        <v>0.86</v>
      </c>
      <c r="R21" s="55" t="s">
        <v>192</v>
      </c>
      <c r="S21" s="183">
        <v>0.48</v>
      </c>
      <c r="T21" s="55" t="s">
        <v>192</v>
      </c>
      <c r="U21" s="190">
        <f>Tab_Def_Flows[[#This Row],[CC_DM'[%']]]*Tab_Def_Flows[[#This Row],[DM]]</f>
        <v>0.4128</v>
      </c>
      <c r="V21" s="11" t="s">
        <v>193</v>
      </c>
    </row>
    <row r="22" spans="1:22" x14ac:dyDescent="0.25">
      <c r="A22" s="194" t="b">
        <v>0</v>
      </c>
      <c r="B22" s="43">
        <f t="shared" si="0"/>
        <v>21</v>
      </c>
      <c r="C22" s="9" t="str">
        <f t="shared" si="2"/>
        <v>F_11_11</v>
      </c>
      <c r="D22" s="11"/>
      <c r="E22" s="37"/>
      <c r="F22" s="37"/>
      <c r="G22" s="37"/>
      <c r="H22" s="189"/>
      <c r="I22" s="9" t="str">
        <f>_xlfn.XLOOKUP(H22,Tab_Def_Processes[Name(EN)],Tab_Def_Processes[Process_ID],,0,)</f>
        <v>11</v>
      </c>
      <c r="J22" s="189"/>
      <c r="K22" s="17" t="str">
        <f>_xlfn.XLOOKUP(J22,Tab_Def_Processes[Name(EN)],Tab_Def_Processes[Process_ID],,0,)</f>
        <v>11</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115" zoomScaleNormal="115" workbookViewId="0">
      <selection activeCell="M16" sqref="M16"/>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F_05_09</v>
      </c>
      <c r="C54" s="11" t="s">
        <v>474</v>
      </c>
      <c r="D54" s="9"/>
      <c r="E54" s="9" t="str">
        <f>_xlfn.XLOOKUP(C54,Tab_Def_Flows[Name(EN)],Tab_Def_Flows[Output_Process],,0,)</f>
        <v>Straw C&amp;D</v>
      </c>
      <c r="F54" s="9" t="str">
        <f>_xlfn.XLOOKUP(C54,Tab_Def_Flows[Name(EN)],Tab_Def_Flows[Process_ID_O],,0,)</f>
        <v>05</v>
      </c>
      <c r="G54" s="9" t="str">
        <f>_xlfn.XLOOKUP(C54,Tab_Def_Flows[Name(EN)],Tab_Def_Flows[Input_Process],,0,)</f>
        <v>Compostation &amp; Incorporation</v>
      </c>
      <c r="H54" s="17" t="str">
        <f>_xlfn.XLOOKUP(C54,Tab_Def_Flows[Name(EN)],Tab_Def_Flows[Process_ID_I],,0,)</f>
        <v>09</v>
      </c>
      <c r="I54" s="9" t="e">
        <f>_xlfn.XLOOKUP(C54,Tab_Def_Flows[Name(EN)],#REF!,,0,)</f>
        <v>#REF!</v>
      </c>
      <c r="J54" s="9" t="str">
        <f>_xlfn.XLOOKUP(C54,Tab_Def_Flows[Name(EN)],Tab_Def_Flows[WC?],,0,)</f>
        <v>Yes</v>
      </c>
      <c r="K54" s="9" t="str">
        <f>_xlfn.XLOOKUP(C54,Tab_Def_Flows[Name(EN)],Tab_Def_Flows[DM?],,0,)</f>
        <v>Yes</v>
      </c>
      <c r="L54" s="9" t="str">
        <f>_xlfn.XLOOKUP(C54,Tab_Def_Flows[Name(EN)],Tab_Def_Flows[CC?],,0,)</f>
        <v>Yes</v>
      </c>
      <c r="M54" s="11">
        <v>2025</v>
      </c>
      <c r="N54" s="11"/>
      <c r="O54" s="48">
        <v>500000</v>
      </c>
      <c r="P54" s="11"/>
      <c r="Q54" s="11"/>
      <c r="R54" s="11" t="e">
        <f>INDEX(#REF!,MATCH(Tab_Data_Flows[[#This Row],[Name(EN)]],#REF!,0),12)</f>
        <v>#REF!</v>
      </c>
      <c r="S54" s="11" t="e">
        <f>MATCH(Tab_Data_Flows[[#This Row],[Name(EN)]],#REF!,0)</f>
        <v>#REF!</v>
      </c>
      <c r="T54" s="11"/>
      <c r="U54" s="11"/>
      <c r="V54" s="11"/>
      <c r="W54" s="11"/>
      <c r="X54" s="11" t="s">
        <v>8</v>
      </c>
      <c r="Y54" s="11"/>
      <c r="Z54" s="11"/>
      <c r="AA54" s="35">
        <f t="shared" si="1"/>
        <v>500000</v>
      </c>
      <c r="AB54" s="11" t="s">
        <v>276</v>
      </c>
      <c r="AC54" s="190">
        <f>INDEX(Tab_Def_Flows[[Flow_ID]:[CC_DM_source]],MATCH(Tab_Data_Flows[[#This Row],[Name(EN)]],Tab_Def_Flows[Name(EN)],0),13)</f>
        <v>0.14000000000000001</v>
      </c>
      <c r="AD54" s="9">
        <f>IF(J54="Yes",AA54*Tab_Data_Flows[[#This Row],[WC_'[%']]],"N.A.")</f>
        <v>70000</v>
      </c>
      <c r="AE54" s="9" t="str">
        <f>Tab_Data_Flows[[#This Row],[UoM_Flow_Py]]</f>
        <v>Mg</v>
      </c>
      <c r="AF54" s="190">
        <f>INDEX(Tab_Def_Flows[[Flow_ID]:[CC_DM_source]],MATCH(Tab_Data_Flows[[#This Row],[Name(EN)]],Tab_Def_Flows[Name(EN)],0),15)</f>
        <v>0.86</v>
      </c>
      <c r="AG54" s="9">
        <f>IF(K54="Yes",AF54*Tab_Data_Flows[[#This Row],[Flow_Py]],"N.A.")</f>
        <v>430000</v>
      </c>
      <c r="AH54" s="9" t="str">
        <f>Tab_Data_Flows[[#This Row],[UoM_Flow_Py]]</f>
        <v>Mg</v>
      </c>
      <c r="AI54" s="190">
        <f>INDEX(Tab_Def_Flows[[Flow_ID]:[CC_DM_source]],MATCH(Tab_Data_Flows[[#This Row],[Name(EN)]],Tab_Def_Flows[Name(EN)],0),17)</f>
        <v>0.48</v>
      </c>
      <c r="AJ54" s="9">
        <f>IF(L54="Yes",AI54*Tab_Data_Flows[[#This Row],[Flow_Py]]*Tab_Data_Flows[[#This Row],[DM_'[%']]],"N.A.")</f>
        <v>206400</v>
      </c>
      <c r="AK54" s="9" t="str">
        <f>Tab_Data_Flows[[#This Row],[UoM_Flow_Py]]</f>
        <v>Mg</v>
      </c>
    </row>
    <row r="55" spans="1:37" x14ac:dyDescent="0.25">
      <c r="A55" s="16">
        <f t="shared" si="0"/>
        <v>54</v>
      </c>
      <c r="B55" s="9" t="str">
        <f>_xlfn.XLOOKUP(C55,Tab_Def_Flows[Name(EN)],Tab_Def_Flows[Flow_ID],,0,)</f>
        <v>F_05_09</v>
      </c>
      <c r="C55" s="11" t="s">
        <v>474</v>
      </c>
      <c r="D55" s="9"/>
      <c r="E55" s="9" t="str">
        <f>_xlfn.XLOOKUP(C55,Tab_Def_Flows[Name(EN)],Tab_Def_Flows[Output_Process],,0,)</f>
        <v>Straw C&amp;D</v>
      </c>
      <c r="F55" s="9" t="str">
        <f>_xlfn.XLOOKUP(C55,Tab_Def_Flows[Name(EN)],Tab_Def_Flows[Process_ID_O],,0,)</f>
        <v>05</v>
      </c>
      <c r="G55" s="9" t="str">
        <f>_xlfn.XLOOKUP(C55,Tab_Def_Flows[Name(EN)],Tab_Def_Flows[Input_Process],,0,)</f>
        <v>Compostation &amp; Incorporation</v>
      </c>
      <c r="H55" s="17" t="str">
        <f>_xlfn.XLOOKUP(C55,Tab_Def_Flows[Name(EN)],Tab_Def_Flows[Process_ID_I],,0,)</f>
        <v>09</v>
      </c>
      <c r="I55" s="9" t="e">
        <f>_xlfn.XLOOKUP(C55,Tab_Def_Flows[Name(EN)],#REF!,,0,)</f>
        <v>#REF!</v>
      </c>
      <c r="J55" s="9" t="str">
        <f>_xlfn.XLOOKUP(C55,Tab_Def_Flows[Name(EN)],Tab_Def_Flows[WC?],,0,)</f>
        <v>Yes</v>
      </c>
      <c r="K55" s="9" t="str">
        <f>_xlfn.XLOOKUP(C55,Tab_Def_Flows[Name(EN)],Tab_Def_Flows[DM?],,0,)</f>
        <v>Yes</v>
      </c>
      <c r="L55" s="9" t="str">
        <f>_xlfn.XLOOKUP(C55,Tab_Def_Flows[Name(EN)],Tab_Def_Flows[CC?],,0,)</f>
        <v>Yes</v>
      </c>
      <c r="M55" s="11">
        <v>2026</v>
      </c>
      <c r="N55" s="11"/>
      <c r="O55" s="48">
        <v>500000</v>
      </c>
      <c r="P55" s="11"/>
      <c r="Q55" s="11"/>
      <c r="R55" s="11" t="e">
        <f>INDEX(#REF!,MATCH(Tab_Data_Flows[[#This Row],[Name(EN)]],#REF!,0),12)</f>
        <v>#REF!</v>
      </c>
      <c r="S55" s="11" t="e">
        <f>MATCH(Tab_Data_Flows[[#This Row],[Name(EN)]],#REF!,0)</f>
        <v>#REF!</v>
      </c>
      <c r="T55" s="11"/>
      <c r="U55" s="11"/>
      <c r="V55" s="11"/>
      <c r="W55" s="11"/>
      <c r="X55" s="11" t="s">
        <v>8</v>
      </c>
      <c r="Y55" s="11"/>
      <c r="Z55" s="11"/>
      <c r="AA55" s="35">
        <f t="shared" si="1"/>
        <v>500000</v>
      </c>
      <c r="AB55" s="11" t="s">
        <v>276</v>
      </c>
      <c r="AC55" s="190">
        <f>INDEX(Tab_Def_Flows[[Flow_ID]:[CC_DM_source]],MATCH(Tab_Data_Flows[[#This Row],[Name(EN)]],Tab_Def_Flows[Name(EN)],0),13)</f>
        <v>0.14000000000000001</v>
      </c>
      <c r="AD55" s="9">
        <f>IF(J55="Yes",AA55*Tab_Data_Flows[[#This Row],[WC_'[%']]],"N.A.")</f>
        <v>70000</v>
      </c>
      <c r="AE55" s="9" t="str">
        <f>Tab_Data_Flows[[#This Row],[UoM_Flow_Py]]</f>
        <v>Mg</v>
      </c>
      <c r="AF55" s="190">
        <f>INDEX(Tab_Def_Flows[[Flow_ID]:[CC_DM_source]],MATCH(Tab_Data_Flows[[#This Row],[Name(EN)]],Tab_Def_Flows[Name(EN)],0),15)</f>
        <v>0.86</v>
      </c>
      <c r="AG55" s="9">
        <f>IF(K55="Yes",AF55*Tab_Data_Flows[[#This Row],[Flow_Py]],"N.A.")</f>
        <v>430000</v>
      </c>
      <c r="AH55" s="9" t="str">
        <f>Tab_Data_Flows[[#This Row],[UoM_Flow_Py]]</f>
        <v>Mg</v>
      </c>
      <c r="AI55" s="190">
        <f>INDEX(Tab_Def_Flows[[Flow_ID]:[CC_DM_source]],MATCH(Tab_Data_Flows[[#This Row],[Name(EN)]],Tab_Def_Flows[Name(EN)],0),17)</f>
        <v>0.48</v>
      </c>
      <c r="AJ55" s="9">
        <f>IF(L55="Yes",AI55*Tab_Data_Flows[[#This Row],[Flow_Py]]*Tab_Data_Flows[[#This Row],[DM_'[%']]],"N.A.")</f>
        <v>206400</v>
      </c>
      <c r="AK55" s="9" t="str">
        <f>Tab_Data_Flows[[#This Row],[UoM_Flow_Py]]</f>
        <v>Mg</v>
      </c>
    </row>
    <row r="56" spans="1:37" x14ac:dyDescent="0.25">
      <c r="A56" s="16">
        <f t="shared" si="0"/>
        <v>55</v>
      </c>
      <c r="B56" s="9" t="str">
        <f>_xlfn.XLOOKUP(C56,Tab_Def_Flows[Name(EN)],Tab_Def_Flows[Flow_ID],,0,)</f>
        <v>F_05_09</v>
      </c>
      <c r="C56" s="11" t="s">
        <v>474</v>
      </c>
      <c r="D56" s="9"/>
      <c r="E56" s="9" t="str">
        <f>_xlfn.XLOOKUP(C56,Tab_Def_Flows[Name(EN)],Tab_Def_Flows[Output_Process],,0,)</f>
        <v>Straw C&amp;D</v>
      </c>
      <c r="F56" s="9" t="str">
        <f>_xlfn.XLOOKUP(C56,Tab_Def_Flows[Name(EN)],Tab_Def_Flows[Process_ID_O],,0,)</f>
        <v>05</v>
      </c>
      <c r="G56" s="9" t="str">
        <f>_xlfn.XLOOKUP(C56,Tab_Def_Flows[Name(EN)],Tab_Def_Flows[Input_Process],,0,)</f>
        <v>Compostation &amp; Incorporation</v>
      </c>
      <c r="H56" s="17" t="str">
        <f>_xlfn.XLOOKUP(C56,Tab_Def_Flows[Name(EN)],Tab_Def_Flows[Process_ID_I],,0,)</f>
        <v>09</v>
      </c>
      <c r="I56" s="9" t="e">
        <f>_xlfn.XLOOKUP(C56,Tab_Def_Flows[Name(EN)],#REF!,,0,)</f>
        <v>#REF!</v>
      </c>
      <c r="J56" s="9" t="str">
        <f>_xlfn.XLOOKUP(C56,Tab_Def_Flows[Name(EN)],Tab_Def_Flows[WC?],,0,)</f>
        <v>Yes</v>
      </c>
      <c r="K56" s="9" t="str">
        <f>_xlfn.XLOOKUP(C56,Tab_Def_Flows[Name(EN)],Tab_Def_Flows[DM?],,0,)</f>
        <v>Yes</v>
      </c>
      <c r="L56" s="9" t="str">
        <f>_xlfn.XLOOKUP(C56,Tab_Def_Flows[Name(EN)],Tab_Def_Flows[CC?],,0,)</f>
        <v>Yes</v>
      </c>
      <c r="M56" s="11">
        <v>2027</v>
      </c>
      <c r="N56" s="11"/>
      <c r="O56" s="48">
        <v>500000</v>
      </c>
      <c r="P56" s="11"/>
      <c r="Q56" s="11"/>
      <c r="R56" s="11" t="e">
        <f>INDEX(#REF!,MATCH(Tab_Data_Flows[[#This Row],[Name(EN)]],#REF!,0),12)</f>
        <v>#REF!</v>
      </c>
      <c r="S56" s="11" t="e">
        <f>MATCH(Tab_Data_Flows[[#This Row],[Name(EN)]],#REF!,0)</f>
        <v>#REF!</v>
      </c>
      <c r="T56" s="11"/>
      <c r="U56" s="11"/>
      <c r="V56" s="11"/>
      <c r="W56" s="11"/>
      <c r="X56" s="11" t="s">
        <v>8</v>
      </c>
      <c r="Y56" s="11"/>
      <c r="Z56" s="11"/>
      <c r="AA56" s="35">
        <f t="shared" si="1"/>
        <v>500000</v>
      </c>
      <c r="AB56" s="11" t="s">
        <v>276</v>
      </c>
      <c r="AC56" s="190">
        <f>INDEX(Tab_Def_Flows[[Flow_ID]:[CC_DM_source]],MATCH(Tab_Data_Flows[[#This Row],[Name(EN)]],Tab_Def_Flows[Name(EN)],0),13)</f>
        <v>0.14000000000000001</v>
      </c>
      <c r="AD56" s="9">
        <f>IF(J56="Yes",AA56*Tab_Data_Flows[[#This Row],[WC_'[%']]],"N.A.")</f>
        <v>70000</v>
      </c>
      <c r="AE56" s="9" t="str">
        <f>Tab_Data_Flows[[#This Row],[UoM_Flow_Py]]</f>
        <v>Mg</v>
      </c>
      <c r="AF56" s="190">
        <f>INDEX(Tab_Def_Flows[[Flow_ID]:[CC_DM_source]],MATCH(Tab_Data_Flows[[#This Row],[Name(EN)]],Tab_Def_Flows[Name(EN)],0),15)</f>
        <v>0.86</v>
      </c>
      <c r="AG56" s="9">
        <f>IF(K56="Yes",AF56*Tab_Data_Flows[[#This Row],[Flow_Py]],"N.A.")</f>
        <v>430000</v>
      </c>
      <c r="AH56" s="9" t="str">
        <f>Tab_Data_Flows[[#This Row],[UoM_Flow_Py]]</f>
        <v>Mg</v>
      </c>
      <c r="AI56" s="190">
        <f>INDEX(Tab_Def_Flows[[Flow_ID]:[CC_DM_source]],MATCH(Tab_Data_Flows[[#This Row],[Name(EN)]],Tab_Def_Flows[Name(EN)],0),17)</f>
        <v>0.48</v>
      </c>
      <c r="AJ56" s="9">
        <f>IF(L56="Yes",AI56*Tab_Data_Flows[[#This Row],[Flow_Py]]*Tab_Data_Flows[[#This Row],[DM_'[%']]],"N.A.")</f>
        <v>206400</v>
      </c>
      <c r="AK56" s="9" t="str">
        <f>Tab_Data_Flows[[#This Row],[UoM_Flow_Py]]</f>
        <v>Mg</v>
      </c>
    </row>
    <row r="57" spans="1:37" x14ac:dyDescent="0.25">
      <c r="A57" s="16">
        <f t="shared" si="0"/>
        <v>56</v>
      </c>
      <c r="B57" s="9" t="str">
        <f>_xlfn.XLOOKUP(C57,Tab_Def_Flows[Name(EN)],Tab_Def_Flows[Flow_ID],,0,)</f>
        <v>F_05_09</v>
      </c>
      <c r="C57" s="11" t="s">
        <v>474</v>
      </c>
      <c r="D57" s="9"/>
      <c r="E57" s="9" t="str">
        <f>_xlfn.XLOOKUP(C57,Tab_Def_Flows[Name(EN)],Tab_Def_Flows[Output_Process],,0,)</f>
        <v>Straw C&amp;D</v>
      </c>
      <c r="F57" s="9" t="str">
        <f>_xlfn.XLOOKUP(C57,Tab_Def_Flows[Name(EN)],Tab_Def_Flows[Process_ID_O],,0,)</f>
        <v>05</v>
      </c>
      <c r="G57" s="9" t="str">
        <f>_xlfn.XLOOKUP(C57,Tab_Def_Flows[Name(EN)],Tab_Def_Flows[Input_Process],,0,)</f>
        <v>Compostation &amp; Incorporation</v>
      </c>
      <c r="H57" s="17" t="str">
        <f>_xlfn.XLOOKUP(C57,Tab_Def_Flows[Name(EN)],Tab_Def_Flows[Process_ID_I],,0,)</f>
        <v>09</v>
      </c>
      <c r="I57" s="9" t="e">
        <f>_xlfn.XLOOKUP(C57,Tab_Def_Flows[Name(EN)],#REF!,,0,)</f>
        <v>#REF!</v>
      </c>
      <c r="J57" s="9" t="str">
        <f>_xlfn.XLOOKUP(C57,Tab_Def_Flows[Name(EN)],Tab_Def_Flows[WC?],,0,)</f>
        <v>Yes</v>
      </c>
      <c r="K57" s="9" t="str">
        <f>_xlfn.XLOOKUP(C57,Tab_Def_Flows[Name(EN)],Tab_Def_Flows[DM?],,0,)</f>
        <v>Yes</v>
      </c>
      <c r="L57" s="9" t="str">
        <f>_xlfn.XLOOKUP(C57,Tab_Def_Flows[Name(EN)],Tab_Def_Flows[CC?],,0,)</f>
        <v>Yes</v>
      </c>
      <c r="M57" s="11">
        <v>2028</v>
      </c>
      <c r="N57" s="11"/>
      <c r="O57" s="48">
        <v>500000</v>
      </c>
      <c r="P57" s="11"/>
      <c r="Q57" s="11"/>
      <c r="R57" s="11" t="e">
        <f>INDEX(#REF!,MATCH(Tab_Data_Flows[[#This Row],[Name(EN)]],#REF!,0),12)</f>
        <v>#REF!</v>
      </c>
      <c r="S57" s="11" t="e">
        <f>MATCH(Tab_Data_Flows[[#This Row],[Name(EN)]],#REF!,0)</f>
        <v>#REF!</v>
      </c>
      <c r="T57" s="11"/>
      <c r="U57" s="11"/>
      <c r="V57" s="11"/>
      <c r="W57" s="11"/>
      <c r="X57" s="11" t="s">
        <v>8</v>
      </c>
      <c r="Y57" s="11"/>
      <c r="Z57" s="11"/>
      <c r="AA57" s="35">
        <f t="shared" si="1"/>
        <v>500000</v>
      </c>
      <c r="AB57" s="11" t="s">
        <v>276</v>
      </c>
      <c r="AC57" s="190">
        <f>INDEX(Tab_Def_Flows[[Flow_ID]:[CC_DM_source]],MATCH(Tab_Data_Flows[[#This Row],[Name(EN)]],Tab_Def_Flows[Name(EN)],0),13)</f>
        <v>0.14000000000000001</v>
      </c>
      <c r="AD57" s="9">
        <f>IF(J57="Yes",AA57*Tab_Data_Flows[[#This Row],[WC_'[%']]],"N.A.")</f>
        <v>70000</v>
      </c>
      <c r="AE57" s="9" t="str">
        <f>Tab_Data_Flows[[#This Row],[UoM_Flow_Py]]</f>
        <v>Mg</v>
      </c>
      <c r="AF57" s="190">
        <f>INDEX(Tab_Def_Flows[[Flow_ID]:[CC_DM_source]],MATCH(Tab_Data_Flows[[#This Row],[Name(EN)]],Tab_Def_Flows[Name(EN)],0),15)</f>
        <v>0.86</v>
      </c>
      <c r="AG57" s="9">
        <f>IF(K57="Yes",AF57*Tab_Data_Flows[[#This Row],[Flow_Py]],"N.A.")</f>
        <v>430000</v>
      </c>
      <c r="AH57" s="9" t="str">
        <f>Tab_Data_Flows[[#This Row],[UoM_Flow_Py]]</f>
        <v>Mg</v>
      </c>
      <c r="AI57" s="190">
        <f>INDEX(Tab_Def_Flows[[Flow_ID]:[CC_DM_source]],MATCH(Tab_Data_Flows[[#This Row],[Name(EN)]],Tab_Def_Flows[Name(EN)],0),17)</f>
        <v>0.48</v>
      </c>
      <c r="AJ57" s="9">
        <f>IF(L57="Yes",AI57*Tab_Data_Flows[[#This Row],[Flow_Py]]*Tab_Data_Flows[[#This Row],[DM_'[%']]],"N.A.")</f>
        <v>206400</v>
      </c>
      <c r="AK57" s="9" t="str">
        <f>Tab_Data_Flows[[#This Row],[UoM_Flow_Py]]</f>
        <v>Mg</v>
      </c>
    </row>
    <row r="58" spans="1:37" x14ac:dyDescent="0.25">
      <c r="A58" s="16">
        <f t="shared" si="0"/>
        <v>57</v>
      </c>
      <c r="B58" s="9" t="str">
        <f>_xlfn.XLOOKUP(C58,Tab_Def_Flows[Name(EN)],Tab_Def_Flows[Flow_ID],,0,)</f>
        <v>F_05_09</v>
      </c>
      <c r="C58" s="11" t="s">
        <v>474</v>
      </c>
      <c r="D58" s="9"/>
      <c r="E58" s="9" t="str">
        <f>_xlfn.XLOOKUP(C58,Tab_Def_Flows[Name(EN)],Tab_Def_Flows[Output_Process],,0,)</f>
        <v>Straw C&amp;D</v>
      </c>
      <c r="F58" s="9" t="str">
        <f>_xlfn.XLOOKUP(C58,Tab_Def_Flows[Name(EN)],Tab_Def_Flows[Process_ID_O],,0,)</f>
        <v>05</v>
      </c>
      <c r="G58" s="9" t="str">
        <f>_xlfn.XLOOKUP(C58,Tab_Def_Flows[Name(EN)],Tab_Def_Flows[Input_Process],,0,)</f>
        <v>Compostation &amp; Incorporation</v>
      </c>
      <c r="H58" s="17" t="str">
        <f>_xlfn.XLOOKUP(C58,Tab_Def_Flows[Name(EN)],Tab_Def_Flows[Process_ID_I],,0,)</f>
        <v>09</v>
      </c>
      <c r="I58" s="9" t="e">
        <f>_xlfn.XLOOKUP(C58,Tab_Def_Flows[Name(EN)],#REF!,,0,)</f>
        <v>#REF!</v>
      </c>
      <c r="J58" s="9" t="str">
        <f>_xlfn.XLOOKUP(C58,Tab_Def_Flows[Name(EN)],Tab_Def_Flows[WC?],,0,)</f>
        <v>Yes</v>
      </c>
      <c r="K58" s="9" t="str">
        <f>_xlfn.XLOOKUP(C58,Tab_Def_Flows[Name(EN)],Tab_Def_Flows[DM?],,0,)</f>
        <v>Yes</v>
      </c>
      <c r="L58" s="9" t="str">
        <f>_xlfn.XLOOKUP(C58,Tab_Def_Flows[Name(EN)],Tab_Def_Flows[CC?],,0,)</f>
        <v>Yes</v>
      </c>
      <c r="M58" s="11">
        <v>2029</v>
      </c>
      <c r="N58" s="11"/>
      <c r="O58" s="48">
        <v>500000</v>
      </c>
      <c r="P58" s="11"/>
      <c r="Q58" s="11"/>
      <c r="R58" s="11" t="e">
        <f>INDEX(#REF!,MATCH(Tab_Data_Flows[[#This Row],[Name(EN)]],#REF!,0),12)</f>
        <v>#REF!</v>
      </c>
      <c r="S58" s="11" t="e">
        <f>MATCH(Tab_Data_Flows[[#This Row],[Name(EN)]],#REF!,0)</f>
        <v>#REF!</v>
      </c>
      <c r="T58" s="11"/>
      <c r="U58" s="11"/>
      <c r="V58" s="11"/>
      <c r="W58" s="11"/>
      <c r="X58" s="11" t="s">
        <v>8</v>
      </c>
      <c r="Y58" s="11"/>
      <c r="Z58" s="11"/>
      <c r="AA58" s="35">
        <f t="shared" si="1"/>
        <v>500000</v>
      </c>
      <c r="AB58" s="11" t="s">
        <v>276</v>
      </c>
      <c r="AC58" s="190">
        <f>INDEX(Tab_Def_Flows[[Flow_ID]:[CC_DM_source]],MATCH(Tab_Data_Flows[[#This Row],[Name(EN)]],Tab_Def_Flows[Name(EN)],0),13)</f>
        <v>0.14000000000000001</v>
      </c>
      <c r="AD58" s="9">
        <f>IF(J58="Yes",AA58*Tab_Data_Flows[[#This Row],[WC_'[%']]],"N.A.")</f>
        <v>70000</v>
      </c>
      <c r="AE58" s="9" t="str">
        <f>Tab_Data_Flows[[#This Row],[UoM_Flow_Py]]</f>
        <v>Mg</v>
      </c>
      <c r="AF58" s="190">
        <f>INDEX(Tab_Def_Flows[[Flow_ID]:[CC_DM_source]],MATCH(Tab_Data_Flows[[#This Row],[Name(EN)]],Tab_Def_Flows[Name(EN)],0),15)</f>
        <v>0.86</v>
      </c>
      <c r="AG58" s="9">
        <f>IF(K58="Yes",AF58*Tab_Data_Flows[[#This Row],[Flow_Py]],"N.A.")</f>
        <v>430000</v>
      </c>
      <c r="AH58" s="9" t="str">
        <f>Tab_Data_Flows[[#This Row],[UoM_Flow_Py]]</f>
        <v>Mg</v>
      </c>
      <c r="AI58" s="190">
        <f>INDEX(Tab_Def_Flows[[Flow_ID]:[CC_DM_source]],MATCH(Tab_Data_Flows[[#This Row],[Name(EN)]],Tab_Def_Flows[Name(EN)],0),17)</f>
        <v>0.48</v>
      </c>
      <c r="AJ58" s="9">
        <f>IF(L58="Yes",AI58*Tab_Data_Flows[[#This Row],[Flow_Py]]*Tab_Data_Flows[[#This Row],[DM_'[%']]],"N.A.")</f>
        <v>206400</v>
      </c>
      <c r="AK58" s="9" t="str">
        <f>Tab_Data_Flows[[#This Row],[UoM_Flow_Py]]</f>
        <v>Mg</v>
      </c>
    </row>
    <row r="59" spans="1:37" x14ac:dyDescent="0.25">
      <c r="A59" s="16">
        <f t="shared" si="0"/>
        <v>58</v>
      </c>
      <c r="B59" s="9" t="str">
        <f>_xlfn.XLOOKUP(C59,Tab_Def_Flows[Name(EN)],Tab_Def_Flows[Flow_ID],,0,)</f>
        <v>F_05_09</v>
      </c>
      <c r="C59" s="11" t="s">
        <v>474</v>
      </c>
      <c r="D59" s="9"/>
      <c r="E59" s="9" t="str">
        <f>_xlfn.XLOOKUP(C59,Tab_Def_Flows[Name(EN)],Tab_Def_Flows[Output_Process],,0,)</f>
        <v>Straw C&amp;D</v>
      </c>
      <c r="F59" s="9" t="str">
        <f>_xlfn.XLOOKUP(C59,Tab_Def_Flows[Name(EN)],Tab_Def_Flows[Process_ID_O],,0,)</f>
        <v>05</v>
      </c>
      <c r="G59" s="9" t="str">
        <f>_xlfn.XLOOKUP(C59,Tab_Def_Flows[Name(EN)],Tab_Def_Flows[Input_Process],,0,)</f>
        <v>Compostation &amp; Incorporation</v>
      </c>
      <c r="H59" s="17" t="str">
        <f>_xlfn.XLOOKUP(C59,Tab_Def_Flows[Name(EN)],Tab_Def_Flows[Process_ID_I],,0,)</f>
        <v>09</v>
      </c>
      <c r="I59" s="9" t="e">
        <f>_xlfn.XLOOKUP(C59,Tab_Def_Flows[Name(EN)],#REF!,,0,)</f>
        <v>#REF!</v>
      </c>
      <c r="J59" s="9" t="str">
        <f>_xlfn.XLOOKUP(C59,Tab_Def_Flows[Name(EN)],Tab_Def_Flows[WC?],,0,)</f>
        <v>Yes</v>
      </c>
      <c r="K59" s="9" t="str">
        <f>_xlfn.XLOOKUP(C59,Tab_Def_Flows[Name(EN)],Tab_Def_Flows[DM?],,0,)</f>
        <v>Yes</v>
      </c>
      <c r="L59" s="9" t="str">
        <f>_xlfn.XLOOKUP(C59,Tab_Def_Flows[Name(EN)],Tab_Def_Flows[CC?],,0,)</f>
        <v>Yes</v>
      </c>
      <c r="M59" s="11">
        <v>2030</v>
      </c>
      <c r="N59" s="11"/>
      <c r="O59" s="48">
        <v>500000</v>
      </c>
      <c r="P59" s="11"/>
      <c r="Q59" s="11"/>
      <c r="R59" s="11" t="e">
        <f>INDEX(#REF!,MATCH(Tab_Data_Flows[[#This Row],[Name(EN)]],#REF!,0),12)</f>
        <v>#REF!</v>
      </c>
      <c r="S59" s="11" t="e">
        <f>MATCH(Tab_Data_Flows[[#This Row],[Name(EN)]],#REF!,0)</f>
        <v>#REF!</v>
      </c>
      <c r="T59" s="11"/>
      <c r="U59" s="11"/>
      <c r="V59" s="11"/>
      <c r="W59" s="11"/>
      <c r="X59" s="11" t="s">
        <v>8</v>
      </c>
      <c r="Y59" s="11"/>
      <c r="Z59" s="11"/>
      <c r="AA59" s="35">
        <f t="shared" si="1"/>
        <v>500000</v>
      </c>
      <c r="AB59" s="11" t="s">
        <v>276</v>
      </c>
      <c r="AC59" s="190">
        <f>INDEX(Tab_Def_Flows[[Flow_ID]:[CC_DM_source]],MATCH(Tab_Data_Flows[[#This Row],[Name(EN)]],Tab_Def_Flows[Name(EN)],0),13)</f>
        <v>0.14000000000000001</v>
      </c>
      <c r="AD59" s="9">
        <f>IF(J59="Yes",AA59*Tab_Data_Flows[[#This Row],[WC_'[%']]],"N.A.")</f>
        <v>70000</v>
      </c>
      <c r="AE59" s="9" t="str">
        <f>Tab_Data_Flows[[#This Row],[UoM_Flow_Py]]</f>
        <v>Mg</v>
      </c>
      <c r="AF59" s="190">
        <f>INDEX(Tab_Def_Flows[[Flow_ID]:[CC_DM_source]],MATCH(Tab_Data_Flows[[#This Row],[Name(EN)]],Tab_Def_Flows[Name(EN)],0),15)</f>
        <v>0.86</v>
      </c>
      <c r="AG59" s="9">
        <f>IF(K59="Yes",AF59*Tab_Data_Flows[[#This Row],[Flow_Py]],"N.A.")</f>
        <v>430000</v>
      </c>
      <c r="AH59" s="9" t="str">
        <f>Tab_Data_Flows[[#This Row],[UoM_Flow_Py]]</f>
        <v>Mg</v>
      </c>
      <c r="AI59" s="190">
        <f>INDEX(Tab_Def_Flows[[Flow_ID]:[CC_DM_source]],MATCH(Tab_Data_Flows[[#This Row],[Name(EN)]],Tab_Def_Flows[Name(EN)],0),17)</f>
        <v>0.48</v>
      </c>
      <c r="AJ59" s="9">
        <f>IF(L59="Yes",AI59*Tab_Data_Flows[[#This Row],[Flow_Py]]*Tab_Data_Flows[[#This Row],[DM_'[%']]],"N.A.")</f>
        <v>206400</v>
      </c>
      <c r="AK59" s="9" t="str">
        <f>Tab_Data_Flows[[#This Row],[UoM_Flow_Py]]</f>
        <v>Mg</v>
      </c>
    </row>
    <row r="60" spans="1:37" x14ac:dyDescent="0.25">
      <c r="A60" s="16">
        <f t="shared" si="0"/>
        <v>59</v>
      </c>
      <c r="B60" s="9" t="str">
        <f>_xlfn.XLOOKUP(C60,Tab_Def_Flows[Name(EN)],Tab_Def_Flows[Flow_ID],,0,)</f>
        <v>F_05_09</v>
      </c>
      <c r="C60" s="11" t="s">
        <v>474</v>
      </c>
      <c r="D60" s="9">
        <f>_xlfn.XLOOKUP(C60,Tab_Def_Flows[Name(EN)],Tab_Def_Flows[Type_Biomass],,0,)</f>
        <v>0</v>
      </c>
      <c r="E60" s="9" t="str">
        <f>_xlfn.XLOOKUP(C60,Tab_Def_Flows[Name(EN)],Tab_Def_Flows[Output_Process],,0,)</f>
        <v>Straw C&amp;D</v>
      </c>
      <c r="F60" s="9" t="str">
        <f>_xlfn.XLOOKUP(C60,Tab_Def_Flows[Name(EN)],Tab_Def_Flows[Process_ID_O],,0,)</f>
        <v>05</v>
      </c>
      <c r="G60" s="9" t="str">
        <f>_xlfn.XLOOKUP(C60,Tab_Def_Flows[Name(EN)],Tab_Def_Flows[Input_Process],,0,)</f>
        <v>Compostation &amp; Incorporation</v>
      </c>
      <c r="H60" s="17" t="str">
        <f>_xlfn.XLOOKUP(C60,Tab_Def_Flows[Name(EN)],Tab_Def_Flows[Process_ID_I],,0,)</f>
        <v>09</v>
      </c>
      <c r="I60" s="17" t="e">
        <f>_xlfn.XLOOKUP(C60,Tab_Def_Flows[Name(EN)],#REF!,,0,)</f>
        <v>#REF!</v>
      </c>
      <c r="J60" s="17" t="str">
        <f>_xlfn.XLOOKUP(C60,Tab_Def_Flows[Name(EN)],Tab_Def_Flows[WC?],,0,)</f>
        <v>Yes</v>
      </c>
      <c r="K60" s="17" t="str">
        <f>_xlfn.XLOOKUP(C60,Tab_Def_Flows[Name(EN)],Tab_Def_Flows[DM?],,0,)</f>
        <v>Yes</v>
      </c>
      <c r="L60" s="17" t="str">
        <f>_xlfn.XLOOKUP(C60,Tab_Def_Flows[Name(EN)],Tab_Def_Flows[CC?],,0,)</f>
        <v>Yes</v>
      </c>
      <c r="M60" s="11">
        <v>2031</v>
      </c>
      <c r="N60" s="11" t="s">
        <v>105</v>
      </c>
      <c r="O60" s="48">
        <v>500000</v>
      </c>
      <c r="P60" s="11"/>
      <c r="Q60" s="11"/>
      <c r="R60" s="11"/>
      <c r="S60" s="11"/>
      <c r="T60" s="11"/>
      <c r="U60" s="11"/>
      <c r="V60" s="11"/>
      <c r="W60" s="11"/>
      <c r="X60" s="11" t="s">
        <v>8</v>
      </c>
      <c r="Y60" s="41"/>
      <c r="Z60" s="11"/>
      <c r="AA60" s="35">
        <f>IF(X60="no",O60,O60*Y60)</f>
        <v>500000</v>
      </c>
      <c r="AB60" s="11" t="s">
        <v>276</v>
      </c>
      <c r="AC60" s="190">
        <f>INDEX(Tab_Def_Flows[[Flow_ID]:[CC_DM_source]],MATCH(Tab_Data_Flows[[#This Row],[Name(EN)]],Tab_Def_Flows[Name(EN)],0),13)</f>
        <v>0.14000000000000001</v>
      </c>
      <c r="AD60" s="9">
        <f>IF(J60="Yes",AA60*Tab_Data_Flows[[#This Row],[WC_'[%']]],"N.A.")</f>
        <v>70000</v>
      </c>
      <c r="AE60" s="9" t="str">
        <f>Tab_Data_Flows[[#This Row],[UoM_Flow_Py]]</f>
        <v>Mg</v>
      </c>
      <c r="AF60" s="190">
        <f>INDEX(Tab_Def_Flows[[Flow_ID]:[CC_DM_source]],MATCH(Tab_Data_Flows[[#This Row],[Name(EN)]],Tab_Def_Flows[Name(EN)],0),15)</f>
        <v>0.86</v>
      </c>
      <c r="AG60" s="9">
        <f>IF(K60="Yes",AF60*Tab_Data_Flows[[#This Row],[Flow_Py]],"N.A.")</f>
        <v>430000</v>
      </c>
      <c r="AH60" s="9" t="str">
        <f>Tab_Data_Flows[[#This Row],[UoM_Flow_Py]]</f>
        <v>Mg</v>
      </c>
      <c r="AI60" s="190">
        <f>INDEX(Tab_Def_Flows[[Flow_ID]:[CC_DM_source]],MATCH(Tab_Data_Flows[[#This Row],[Name(EN)]],Tab_Def_Flows[Name(EN)],0),17)</f>
        <v>0.48</v>
      </c>
      <c r="AJ60" s="9">
        <f>IF(L60="Yes",AI60*Tab_Data_Flows[[#This Row],[Flow_Py]]*Tab_Data_Flows[[#This Row],[DM_'[%']]],"N.A.")</f>
        <v>206400</v>
      </c>
      <c r="AK60" s="9" t="str">
        <f>Tab_Data_Flows[[#This Row],[UoM_Flow_Py]]</f>
        <v>Mg</v>
      </c>
    </row>
    <row r="61" spans="1:37" x14ac:dyDescent="0.25">
      <c r="A61" s="16">
        <f t="shared" si="0"/>
        <v>60</v>
      </c>
      <c r="B61" s="9" t="str">
        <f>_xlfn.XLOOKUP(C61,Tab_Def_Flows[Name(EN)],Tab_Def_Flows[Flow_ID],,0,)</f>
        <v>F_05_09</v>
      </c>
      <c r="C61" s="11" t="s">
        <v>474</v>
      </c>
      <c r="D61" s="9">
        <f>_xlfn.XLOOKUP(C61,Tab_Def_Flows[Name(EN)],Tab_Def_Flows[Type_Biomass],,0,)</f>
        <v>0</v>
      </c>
      <c r="E61" s="9" t="str">
        <f>_xlfn.XLOOKUP(C61,Tab_Def_Flows[Name(EN)],Tab_Def_Flows[Output_Process],,0,)</f>
        <v>Straw C&amp;D</v>
      </c>
      <c r="F61" s="9" t="str">
        <f>_xlfn.XLOOKUP(C61,Tab_Def_Flows[Name(EN)],Tab_Def_Flows[Process_ID_O],,0,)</f>
        <v>05</v>
      </c>
      <c r="G61" s="9" t="str">
        <f>_xlfn.XLOOKUP(C61,Tab_Def_Flows[Name(EN)],Tab_Def_Flows[Input_Process],,0,)</f>
        <v>Compostation &amp; Incorporation</v>
      </c>
      <c r="H61" s="17" t="str">
        <f>_xlfn.XLOOKUP(C61,Tab_Def_Flows[Name(EN)],Tab_Def_Flows[Process_ID_I],,0,)</f>
        <v>09</v>
      </c>
      <c r="I61" s="17" t="e">
        <f>_xlfn.XLOOKUP(C61,Tab_Def_Flows[Name(EN)],#REF!,,0,)</f>
        <v>#REF!</v>
      </c>
      <c r="J61" s="17" t="str">
        <f>_xlfn.XLOOKUP(C61,Tab_Def_Flows[Name(EN)],Tab_Def_Flows[WC?],,0,)</f>
        <v>Yes</v>
      </c>
      <c r="K61" s="17" t="str">
        <f>_xlfn.XLOOKUP(C61,Tab_Def_Flows[Name(EN)],Tab_Def_Flows[DM?],,0,)</f>
        <v>Yes</v>
      </c>
      <c r="L61" s="17" t="str">
        <f>_xlfn.XLOOKUP(C61,Tab_Def_Flows[Name(EN)],Tab_Def_Flows[CC?],,0,)</f>
        <v>Yes</v>
      </c>
      <c r="M61" s="11">
        <v>2032</v>
      </c>
      <c r="N61" s="11" t="s">
        <v>105</v>
      </c>
      <c r="O61" s="48">
        <v>500000</v>
      </c>
      <c r="P61" s="11"/>
      <c r="Q61" s="11"/>
      <c r="R61" s="11"/>
      <c r="S61" s="11"/>
      <c r="T61" s="11"/>
      <c r="U61" s="11"/>
      <c r="V61" s="11"/>
      <c r="W61" s="11"/>
      <c r="X61" s="11" t="s">
        <v>8</v>
      </c>
      <c r="Y61" s="41"/>
      <c r="Z61" s="11"/>
      <c r="AA61" s="35">
        <f t="shared" si="1"/>
        <v>500000</v>
      </c>
      <c r="AB61" s="11" t="s">
        <v>276</v>
      </c>
      <c r="AC61" s="190">
        <f>INDEX(Tab_Def_Flows[[Flow_ID]:[CC_DM_source]],MATCH(Tab_Data_Flows[[#This Row],[Name(EN)]],Tab_Def_Flows[Name(EN)],0),13)</f>
        <v>0.14000000000000001</v>
      </c>
      <c r="AD61" s="9">
        <f>IF(J61="Yes",AA61*Tab_Data_Flows[[#This Row],[WC_'[%']]],"N.A.")</f>
        <v>70000</v>
      </c>
      <c r="AE61" s="9" t="str">
        <f>Tab_Data_Flows[[#This Row],[UoM_Flow_Py]]</f>
        <v>Mg</v>
      </c>
      <c r="AF61" s="190">
        <f>INDEX(Tab_Def_Flows[[Flow_ID]:[CC_DM_source]],MATCH(Tab_Data_Flows[[#This Row],[Name(EN)]],Tab_Def_Flows[Name(EN)],0),15)</f>
        <v>0.86</v>
      </c>
      <c r="AG61" s="9">
        <f>IF(K61="Yes",AF61*Tab_Data_Flows[[#This Row],[Flow_Py]],"N.A.")</f>
        <v>430000</v>
      </c>
      <c r="AH61" s="9" t="str">
        <f>Tab_Data_Flows[[#This Row],[UoM_Flow_Py]]</f>
        <v>Mg</v>
      </c>
      <c r="AI61" s="190">
        <f>INDEX(Tab_Def_Flows[[Flow_ID]:[CC_DM_source]],MATCH(Tab_Data_Flows[[#This Row],[Name(EN)]],Tab_Def_Flows[Name(EN)],0),17)</f>
        <v>0.48</v>
      </c>
      <c r="AJ61" s="9">
        <f>IF(L61="Yes",AI61*Tab_Data_Flows[[#This Row],[Flow_Py]]*Tab_Data_Flows[[#This Row],[DM_'[%']]],"N.A.")</f>
        <v>206400</v>
      </c>
      <c r="AK61" s="9" t="str">
        <f>Tab_Data_Flows[[#This Row],[UoM_Flow_Py]]</f>
        <v>Mg</v>
      </c>
    </row>
    <row r="62" spans="1:37" x14ac:dyDescent="0.25">
      <c r="A62" s="16">
        <f t="shared" si="0"/>
        <v>61</v>
      </c>
      <c r="B62" s="9" t="str">
        <f>_xlfn.XLOOKUP(C62,Tab_Def_Flows[Name(EN)],Tab_Def_Flows[Flow_ID],,0,)</f>
        <v>F_05_09</v>
      </c>
      <c r="C62" s="11" t="s">
        <v>474</v>
      </c>
      <c r="D62" s="9">
        <f>_xlfn.XLOOKUP(C62,Tab_Def_Flows[Name(EN)],Tab_Def_Flows[Type_Biomass],,0,)</f>
        <v>0</v>
      </c>
      <c r="E62" s="9" t="str">
        <f>_xlfn.XLOOKUP(C62,Tab_Def_Flows[Name(EN)],Tab_Def_Flows[Output_Process],,0,)</f>
        <v>Straw C&amp;D</v>
      </c>
      <c r="F62" s="9" t="str">
        <f>_xlfn.XLOOKUP(C62,Tab_Def_Flows[Name(EN)],Tab_Def_Flows[Process_ID_O],,0,)</f>
        <v>05</v>
      </c>
      <c r="G62" s="9" t="str">
        <f>_xlfn.XLOOKUP(C62,Tab_Def_Flows[Name(EN)],Tab_Def_Flows[Input_Process],,0,)</f>
        <v>Compostation &amp; Incorporation</v>
      </c>
      <c r="H62" s="17" t="str">
        <f>_xlfn.XLOOKUP(C62,Tab_Def_Flows[Name(EN)],Tab_Def_Flows[Process_ID_I],,0,)</f>
        <v>09</v>
      </c>
      <c r="I62" s="17" t="e">
        <f>_xlfn.XLOOKUP(C62,Tab_Def_Flows[Name(EN)],#REF!,,0,)</f>
        <v>#REF!</v>
      </c>
      <c r="J62" s="17" t="str">
        <f>_xlfn.XLOOKUP(C62,Tab_Def_Flows[Name(EN)],Tab_Def_Flows[WC?],,0,)</f>
        <v>Yes</v>
      </c>
      <c r="K62" s="17" t="str">
        <f>_xlfn.XLOOKUP(C62,Tab_Def_Flows[Name(EN)],Tab_Def_Flows[DM?],,0,)</f>
        <v>Yes</v>
      </c>
      <c r="L62" s="17" t="str">
        <f>_xlfn.XLOOKUP(C62,Tab_Def_Flows[Name(EN)],Tab_Def_Flows[CC?],,0,)</f>
        <v>Yes</v>
      </c>
      <c r="M62" s="11">
        <v>2033</v>
      </c>
      <c r="N62" s="11" t="s">
        <v>105</v>
      </c>
      <c r="O62" s="48">
        <v>500000</v>
      </c>
      <c r="P62" s="11"/>
      <c r="Q62" s="11"/>
      <c r="R62" s="11"/>
      <c r="S62" s="11"/>
      <c r="T62" s="11"/>
      <c r="U62" s="11"/>
      <c r="V62" s="11"/>
      <c r="W62" s="11"/>
      <c r="X62" s="11" t="s">
        <v>8</v>
      </c>
      <c r="Y62" s="41"/>
      <c r="Z62" s="11"/>
      <c r="AA62" s="35">
        <f t="shared" si="1"/>
        <v>500000</v>
      </c>
      <c r="AB62" s="11" t="s">
        <v>276</v>
      </c>
      <c r="AC62" s="190">
        <f>INDEX(Tab_Def_Flows[[Flow_ID]:[CC_DM_source]],MATCH(Tab_Data_Flows[[#This Row],[Name(EN)]],Tab_Def_Flows[Name(EN)],0),13)</f>
        <v>0.14000000000000001</v>
      </c>
      <c r="AD62" s="9">
        <f>IF(J62="Yes",AA62*Tab_Data_Flows[[#This Row],[WC_'[%']]],"N.A.")</f>
        <v>70000</v>
      </c>
      <c r="AE62" s="9" t="str">
        <f>Tab_Data_Flows[[#This Row],[UoM_Flow_Py]]</f>
        <v>Mg</v>
      </c>
      <c r="AF62" s="190">
        <f>INDEX(Tab_Def_Flows[[Flow_ID]:[CC_DM_source]],MATCH(Tab_Data_Flows[[#This Row],[Name(EN)]],Tab_Def_Flows[Name(EN)],0),15)</f>
        <v>0.86</v>
      </c>
      <c r="AG62" s="9">
        <f>IF(K62="Yes",AF62*Tab_Data_Flows[[#This Row],[Flow_Py]],"N.A.")</f>
        <v>430000</v>
      </c>
      <c r="AH62" s="9" t="str">
        <f>Tab_Data_Flows[[#This Row],[UoM_Flow_Py]]</f>
        <v>Mg</v>
      </c>
      <c r="AI62" s="190">
        <f>INDEX(Tab_Def_Flows[[Flow_ID]:[CC_DM_source]],MATCH(Tab_Data_Flows[[#This Row],[Name(EN)]],Tab_Def_Flows[Name(EN)],0),17)</f>
        <v>0.48</v>
      </c>
      <c r="AJ62" s="9">
        <f>IF(L62="Yes",AI62*Tab_Data_Flows[[#This Row],[Flow_Py]]*Tab_Data_Flows[[#This Row],[DM_'[%']]],"N.A.")</f>
        <v>206400</v>
      </c>
      <c r="AK62" s="9" t="str">
        <f>Tab_Data_Flows[[#This Row],[UoM_Flow_Py]]</f>
        <v>Mg</v>
      </c>
    </row>
    <row r="63" spans="1:37" x14ac:dyDescent="0.25">
      <c r="A63" s="16">
        <f t="shared" si="0"/>
        <v>62</v>
      </c>
      <c r="B63" s="9" t="str">
        <f>_xlfn.XLOOKUP(C63,Tab_Def_Flows[Name(EN)],Tab_Def_Flows[Flow_ID],,0,)</f>
        <v>F_05_09</v>
      </c>
      <c r="C63" s="11" t="s">
        <v>474</v>
      </c>
      <c r="D63" s="9">
        <f>_xlfn.XLOOKUP(C63,Tab_Def_Flows[Name(EN)],Tab_Def_Flows[Type_Biomass],,0,)</f>
        <v>0</v>
      </c>
      <c r="E63" s="9" t="str">
        <f>_xlfn.XLOOKUP(C63,Tab_Def_Flows[Name(EN)],Tab_Def_Flows[Output_Process],,0,)</f>
        <v>Straw C&amp;D</v>
      </c>
      <c r="F63" s="9" t="str">
        <f>_xlfn.XLOOKUP(C63,Tab_Def_Flows[Name(EN)],Tab_Def_Flows[Process_ID_O],,0,)</f>
        <v>05</v>
      </c>
      <c r="G63" s="9" t="str">
        <f>_xlfn.XLOOKUP(C63,Tab_Def_Flows[Name(EN)],Tab_Def_Flows[Input_Process],,0,)</f>
        <v>Compostation &amp; Incorporation</v>
      </c>
      <c r="H63" s="17" t="str">
        <f>_xlfn.XLOOKUP(C63,Tab_Def_Flows[Name(EN)],Tab_Def_Flows[Process_ID_I],,0,)</f>
        <v>09</v>
      </c>
      <c r="I63" s="17" t="e">
        <f>_xlfn.XLOOKUP(C63,Tab_Def_Flows[Name(EN)],#REF!,,0,)</f>
        <v>#REF!</v>
      </c>
      <c r="J63" s="17" t="str">
        <f>_xlfn.XLOOKUP(C63,Tab_Def_Flows[Name(EN)],Tab_Def_Flows[WC?],,0,)</f>
        <v>Yes</v>
      </c>
      <c r="K63" s="17" t="str">
        <f>_xlfn.XLOOKUP(C63,Tab_Def_Flows[Name(EN)],Tab_Def_Flows[DM?],,0,)</f>
        <v>Yes</v>
      </c>
      <c r="L63" s="17" t="str">
        <f>_xlfn.XLOOKUP(C63,Tab_Def_Flows[Name(EN)],Tab_Def_Flows[CC?],,0,)</f>
        <v>Yes</v>
      </c>
      <c r="M63" s="11">
        <v>2033</v>
      </c>
      <c r="N63" s="11" t="s">
        <v>105</v>
      </c>
      <c r="O63" s="48">
        <v>500000</v>
      </c>
      <c r="P63" s="11"/>
      <c r="Q63" s="11"/>
      <c r="R63" s="11"/>
      <c r="S63" s="11"/>
      <c r="T63" s="11"/>
      <c r="U63" s="11"/>
      <c r="V63" s="11"/>
      <c r="W63" s="11"/>
      <c r="X63" s="11" t="s">
        <v>8</v>
      </c>
      <c r="Y63" s="41"/>
      <c r="Z63" s="11"/>
      <c r="AA63" s="35">
        <f t="shared" si="1"/>
        <v>500000</v>
      </c>
      <c r="AB63" s="11" t="s">
        <v>276</v>
      </c>
      <c r="AC63" s="190">
        <f>INDEX(Tab_Def_Flows[[Flow_ID]:[CC_DM_source]],MATCH(Tab_Data_Flows[[#This Row],[Name(EN)]],Tab_Def_Flows[Name(EN)],0),13)</f>
        <v>0.14000000000000001</v>
      </c>
      <c r="AD63" s="9">
        <f>IF(J63="Yes",AA63*Tab_Data_Flows[[#This Row],[WC_'[%']]],"N.A.")</f>
        <v>70000</v>
      </c>
      <c r="AE63" s="9" t="str">
        <f>Tab_Data_Flows[[#This Row],[UoM_Flow_Py]]</f>
        <v>Mg</v>
      </c>
      <c r="AF63" s="190">
        <f>INDEX(Tab_Def_Flows[[Flow_ID]:[CC_DM_source]],MATCH(Tab_Data_Flows[[#This Row],[Name(EN)]],Tab_Def_Flows[Name(EN)],0),15)</f>
        <v>0.86</v>
      </c>
      <c r="AG63" s="9">
        <f>IF(K63="Yes",AF63*Tab_Data_Flows[[#This Row],[Flow_Py]],"N.A.")</f>
        <v>430000</v>
      </c>
      <c r="AH63" s="9" t="str">
        <f>Tab_Data_Flows[[#This Row],[UoM_Flow_Py]]</f>
        <v>Mg</v>
      </c>
      <c r="AI63" s="190">
        <f>INDEX(Tab_Def_Flows[[Flow_ID]:[CC_DM_source]],MATCH(Tab_Data_Flows[[#This Row],[Name(EN)]],Tab_Def_Flows[Name(EN)],0),17)</f>
        <v>0.48</v>
      </c>
      <c r="AJ63" s="9">
        <f>IF(L63="Yes",AI63*Tab_Data_Flows[[#This Row],[Flow_Py]]*Tab_Data_Flows[[#This Row],[DM_'[%']]],"N.A.")</f>
        <v>206400</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D18" sqref="D18"/>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J1" activePane="topRight" state="frozen"/>
      <selection pane="topRight" sqref="A1:D59"/>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0.25</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0.5</v>
      </c>
      <c r="Q16" s="37"/>
      <c r="R16" s="37"/>
      <c r="S16" s="37"/>
      <c r="T16" s="37"/>
      <c r="U16" s="37"/>
    </row>
    <row r="17" spans="1:21"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0.25</v>
      </c>
      <c r="Q17" s="37"/>
      <c r="R17" s="37"/>
      <c r="S17" s="37"/>
      <c r="T17" s="37"/>
      <c r="U17" s="37"/>
    </row>
    <row r="18" spans="1:21"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1"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Q13" sqref="A1:Q1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H23" sqref="H23"/>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topLeftCell="G1" zoomScale="85" zoomScaleNormal="85" workbookViewId="0">
      <selection activeCell="J32" sqref="J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88</v>
      </c>
      <c r="B1" s="220" t="s">
        <v>32</v>
      </c>
      <c r="C1" s="220" t="s">
        <v>62</v>
      </c>
      <c r="D1" s="220" t="s">
        <v>90</v>
      </c>
      <c r="E1" s="224" t="s">
        <v>765</v>
      </c>
      <c r="F1" s="224" t="s">
        <v>615</v>
      </c>
      <c r="G1" s="224" t="s">
        <v>618</v>
      </c>
      <c r="H1" s="224" t="s">
        <v>799</v>
      </c>
      <c r="I1" t="s">
        <v>800</v>
      </c>
      <c r="J1" s="224" t="s">
        <v>801</v>
      </c>
      <c r="K1" s="224" t="s">
        <v>804</v>
      </c>
      <c r="L1" s="224" t="s">
        <v>802</v>
      </c>
      <c r="M1" s="224" t="s">
        <v>805</v>
      </c>
      <c r="N1" s="224" t="s">
        <v>803</v>
      </c>
      <c r="O1" t="s">
        <v>806</v>
      </c>
      <c r="P1" t="s">
        <v>6</v>
      </c>
    </row>
    <row r="2" spans="1:16" x14ac:dyDescent="0.25">
      <c r="A2" s="225" t="b">
        <v>0</v>
      </c>
      <c r="B2" s="9">
        <f>ROW()-1</f>
        <v>1</v>
      </c>
      <c r="C2" s="47" t="str">
        <f>_xlfn.XLOOKUP($D2,Tab_Def_Processes[Name(EN)],Tab_Def_Processes[ID],,0,)</f>
        <v>00</v>
      </c>
      <c r="D2" s="221" t="str">
        <f>Tab_Def_Processes[[#This Row],[Name(EN)]]</f>
        <v>Atmosphere</v>
      </c>
      <c r="E2" s="227" t="s">
        <v>676</v>
      </c>
      <c r="F2" s="227" t="s">
        <v>681</v>
      </c>
      <c r="G2" s="9" t="str">
        <f>_xlfn.XLOOKUP($F2,Table32[Color_Name],Table32[Hex_Code],,0,)</f>
        <v>#6B8E23</v>
      </c>
      <c r="H2">
        <v>0.1</v>
      </c>
      <c r="I2">
        <v>0.8</v>
      </c>
      <c r="J2">
        <v>0.2</v>
      </c>
      <c r="K2">
        <v>0.8</v>
      </c>
      <c r="L2">
        <v>0.1</v>
      </c>
      <c r="M2">
        <v>0.8</v>
      </c>
      <c r="N2">
        <v>0.2</v>
      </c>
      <c r="O2">
        <v>0.8</v>
      </c>
    </row>
    <row r="3" spans="1:16" x14ac:dyDescent="0.25">
      <c r="A3" s="225" t="b">
        <v>0</v>
      </c>
      <c r="B3" s="9">
        <f t="shared" ref="B3:B59" si="0">ROW()-1</f>
        <v>2</v>
      </c>
      <c r="C3" s="47" t="str">
        <f>_xlfn.XLOOKUP($D3,Tab_Def_Processes[Name(EN)],Tab_Def_Processes[ID],,0,)</f>
        <v>01</v>
      </c>
      <c r="D3" s="221" t="str">
        <f>Tab_Def_Processes[[#This Row],[Name(EN)]]</f>
        <v>Environment</v>
      </c>
      <c r="E3" s="227" t="s">
        <v>676</v>
      </c>
      <c r="F3" s="227" t="s">
        <v>723</v>
      </c>
      <c r="G3" s="9" t="str">
        <f>_xlfn.XLOOKUP($F3,Table32[Color_Name],Table32[Hex_Code],,0,)</f>
        <v>#FF6347</v>
      </c>
      <c r="H3">
        <v>0.1</v>
      </c>
      <c r="I3">
        <v>0.2</v>
      </c>
      <c r="J3">
        <v>0.3</v>
      </c>
      <c r="K3">
        <v>0.2</v>
      </c>
      <c r="L3">
        <v>0.1</v>
      </c>
      <c r="M3">
        <v>0.2</v>
      </c>
      <c r="N3">
        <v>0.3</v>
      </c>
      <c r="O3">
        <v>0.2</v>
      </c>
    </row>
    <row r="4" spans="1:16" x14ac:dyDescent="0.25">
      <c r="A4" s="225" t="b">
        <v>0</v>
      </c>
      <c r="B4" s="9">
        <f t="shared" si="0"/>
        <v>3</v>
      </c>
      <c r="C4" s="47" t="str">
        <f>_xlfn.XLOOKUP($D4,Tab_Def_Processes[Name(EN)],Tab_Def_Processes[ID],,0,)</f>
        <v>02</v>
      </c>
      <c r="D4" s="221" t="str">
        <f>Tab_Def_Processes[[#This Row],[Name(EN)]]</f>
        <v>Cultivation</v>
      </c>
      <c r="E4" s="227" t="s">
        <v>676</v>
      </c>
      <c r="F4" s="227" t="s">
        <v>698</v>
      </c>
      <c r="G4" s="9" t="str">
        <f>_xlfn.XLOOKUP($F4,Table32[Color_Name],Table32[Hex_Code],,0,)</f>
        <v>#0066CC</v>
      </c>
      <c r="H4">
        <v>0.2</v>
      </c>
      <c r="I4">
        <v>0.5</v>
      </c>
      <c r="J4">
        <v>0.3</v>
      </c>
      <c r="K4">
        <v>0.5</v>
      </c>
      <c r="L4">
        <v>0.2</v>
      </c>
      <c r="M4">
        <v>0.5</v>
      </c>
      <c r="N4">
        <v>0.3</v>
      </c>
      <c r="O4">
        <v>0.5</v>
      </c>
    </row>
    <row r="5" spans="1:16" x14ac:dyDescent="0.25">
      <c r="A5" s="225" t="b">
        <v>0</v>
      </c>
      <c r="B5" s="9">
        <f t="shared" si="0"/>
        <v>4</v>
      </c>
      <c r="C5" s="47" t="str">
        <f>_xlfn.XLOOKUP($D5,Tab_Def_Processes[Name(EN)],Tab_Def_Processes[ID],,0,)</f>
        <v>03</v>
      </c>
      <c r="D5" s="221" t="str">
        <f>Tab_Def_Processes[[#This Row],[Name(EN)]]</f>
        <v>Harvest</v>
      </c>
      <c r="E5" s="227" t="s">
        <v>676</v>
      </c>
      <c r="F5" s="227" t="s">
        <v>681</v>
      </c>
      <c r="G5" s="9" t="str">
        <f>_xlfn.XLOOKUP($F5,Table32[Color_Name],Table32[Hex_Code],,0,)</f>
        <v>#6B8E23</v>
      </c>
      <c r="H5">
        <v>0.3</v>
      </c>
      <c r="I5">
        <v>0.5</v>
      </c>
      <c r="J5">
        <v>0.4</v>
      </c>
      <c r="K5">
        <v>0.5</v>
      </c>
      <c r="L5">
        <v>0.3</v>
      </c>
      <c r="M5">
        <v>0.5</v>
      </c>
      <c r="N5">
        <v>0.4</v>
      </c>
      <c r="O5">
        <v>0.5</v>
      </c>
    </row>
    <row r="6" spans="1:16" x14ac:dyDescent="0.25">
      <c r="A6" s="225" t="b">
        <v>0</v>
      </c>
      <c r="B6" s="9">
        <f t="shared" si="0"/>
        <v>5</v>
      </c>
      <c r="C6" s="47" t="str">
        <f>_xlfn.XLOOKUP($D6,Tab_Def_Processes[Name(EN)],Tab_Def_Processes[ID],,0,)</f>
        <v>04</v>
      </c>
      <c r="D6" s="221" t="str">
        <f>Tab_Def_Processes[[#This Row],[Name(EN)]]</f>
        <v>Grain Processing &amp; Consumption</v>
      </c>
      <c r="E6" s="227" t="s">
        <v>676</v>
      </c>
      <c r="F6" s="227" t="s">
        <v>681</v>
      </c>
      <c r="G6" s="9" t="str">
        <f>_xlfn.XLOOKUP($F6,Table32[Color_Name],Table32[Hex_Code],,0,)</f>
        <v>#6B8E23</v>
      </c>
      <c r="H6">
        <v>0.4</v>
      </c>
      <c r="I6">
        <v>0.2</v>
      </c>
      <c r="J6">
        <v>0.5</v>
      </c>
      <c r="K6">
        <v>0.2</v>
      </c>
      <c r="L6">
        <v>0.4</v>
      </c>
      <c r="M6">
        <v>0.2</v>
      </c>
      <c r="N6">
        <v>0.5</v>
      </c>
      <c r="O6">
        <v>0.2</v>
      </c>
    </row>
    <row r="7" spans="1:16" x14ac:dyDescent="0.25">
      <c r="A7" s="225" t="b">
        <v>0</v>
      </c>
      <c r="B7" s="9">
        <f>ROW()-1</f>
        <v>6</v>
      </c>
      <c r="C7" s="47" t="str">
        <f>_xlfn.XLOOKUP($D7,Tab_Def_Processes[Name(EN)],Tab_Def_Processes[ID],,0,)</f>
        <v>05</v>
      </c>
      <c r="D7" s="221" t="str">
        <f>Tab_Def_Processes[[#This Row],[Name(EN)]]</f>
        <v>Straw C&amp;D</v>
      </c>
      <c r="E7" s="227" t="s">
        <v>676</v>
      </c>
      <c r="F7" s="227" t="s">
        <v>689</v>
      </c>
      <c r="G7" s="9" t="str">
        <f>_xlfn.XLOOKUP($F7,Table32[Color_Name],Table32[Hex_Code],,0,)</f>
        <v>#8B4513</v>
      </c>
      <c r="H7">
        <v>0.4</v>
      </c>
      <c r="I7">
        <v>0.6</v>
      </c>
      <c r="J7">
        <v>0.5</v>
      </c>
      <c r="K7">
        <v>0.6</v>
      </c>
      <c r="L7">
        <v>0.4</v>
      </c>
      <c r="M7">
        <v>0.6</v>
      </c>
      <c r="N7">
        <v>0.5</v>
      </c>
      <c r="O7">
        <v>0.6</v>
      </c>
    </row>
    <row r="8" spans="1:16" x14ac:dyDescent="0.25">
      <c r="A8" s="225" t="b">
        <v>0</v>
      </c>
      <c r="B8" s="9">
        <f t="shared" si="0"/>
        <v>7</v>
      </c>
      <c r="C8" s="47" t="str">
        <f>_xlfn.XLOOKUP($D8,Tab_Def_Processes[Name(EN)],Tab_Def_Processes[ID],,0,)</f>
        <v>06</v>
      </c>
      <c r="D8" s="221" t="str">
        <f>Tab_Def_Processes[[#This Row],[Name(EN)]]</f>
        <v>Direct Incorporation</v>
      </c>
      <c r="E8" s="227" t="s">
        <v>676</v>
      </c>
      <c r="F8" s="227" t="s">
        <v>681</v>
      </c>
      <c r="G8" s="9" t="str">
        <f>_xlfn.XLOOKUP($F8,Table32[Color_Name],Table32[Hex_Code],,0,)</f>
        <v>#6B8E23</v>
      </c>
      <c r="H8">
        <v>0.6</v>
      </c>
      <c r="I8">
        <v>0.6</v>
      </c>
      <c r="J8">
        <v>0.7</v>
      </c>
      <c r="K8">
        <v>0.6</v>
      </c>
      <c r="L8">
        <v>0.6</v>
      </c>
      <c r="M8">
        <v>0.6</v>
      </c>
      <c r="N8">
        <v>0.7</v>
      </c>
      <c r="O8">
        <v>0.6</v>
      </c>
    </row>
    <row r="9" spans="1:16" x14ac:dyDescent="0.25">
      <c r="A9" s="225" t="b">
        <v>0</v>
      </c>
      <c r="B9" s="9">
        <f t="shared" si="0"/>
        <v>8</v>
      </c>
      <c r="C9" s="47" t="str">
        <f>_xlfn.XLOOKUP($D9,Tab_Def_Processes[Name(EN)],Tab_Def_Processes[ID],,0,)</f>
        <v>07</v>
      </c>
      <c r="D9" s="221" t="str">
        <f>Tab_Def_Processes[[#This Row],[Name(EN)]]</f>
        <v>Animal bedding</v>
      </c>
      <c r="E9" s="227" t="s">
        <v>676</v>
      </c>
      <c r="F9" s="227" t="s">
        <v>761</v>
      </c>
      <c r="G9" s="9" t="str">
        <f>_xlfn.XLOOKUP($F9,Table32[Color_Name],Table32[Hex_Code],,0,)</f>
        <v>#C0C0C0</v>
      </c>
      <c r="H9">
        <v>0.5</v>
      </c>
      <c r="I9">
        <v>0.2</v>
      </c>
      <c r="J9">
        <v>0.6</v>
      </c>
      <c r="K9">
        <v>0.2</v>
      </c>
      <c r="L9">
        <v>0.5</v>
      </c>
      <c r="M9">
        <v>0.2</v>
      </c>
      <c r="N9">
        <v>0.6</v>
      </c>
      <c r="O9">
        <v>0.2</v>
      </c>
    </row>
    <row r="10" spans="1:16" x14ac:dyDescent="0.25">
      <c r="A10" s="225" t="b">
        <v>0</v>
      </c>
      <c r="B10" s="9">
        <f t="shared" si="0"/>
        <v>9</v>
      </c>
      <c r="C10" s="47" t="str">
        <f>_xlfn.XLOOKUP($D10,Tab_Def_Processes[Name(EN)],Tab_Def_Processes[ID],,0,)</f>
        <v>08</v>
      </c>
      <c r="D10" s="221" t="str">
        <f>Tab_Def_Processes[[#This Row],[Name(EN)]]</f>
        <v>Lithosphere (DI)</v>
      </c>
      <c r="E10" s="227" t="s">
        <v>676</v>
      </c>
      <c r="F10" s="227" t="s">
        <v>681</v>
      </c>
      <c r="G10" s="9" t="str">
        <f>_xlfn.XLOOKUP($F10,Table32[Color_Name],Table32[Hex_Code],,0,)</f>
        <v>#6B8E23</v>
      </c>
      <c r="H10">
        <v>0.9</v>
      </c>
      <c r="I10">
        <v>0.6</v>
      </c>
      <c r="J10">
        <v>1</v>
      </c>
      <c r="K10">
        <v>0.6</v>
      </c>
      <c r="L10">
        <v>0.9</v>
      </c>
      <c r="M10">
        <v>0.6</v>
      </c>
      <c r="N10">
        <v>1</v>
      </c>
      <c r="O10">
        <v>0.6</v>
      </c>
    </row>
    <row r="11" spans="1:16" x14ac:dyDescent="0.25">
      <c r="A11" s="225" t="b">
        <v>0</v>
      </c>
      <c r="B11" s="9">
        <f t="shared" si="0"/>
        <v>10</v>
      </c>
      <c r="C11" s="47" t="str">
        <f>_xlfn.XLOOKUP($D11,Tab_Def_Processes[Name(EN)],Tab_Def_Processes[ID],,0,)</f>
        <v>09</v>
      </c>
      <c r="D11" s="221" t="str">
        <f>Tab_Def_Processes[[#This Row],[Name(EN)]]</f>
        <v>Compostation &amp; Incorporation</v>
      </c>
      <c r="E11" s="227" t="s">
        <v>676</v>
      </c>
      <c r="F11" s="227" t="s">
        <v>706</v>
      </c>
      <c r="G11" s="9" t="str">
        <f>_xlfn.XLOOKUP($F11,Table32[Color_Name],Table32[Hex_Code],,0,)</f>
        <v>#191970</v>
      </c>
      <c r="H11">
        <v>0.6</v>
      </c>
      <c r="I11">
        <v>0.4</v>
      </c>
      <c r="J11">
        <v>0.7</v>
      </c>
      <c r="K11">
        <v>0.4</v>
      </c>
      <c r="L11">
        <v>0.6</v>
      </c>
      <c r="M11">
        <v>0.4</v>
      </c>
      <c r="N11">
        <v>0.7</v>
      </c>
      <c r="O11">
        <v>0.4</v>
      </c>
    </row>
    <row r="12" spans="1:16" x14ac:dyDescent="0.25">
      <c r="A12" s="225" t="b">
        <v>0</v>
      </c>
      <c r="B12" s="9">
        <f t="shared" si="0"/>
        <v>11</v>
      </c>
      <c r="C12" s="47" t="str">
        <f>_xlfn.XLOOKUP($D12,Tab_Def_Processes[Name(EN)],Tab_Def_Processes[ID],,0,)</f>
        <v>10</v>
      </c>
      <c r="D12" s="221" t="str">
        <f>Tab_Def_Processes[[#This Row],[Name(EN)]]</f>
        <v>Lithosphere (C&amp;I)</v>
      </c>
      <c r="E12" s="227" t="s">
        <v>676</v>
      </c>
      <c r="F12" s="227" t="s">
        <v>681</v>
      </c>
      <c r="G12" s="9" t="str">
        <f>_xlfn.XLOOKUP($F12,Table32[Color_Name],Table32[Hex_Code],,0,)</f>
        <v>#6B8E23</v>
      </c>
      <c r="H12">
        <v>0.9</v>
      </c>
      <c r="I12">
        <v>0.4</v>
      </c>
      <c r="J12">
        <v>1</v>
      </c>
      <c r="K12">
        <v>0.4</v>
      </c>
      <c r="L12">
        <v>0.9</v>
      </c>
      <c r="M12">
        <v>0.4</v>
      </c>
      <c r="N12">
        <v>1</v>
      </c>
      <c r="O12">
        <v>0.4</v>
      </c>
    </row>
    <row r="13" spans="1:16" x14ac:dyDescent="0.25">
      <c r="A13" s="225" t="b">
        <v>0</v>
      </c>
      <c r="B13" s="9">
        <f t="shared" si="0"/>
        <v>12</v>
      </c>
      <c r="C13" s="47" t="str">
        <f>_xlfn.XLOOKUP($D13,Tab_Def_Processes[Name(EN)],Tab_Def_Processes[ID],,0,)</f>
        <v>11</v>
      </c>
      <c r="D13" s="221"/>
      <c r="E13" s="227"/>
      <c r="F13" s="227"/>
      <c r="G13" s="9" t="e">
        <f>_xlfn.XLOOKUP($F13,Table32[Color_Name],Table32[Hex_Code],,0,)</f>
        <v>#N/A</v>
      </c>
    </row>
    <row r="14" spans="1:16" x14ac:dyDescent="0.25">
      <c r="A14" s="225" t="b">
        <v>0</v>
      </c>
      <c r="B14" s="9">
        <f t="shared" si="0"/>
        <v>13</v>
      </c>
      <c r="C14" s="47" t="str">
        <f>_xlfn.XLOOKUP($D14,Tab_Def_Processes[Name(EN)],Tab_Def_Processes[ID],,0,)</f>
        <v>11</v>
      </c>
      <c r="D14" s="221"/>
      <c r="E14" s="227"/>
      <c r="F14" s="227"/>
      <c r="G14" s="9" t="e">
        <f>_xlfn.XLOOKUP($F14,Table32[Color_Name],Table32[Hex_Code],,0,)</f>
        <v>#N/A</v>
      </c>
    </row>
    <row r="15" spans="1:16" x14ac:dyDescent="0.25">
      <c r="A15" s="225" t="b">
        <v>0</v>
      </c>
      <c r="B15" s="9">
        <f t="shared" si="0"/>
        <v>14</v>
      </c>
      <c r="C15" s="47" t="str">
        <f>_xlfn.XLOOKUP($D15,Tab_Def_Processes[Name(EN)],Tab_Def_Processes[ID],,0,)</f>
        <v>11</v>
      </c>
      <c r="D15" s="221"/>
      <c r="E15" s="227"/>
      <c r="F15" s="227"/>
      <c r="G15" s="9" t="e">
        <f>_xlfn.XLOOKUP($F15,Table32[Color_Name],Table32[Hex_Code],,0,)</f>
        <v>#N/A</v>
      </c>
    </row>
    <row r="16" spans="1:16" x14ac:dyDescent="0.25">
      <c r="A16" s="225" t="b">
        <v>0</v>
      </c>
      <c r="B16" s="9">
        <f t="shared" si="0"/>
        <v>15</v>
      </c>
      <c r="C16" s="47" t="str">
        <f>_xlfn.XLOOKUP($D16,Tab_Def_Processes[Name(EN)],Tab_Def_Processes[ID],,0,)</f>
        <v>11</v>
      </c>
      <c r="D16" s="221"/>
      <c r="E16" s="227"/>
      <c r="F16" s="227"/>
      <c r="G16" s="9" t="e">
        <f>_xlfn.XLOOKUP($F16,Table32[Color_Name],Table32[Hex_Code],,0,)</f>
        <v>#N/A</v>
      </c>
    </row>
    <row r="17" spans="1:7" x14ac:dyDescent="0.25">
      <c r="A17" s="225" t="b">
        <v>0</v>
      </c>
      <c r="B17" s="9">
        <f t="shared" si="0"/>
        <v>16</v>
      </c>
      <c r="C17" s="47" t="str">
        <f>_xlfn.XLOOKUP($D17,Tab_Def_Processes[Name(EN)],Tab_Def_Processes[ID],,0,)</f>
        <v>11</v>
      </c>
      <c r="D17" s="221"/>
      <c r="E17" s="227"/>
      <c r="F17" s="227"/>
      <c r="G17" s="9" t="e">
        <f>_xlfn.XLOOKUP($F17,Table32[Color_Name],Table32[Hex_Code],,0,)</f>
        <v>#N/A</v>
      </c>
    </row>
    <row r="18" spans="1:7" x14ac:dyDescent="0.25">
      <c r="A18" s="225" t="b">
        <v>0</v>
      </c>
      <c r="B18" s="9">
        <f t="shared" si="0"/>
        <v>17</v>
      </c>
      <c r="C18" s="47" t="str">
        <f>_xlfn.XLOOKUP($D18,Tab_Def_Processes[Name(EN)],Tab_Def_Processes[ID],,0,)</f>
        <v>11</v>
      </c>
      <c r="D18" s="221"/>
      <c r="E18" s="227"/>
      <c r="F18" s="227"/>
      <c r="G18" s="9" t="e">
        <f>_xlfn.XLOOKUP($F18,Table32[Color_Name],Table32[Hex_Code],,0,)</f>
        <v>#N/A</v>
      </c>
    </row>
    <row r="19" spans="1:7" x14ac:dyDescent="0.25">
      <c r="A19" s="225" t="b">
        <v>0</v>
      </c>
      <c r="B19" s="9">
        <f t="shared" si="0"/>
        <v>18</v>
      </c>
      <c r="C19" s="47" t="str">
        <f>_xlfn.XLOOKUP($D19,Tab_Def_Processes[Name(EN)],Tab_Def_Processes[ID],,0,)</f>
        <v>11</v>
      </c>
      <c r="D19" s="221"/>
      <c r="E19" s="227"/>
      <c r="F19" s="227"/>
      <c r="G19" s="9" t="e">
        <f>_xlfn.XLOOKUP($F19,Table32[Color_Name],Table32[Hex_Code],,0,)</f>
        <v>#N/A</v>
      </c>
    </row>
    <row r="20" spans="1:7" x14ac:dyDescent="0.25">
      <c r="A20" s="225" t="b">
        <v>0</v>
      </c>
      <c r="B20" s="9">
        <f t="shared" si="0"/>
        <v>19</v>
      </c>
      <c r="C20" s="47" t="str">
        <f>_xlfn.XLOOKUP($D20,Tab_Def_Processes[Name(EN)],Tab_Def_Processes[ID],,0,)</f>
        <v>11</v>
      </c>
      <c r="D20" s="221"/>
      <c r="E20" s="227"/>
      <c r="F20" s="227"/>
      <c r="G20" s="9" t="e">
        <f>_xlfn.XLOOKUP($F20,Table32[Color_Name],Table32[Hex_Code],,0,)</f>
        <v>#N/A</v>
      </c>
    </row>
    <row r="21" spans="1:7" x14ac:dyDescent="0.25">
      <c r="A21" s="225" t="b">
        <v>0</v>
      </c>
      <c r="B21" s="9">
        <f t="shared" si="0"/>
        <v>20</v>
      </c>
      <c r="C21" s="47" t="str">
        <f>_xlfn.XLOOKUP($D21,Tab_Def_Processes[Name(EN)],Tab_Def_Processes[ID],,0,)</f>
        <v>11</v>
      </c>
      <c r="D21" s="221"/>
      <c r="E21" s="227"/>
      <c r="F21" s="227"/>
      <c r="G21" s="9" t="e">
        <f>_xlfn.XLOOKUP($F21,Table32[Color_Name],Table32[Hex_Code],,0,)</f>
        <v>#N/A</v>
      </c>
    </row>
    <row r="22" spans="1:7" x14ac:dyDescent="0.25">
      <c r="A22" s="225" t="b">
        <v>0</v>
      </c>
      <c r="B22" s="9">
        <f t="shared" si="0"/>
        <v>21</v>
      </c>
      <c r="C22" s="47" t="str">
        <f>_xlfn.XLOOKUP($D22,Tab_Def_Processes[Name(EN)],Tab_Def_Processes[ID],,0,)</f>
        <v>11</v>
      </c>
      <c r="D22" s="221"/>
      <c r="E22" s="227"/>
      <c r="F22" s="227"/>
      <c r="G22" s="9" t="e">
        <f>_xlfn.XLOOKUP($F22,Table32[Color_Name],Table32[Hex_Code],,0,)</f>
        <v>#N/A</v>
      </c>
    </row>
    <row r="23" spans="1:7" x14ac:dyDescent="0.25">
      <c r="A23" s="225" t="b">
        <v>0</v>
      </c>
      <c r="B23" s="9">
        <f t="shared" si="0"/>
        <v>22</v>
      </c>
      <c r="C23" s="47" t="str">
        <f>_xlfn.XLOOKUP($D23,Tab_Def_Processes[Name(EN)],Tab_Def_Processes[ID],,0,)</f>
        <v>11</v>
      </c>
      <c r="D23" s="221"/>
      <c r="E23" s="227"/>
      <c r="F23" s="227"/>
      <c r="G23" s="9" t="e">
        <f>_xlfn.XLOOKUP($F23,Table32[Color_Name],Table32[Hex_Code],,0,)</f>
        <v>#N/A</v>
      </c>
    </row>
    <row r="24" spans="1:7" x14ac:dyDescent="0.25">
      <c r="A24" s="225" t="b">
        <v>0</v>
      </c>
      <c r="B24" s="9">
        <f t="shared" si="0"/>
        <v>23</v>
      </c>
      <c r="C24" s="47" t="str">
        <f>_xlfn.XLOOKUP($D24,Tab_Def_Processes[Name(EN)],Tab_Def_Processes[ID],,0,)</f>
        <v>11</v>
      </c>
      <c r="D24" s="221"/>
      <c r="E24" s="227"/>
      <c r="F24" s="227"/>
      <c r="G24" s="9" t="e">
        <f>_xlfn.XLOOKUP($F24,Table32[Color_Name],Table32[Hex_Code],,0,)</f>
        <v>#N/A</v>
      </c>
    </row>
    <row r="25" spans="1:7" x14ac:dyDescent="0.25">
      <c r="A25" s="225" t="b">
        <v>0</v>
      </c>
      <c r="B25" s="9">
        <f t="shared" si="0"/>
        <v>24</v>
      </c>
      <c r="C25" s="47" t="str">
        <f>_xlfn.XLOOKUP($D25,Tab_Def_Processes[Name(EN)],Tab_Def_Processes[ID],,0,)</f>
        <v>11</v>
      </c>
      <c r="D25" s="221"/>
      <c r="E25" s="227"/>
      <c r="F25" s="227"/>
      <c r="G25" s="9" t="e">
        <f>_xlfn.XLOOKUP($F25,Table32[Color_Name],Table32[Hex_Code],,0,)</f>
        <v>#N/A</v>
      </c>
    </row>
    <row r="26" spans="1:7" x14ac:dyDescent="0.25">
      <c r="A26" s="225" t="b">
        <v>0</v>
      </c>
      <c r="B26" s="9">
        <f t="shared" si="0"/>
        <v>25</v>
      </c>
      <c r="C26" s="47" t="str">
        <f>_xlfn.XLOOKUP($D26,Tab_Def_Processes[Name(EN)],Tab_Def_Processes[ID],,0,)</f>
        <v>11</v>
      </c>
      <c r="D26" s="221"/>
      <c r="E26" s="227"/>
      <c r="F26" s="227"/>
      <c r="G26" s="9" t="e">
        <f>_xlfn.XLOOKUP($F26,Table32[Color_Name],Table32[Hex_Code],,0,)</f>
        <v>#N/A</v>
      </c>
    </row>
    <row r="27" spans="1:7" x14ac:dyDescent="0.25">
      <c r="A27" s="225" t="b">
        <v>0</v>
      </c>
      <c r="B27" s="9">
        <f t="shared" si="0"/>
        <v>26</v>
      </c>
      <c r="C27" s="47" t="str">
        <f>_xlfn.XLOOKUP($D27,Tab_Def_Processes[Name(EN)],Tab_Def_Processes[ID],,0,)</f>
        <v>11</v>
      </c>
      <c r="D27" s="221"/>
      <c r="E27" s="227"/>
      <c r="F27" s="227"/>
      <c r="G27" s="9" t="e">
        <f>_xlfn.XLOOKUP($F27,Table32[Color_Name],Table32[Hex_Code],,0,)</f>
        <v>#N/A</v>
      </c>
    </row>
    <row r="28" spans="1:7" x14ac:dyDescent="0.25">
      <c r="A28" s="225" t="b">
        <v>0</v>
      </c>
      <c r="B28" s="9">
        <f t="shared" si="0"/>
        <v>27</v>
      </c>
      <c r="C28" s="47" t="str">
        <f>_xlfn.XLOOKUP($D28,Tab_Def_Processes[Name(EN)],Tab_Def_Processes[ID],,0,)</f>
        <v>11</v>
      </c>
      <c r="D28" s="221"/>
      <c r="E28" s="227"/>
      <c r="F28" s="227"/>
      <c r="G28" s="9" t="e">
        <f>_xlfn.XLOOKUP($F28,Table32[Color_Name],Table32[Hex_Code],,0,)</f>
        <v>#N/A</v>
      </c>
    </row>
    <row r="29" spans="1:7" x14ac:dyDescent="0.25">
      <c r="A29" s="225" t="b">
        <v>0</v>
      </c>
      <c r="B29" s="9">
        <f t="shared" si="0"/>
        <v>28</v>
      </c>
      <c r="C29" s="47" t="str">
        <f>_xlfn.XLOOKUP($D29,Tab_Def_Processes[Name(EN)],Tab_Def_Processes[ID],,0,)</f>
        <v>11</v>
      </c>
      <c r="D29" s="221"/>
      <c r="E29" s="227"/>
      <c r="F29" s="227"/>
      <c r="G29" s="9" t="e">
        <f>_xlfn.XLOOKUP($F29,Table32[Color_Name],Table32[Hex_Code],,0,)</f>
        <v>#N/A</v>
      </c>
    </row>
    <row r="30" spans="1:7" x14ac:dyDescent="0.25">
      <c r="A30" s="225" t="b">
        <v>0</v>
      </c>
      <c r="B30" s="9">
        <f t="shared" si="0"/>
        <v>29</v>
      </c>
      <c r="C30" s="47" t="str">
        <f>_xlfn.XLOOKUP($D30,Tab_Def_Processes[Name(EN)],Tab_Def_Processes[ID],,0,)</f>
        <v>11</v>
      </c>
      <c r="D30" s="221"/>
      <c r="E30" s="227"/>
      <c r="F30" s="227"/>
      <c r="G30" s="9" t="e">
        <f>_xlfn.XLOOKUP($F30,Table32[Color_Name],Table32[Hex_Code],,0,)</f>
        <v>#N/A</v>
      </c>
    </row>
    <row r="31" spans="1:7" x14ac:dyDescent="0.25">
      <c r="A31" s="225" t="b">
        <v>0</v>
      </c>
      <c r="B31" s="9">
        <f t="shared" si="0"/>
        <v>30</v>
      </c>
      <c r="C31" s="47" t="str">
        <f>_xlfn.XLOOKUP($D31,Tab_Def_Processes[Name(EN)],Tab_Def_Processes[ID],,0,)</f>
        <v>11</v>
      </c>
      <c r="D31" s="221"/>
      <c r="E31" s="227"/>
      <c r="F31" s="227"/>
      <c r="G31" s="9" t="e">
        <f>_xlfn.XLOOKUP($F31,Table32[Color_Name],Table32[Hex_Code],,0,)</f>
        <v>#N/A</v>
      </c>
    </row>
    <row r="32" spans="1:7" x14ac:dyDescent="0.25">
      <c r="A32" s="225" t="b">
        <v>0</v>
      </c>
      <c r="B32" s="9">
        <f t="shared" si="0"/>
        <v>31</v>
      </c>
      <c r="C32" s="47" t="str">
        <f>_xlfn.XLOOKUP($D32,Tab_Def_Processes[Name(EN)],Tab_Def_Processes[ID],,0,)</f>
        <v>11</v>
      </c>
      <c r="D32" s="221"/>
      <c r="E32" s="227"/>
      <c r="F32" s="227"/>
      <c r="G32" s="9" t="e">
        <f>_xlfn.XLOOKUP($F32,Table32[Color_Name],Table32[Hex_Code],,0,)</f>
        <v>#N/A</v>
      </c>
    </row>
    <row r="33" spans="1:7" x14ac:dyDescent="0.25">
      <c r="A33" s="225" t="b">
        <v>0</v>
      </c>
      <c r="B33" s="9">
        <f t="shared" si="0"/>
        <v>32</v>
      </c>
      <c r="C33" s="47" t="str">
        <f>_xlfn.XLOOKUP($D33,Tab_Def_Processes[Name(EN)],Tab_Def_Processes[ID],,0,)</f>
        <v>11</v>
      </c>
      <c r="D33" s="221"/>
      <c r="E33" s="227"/>
      <c r="F33" s="227"/>
      <c r="G33" s="9" t="e">
        <f>_xlfn.XLOOKUP($F33,Table32[Color_Name],Table32[Hex_Code],,0,)</f>
        <v>#N/A</v>
      </c>
    </row>
    <row r="34" spans="1:7" x14ac:dyDescent="0.25">
      <c r="A34" s="225" t="b">
        <v>0</v>
      </c>
      <c r="B34" s="9">
        <f t="shared" si="0"/>
        <v>33</v>
      </c>
      <c r="C34" s="47" t="str">
        <f>_xlfn.XLOOKUP($D34,Tab_Def_Processes[Name(EN)],Tab_Def_Processes[ID],,0,)</f>
        <v>11</v>
      </c>
      <c r="D34" s="221"/>
      <c r="E34" s="227"/>
      <c r="F34" s="227"/>
      <c r="G34" s="9" t="e">
        <f>_xlfn.XLOOKUP($F34,Table32[Color_Name],Table32[Hex_Code],,0,)</f>
        <v>#N/A</v>
      </c>
    </row>
    <row r="35" spans="1:7" x14ac:dyDescent="0.25">
      <c r="A35" s="225" t="b">
        <v>0</v>
      </c>
      <c r="B35" s="9">
        <f t="shared" si="0"/>
        <v>34</v>
      </c>
      <c r="C35" s="47" t="str">
        <f>_xlfn.XLOOKUP($D35,Tab_Def_Processes[Name(EN)],Tab_Def_Processes[ID],,0,)</f>
        <v>11</v>
      </c>
      <c r="D35" s="221"/>
      <c r="E35" s="227"/>
      <c r="F35" s="227"/>
      <c r="G35" s="9" t="e">
        <f>_xlfn.XLOOKUP($F35,Table32[Color_Name],Table32[Hex_Code],,0,)</f>
        <v>#N/A</v>
      </c>
    </row>
    <row r="36" spans="1:7" x14ac:dyDescent="0.25">
      <c r="A36" s="225" t="b">
        <v>0</v>
      </c>
      <c r="B36" s="9">
        <f t="shared" si="0"/>
        <v>35</v>
      </c>
      <c r="C36" s="47" t="str">
        <f>_xlfn.XLOOKUP($D36,Tab_Def_Processes[Name(EN)],Tab_Def_Processes[ID],,0,)</f>
        <v>11</v>
      </c>
      <c r="D36" s="221"/>
      <c r="E36" s="227"/>
      <c r="F36" s="227"/>
      <c r="G36" s="9" t="e">
        <f>_xlfn.XLOOKUP($F36,Table32[Color_Name],Table32[Hex_Code],,0,)</f>
        <v>#N/A</v>
      </c>
    </row>
    <row r="37" spans="1:7" x14ac:dyDescent="0.25">
      <c r="A37" s="225" t="b">
        <v>0</v>
      </c>
      <c r="B37" s="9">
        <f t="shared" si="0"/>
        <v>36</v>
      </c>
      <c r="C37" s="47" t="str">
        <f>_xlfn.XLOOKUP($D37,Tab_Def_Processes[Name(EN)],Tab_Def_Processes[ID],,0,)</f>
        <v>11</v>
      </c>
      <c r="D37" s="221"/>
      <c r="E37" s="227"/>
      <c r="F37" s="227"/>
      <c r="G37" s="9" t="e">
        <f>_xlfn.XLOOKUP($F37,Table32[Color_Name],Table32[Hex_Code],,0,)</f>
        <v>#N/A</v>
      </c>
    </row>
    <row r="38" spans="1:7" x14ac:dyDescent="0.25">
      <c r="A38" s="225" t="b">
        <v>0</v>
      </c>
      <c r="B38" s="9">
        <f t="shared" si="0"/>
        <v>37</v>
      </c>
      <c r="C38" s="47" t="str">
        <f>_xlfn.XLOOKUP($D38,Tab_Def_Processes[Name(EN)],Tab_Def_Processes[ID],,0,)</f>
        <v>11</v>
      </c>
      <c r="D38" s="221"/>
      <c r="E38" s="227"/>
      <c r="F38" s="227"/>
      <c r="G38" s="9" t="e">
        <f>_xlfn.XLOOKUP($F38,Table32[Color_Name],Table32[Hex_Code],,0,)</f>
        <v>#N/A</v>
      </c>
    </row>
    <row r="39" spans="1:7" x14ac:dyDescent="0.25">
      <c r="A39" s="225" t="b">
        <v>0</v>
      </c>
      <c r="B39" s="9">
        <f t="shared" si="0"/>
        <v>38</v>
      </c>
      <c r="C39" s="47" t="str">
        <f>_xlfn.XLOOKUP($D39,Tab_Def_Processes[Name(EN)],Tab_Def_Processes[ID],,0,)</f>
        <v>11</v>
      </c>
      <c r="D39" s="221"/>
      <c r="E39" s="227"/>
      <c r="F39" s="227"/>
      <c r="G39" s="9" t="e">
        <f>_xlfn.XLOOKUP($F39,Table32[Color_Name],Table32[Hex_Code],,0,)</f>
        <v>#N/A</v>
      </c>
    </row>
    <row r="40" spans="1:7" x14ac:dyDescent="0.25">
      <c r="A40" s="225" t="b">
        <v>0</v>
      </c>
      <c r="B40" s="9">
        <f t="shared" si="0"/>
        <v>39</v>
      </c>
      <c r="C40" s="47" t="str">
        <f>_xlfn.XLOOKUP($D40,Tab_Def_Processes[Name(EN)],Tab_Def_Processes[ID],,0,)</f>
        <v>11</v>
      </c>
      <c r="D40" s="221"/>
      <c r="E40" s="227"/>
      <c r="F40" s="227"/>
      <c r="G40" s="9" t="e">
        <f>_xlfn.XLOOKUP($F40,Table32[Color_Name],Table32[Hex_Code],,0,)</f>
        <v>#N/A</v>
      </c>
    </row>
    <row r="41" spans="1:7" x14ac:dyDescent="0.25">
      <c r="A41" s="225" t="b">
        <v>0</v>
      </c>
      <c r="B41" s="9">
        <f t="shared" si="0"/>
        <v>40</v>
      </c>
      <c r="C41" s="47" t="str">
        <f>_xlfn.XLOOKUP($D41,Tab_Def_Processes[Name(EN)],Tab_Def_Processes[ID],,0,)</f>
        <v>11</v>
      </c>
      <c r="D41" s="221"/>
      <c r="E41" s="227"/>
      <c r="F41" s="227"/>
      <c r="G41" s="9" t="e">
        <f>_xlfn.XLOOKUP($F41,Table32[Color_Name],Table32[Hex_Code],,0,)</f>
        <v>#N/A</v>
      </c>
    </row>
    <row r="42" spans="1:7" x14ac:dyDescent="0.25">
      <c r="A42" s="225" t="b">
        <v>0</v>
      </c>
      <c r="B42" s="9">
        <f t="shared" si="0"/>
        <v>41</v>
      </c>
      <c r="C42" s="47" t="str">
        <f>_xlfn.XLOOKUP($D42,Tab_Def_Processes[Name(EN)],Tab_Def_Processes[ID],,0,)</f>
        <v>11</v>
      </c>
      <c r="D42" s="221"/>
      <c r="E42" s="227"/>
      <c r="F42" s="227"/>
      <c r="G42" s="9" t="e">
        <f>_xlfn.XLOOKUP($F42,Table32[Color_Name],Table32[Hex_Code],,0,)</f>
        <v>#N/A</v>
      </c>
    </row>
    <row r="43" spans="1:7" x14ac:dyDescent="0.25">
      <c r="A43" s="225" t="b">
        <v>0</v>
      </c>
      <c r="B43" s="9">
        <f t="shared" si="0"/>
        <v>42</v>
      </c>
      <c r="C43" s="47" t="str">
        <f>_xlfn.XLOOKUP($D43,Tab_Def_Processes[Name(EN)],Tab_Def_Processes[ID],,0,)</f>
        <v>11</v>
      </c>
      <c r="D43" s="221"/>
      <c r="E43" s="227"/>
      <c r="F43" s="227"/>
      <c r="G43" s="9" t="e">
        <f>_xlfn.XLOOKUP($F43,Table32[Color_Name],Table32[Hex_Code],,0,)</f>
        <v>#N/A</v>
      </c>
    </row>
    <row r="44" spans="1:7" x14ac:dyDescent="0.25">
      <c r="A44" s="225" t="b">
        <v>0</v>
      </c>
      <c r="B44" s="9">
        <f t="shared" si="0"/>
        <v>43</v>
      </c>
      <c r="C44" s="47" t="str">
        <f>_xlfn.XLOOKUP($D44,Tab_Def_Processes[Name(EN)],Tab_Def_Processes[ID],,0,)</f>
        <v>11</v>
      </c>
      <c r="D44" s="221"/>
      <c r="E44" s="227"/>
      <c r="F44" s="227"/>
      <c r="G44" s="9" t="e">
        <f>_xlfn.XLOOKUP($F44,Table32[Color_Name],Table32[Hex_Code],,0,)</f>
        <v>#N/A</v>
      </c>
    </row>
    <row r="45" spans="1:7" x14ac:dyDescent="0.25">
      <c r="A45" s="225" t="b">
        <v>0</v>
      </c>
      <c r="B45" s="9">
        <f t="shared" si="0"/>
        <v>44</v>
      </c>
      <c r="C45" s="47" t="str">
        <f>_xlfn.XLOOKUP($D45,Tab_Def_Processes[Name(EN)],Tab_Def_Processes[ID],,0,)</f>
        <v>11</v>
      </c>
      <c r="D45" s="221"/>
      <c r="E45" s="227"/>
      <c r="F45" s="227"/>
      <c r="G45" s="9" t="e">
        <f>_xlfn.XLOOKUP($F45,Table32[Color_Name],Table32[Hex_Code],,0,)</f>
        <v>#N/A</v>
      </c>
    </row>
    <row r="46" spans="1:7" x14ac:dyDescent="0.25">
      <c r="A46" s="225" t="b">
        <v>0</v>
      </c>
      <c r="B46" s="9">
        <f t="shared" si="0"/>
        <v>45</v>
      </c>
      <c r="C46" s="47" t="str">
        <f>_xlfn.XLOOKUP($D46,Tab_Def_Processes[Name(EN)],Tab_Def_Processes[ID],,0,)</f>
        <v>11</v>
      </c>
      <c r="D46" s="221"/>
      <c r="E46" s="227"/>
      <c r="F46" s="227"/>
      <c r="G46" s="9" t="e">
        <f>_xlfn.XLOOKUP($F46,Table32[Color_Name],Table32[Hex_Code],,0,)</f>
        <v>#N/A</v>
      </c>
    </row>
    <row r="47" spans="1:7" x14ac:dyDescent="0.25">
      <c r="A47" s="225" t="b">
        <v>0</v>
      </c>
      <c r="B47" s="9">
        <f t="shared" si="0"/>
        <v>46</v>
      </c>
      <c r="C47" s="47" t="str">
        <f>_xlfn.XLOOKUP($D47,Tab_Def_Processes[Name(EN)],Tab_Def_Processes[ID],,0,)</f>
        <v>11</v>
      </c>
      <c r="D47" s="221"/>
      <c r="E47" s="227"/>
      <c r="F47" s="227"/>
      <c r="G47" s="9" t="e">
        <f>_xlfn.XLOOKUP($F47,Table32[Color_Name],Table32[Hex_Code],,0,)</f>
        <v>#N/A</v>
      </c>
    </row>
    <row r="48" spans="1:7" x14ac:dyDescent="0.25">
      <c r="A48" s="225" t="b">
        <v>0</v>
      </c>
      <c r="B48" s="9">
        <f t="shared" si="0"/>
        <v>47</v>
      </c>
      <c r="C48" s="47" t="str">
        <f>_xlfn.XLOOKUP($D48,Tab_Def_Processes[Name(EN)],Tab_Def_Processes[ID],,0,)</f>
        <v>11</v>
      </c>
      <c r="D48" s="221"/>
      <c r="E48" s="227"/>
      <c r="F48" s="227"/>
      <c r="G48" s="9" t="e">
        <f>_xlfn.XLOOKUP($F48,Table32[Color_Name],Table32[Hex_Code],,0,)</f>
        <v>#N/A</v>
      </c>
    </row>
    <row r="49" spans="1:7" x14ac:dyDescent="0.25">
      <c r="A49" s="225" t="b">
        <v>0</v>
      </c>
      <c r="B49" s="9">
        <f t="shared" si="0"/>
        <v>48</v>
      </c>
      <c r="C49" s="47" t="str">
        <f>_xlfn.XLOOKUP($D49,Tab_Def_Processes[Name(EN)],Tab_Def_Processes[ID],,0,)</f>
        <v>11</v>
      </c>
      <c r="D49" s="221"/>
      <c r="E49" s="227"/>
      <c r="F49" s="227"/>
      <c r="G49" s="9" t="e">
        <f>_xlfn.XLOOKUP($F49,Table32[Color_Name],Table32[Hex_Code],,0,)</f>
        <v>#N/A</v>
      </c>
    </row>
    <row r="50" spans="1:7" x14ac:dyDescent="0.25">
      <c r="A50" s="225" t="b">
        <v>0</v>
      </c>
      <c r="B50" s="9">
        <f t="shared" si="0"/>
        <v>49</v>
      </c>
      <c r="C50" s="47" t="str">
        <f>_xlfn.XLOOKUP($D50,Tab_Def_Processes[Name(EN)],Tab_Def_Processes[ID],,0,)</f>
        <v>11</v>
      </c>
      <c r="D50" s="221"/>
      <c r="E50" s="227"/>
      <c r="F50" s="227"/>
      <c r="G50" s="9" t="e">
        <f>_xlfn.XLOOKUP($F50,Table32[Color_Name],Table32[Hex_Code],,0,)</f>
        <v>#N/A</v>
      </c>
    </row>
    <row r="51" spans="1:7" x14ac:dyDescent="0.25">
      <c r="A51" s="225" t="b">
        <v>0</v>
      </c>
      <c r="B51" s="9">
        <f t="shared" si="0"/>
        <v>50</v>
      </c>
      <c r="C51" s="47" t="str">
        <f>_xlfn.XLOOKUP($D51,Tab_Def_Processes[Name(EN)],Tab_Def_Processes[ID],,0,)</f>
        <v>11</v>
      </c>
      <c r="D51" s="221"/>
      <c r="E51" s="227"/>
      <c r="F51" s="227"/>
      <c r="G51" s="9" t="e">
        <f>_xlfn.XLOOKUP($F51,Table32[Color_Name],Table32[Hex_Code],,0,)</f>
        <v>#N/A</v>
      </c>
    </row>
    <row r="52" spans="1:7" x14ac:dyDescent="0.25">
      <c r="A52" s="225" t="b">
        <v>0</v>
      </c>
      <c r="B52" s="9">
        <f t="shared" si="0"/>
        <v>51</v>
      </c>
      <c r="C52" s="47" t="str">
        <f>_xlfn.XLOOKUP($D52,Tab_Def_Processes[Name(EN)],Tab_Def_Processes[ID],,0,)</f>
        <v>11</v>
      </c>
      <c r="D52" s="221"/>
      <c r="E52" s="227"/>
      <c r="F52" s="227"/>
      <c r="G52" s="9" t="e">
        <f>_xlfn.XLOOKUP($F52,Table32[Color_Name],Table32[Hex_Code],,0,)</f>
        <v>#N/A</v>
      </c>
    </row>
    <row r="53" spans="1:7" x14ac:dyDescent="0.25">
      <c r="A53" s="225" t="b">
        <v>0</v>
      </c>
      <c r="B53" s="9">
        <f t="shared" si="0"/>
        <v>52</v>
      </c>
      <c r="C53" s="47" t="str">
        <f>_xlfn.XLOOKUP($D53,Tab_Def_Processes[Name(EN)],Tab_Def_Processes[ID],,0,)</f>
        <v>11</v>
      </c>
      <c r="D53" s="221"/>
      <c r="E53" s="227"/>
      <c r="F53" s="227"/>
      <c r="G53" s="9" t="e">
        <f>_xlfn.XLOOKUP($F53,Table32[Color_Name],Table32[Hex_Code],,0,)</f>
        <v>#N/A</v>
      </c>
    </row>
    <row r="54" spans="1:7" x14ac:dyDescent="0.25">
      <c r="A54" s="225" t="b">
        <v>0</v>
      </c>
      <c r="B54" s="9">
        <f t="shared" si="0"/>
        <v>53</v>
      </c>
      <c r="C54" s="47" t="str">
        <f>_xlfn.XLOOKUP($D54,Tab_Def_Processes[Name(EN)],Tab_Def_Processes[ID],,0,)</f>
        <v>11</v>
      </c>
      <c r="D54" s="221"/>
      <c r="E54" s="227"/>
      <c r="F54" s="227"/>
      <c r="G54" s="9" t="e">
        <f>_xlfn.XLOOKUP($F54,Table32[Color_Name],Table32[Hex_Code],,0,)</f>
        <v>#N/A</v>
      </c>
    </row>
    <row r="55" spans="1:7" x14ac:dyDescent="0.25">
      <c r="A55" s="225" t="b">
        <v>0</v>
      </c>
      <c r="B55" s="9">
        <f t="shared" si="0"/>
        <v>54</v>
      </c>
      <c r="C55" s="47" t="str">
        <f>_xlfn.XLOOKUP($D55,Tab_Def_Processes[Name(EN)],Tab_Def_Processes[ID],,0,)</f>
        <v>11</v>
      </c>
      <c r="D55" s="221"/>
      <c r="E55" s="227"/>
      <c r="F55" s="227"/>
      <c r="G55" s="9" t="e">
        <f>_xlfn.XLOOKUP($F55,Table32[Color_Name],Table32[Hex_Code],,0,)</f>
        <v>#N/A</v>
      </c>
    </row>
    <row r="56" spans="1:7" x14ac:dyDescent="0.25">
      <c r="A56" s="225" t="b">
        <v>0</v>
      </c>
      <c r="B56" s="9">
        <f t="shared" si="0"/>
        <v>55</v>
      </c>
      <c r="C56" s="47" t="str">
        <f>_xlfn.XLOOKUP($D56,Tab_Def_Processes[Name(EN)],Tab_Def_Processes[ID],,0,)</f>
        <v>11</v>
      </c>
      <c r="D56" s="221"/>
      <c r="E56" s="227"/>
      <c r="F56" s="227"/>
      <c r="G56" s="9" t="e">
        <f>_xlfn.XLOOKUP($F56,Table32[Color_Name],Table32[Hex_Code],,0,)</f>
        <v>#N/A</v>
      </c>
    </row>
    <row r="57" spans="1:7" x14ac:dyDescent="0.25">
      <c r="A57" s="225" t="b">
        <v>0</v>
      </c>
      <c r="B57" s="9">
        <f t="shared" si="0"/>
        <v>56</v>
      </c>
      <c r="C57" s="47" t="str">
        <f>_xlfn.XLOOKUP($D57,Tab_Def_Processes[Name(EN)],Tab_Def_Processes[ID],,0,)</f>
        <v>11</v>
      </c>
      <c r="D57" s="221"/>
      <c r="E57" s="227"/>
      <c r="F57" s="227"/>
      <c r="G57" s="9" t="e">
        <f>_xlfn.XLOOKUP($F57,Table32[Color_Name],Table32[Hex_Code],,0,)</f>
        <v>#N/A</v>
      </c>
    </row>
    <row r="58" spans="1:7" x14ac:dyDescent="0.25">
      <c r="A58" s="225" t="b">
        <v>0</v>
      </c>
      <c r="B58" s="9">
        <f t="shared" si="0"/>
        <v>57</v>
      </c>
      <c r="C58" s="47" t="str">
        <f>_xlfn.XLOOKUP($D58,Tab_Def_Processes[Name(EN)],Tab_Def_Processes[ID],,0,)</f>
        <v>11</v>
      </c>
      <c r="D58" s="221"/>
      <c r="E58" s="227"/>
      <c r="F58" s="227"/>
      <c r="G58" s="9" t="e">
        <f>_xlfn.XLOOKUP($F58,Table32[Color_Name],Table32[Hex_Code],,0,)</f>
        <v>#N/A</v>
      </c>
    </row>
    <row r="59" spans="1:7" ht="15.75" thickBot="1" x14ac:dyDescent="0.3">
      <c r="A59" s="226" t="b">
        <v>0</v>
      </c>
      <c r="B59" s="222">
        <f t="shared" si="0"/>
        <v>58</v>
      </c>
      <c r="C59" s="47" t="str">
        <f>_xlfn.XLOOKUP($D59,Tab_Def_Processes[Name(EN)],Tab_Def_Processes[ID],,0,)</f>
        <v>11</v>
      </c>
      <c r="D59" s="223"/>
      <c r="E59" s="227"/>
      <c r="F59" s="227"/>
      <c r="G59" s="9" t="e">
        <f>_xlfn.XLOOKUP($F59,Table32[Color_Name],Table32[Hex_Code],,0,)</f>
        <v>#N/A</v>
      </c>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E64" sqref="E64"/>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8" t="s">
        <v>638</v>
      </c>
      <c r="E1" s="228" t="s">
        <v>766</v>
      </c>
      <c r="F1" s="228" t="s">
        <v>6</v>
      </c>
    </row>
    <row r="2" spans="1:10" x14ac:dyDescent="0.25">
      <c r="A2" s="16">
        <f>ROW()-1</f>
        <v>1</v>
      </c>
      <c r="B2" s="9" t="str">
        <f>_xlfn.XLOOKUP(C2,Tab_Def_Flows[Name(EN)],Tab_Def_Flows[Flow_ID],,0,)</f>
        <v>F_00_02</v>
      </c>
      <c r="C2" s="9" t="str">
        <f>Tab_Def_Flows[[#This Row],[Name(EN)]]</f>
        <v>Atmossphere_Input_C</v>
      </c>
      <c r="D2" s="189" t="s">
        <v>681</v>
      </c>
      <c r="E2" s="9" t="str">
        <f>_xlfn.XLOOKUP($D2,Table32[Color_Name],Table32[Hex_Code],,0,)</f>
        <v>#6B8E23</v>
      </c>
      <c r="F2" s="37"/>
      <c r="J2" t="s">
        <v>767</v>
      </c>
    </row>
    <row r="3" spans="1:10" x14ac:dyDescent="0.25">
      <c r="A3" s="16">
        <f t="shared" ref="A3:A51" si="0">ROW()-1</f>
        <v>2</v>
      </c>
      <c r="B3" s="9" t="str">
        <f>_xlfn.XLOOKUP(C3,Tab_Def_Flows[Name(EN)],Tab_Def_Flows[Flow_ID],,0,)</f>
        <v>F_01_02</v>
      </c>
      <c r="C3" s="9" t="str">
        <f>Tab_Def_Flows[[#This Row],[Name(EN)]]</f>
        <v>Environment_Input_E</v>
      </c>
      <c r="D3" s="189" t="s">
        <v>689</v>
      </c>
      <c r="E3" s="9" t="str">
        <f>_xlfn.XLOOKUP($D3,Table32[Color_Name],Table32[Hex_Code],,0,)</f>
        <v>#8B4513</v>
      </c>
      <c r="F3" s="37"/>
      <c r="J3" t="s">
        <v>768</v>
      </c>
    </row>
    <row r="4" spans="1:10" x14ac:dyDescent="0.25">
      <c r="A4" s="16">
        <f t="shared" si="0"/>
        <v>3</v>
      </c>
      <c r="B4" s="9" t="str">
        <f>_xlfn.XLOOKUP(C4,Tab_Def_Flows[Name(EN)],Tab_Def_Flows[Flow_ID],,0,)</f>
        <v>F_02_03</v>
      </c>
      <c r="C4" s="9" t="str">
        <f>Tab_Def_Flows[[#This Row],[Name(EN)]]</f>
        <v>Wheat Plant</v>
      </c>
      <c r="D4" s="189" t="s">
        <v>689</v>
      </c>
      <c r="E4" s="9" t="str">
        <f>_xlfn.XLOOKUP($D4,Table32[Color_Name],Table32[Hex_Code],,0,)</f>
        <v>#8B4513</v>
      </c>
      <c r="F4" s="37"/>
      <c r="J4" t="s">
        <v>769</v>
      </c>
    </row>
    <row r="5" spans="1:10" x14ac:dyDescent="0.25">
      <c r="A5" s="16">
        <f t="shared" si="0"/>
        <v>4</v>
      </c>
      <c r="B5" s="9" t="str">
        <f>_xlfn.XLOOKUP(C5,Tab_Def_Flows[Name(EN)],Tab_Def_Flows[Flow_ID],,0,)</f>
        <v>F_03_04</v>
      </c>
      <c r="C5" s="9" t="str">
        <f>Tab_Def_Flows[[#This Row],[Name(EN)]]</f>
        <v>Grain</v>
      </c>
      <c r="D5" s="189" t="s">
        <v>702</v>
      </c>
      <c r="E5" s="9" t="str">
        <f>_xlfn.XLOOKUP($D5,Table32[Color_Name],Table32[Hex_Code],,0,)</f>
        <v>#00CED1</v>
      </c>
      <c r="F5" s="37"/>
      <c r="J5" t="s">
        <v>770</v>
      </c>
    </row>
    <row r="6" spans="1:10" x14ac:dyDescent="0.25">
      <c r="A6" s="16">
        <f t="shared" si="0"/>
        <v>5</v>
      </c>
      <c r="B6" s="9" t="str">
        <f>_xlfn.XLOOKUP(C6,Tab_Def_Flows[Name(EN)],Tab_Def_Flows[Flow_ID],,0,)</f>
        <v>F_03_05</v>
      </c>
      <c r="C6" s="9" t="str">
        <f>Tab_Def_Flows[[#This Row],[Name(EN)]]</f>
        <v>Straw</v>
      </c>
      <c r="D6" s="189" t="s">
        <v>702</v>
      </c>
      <c r="E6" s="9" t="str">
        <f>_xlfn.XLOOKUP($D6,Table32[Color_Name],Table32[Hex_Code],,0,)</f>
        <v>#00CED1</v>
      </c>
      <c r="F6" s="37"/>
      <c r="J6" t="s">
        <v>771</v>
      </c>
    </row>
    <row r="7" spans="1:10" x14ac:dyDescent="0.25">
      <c r="A7" s="16">
        <f t="shared" si="0"/>
        <v>6</v>
      </c>
      <c r="B7" s="9" t="str">
        <f>_xlfn.XLOOKUP(C7,Tab_Def_Flows[Name(EN)],Tab_Def_Flows[Flow_ID],,0,)</f>
        <v>F_04_00</v>
      </c>
      <c r="C7" s="9" t="str">
        <f>Tab_Def_Flows[[#This Row],[Name(EN)]]</f>
        <v>Food_Emissions_C</v>
      </c>
      <c r="D7" s="189" t="s">
        <v>710</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710</v>
      </c>
      <c r="E8" s="9" t="str">
        <f>_xlfn.XLOOKUP($D8,Table32[Color_Name],Table32[Hex_Code],,0,)</f>
        <v>#87CEEB</v>
      </c>
      <c r="F8" s="37"/>
    </row>
    <row r="9" spans="1:10" x14ac:dyDescent="0.25">
      <c r="A9" s="16">
        <f t="shared" si="0"/>
        <v>8</v>
      </c>
      <c r="B9" s="9" t="str">
        <f>_xlfn.XLOOKUP(C9,Tab_Def_Flows[Name(EN)],Tab_Def_Flows[Flow_ID],,0,)</f>
        <v>F_05_06</v>
      </c>
      <c r="C9" s="9" t="str">
        <f>Tab_Def_Flows[[#This Row],[Name(EN)]]</f>
        <v>Straw_incorperation</v>
      </c>
      <c r="D9" s="189" t="s">
        <v>710</v>
      </c>
      <c r="E9" s="9" t="str">
        <f>_xlfn.XLOOKUP($D9,Table32[Color_Name],Table32[Hex_Code],,0,)</f>
        <v>#87CEEB</v>
      </c>
      <c r="F9" s="37"/>
    </row>
    <row r="10" spans="1:10" x14ac:dyDescent="0.25">
      <c r="A10" s="16">
        <f t="shared" si="0"/>
        <v>9</v>
      </c>
      <c r="B10" s="9" t="str">
        <f>_xlfn.XLOOKUP(C10,Tab_Def_Flows[Name(EN)],Tab_Def_Flows[Flow_ID],,0,)</f>
        <v>F_06_08</v>
      </c>
      <c r="C10" s="9" t="str">
        <f>Tab_Def_Flows[[#This Row],[Name(EN)]]</f>
        <v>Straw_lithosphere</v>
      </c>
      <c r="D10" s="189" t="s">
        <v>710</v>
      </c>
      <c r="E10" s="9" t="str">
        <f>_xlfn.XLOOKUP($D10,Table32[Color_Name],Table32[Hex_Code],,0,)</f>
        <v>#87CEEB</v>
      </c>
      <c r="F10" s="37"/>
    </row>
    <row r="11" spans="1:10" x14ac:dyDescent="0.25">
      <c r="A11" s="16">
        <f t="shared" si="0"/>
        <v>10</v>
      </c>
      <c r="B11" s="9" t="str">
        <f>_xlfn.XLOOKUP(C11,Tab_Def_Flows[Name(EN)],Tab_Def_Flows[Flow_ID],,0,)</f>
        <v>F_05_07</v>
      </c>
      <c r="C11" s="9" t="str">
        <f>Tab_Def_Flows[[#This Row],[Name(EN)]]</f>
        <v>Straw_animal_bedding</v>
      </c>
      <c r="D11" s="189" t="s">
        <v>710</v>
      </c>
      <c r="E11" s="9" t="str">
        <f>_xlfn.XLOOKUP($D11,Table32[Color_Name],Table32[Hex_Code],,0,)</f>
        <v>#87CEEB</v>
      </c>
      <c r="F11" s="37"/>
    </row>
    <row r="12" spans="1:10" x14ac:dyDescent="0.25">
      <c r="A12" s="16">
        <f t="shared" si="0"/>
        <v>11</v>
      </c>
      <c r="B12" s="9" t="str">
        <f>_xlfn.XLOOKUP(C12,Tab_Def_Flows[Name(EN)],Tab_Def_Flows[Flow_ID],,0,)</f>
        <v>F_07_00</v>
      </c>
      <c r="C12" s="9" t="str">
        <f>Tab_Def_Flows[[#This Row],[Name(EN)]]</f>
        <v>Animal bedding_Emissions_C</v>
      </c>
      <c r="D12" s="189" t="s">
        <v>710</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710</v>
      </c>
      <c r="E13" s="9" t="str">
        <f>_xlfn.XLOOKUP($D13,Table32[Color_Name],Table32[Hex_Code],,0,)</f>
        <v>#87CEEB</v>
      </c>
      <c r="F13" s="37"/>
    </row>
    <row r="14" spans="1:10" x14ac:dyDescent="0.25">
      <c r="A14" s="16">
        <f t="shared" si="0"/>
        <v>13</v>
      </c>
      <c r="B14" s="9" t="str">
        <f>_xlfn.XLOOKUP(C14,Tab_Def_Flows[Name(EN)],Tab_Def_Flows[Flow_ID],,0,)</f>
        <v>F_08_00</v>
      </c>
      <c r="C14" s="9" t="str">
        <f>Tab_Def_Flows[[#This Row],[Name(EN)]]</f>
        <v>Lithosphere(DI)_Emissions_C</v>
      </c>
      <c r="D14" s="189" t="s">
        <v>710</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710</v>
      </c>
      <c r="E15" s="9" t="str">
        <f>_xlfn.XLOOKUP($D15,Table32[Color_Name],Table32[Hex_Code],,0,)</f>
        <v>#87CEEB</v>
      </c>
      <c r="F15" s="37"/>
    </row>
    <row r="16" spans="1:10" x14ac:dyDescent="0.25">
      <c r="A16" s="16">
        <f t="shared" si="0"/>
        <v>15</v>
      </c>
      <c r="B16" s="9" t="str">
        <f>_xlfn.XLOOKUP(C16,Tab_Def_Flows[Name(EN)],Tab_Def_Flows[Flow_ID],,0,)</f>
        <v>F_05_09</v>
      </c>
      <c r="C16" s="9" t="str">
        <f>Tab_Def_Flows[[#This Row],[Name(EN)]]</f>
        <v>Straw_Compost</v>
      </c>
      <c r="D16" s="189" t="s">
        <v>710</v>
      </c>
      <c r="E16" s="9" t="str">
        <f>_xlfn.XLOOKUP($D16,Table32[Color_Name],Table32[Hex_Code],,0,)</f>
        <v>#87CEEB</v>
      </c>
      <c r="F16" s="37"/>
    </row>
    <row r="17" spans="1:6" x14ac:dyDescent="0.25">
      <c r="A17" s="16">
        <f t="shared" si="0"/>
        <v>16</v>
      </c>
      <c r="B17" s="9" t="str">
        <f>_xlfn.XLOOKUP(C17,Tab_Def_Flows[Name(EN)],Tab_Def_Flows[Flow_ID],,0,)</f>
        <v>F_09_00</v>
      </c>
      <c r="C17" s="9" t="str">
        <f>Tab_Def_Flows[[#This Row],[Name(EN)]]</f>
        <v>Compost_Emissions_C</v>
      </c>
      <c r="D17" s="189" t="s">
        <v>710</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710</v>
      </c>
      <c r="E18" s="9" t="str">
        <f>_xlfn.XLOOKUP($D18,Table32[Color_Name],Table32[Hex_Code],,0,)</f>
        <v>#87CEEB</v>
      </c>
      <c r="F18" s="37"/>
    </row>
    <row r="19" spans="1:6" x14ac:dyDescent="0.25">
      <c r="A19" s="16">
        <f t="shared" si="0"/>
        <v>18</v>
      </c>
      <c r="B19" s="9" t="str">
        <f>_xlfn.XLOOKUP(C19,Tab_Def_Flows[Name(EN)],Tab_Def_Flows[Flow_ID],,0,)</f>
        <v>F_10_00</v>
      </c>
      <c r="C19" s="9" t="str">
        <f>Tab_Def_Flows[[#This Row],[Name(EN)]]</f>
        <v>Lithosphere(CI)_Emissions_C</v>
      </c>
      <c r="D19" s="189" t="s">
        <v>710</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710</v>
      </c>
      <c r="E20" s="9" t="str">
        <f>_xlfn.XLOOKUP($D20,Table32[Color_Name],Table32[Hex_Code],,0,)</f>
        <v>#87CEEB</v>
      </c>
      <c r="F20" s="37"/>
    </row>
    <row r="21" spans="1:6" x14ac:dyDescent="0.25">
      <c r="A21" s="16">
        <f t="shared" si="0"/>
        <v>20</v>
      </c>
      <c r="B21" s="9" t="str">
        <f>_xlfn.XLOOKUP(C21,Tab_Def_Flows[Name(EN)],Tab_Def_Flows[Flow_ID],,0,)</f>
        <v>F_09_10</v>
      </c>
      <c r="C21" s="9" t="str">
        <f>Tab_Def_Flows[[#This Row],[Name(EN)]]</f>
        <v>Compost_lithosphere</v>
      </c>
      <c r="D21" s="189" t="s">
        <v>710</v>
      </c>
      <c r="E21" s="9" t="str">
        <f>_xlfn.XLOOKUP($D21,Table32[Color_Name],Table32[Hex_Code],,0,)</f>
        <v>#87CEEB</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tabSelected="1" zoomScale="85" zoomScaleNormal="85" workbookViewId="0">
      <selection activeCell="C45" sqref="C45"/>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9" t="s">
        <v>643</v>
      </c>
      <c r="B1" s="229" t="s">
        <v>297</v>
      </c>
      <c r="C1" s="229" t="s">
        <v>6</v>
      </c>
      <c r="D1" s="229" t="s">
        <v>644</v>
      </c>
      <c r="E1" s="229" t="s">
        <v>266</v>
      </c>
      <c r="I1" s="228" t="s">
        <v>663</v>
      </c>
      <c r="J1" s="228" t="s">
        <v>664</v>
      </c>
      <c r="K1" s="228" t="s">
        <v>665</v>
      </c>
      <c r="L1" s="228" t="s">
        <v>6</v>
      </c>
    </row>
    <row r="2" spans="1:14" x14ac:dyDescent="0.25">
      <c r="A2" s="9" t="s">
        <v>645</v>
      </c>
      <c r="B2" s="11">
        <v>0.5</v>
      </c>
      <c r="C2" s="37" t="s">
        <v>646</v>
      </c>
      <c r="D2" s="37" t="s">
        <v>647</v>
      </c>
      <c r="I2" t="s">
        <v>188</v>
      </c>
      <c r="J2" t="s">
        <v>667</v>
      </c>
      <c r="K2" t="s">
        <v>666</v>
      </c>
      <c r="L2" t="s">
        <v>245</v>
      </c>
    </row>
    <row r="3" spans="1:14" x14ac:dyDescent="0.25">
      <c r="A3" s="9" t="s">
        <v>648</v>
      </c>
      <c r="B3" s="11">
        <v>0.5</v>
      </c>
      <c r="C3" s="37" t="s">
        <v>649</v>
      </c>
      <c r="D3" s="37" t="s">
        <v>647</v>
      </c>
      <c r="I3" t="s">
        <v>189</v>
      </c>
      <c r="J3" t="s">
        <v>668</v>
      </c>
      <c r="K3" t="s">
        <v>666</v>
      </c>
      <c r="L3" t="s">
        <v>669</v>
      </c>
    </row>
    <row r="4" spans="1:14" x14ac:dyDescent="0.25">
      <c r="A4" s="9" t="s">
        <v>650</v>
      </c>
      <c r="B4" s="11">
        <v>0.3</v>
      </c>
      <c r="C4" s="37" t="s">
        <v>651</v>
      </c>
      <c r="D4" s="37" t="s">
        <v>652</v>
      </c>
      <c r="I4" t="s">
        <v>190</v>
      </c>
      <c r="J4" t="s">
        <v>670</v>
      </c>
      <c r="K4" t="s">
        <v>666</v>
      </c>
      <c r="L4" t="s">
        <v>671</v>
      </c>
    </row>
    <row r="5" spans="1:14" x14ac:dyDescent="0.25">
      <c r="A5" s="9" t="s">
        <v>653</v>
      </c>
      <c r="B5" s="11">
        <v>0.1</v>
      </c>
      <c r="C5" s="37" t="s">
        <v>654</v>
      </c>
      <c r="D5" s="37" t="s">
        <v>655</v>
      </c>
    </row>
    <row r="6" spans="1:14" x14ac:dyDescent="0.25">
      <c r="A6" s="9" t="s">
        <v>656</v>
      </c>
      <c r="B6" s="11" t="s">
        <v>657</v>
      </c>
      <c r="C6" s="37" t="s">
        <v>658</v>
      </c>
      <c r="D6" s="37" t="s">
        <v>659</v>
      </c>
    </row>
    <row r="7" spans="1:14" x14ac:dyDescent="0.25">
      <c r="A7" s="9" t="s">
        <v>660</v>
      </c>
      <c r="B7" s="11" t="s">
        <v>661</v>
      </c>
      <c r="C7" s="37" t="s">
        <v>662</v>
      </c>
      <c r="D7" s="37" t="s">
        <v>659</v>
      </c>
    </row>
    <row r="8" spans="1:14" x14ac:dyDescent="0.25">
      <c r="A8" s="9" t="s">
        <v>772</v>
      </c>
      <c r="B8" s="11">
        <v>1600</v>
      </c>
      <c r="C8" s="37" t="s">
        <v>773</v>
      </c>
      <c r="M8" t="s">
        <v>774</v>
      </c>
      <c r="N8" t="s">
        <v>775</v>
      </c>
    </row>
    <row r="9" spans="1:14" x14ac:dyDescent="0.25">
      <c r="A9" s="9" t="s">
        <v>776</v>
      </c>
      <c r="B9" s="11">
        <v>1200</v>
      </c>
      <c r="C9" s="37" t="s">
        <v>777</v>
      </c>
      <c r="H9" s="291" t="s">
        <v>778</v>
      </c>
      <c r="I9" s="292">
        <v>800</v>
      </c>
      <c r="J9" s="293" t="s">
        <v>779</v>
      </c>
      <c r="M9" t="s">
        <v>774</v>
      </c>
      <c r="N9" t="s">
        <v>775</v>
      </c>
    </row>
    <row r="10" spans="1:14" x14ac:dyDescent="0.25">
      <c r="A10" s="9" t="s">
        <v>786</v>
      </c>
      <c r="B10" s="11">
        <v>0.5</v>
      </c>
      <c r="C10" s="37" t="s">
        <v>787</v>
      </c>
      <c r="D10" t="s">
        <v>788</v>
      </c>
      <c r="E10" t="s">
        <v>775</v>
      </c>
      <c r="H10" s="291" t="s">
        <v>780</v>
      </c>
      <c r="I10" s="292">
        <v>600</v>
      </c>
      <c r="J10" s="293" t="s">
        <v>781</v>
      </c>
      <c r="M10" t="s">
        <v>774</v>
      </c>
      <c r="N10" t="s">
        <v>775</v>
      </c>
    </row>
    <row r="11" spans="1:14" x14ac:dyDescent="0.25">
      <c r="A11" s="9" t="s">
        <v>789</v>
      </c>
      <c r="B11" s="11">
        <v>1</v>
      </c>
      <c r="C11" s="37" t="s">
        <v>790</v>
      </c>
      <c r="D11" t="s">
        <v>788</v>
      </c>
      <c r="E11" t="s">
        <v>775</v>
      </c>
      <c r="H11" s="291" t="s">
        <v>782</v>
      </c>
      <c r="I11" s="292">
        <v>1600</v>
      </c>
      <c r="J11" s="293" t="s">
        <v>783</v>
      </c>
      <c r="M11" t="s">
        <v>774</v>
      </c>
      <c r="N11" t="s">
        <v>775</v>
      </c>
    </row>
    <row r="12" spans="1:14" x14ac:dyDescent="0.25">
      <c r="A12" s="9" t="s">
        <v>791</v>
      </c>
      <c r="B12" s="11" t="b">
        <v>1</v>
      </c>
      <c r="C12" s="37" t="s">
        <v>792</v>
      </c>
      <c r="D12" t="s">
        <v>788</v>
      </c>
      <c r="E12" t="s">
        <v>775</v>
      </c>
      <c r="H12" s="291" t="s">
        <v>784</v>
      </c>
      <c r="I12" s="292">
        <v>1200</v>
      </c>
      <c r="J12" s="293" t="s">
        <v>785</v>
      </c>
      <c r="M12" t="s">
        <v>774</v>
      </c>
      <c r="N12" t="s">
        <v>775</v>
      </c>
    </row>
    <row r="13" spans="1:14" x14ac:dyDescent="0.25">
      <c r="A13" s="9" t="s">
        <v>793</v>
      </c>
      <c r="B13" s="11">
        <v>0.3</v>
      </c>
      <c r="C13" s="37" t="s">
        <v>794</v>
      </c>
      <c r="D13" t="s">
        <v>788</v>
      </c>
      <c r="E13" t="s">
        <v>775</v>
      </c>
      <c r="M13" t="s">
        <v>774</v>
      </c>
      <c r="N13" t="s">
        <v>775</v>
      </c>
    </row>
    <row r="14" spans="1:14" x14ac:dyDescent="0.25">
      <c r="A14" s="9" t="s">
        <v>795</v>
      </c>
      <c r="B14" s="11">
        <v>3</v>
      </c>
      <c r="C14" s="37" t="s">
        <v>796</v>
      </c>
      <c r="D14" t="s">
        <v>788</v>
      </c>
      <c r="E14" t="s">
        <v>775</v>
      </c>
      <c r="M14" t="s">
        <v>774</v>
      </c>
      <c r="N14" t="s">
        <v>775</v>
      </c>
    </row>
    <row r="15" spans="1:14" x14ac:dyDescent="0.25">
      <c r="A15" s="9" t="s">
        <v>797</v>
      </c>
      <c r="B15" s="11">
        <v>0.5</v>
      </c>
      <c r="C15" s="37" t="s">
        <v>798</v>
      </c>
      <c r="D15" t="s">
        <v>788</v>
      </c>
      <c r="E15" t="s">
        <v>775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617</v>
      </c>
      <c r="E2" t="s">
        <v>639</v>
      </c>
      <c r="F2" t="s">
        <v>619</v>
      </c>
      <c r="G2" t="s">
        <v>620</v>
      </c>
      <c r="H2" t="s">
        <v>621</v>
      </c>
      <c r="I2" t="s">
        <v>622</v>
      </c>
      <c r="J2" t="s">
        <v>623</v>
      </c>
      <c r="K2" t="s">
        <v>624</v>
      </c>
      <c r="L2" t="s">
        <v>625</v>
      </c>
      <c r="M2" t="s">
        <v>626</v>
      </c>
      <c r="N2" t="s">
        <v>627</v>
      </c>
      <c r="O2" t="s">
        <v>628</v>
      </c>
      <c r="P2" t="s">
        <v>629</v>
      </c>
    </row>
    <row r="3" spans="2:16" x14ac:dyDescent="0.25">
      <c r="C3" t="s">
        <v>630</v>
      </c>
      <c r="D3" t="s">
        <v>633</v>
      </c>
      <c r="E3" t="s">
        <v>640</v>
      </c>
    </row>
    <row r="4" spans="2:16" x14ac:dyDescent="0.25">
      <c r="C4" t="s">
        <v>631</v>
      </c>
      <c r="D4" t="s">
        <v>634</v>
      </c>
      <c r="E4" t="s">
        <v>641</v>
      </c>
    </row>
    <row r="5" spans="2:16" x14ac:dyDescent="0.25">
      <c r="C5" t="s">
        <v>632</v>
      </c>
      <c r="D5" t="s">
        <v>635</v>
      </c>
      <c r="E5" t="s">
        <v>642</v>
      </c>
    </row>
    <row r="6" spans="2:16" x14ac:dyDescent="0.25">
      <c r="C6" t="s">
        <v>637</v>
      </c>
      <c r="D6" t="s">
        <v>636</v>
      </c>
    </row>
    <row r="20" spans="2:6" x14ac:dyDescent="0.25">
      <c r="B20" t="s">
        <v>615</v>
      </c>
      <c r="C20" t="s">
        <v>618</v>
      </c>
    </row>
    <row r="21" spans="2:6" x14ac:dyDescent="0.25">
      <c r="B21" s="229" t="s">
        <v>501</v>
      </c>
      <c r="C21" s="229" t="s">
        <v>672</v>
      </c>
      <c r="D21" s="229" t="s">
        <v>673</v>
      </c>
      <c r="E21" s="229" t="s">
        <v>674</v>
      </c>
      <c r="F21" s="229" t="s">
        <v>675</v>
      </c>
    </row>
    <row r="22" spans="2:6" x14ac:dyDescent="0.25">
      <c r="B22" t="s">
        <v>676</v>
      </c>
      <c r="C22" t="s">
        <v>677</v>
      </c>
      <c r="D22" t="s">
        <v>678</v>
      </c>
      <c r="E22" t="s">
        <v>679</v>
      </c>
      <c r="F22" t="s">
        <v>680</v>
      </c>
    </row>
    <row r="23" spans="2:6" x14ac:dyDescent="0.25">
      <c r="B23" t="s">
        <v>676</v>
      </c>
      <c r="C23" t="s">
        <v>681</v>
      </c>
      <c r="D23" t="s">
        <v>682</v>
      </c>
      <c r="E23" t="s">
        <v>683</v>
      </c>
      <c r="F23" t="s">
        <v>684</v>
      </c>
    </row>
    <row r="24" spans="2:6" x14ac:dyDescent="0.25">
      <c r="B24" t="s">
        <v>676</v>
      </c>
      <c r="C24" t="s">
        <v>685</v>
      </c>
      <c r="D24" t="s">
        <v>686</v>
      </c>
      <c r="E24" t="s">
        <v>687</v>
      </c>
      <c r="F24" t="s">
        <v>688</v>
      </c>
    </row>
    <row r="25" spans="2:6" x14ac:dyDescent="0.25">
      <c r="B25" t="s">
        <v>676</v>
      </c>
      <c r="C25" t="s">
        <v>689</v>
      </c>
      <c r="D25" t="s">
        <v>690</v>
      </c>
      <c r="E25" t="s">
        <v>691</v>
      </c>
      <c r="F25" t="s">
        <v>692</v>
      </c>
    </row>
    <row r="26" spans="2:6" x14ac:dyDescent="0.25">
      <c r="B26" t="s">
        <v>676</v>
      </c>
      <c r="C26" t="s">
        <v>693</v>
      </c>
      <c r="D26" t="s">
        <v>694</v>
      </c>
      <c r="E26" t="s">
        <v>695</v>
      </c>
      <c r="F26" t="s">
        <v>696</v>
      </c>
    </row>
    <row r="27" spans="2:6" x14ac:dyDescent="0.25">
      <c r="B27" t="s">
        <v>697</v>
      </c>
      <c r="C27" t="s">
        <v>698</v>
      </c>
      <c r="D27" t="s">
        <v>699</v>
      </c>
      <c r="E27" t="s">
        <v>700</v>
      </c>
      <c r="F27" t="s">
        <v>701</v>
      </c>
    </row>
    <row r="28" spans="2:6" x14ac:dyDescent="0.25">
      <c r="B28" t="s">
        <v>697</v>
      </c>
      <c r="C28" t="s">
        <v>702</v>
      </c>
      <c r="D28" t="s">
        <v>703</v>
      </c>
      <c r="E28" t="s">
        <v>704</v>
      </c>
      <c r="F28" t="s">
        <v>705</v>
      </c>
    </row>
    <row r="29" spans="2:6" x14ac:dyDescent="0.25">
      <c r="B29" t="s">
        <v>697</v>
      </c>
      <c r="C29" t="s">
        <v>706</v>
      </c>
      <c r="D29" t="s">
        <v>707</v>
      </c>
      <c r="E29" t="s">
        <v>708</v>
      </c>
      <c r="F29" t="s">
        <v>709</v>
      </c>
    </row>
    <row r="30" spans="2:6" x14ac:dyDescent="0.25">
      <c r="B30" t="s">
        <v>697</v>
      </c>
      <c r="C30" t="s">
        <v>710</v>
      </c>
      <c r="D30" t="s">
        <v>711</v>
      </c>
      <c r="E30" t="s">
        <v>712</v>
      </c>
      <c r="F30" t="s">
        <v>713</v>
      </c>
    </row>
    <row r="31" spans="2:6" x14ac:dyDescent="0.25">
      <c r="B31" t="s">
        <v>714</v>
      </c>
      <c r="C31" t="s">
        <v>715</v>
      </c>
      <c r="D31" t="s">
        <v>716</v>
      </c>
      <c r="E31" t="s">
        <v>717</v>
      </c>
      <c r="F31" t="s">
        <v>718</v>
      </c>
    </row>
    <row r="32" spans="2:6" x14ac:dyDescent="0.25">
      <c r="B32" t="s">
        <v>714</v>
      </c>
      <c r="C32" t="s">
        <v>719</v>
      </c>
      <c r="D32" t="s">
        <v>720</v>
      </c>
      <c r="E32" t="s">
        <v>721</v>
      </c>
      <c r="F32" t="s">
        <v>722</v>
      </c>
    </row>
    <row r="33" spans="2:6" x14ac:dyDescent="0.25">
      <c r="B33" t="s">
        <v>714</v>
      </c>
      <c r="C33" t="s">
        <v>723</v>
      </c>
      <c r="D33" t="s">
        <v>724</v>
      </c>
      <c r="E33" t="s">
        <v>725</v>
      </c>
      <c r="F33" t="s">
        <v>726</v>
      </c>
    </row>
    <row r="34" spans="2:6" x14ac:dyDescent="0.25">
      <c r="B34" t="s">
        <v>714</v>
      </c>
      <c r="C34" t="s">
        <v>727</v>
      </c>
      <c r="D34" t="s">
        <v>728</v>
      </c>
      <c r="E34" t="s">
        <v>729</v>
      </c>
      <c r="F34" t="s">
        <v>730</v>
      </c>
    </row>
    <row r="35" spans="2:6" x14ac:dyDescent="0.25">
      <c r="B35" t="s">
        <v>731</v>
      </c>
      <c r="C35" t="s">
        <v>732</v>
      </c>
      <c r="D35" t="s">
        <v>733</v>
      </c>
      <c r="E35" t="s">
        <v>734</v>
      </c>
      <c r="F35" t="s">
        <v>735</v>
      </c>
    </row>
    <row r="36" spans="2:6" x14ac:dyDescent="0.25">
      <c r="B36" t="s">
        <v>731</v>
      </c>
      <c r="C36" t="s">
        <v>736</v>
      </c>
      <c r="D36" t="s">
        <v>737</v>
      </c>
      <c r="E36" t="s">
        <v>738</v>
      </c>
      <c r="F36" t="s">
        <v>739</v>
      </c>
    </row>
    <row r="37" spans="2:6" x14ac:dyDescent="0.25">
      <c r="B37" t="s">
        <v>731</v>
      </c>
      <c r="C37" t="s">
        <v>740</v>
      </c>
      <c r="D37" t="s">
        <v>741</v>
      </c>
      <c r="E37" t="s">
        <v>742</v>
      </c>
      <c r="F37" t="s">
        <v>743</v>
      </c>
    </row>
    <row r="38" spans="2:6" x14ac:dyDescent="0.25">
      <c r="B38" t="s">
        <v>731</v>
      </c>
      <c r="C38" t="s">
        <v>744</v>
      </c>
      <c r="D38" t="s">
        <v>745</v>
      </c>
      <c r="E38" t="s">
        <v>746</v>
      </c>
      <c r="F38" t="s">
        <v>747</v>
      </c>
    </row>
    <row r="39" spans="2:6" x14ac:dyDescent="0.25">
      <c r="B39" t="s">
        <v>748</v>
      </c>
      <c r="C39" t="s">
        <v>749</v>
      </c>
      <c r="D39" t="s">
        <v>750</v>
      </c>
      <c r="E39" t="s">
        <v>751</v>
      </c>
      <c r="F39" t="s">
        <v>752</v>
      </c>
    </row>
    <row r="40" spans="2:6" x14ac:dyDescent="0.25">
      <c r="B40" t="s">
        <v>748</v>
      </c>
      <c r="C40" t="s">
        <v>753</v>
      </c>
      <c r="D40" t="s">
        <v>754</v>
      </c>
      <c r="E40" t="s">
        <v>755</v>
      </c>
      <c r="F40" t="s">
        <v>756</v>
      </c>
    </row>
    <row r="41" spans="2:6" x14ac:dyDescent="0.25">
      <c r="B41" t="s">
        <v>748</v>
      </c>
      <c r="C41" t="s">
        <v>757</v>
      </c>
      <c r="D41" t="s">
        <v>758</v>
      </c>
      <c r="E41" t="s">
        <v>759</v>
      </c>
      <c r="F41" t="s">
        <v>760</v>
      </c>
    </row>
    <row r="42" spans="2:6" x14ac:dyDescent="0.25">
      <c r="B42" t="s">
        <v>748</v>
      </c>
      <c r="C42" t="s">
        <v>761</v>
      </c>
      <c r="D42" t="s">
        <v>762</v>
      </c>
      <c r="E42" t="s">
        <v>763</v>
      </c>
      <c r="F42" t="s">
        <v>764</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32" t="str">
        <f>'2_1_Definition_Processes'!D2</f>
        <v>Atmosphere</v>
      </c>
      <c r="C1" s="232"/>
      <c r="D1" s="232"/>
      <c r="E1" s="232"/>
      <c r="F1" s="232"/>
      <c r="G1" s="232"/>
      <c r="H1" s="232"/>
      <c r="I1" s="152" t="s">
        <v>261</v>
      </c>
      <c r="J1" s="233" t="s">
        <v>133</v>
      </c>
      <c r="K1" s="233"/>
      <c r="L1" s="233"/>
      <c r="M1" s="233"/>
    </row>
    <row r="2" spans="1:22" ht="16.5" thickBot="1" x14ac:dyDescent="0.3">
      <c r="A2" s="234" t="s">
        <v>260</v>
      </c>
      <c r="B2" s="235"/>
      <c r="C2" s="235"/>
      <c r="D2" s="235"/>
      <c r="E2" s="235"/>
      <c r="F2" s="235"/>
      <c r="G2" s="235"/>
      <c r="H2" s="235"/>
      <c r="I2" s="235"/>
      <c r="J2" s="235"/>
      <c r="K2" s="235"/>
      <c r="L2" s="235"/>
      <c r="M2" s="236"/>
    </row>
    <row r="3" spans="1:22" ht="126.75" customHeight="1" thickBot="1" x14ac:dyDescent="0.3">
      <c r="A3" s="237"/>
      <c r="B3" s="238"/>
      <c r="C3" s="238"/>
      <c r="D3" s="238"/>
      <c r="E3" s="238"/>
      <c r="F3" s="238"/>
      <c r="G3" s="238"/>
      <c r="H3" s="238"/>
      <c r="I3" s="238"/>
      <c r="J3" s="238"/>
      <c r="K3" s="238"/>
      <c r="L3" s="238"/>
      <c r="M3" s="239"/>
    </row>
    <row r="4" spans="1:22" ht="31.5" customHeight="1" x14ac:dyDescent="0.25">
      <c r="A4" s="151" t="s">
        <v>259</v>
      </c>
      <c r="B4" s="240"/>
      <c r="C4" s="241"/>
      <c r="D4" s="242"/>
      <c r="E4" s="243" t="s">
        <v>258</v>
      </c>
      <c r="F4" s="244"/>
      <c r="G4" s="156"/>
      <c r="H4" s="156"/>
      <c r="I4" s="150"/>
      <c r="J4" s="150"/>
      <c r="K4" s="150"/>
      <c r="L4" s="150"/>
      <c r="M4" s="150"/>
    </row>
    <row r="5" spans="1:22" ht="16.5" customHeight="1" x14ac:dyDescent="0.25">
      <c r="A5" s="153" t="s">
        <v>257</v>
      </c>
      <c r="B5" s="248" t="s">
        <v>444</v>
      </c>
      <c r="C5" s="248"/>
      <c r="D5" s="249"/>
      <c r="E5" s="153" t="s">
        <v>257</v>
      </c>
      <c r="F5" s="250" t="str">
        <f>_xlfn.XLOOKUP(J1,Tab_Def_Processes[Process_ID],Tab_Def_Processes[Output_Flow_O_1],"No_flow.",0,1)</f>
        <v>Wheat Plant</v>
      </c>
      <c r="G5" s="250"/>
      <c r="H5" s="251"/>
      <c r="I5" s="154"/>
      <c r="J5" s="149"/>
      <c r="K5" s="149"/>
      <c r="L5" s="149"/>
      <c r="M5" s="146"/>
    </row>
    <row r="6" spans="1:22" ht="16.5" customHeight="1" x14ac:dyDescent="0.25">
      <c r="A6" s="153" t="s">
        <v>256</v>
      </c>
      <c r="B6" s="250" t="s">
        <v>445</v>
      </c>
      <c r="C6" s="250"/>
      <c r="D6" s="251"/>
      <c r="E6" s="153" t="s">
        <v>256</v>
      </c>
      <c r="F6" s="250" t="str">
        <f>_xlfn.XLOOKUP(J1,Tab_Def_Processes[Process_ID],Tab_Def_Processes[Output_Flow_O_2],"No_flow.",0,1)</f>
        <v>N.A.</v>
      </c>
      <c r="G6" s="250"/>
      <c r="H6" s="251"/>
      <c r="I6" s="154"/>
      <c r="J6" s="149"/>
      <c r="K6" s="149"/>
      <c r="L6" s="149"/>
      <c r="M6" s="146"/>
    </row>
    <row r="7" spans="1:22" ht="16.5" customHeight="1" x14ac:dyDescent="0.25">
      <c r="A7" s="148" t="s">
        <v>255</v>
      </c>
      <c r="B7" s="250" t="str">
        <f>_xlfn.XLOOKUP(J1,Tab_Def_Processes[Process_ID],Tab_Def_Processes[Input_Flow_I_3],"No_flow.",0,1)</f>
        <v>N.A.</v>
      </c>
      <c r="C7" s="250"/>
      <c r="D7" s="251"/>
      <c r="E7" s="148" t="s">
        <v>255</v>
      </c>
      <c r="F7" s="250" t="str">
        <f>_xlfn.XLOOKUP(J1,Tab_Def_Processes[Process_ID],Tab_Def_Processes[Output_Flow_O_3],"No_flow.",0,1)</f>
        <v>N.A.</v>
      </c>
      <c r="G7" s="250"/>
      <c r="H7" s="251"/>
      <c r="I7" s="155"/>
      <c r="J7" s="147"/>
      <c r="K7" s="147"/>
      <c r="L7" s="147"/>
      <c r="M7" s="146"/>
    </row>
    <row r="8" spans="1:22" ht="16.5" customHeight="1" x14ac:dyDescent="0.25">
      <c r="A8" s="148" t="s">
        <v>254</v>
      </c>
      <c r="B8" s="250" t="str">
        <f>_xlfn.XLOOKUP(J1,Tab_Def_Processes[Process_ID],Tab_Def_Processes[Input_Flow_I_4],"No_flow.",0,1)</f>
        <v>N.A.</v>
      </c>
      <c r="C8" s="250"/>
      <c r="D8" s="251"/>
      <c r="E8" s="148" t="s">
        <v>254</v>
      </c>
      <c r="F8" s="250" t="str">
        <f>_xlfn.XLOOKUP(J1,Tab_Def_Processes[Process_ID],Tab_Def_Processes[Output_Flow_O_4],"No_flow.",0,1)</f>
        <v>N.A.</v>
      </c>
      <c r="G8" s="250"/>
      <c r="H8" s="251"/>
      <c r="I8" s="155"/>
      <c r="J8" s="147"/>
      <c r="K8" s="147"/>
      <c r="L8" s="147"/>
      <c r="M8" s="146"/>
    </row>
    <row r="9" spans="1:22" ht="16.5" customHeight="1" x14ac:dyDescent="0.25">
      <c r="A9" s="148" t="s">
        <v>253</v>
      </c>
      <c r="B9" s="250" t="str">
        <f>_xlfn.XLOOKUP(J1,Tab_Def_Processes[Process_ID],Tab_Def_Processes[Input_Flow_I_5],"No_flow.",0,1)</f>
        <v>N.A.</v>
      </c>
      <c r="C9" s="250"/>
      <c r="D9" s="251"/>
      <c r="E9" s="148" t="s">
        <v>253</v>
      </c>
      <c r="F9" s="250" t="str">
        <f>_xlfn.XLOOKUP(J1,Tab_Def_Processes[Process_ID],Tab_Def_Processes[Output_Flow_O_5],"No_flow.",0,1)</f>
        <v>N.A.</v>
      </c>
      <c r="G9" s="250"/>
      <c r="H9" s="251"/>
      <c r="I9" s="155"/>
      <c r="J9" s="147"/>
      <c r="K9" s="147"/>
      <c r="L9" s="147"/>
      <c r="M9" s="146"/>
    </row>
    <row r="10" spans="1:22" ht="16.5" customHeight="1" thickBot="1" x14ac:dyDescent="0.3">
      <c r="A10" s="157" t="s">
        <v>252</v>
      </c>
      <c r="B10" s="252"/>
      <c r="C10" s="252"/>
      <c r="D10" s="253"/>
      <c r="E10" s="157" t="s">
        <v>252</v>
      </c>
      <c r="F10" s="252"/>
      <c r="G10" s="252"/>
      <c r="H10" s="253"/>
      <c r="I10" s="155"/>
      <c r="J10" s="147"/>
      <c r="K10" s="147"/>
      <c r="L10" s="147"/>
      <c r="M10" s="146"/>
    </row>
    <row r="11" spans="1:22" ht="16.5" thickBot="1" x14ac:dyDescent="0.3">
      <c r="A11" s="234" t="s">
        <v>251</v>
      </c>
      <c r="B11" s="235"/>
      <c r="C11" s="235"/>
      <c r="D11" s="235"/>
      <c r="E11" s="235"/>
      <c r="F11" s="235"/>
      <c r="G11" s="235"/>
      <c r="H11" s="235"/>
      <c r="I11" s="235"/>
      <c r="J11" s="235"/>
      <c r="K11" s="235"/>
      <c r="L11" s="235"/>
      <c r="M11" s="236"/>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54" t="s">
        <v>247</v>
      </c>
      <c r="C14" s="255"/>
      <c r="D14" s="256"/>
      <c r="E14" s="257" t="s">
        <v>246</v>
      </c>
      <c r="F14" s="258"/>
      <c r="G14" s="258"/>
      <c r="H14" s="259"/>
      <c r="I14" s="260" t="s">
        <v>245</v>
      </c>
      <c r="J14" s="261"/>
      <c r="K14" s="261"/>
      <c r="L14" s="261"/>
      <c r="M14" s="262"/>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75" t="s">
        <v>234</v>
      </c>
      <c r="C23" s="276"/>
      <c r="D23" s="276"/>
      <c r="E23" s="276"/>
      <c r="F23" s="276"/>
      <c r="G23" s="276"/>
      <c r="H23" s="277"/>
      <c r="I23" s="278" t="s">
        <v>233</v>
      </c>
      <c r="J23" s="279"/>
      <c r="K23" s="279"/>
      <c r="L23" s="279"/>
      <c r="M23" s="280"/>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63" t="s">
        <v>248</v>
      </c>
      <c r="B32" s="264"/>
      <c r="C32" s="264"/>
      <c r="D32" s="264"/>
      <c r="E32" s="264"/>
      <c r="F32" s="264"/>
      <c r="G32" s="264"/>
      <c r="H32" s="264"/>
      <c r="I32" s="264"/>
      <c r="J32" s="264"/>
      <c r="K32" s="264"/>
      <c r="L32" s="264"/>
      <c r="M32" s="265"/>
    </row>
    <row r="33" spans="1:18" ht="16.5" customHeight="1" thickBot="1" x14ac:dyDescent="0.3">
      <c r="A33" s="103" t="s">
        <v>235</v>
      </c>
      <c r="B33" s="266" t="s">
        <v>247</v>
      </c>
      <c r="C33" s="267"/>
      <c r="D33" s="268"/>
      <c r="E33" s="269" t="s">
        <v>246</v>
      </c>
      <c r="F33" s="270"/>
      <c r="G33" s="270"/>
      <c r="H33" s="271"/>
      <c r="I33" s="272" t="s">
        <v>245</v>
      </c>
      <c r="J33" s="273"/>
      <c r="K33" s="273"/>
      <c r="L33" s="273"/>
      <c r="M33" s="274"/>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75" t="s">
        <v>234</v>
      </c>
      <c r="C42" s="276"/>
      <c r="D42" s="276"/>
      <c r="E42" s="276"/>
      <c r="F42" s="276"/>
      <c r="G42" s="276"/>
      <c r="H42" s="277"/>
      <c r="I42" s="278" t="s">
        <v>233</v>
      </c>
      <c r="J42" s="279"/>
      <c r="K42" s="279"/>
      <c r="L42" s="279"/>
      <c r="M42" s="280"/>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81" t="s">
        <v>220</v>
      </c>
      <c r="B51" s="282"/>
      <c r="C51" s="282"/>
      <c r="D51" s="282"/>
      <c r="E51" s="283"/>
      <c r="F51" s="284" t="s">
        <v>219</v>
      </c>
      <c r="G51" s="285"/>
      <c r="H51" s="285"/>
      <c r="I51" s="285"/>
      <c r="J51" s="285"/>
      <c r="K51" s="285"/>
      <c r="L51" s="285"/>
      <c r="M51" s="286"/>
    </row>
    <row r="52" spans="1:17" ht="16.5" thickBot="1" x14ac:dyDescent="0.3">
      <c r="A52" s="4" t="s">
        <v>218</v>
      </c>
      <c r="B52" s="77" t="s">
        <v>217</v>
      </c>
      <c r="C52" s="76" t="s">
        <v>189</v>
      </c>
      <c r="D52" s="75" t="s">
        <v>188</v>
      </c>
      <c r="E52" s="74" t="s">
        <v>216</v>
      </c>
      <c r="F52" s="231"/>
      <c r="G52" s="231"/>
      <c r="H52" s="231"/>
      <c r="I52" s="231"/>
      <c r="J52" s="231"/>
      <c r="K52" s="231"/>
      <c r="L52" s="231"/>
      <c r="M52" s="287"/>
    </row>
    <row r="53" spans="1:17" ht="15.75" x14ac:dyDescent="0.25">
      <c r="A53" s="5" t="s">
        <v>215</v>
      </c>
      <c r="B53" s="73">
        <f>B22</f>
        <v>721668.05</v>
      </c>
      <c r="C53" s="72">
        <f>F22</f>
        <v>101033.52700000002</v>
      </c>
      <c r="D53" s="71">
        <f>J22</f>
        <v>620634.52299999993</v>
      </c>
      <c r="E53" s="70">
        <f>C31</f>
        <v>297904.57</v>
      </c>
      <c r="F53" s="231"/>
      <c r="G53" s="231"/>
      <c r="H53" s="231"/>
      <c r="I53" s="231"/>
      <c r="J53" s="231"/>
      <c r="K53" s="231"/>
      <c r="L53" s="231"/>
      <c r="M53" s="287"/>
    </row>
    <row r="54" spans="1:17" ht="16.5" thickBot="1" x14ac:dyDescent="0.3">
      <c r="A54" s="5" t="s">
        <v>214</v>
      </c>
      <c r="B54" s="73">
        <f>B41</f>
        <v>721668.05</v>
      </c>
      <c r="C54" s="72">
        <f>F41</f>
        <v>101033.52700000002</v>
      </c>
      <c r="D54" s="71">
        <f>J41</f>
        <v>620634.52300000004</v>
      </c>
      <c r="E54" s="70">
        <f>C50</f>
        <v>297904.57104000001</v>
      </c>
      <c r="F54" s="231"/>
      <c r="G54" s="231"/>
      <c r="H54" s="231"/>
      <c r="I54" s="231"/>
      <c r="J54" s="231"/>
      <c r="K54" s="231"/>
      <c r="L54" s="231"/>
      <c r="M54" s="287"/>
    </row>
    <row r="55" spans="1:17" ht="15.75" x14ac:dyDescent="0.25">
      <c r="A55" s="4" t="s">
        <v>213</v>
      </c>
      <c r="B55" s="162">
        <f>B53-B54</f>
        <v>0</v>
      </c>
      <c r="C55" s="163">
        <f>C53-C54</f>
        <v>0</v>
      </c>
      <c r="D55" s="164">
        <f>D53-D54</f>
        <v>0</v>
      </c>
      <c r="E55" s="165">
        <f>E53-E54</f>
        <v>-1.0400000028312206E-3</v>
      </c>
      <c r="F55" s="231"/>
      <c r="G55" s="231"/>
      <c r="H55" s="231"/>
      <c r="I55" s="231"/>
      <c r="J55" s="231"/>
      <c r="K55" s="231"/>
      <c r="L55" s="231"/>
      <c r="M55" s="287"/>
    </row>
    <row r="56" spans="1:17" ht="16.5" thickBot="1" x14ac:dyDescent="0.3">
      <c r="A56" s="7" t="s">
        <v>212</v>
      </c>
      <c r="B56" s="69">
        <f>B53/B54</f>
        <v>1</v>
      </c>
      <c r="C56" s="67">
        <f>C53/C54</f>
        <v>1</v>
      </c>
      <c r="D56" s="66">
        <f>D53/D54</f>
        <v>0.99999999999999978</v>
      </c>
      <c r="E56" s="65">
        <f>E53/E54</f>
        <v>0.99999999650894911</v>
      </c>
      <c r="F56" s="231"/>
      <c r="G56" s="231"/>
      <c r="H56" s="231"/>
      <c r="I56" s="231"/>
      <c r="J56" s="231"/>
      <c r="K56" s="231"/>
      <c r="L56" s="231"/>
      <c r="M56" s="287"/>
    </row>
    <row r="57" spans="1:17" ht="15.75" thickBot="1" x14ac:dyDescent="0.3">
      <c r="A57" s="281" t="s">
        <v>211</v>
      </c>
      <c r="B57" s="282"/>
      <c r="C57" s="282"/>
      <c r="D57" s="282"/>
      <c r="E57" s="283"/>
      <c r="F57" s="231"/>
      <c r="G57" s="231"/>
      <c r="H57" s="231"/>
      <c r="I57" s="231"/>
      <c r="J57" s="231"/>
      <c r="K57" s="231"/>
      <c r="L57" s="231"/>
      <c r="M57" s="287"/>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1"/>
      <c r="G58" s="231"/>
      <c r="H58" s="231"/>
      <c r="I58" s="231"/>
      <c r="J58" s="231"/>
      <c r="K58" s="231"/>
      <c r="L58" s="231"/>
      <c r="M58" s="287"/>
    </row>
    <row r="59" spans="1:17" ht="16.5" thickBot="1" x14ac:dyDescent="0.3">
      <c r="A59" s="7" t="str">
        <f t="shared" si="35"/>
        <v>N.A.</v>
      </c>
      <c r="B59" s="68">
        <f t="shared" si="36"/>
        <v>0</v>
      </c>
      <c r="C59" s="67">
        <f>(E36*B36)/($B$22*$E$22)</f>
        <v>0</v>
      </c>
      <c r="D59" s="66">
        <f t="shared" si="37"/>
        <v>0</v>
      </c>
      <c r="E59" s="65" t="e">
        <f t="shared" si="38"/>
        <v>#DIV/0!</v>
      </c>
      <c r="F59" s="231"/>
      <c r="G59" s="231"/>
      <c r="H59" s="231"/>
      <c r="I59" s="231"/>
      <c r="J59" s="231"/>
      <c r="K59" s="231"/>
      <c r="L59" s="231"/>
      <c r="M59" s="287"/>
    </row>
    <row r="60" spans="1:17" ht="16.5" thickBot="1" x14ac:dyDescent="0.3">
      <c r="A60" s="7" t="str">
        <f t="shared" si="35"/>
        <v>N.A.</v>
      </c>
      <c r="B60" s="68">
        <f t="shared" si="36"/>
        <v>0</v>
      </c>
      <c r="C60" s="67">
        <f>(E37*B37)/($B$22*$E$22)</f>
        <v>0</v>
      </c>
      <c r="D60" s="66">
        <f t="shared" si="37"/>
        <v>0</v>
      </c>
      <c r="E60" s="65" t="e">
        <f t="shared" si="38"/>
        <v>#DIV/0!</v>
      </c>
      <c r="F60" s="231"/>
      <c r="G60" s="231"/>
      <c r="H60" s="231"/>
      <c r="I60" s="231"/>
      <c r="J60" s="231"/>
      <c r="K60" s="231"/>
      <c r="L60" s="231"/>
      <c r="M60" s="287"/>
    </row>
    <row r="61" spans="1:17" ht="16.5" thickBot="1" x14ac:dyDescent="0.3">
      <c r="A61" s="7" t="str">
        <f t="shared" si="35"/>
        <v>N.A.</v>
      </c>
      <c r="B61" s="68">
        <f t="shared" si="36"/>
        <v>0</v>
      </c>
      <c r="C61" s="67">
        <f>($G$41*F38)/($B$22*$E$22)</f>
        <v>0</v>
      </c>
      <c r="D61" s="66">
        <f t="shared" si="37"/>
        <v>0</v>
      </c>
      <c r="E61" s="65" t="e">
        <f t="shared" si="38"/>
        <v>#DIV/0!</v>
      </c>
      <c r="F61" s="231"/>
      <c r="G61" s="231"/>
      <c r="H61" s="231"/>
      <c r="I61" s="231"/>
      <c r="J61" s="231"/>
      <c r="K61" s="231"/>
      <c r="L61" s="231"/>
      <c r="M61" s="287"/>
    </row>
    <row r="62" spans="1:17" ht="16.5" thickBot="1" x14ac:dyDescent="0.3">
      <c r="A62" s="7" t="str">
        <f t="shared" si="35"/>
        <v>N.A.</v>
      </c>
      <c r="B62" s="68">
        <f t="shared" si="36"/>
        <v>0</v>
      </c>
      <c r="C62" s="67">
        <f>(B39*E39)/($B$22*$E$22)</f>
        <v>0</v>
      </c>
      <c r="D62" s="66">
        <f t="shared" si="37"/>
        <v>0</v>
      </c>
      <c r="E62" s="65" t="e">
        <f t="shared" si="38"/>
        <v>#DIV/0!</v>
      </c>
      <c r="F62" s="231"/>
      <c r="G62" s="231"/>
      <c r="H62" s="231"/>
      <c r="I62" s="231"/>
      <c r="J62" s="231"/>
      <c r="K62" s="231"/>
      <c r="L62" s="231"/>
      <c r="M62" s="287"/>
    </row>
    <row r="63" spans="1:17" ht="16.5" thickBot="1" x14ac:dyDescent="0.3">
      <c r="A63" s="7">
        <f t="shared" si="35"/>
        <v>0</v>
      </c>
      <c r="B63" s="68">
        <f t="shared" si="36"/>
        <v>0</v>
      </c>
      <c r="C63" s="67">
        <f>(B40*E40)/($B$22*$E$22)</f>
        <v>0</v>
      </c>
      <c r="D63" s="66">
        <f t="shared" si="37"/>
        <v>0</v>
      </c>
      <c r="E63" s="65" t="e">
        <f t="shared" si="38"/>
        <v>#DIV/0!</v>
      </c>
      <c r="F63" s="231"/>
      <c r="G63" s="231"/>
      <c r="H63" s="231"/>
      <c r="I63" s="231"/>
      <c r="J63" s="231"/>
      <c r="K63" s="231"/>
      <c r="L63" s="231"/>
      <c r="M63" s="287"/>
    </row>
    <row r="64" spans="1:17" ht="16.5" thickBot="1" x14ac:dyDescent="0.3">
      <c r="A64" s="4" t="s">
        <v>210</v>
      </c>
      <c r="B64" s="158">
        <f>SUM(B58:B63)</f>
        <v>1</v>
      </c>
      <c r="C64" s="159">
        <f>SUM(C58:C63)</f>
        <v>1</v>
      </c>
      <c r="D64" s="160">
        <f>SUM(D58:D63)</f>
        <v>1.0000000000000002</v>
      </c>
      <c r="E64" s="161" t="e">
        <f>SUM(E58:E63)</f>
        <v>#DIV/0!</v>
      </c>
      <c r="F64" s="231"/>
      <c r="G64" s="231"/>
      <c r="H64" s="231"/>
      <c r="I64" s="231"/>
      <c r="J64" s="231"/>
      <c r="K64" s="231"/>
      <c r="L64" s="231"/>
      <c r="M64" s="287"/>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88" t="s">
        <v>207</v>
      </c>
      <c r="C66" s="288"/>
      <c r="D66" s="288"/>
      <c r="E66" s="288"/>
      <c r="F66" s="28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9" t="s">
        <v>341</v>
      </c>
      <c r="B1" s="289"/>
      <c r="C1" s="289"/>
      <c r="E1" s="289" t="s">
        <v>342</v>
      </c>
      <c r="F1" s="289"/>
      <c r="G1" s="289"/>
    </row>
    <row r="2" spans="1:12" x14ac:dyDescent="0.25">
      <c r="A2" s="22" t="s">
        <v>32</v>
      </c>
      <c r="B2" s="22" t="s">
        <v>33</v>
      </c>
      <c r="C2" s="22" t="s">
        <v>6</v>
      </c>
      <c r="E2" s="22" t="s">
        <v>32</v>
      </c>
      <c r="F2" s="22" t="s">
        <v>33</v>
      </c>
      <c r="G2" s="22" t="s">
        <v>6</v>
      </c>
      <c r="J2" s="290" t="s">
        <v>63</v>
      </c>
      <c r="K2" s="290"/>
      <c r="L2" s="290"/>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89" t="s">
        <v>343</v>
      </c>
      <c r="B9" s="289"/>
      <c r="C9" s="289"/>
      <c r="J9">
        <v>6</v>
      </c>
    </row>
    <row r="10" spans="1:12" x14ac:dyDescent="0.25">
      <c r="A10" t="s">
        <v>32</v>
      </c>
      <c r="B10" t="s">
        <v>218</v>
      </c>
      <c r="C10" t="s">
        <v>6</v>
      </c>
      <c r="E10" s="289"/>
      <c r="F10" s="289"/>
      <c r="G10" s="289"/>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89" t="s">
        <v>462</v>
      </c>
      <c r="B20" s="289"/>
      <c r="C20" s="289"/>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0" t="s">
        <v>63</v>
      </c>
      <c r="K28" s="290"/>
      <c r="L28" s="290"/>
    </row>
    <row r="29" spans="1:12" x14ac:dyDescent="0.25">
      <c r="J29" s="2" t="s">
        <v>32</v>
      </c>
      <c r="K29" s="2" t="s">
        <v>33</v>
      </c>
      <c r="L29" s="2" t="s">
        <v>6</v>
      </c>
    </row>
    <row r="30" spans="1:12" x14ac:dyDescent="0.25">
      <c r="J30" s="3">
        <v>1</v>
      </c>
      <c r="K30" s="3" t="s">
        <v>100</v>
      </c>
      <c r="L30" s="3" t="s">
        <v>100</v>
      </c>
    </row>
    <row r="31" spans="1:12" x14ac:dyDescent="0.25">
      <c r="A31" s="289" t="s">
        <v>344</v>
      </c>
      <c r="B31" s="289"/>
      <c r="C31" s="289"/>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89" t="s">
        <v>349</v>
      </c>
      <c r="B38" s="289"/>
      <c r="C38" s="289"/>
    </row>
    <row r="39" spans="1:12" x14ac:dyDescent="0.25">
      <c r="A39" t="s">
        <v>311</v>
      </c>
      <c r="B39" t="s">
        <v>350</v>
      </c>
      <c r="C39" t="s">
        <v>6</v>
      </c>
    </row>
    <row r="40" spans="1:12" x14ac:dyDescent="0.25">
      <c r="A40">
        <v>1</v>
      </c>
      <c r="B40" t="s">
        <v>312</v>
      </c>
      <c r="F40" s="289" t="s">
        <v>64</v>
      </c>
      <c r="G40" s="289"/>
      <c r="H40" s="289"/>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89" t="s">
        <v>351</v>
      </c>
      <c r="B51" s="289"/>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7</vt:i4>
      </vt:variant>
    </vt:vector>
  </HeadingPairs>
  <TitlesOfParts>
    <vt:vector size="32"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2025-09-10T19:47:38Z</dcterms:modified>
</cp:coreProperties>
</file>