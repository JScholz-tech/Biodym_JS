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2A4CBFE7-4A38-4E68-B335-BA4DC0A3AE0B}" xr6:coauthVersionLast="47" xr6:coauthVersionMax="47" xr10:uidLastSave="{00000000-0000-0000-0000-000000000000}"/>
  <bookViews>
    <workbookView xWindow="-110" yWindow="-110" windowWidth="19420" windowHeight="11500" tabRatio="840" firstSheet="3" activeTab="9" xr2:uid="{00000000-000D-0000-FFFF-FFFF00000000}"/>
  </bookViews>
  <sheets>
    <sheet name="Intro" sheetId="1" r:id="rId1"/>
    <sheet name="Version_CS1_16.06." sheetId="26" r:id="rId2"/>
    <sheet name="1_Flows&gt;&gt;&gt;&gt;" sheetId="11" r:id="rId3"/>
    <sheet name="1_1_Definition_Flows" sheetId="15" r:id="rId4"/>
    <sheet name="1_2_Data_Flows" sheetId="2" r:id="rId5"/>
    <sheet name="2. Processes&gt;&gt;&gt;&gt;" sheetId="12" r:id="rId6"/>
    <sheet name="2_1_Definition_Processes" sheetId="16" r:id="rId7"/>
    <sheet name="2_2_Process_Data" sheetId="18" state="hidden" r:id="rId8"/>
    <sheet name="2_3_Process_TCs" sheetId="22" r:id="rId9"/>
    <sheet name="2_4_Process_Stock_" sheetId="21" r:id="rId10"/>
    <sheet name="2_5_dynamic_tcs" sheetId="33" r:id="rId11"/>
    <sheet name="3. TC_Data" sheetId="28" r:id="rId12"/>
    <sheet name="4. Stock_Data" sheetId="30" r:id="rId13"/>
    <sheet name="PX - Template" sheetId="27" r:id="rId14"/>
    <sheet name="4. Calculation_factors&gt;&gt;&gt;&gt;" sheetId="13" r:id="rId15"/>
    <sheet name="3_1_Calculation_factors (Waste)" sheetId="5" r:id="rId16"/>
    <sheet name="3_1_Calculation_factors (Wood)" sheetId="6" r:id="rId17"/>
    <sheet name="4. Codelists&gt;&gt;&gt;&gt;" sheetId="3" r:id="rId18"/>
    <sheet name="4_1 Codelists" sheetId="17" r:id="rId19"/>
    <sheet name="5. Wastefiles &gt;&gt;&gt;&gt;" sheetId="14" r:id="rId20"/>
    <sheet name="Data_Processes" sheetId="8" r:id="rId21"/>
    <sheet name="1_2_WC_DM_CC_Flows" sheetId="25" r:id="rId22"/>
    <sheet name="Data_Processes_TCs" sheetId="7" r:id="rId23"/>
    <sheet name="2_3_Process_TC" sheetId="19" r:id="rId24"/>
    <sheet name="Tabelle2" sheetId="9" r:id="rId25"/>
    <sheet name="Tabelle3" sheetId="10" r:id="rId26"/>
    <sheet name="Data_Processes_Stocks" sheetId="4" r:id="rId27"/>
  </sheets>
  <definedNames>
    <definedName name="Baumart_" localSheetId="16">'3_1_Calculation_factors (Wood)'!#REF!</definedName>
    <definedName name="Baumart_">#REF!</definedName>
    <definedName name="Cluster_" localSheetId="16">'3_1_Calculation_factors (Wood)'!#REF!</definedName>
    <definedName name="Cluster_">#REF!</definedName>
    <definedName name="einheit" localSheetId="16">'3_1_Calculation_factors (Wood)'!#REF!</definedName>
    <definedName name="einheit">#REF!</definedName>
    <definedName name="Erhebungsart_" localSheetId="16">'3_1_Calculation_factors (Wood)'!#REF!</definedName>
    <definedName name="Erhebungsart_">#REF!</definedName>
    <definedName name="Herkunft_" localSheetId="16">'3_1_Calculation_factors (Wood)'!#REF!</definedName>
    <definedName name="Herkunft_">#REF!</definedName>
    <definedName name="Holzstrom_" localSheetId="16">'3_1_Calculation_factors (Wood)'!#REF!</definedName>
    <definedName name="Holzstrom_">#REF!</definedName>
    <definedName name="In_Out_" localSheetId="16">'3_1_Calculation_factors (Wood)'!#REF!</definedName>
    <definedName name="In_Out_">#REF!</definedName>
    <definedName name="Inhaltsverzeichnis">"MTRANS(ERSETZEN(Inhalt;1;FINDEN(""]"";Inhalt);""))"</definedName>
    <definedName name="Klassifizierung" localSheetId="16">'3_1_Calculation_factors (Wood)'!#REF!</definedName>
    <definedName name="Klassifizierung">#REF!</definedName>
    <definedName name="Ort_" localSheetId="16">'3_1_Calculation_factors (Wood)'!#REF!</definedName>
    <definedName name="Ort_">#REF!</definedName>
    <definedName name="Tab_Process_TCs_dyn" localSheetId="10">Tab_Process_TCs2527[]</definedName>
    <definedName name="Tab_Process_TCs_dyn">#REF!</definedName>
    <definedName name="Ziel_" localSheetId="16">'3_1_Calculation_factors (Wood)'!#REF!</definedName>
    <definedName name="Ziel_">#REF!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22" l="1"/>
  <c r="AD6" i="22" l="1"/>
  <c r="AD8" i="22"/>
  <c r="AD9" i="22"/>
  <c r="V16" i="15"/>
  <c r="B7" i="21"/>
  <c r="D7" i="21"/>
  <c r="F7" i="21"/>
  <c r="G7" i="21"/>
  <c r="H7" i="21"/>
  <c r="I7" i="21"/>
  <c r="J7" i="21"/>
  <c r="K7" i="21"/>
  <c r="L7" i="21"/>
  <c r="B8" i="21"/>
  <c r="D8" i="21"/>
  <c r="C8" i="21" s="1"/>
  <c r="F8" i="21"/>
  <c r="G8" i="21"/>
  <c r="H8" i="21"/>
  <c r="I8" i="21"/>
  <c r="J8" i="21"/>
  <c r="K8" i="21"/>
  <c r="L8" i="21"/>
  <c r="B9" i="21"/>
  <c r="D9" i="21"/>
  <c r="F9" i="21"/>
  <c r="G9" i="21"/>
  <c r="H9" i="21"/>
  <c r="I9" i="21"/>
  <c r="J9" i="21"/>
  <c r="K9" i="21"/>
  <c r="L9" i="21"/>
  <c r="B10" i="21"/>
  <c r="D10" i="21"/>
  <c r="C10" i="21" s="1"/>
  <c r="F10" i="21"/>
  <c r="G10" i="21"/>
  <c r="H10" i="21"/>
  <c r="I10" i="21"/>
  <c r="J10" i="21"/>
  <c r="K10" i="21"/>
  <c r="L10" i="21"/>
  <c r="AP2" i="22"/>
  <c r="AP8" i="22"/>
  <c r="AP9" i="22"/>
  <c r="AP10" i="22"/>
  <c r="AP4" i="22"/>
  <c r="AP5" i="22"/>
  <c r="AP6" i="22"/>
  <c r="AP7" i="22"/>
  <c r="AP3" i="22"/>
  <c r="M5" i="22"/>
  <c r="M4" i="22"/>
  <c r="AH2" i="22"/>
  <c r="C9" i="21" l="1"/>
  <c r="C7" i="21"/>
  <c r="V14" i="15"/>
  <c r="B8" i="22"/>
  <c r="D8" i="22"/>
  <c r="G8" i="22"/>
  <c r="H8" i="22"/>
  <c r="I8" i="22"/>
  <c r="J8" i="22"/>
  <c r="K8" i="22"/>
  <c r="L8" i="22"/>
  <c r="M8" i="22"/>
  <c r="N8" i="22"/>
  <c r="Q8" i="22"/>
  <c r="T8" i="22"/>
  <c r="W8" i="22"/>
  <c r="Z8" i="22"/>
  <c r="AC8" i="22"/>
  <c r="AH8" i="22"/>
  <c r="AL8" i="22"/>
  <c r="B9" i="22"/>
  <c r="D9" i="22"/>
  <c r="G9" i="22"/>
  <c r="H9" i="22"/>
  <c r="I9" i="22"/>
  <c r="J9" i="22"/>
  <c r="K9" i="22"/>
  <c r="L9" i="22"/>
  <c r="M9" i="22"/>
  <c r="N9" i="22"/>
  <c r="Q9" i="22"/>
  <c r="T9" i="22"/>
  <c r="W9" i="22"/>
  <c r="Z9" i="22"/>
  <c r="AC9" i="22"/>
  <c r="AH9" i="22"/>
  <c r="AL9" i="22"/>
  <c r="B10" i="22"/>
  <c r="D10" i="22"/>
  <c r="G10" i="22"/>
  <c r="H10" i="22"/>
  <c r="I10" i="22"/>
  <c r="J10" i="22"/>
  <c r="K10" i="22"/>
  <c r="L10" i="22"/>
  <c r="M10" i="22"/>
  <c r="N10" i="22"/>
  <c r="Q10" i="22"/>
  <c r="T10" i="22"/>
  <c r="W10" i="22"/>
  <c r="Z10" i="22"/>
  <c r="AC10" i="22"/>
  <c r="AD10" i="22"/>
  <c r="AH10" i="22"/>
  <c r="AL10" i="22"/>
  <c r="B4" i="22"/>
  <c r="D4" i="22"/>
  <c r="G4" i="22"/>
  <c r="H4" i="22"/>
  <c r="I4" i="22"/>
  <c r="J4" i="22"/>
  <c r="K4" i="22"/>
  <c r="L4" i="22"/>
  <c r="N4" i="22"/>
  <c r="Q4" i="22"/>
  <c r="T4" i="22"/>
  <c r="W4" i="22"/>
  <c r="Z4" i="22"/>
  <c r="AC4" i="22"/>
  <c r="AD4" i="22"/>
  <c r="AH4" i="22"/>
  <c r="AL4" i="22"/>
  <c r="B5" i="22"/>
  <c r="D5" i="22"/>
  <c r="C5" i="22" s="1"/>
  <c r="G5" i="22"/>
  <c r="H5" i="22"/>
  <c r="I5" i="22"/>
  <c r="J5" i="22"/>
  <c r="K5" i="22"/>
  <c r="L5" i="22"/>
  <c r="N5" i="22"/>
  <c r="Q5" i="22"/>
  <c r="T5" i="22"/>
  <c r="W5" i="22"/>
  <c r="Z5" i="22"/>
  <c r="AC5" i="22"/>
  <c r="AD5" i="22"/>
  <c r="AH5" i="22"/>
  <c r="AL5" i="22"/>
  <c r="B6" i="22"/>
  <c r="D6" i="22"/>
  <c r="G6" i="22"/>
  <c r="H6" i="22"/>
  <c r="I6" i="22"/>
  <c r="J6" i="22"/>
  <c r="K6" i="22"/>
  <c r="L6" i="22"/>
  <c r="M6" i="22"/>
  <c r="N6" i="22"/>
  <c r="Q6" i="22"/>
  <c r="T6" i="22"/>
  <c r="W6" i="22"/>
  <c r="Z6" i="22"/>
  <c r="AC6" i="22"/>
  <c r="AH6" i="22"/>
  <c r="AL6" i="22"/>
  <c r="B7" i="22"/>
  <c r="D7" i="22"/>
  <c r="G7" i="22"/>
  <c r="H7" i="22"/>
  <c r="I7" i="22"/>
  <c r="J7" i="22"/>
  <c r="K7" i="22"/>
  <c r="L7" i="22"/>
  <c r="M7" i="22"/>
  <c r="N7" i="22"/>
  <c r="Q7" i="22"/>
  <c r="T7" i="22"/>
  <c r="W7" i="22"/>
  <c r="Z7" i="22"/>
  <c r="AC7" i="22"/>
  <c r="AD7" i="22"/>
  <c r="AH7" i="22"/>
  <c r="AL7" i="22"/>
  <c r="J8" i="18"/>
  <c r="C6" i="22" l="1"/>
  <c r="C9" i="22"/>
  <c r="C7" i="22"/>
  <c r="C4" i="22"/>
  <c r="C10" i="22"/>
  <c r="C8" i="22"/>
  <c r="AI2" i="2"/>
  <c r="V15" i="15"/>
  <c r="V13" i="15"/>
  <c r="V12" i="15"/>
  <c r="V11" i="15"/>
  <c r="V10" i="15"/>
  <c r="V9" i="15"/>
  <c r="V8" i="15"/>
  <c r="V5" i="15"/>
  <c r="V2" i="15"/>
  <c r="V3" i="15"/>
  <c r="V6" i="15"/>
  <c r="V7" i="15"/>
  <c r="C8" i="16"/>
  <c r="C9" i="16"/>
  <c r="I16" i="15" s="1"/>
  <c r="B2" i="22"/>
  <c r="D2" i="22"/>
  <c r="G2" i="22"/>
  <c r="H2" i="22"/>
  <c r="I2" i="22"/>
  <c r="J2" i="22"/>
  <c r="L2" i="22"/>
  <c r="M2" i="22"/>
  <c r="N2" i="22"/>
  <c r="Q2" i="22"/>
  <c r="T2" i="22"/>
  <c r="W2" i="22"/>
  <c r="Z2" i="22"/>
  <c r="AC2" i="22"/>
  <c r="AD2" i="22"/>
  <c r="AL2" i="22"/>
  <c r="B140" i="33"/>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L16" i="33"/>
  <c r="N16" i="33"/>
  <c r="Q16" i="33"/>
  <c r="T16" i="33"/>
  <c r="W16" i="33"/>
  <c r="Z16" i="33"/>
  <c r="AC16" i="33"/>
  <c r="BH16" i="33"/>
  <c r="B17" i="33"/>
  <c r="L17" i="33"/>
  <c r="N17" i="33"/>
  <c r="Q17" i="33"/>
  <c r="T17" i="33"/>
  <c r="W17" i="33"/>
  <c r="Z17" i="33"/>
  <c r="AC17" i="33"/>
  <c r="BH17" i="33"/>
  <c r="B18" i="33"/>
  <c r="L18" i="33"/>
  <c r="N18" i="33"/>
  <c r="Q18" i="33"/>
  <c r="T18" i="33"/>
  <c r="W18" i="33"/>
  <c r="Z18" i="33"/>
  <c r="AC18" i="33"/>
  <c r="BH18" i="33"/>
  <c r="B19" i="33"/>
  <c r="L19" i="33"/>
  <c r="N19" i="33"/>
  <c r="Q19" i="33"/>
  <c r="T19" i="33"/>
  <c r="W19" i="33"/>
  <c r="Z19" i="33"/>
  <c r="AC19" i="33"/>
  <c r="BH19" i="33"/>
  <c r="B20" i="33"/>
  <c r="H20" i="33"/>
  <c r="AK20" i="33" s="1"/>
  <c r="L20" i="33"/>
  <c r="N20" i="33"/>
  <c r="O20" i="33"/>
  <c r="Q20" i="33"/>
  <c r="R20" i="33"/>
  <c r="T20" i="33"/>
  <c r="U20" i="33"/>
  <c r="W20" i="33"/>
  <c r="X20" i="33"/>
  <c r="Z20" i="33"/>
  <c r="AA20" i="33"/>
  <c r="AC20" i="33"/>
  <c r="BH20" i="33"/>
  <c r="B21" i="33"/>
  <c r="H21" i="33"/>
  <c r="L21" i="33"/>
  <c r="N21" i="33"/>
  <c r="O21" i="33"/>
  <c r="Q21" i="33"/>
  <c r="R21" i="33"/>
  <c r="T21" i="33"/>
  <c r="U21" i="33"/>
  <c r="W21" i="33"/>
  <c r="X21" i="33"/>
  <c r="Z21" i="33"/>
  <c r="AA21" i="33"/>
  <c r="AC21" i="33"/>
  <c r="BH21" i="33"/>
  <c r="B22" i="33"/>
  <c r="H22" i="33"/>
  <c r="AF22" i="33" s="1"/>
  <c r="L22" i="33"/>
  <c r="N22" i="33"/>
  <c r="O22" i="33"/>
  <c r="Q22" i="33"/>
  <c r="R22" i="33"/>
  <c r="T22" i="33"/>
  <c r="U22" i="33"/>
  <c r="W22" i="33"/>
  <c r="X22" i="33"/>
  <c r="Z22" i="33"/>
  <c r="AA22" i="33"/>
  <c r="AC22" i="33"/>
  <c r="BH22" i="33"/>
  <c r="B23" i="33"/>
  <c r="H23" i="33"/>
  <c r="AK23" i="33" s="1"/>
  <c r="L23" i="33"/>
  <c r="N23" i="33"/>
  <c r="O23" i="33"/>
  <c r="Q23" i="33"/>
  <c r="R23" i="33"/>
  <c r="T23" i="33"/>
  <c r="U23" i="33"/>
  <c r="W23" i="33"/>
  <c r="X23" i="33"/>
  <c r="Z23" i="33"/>
  <c r="AA23" i="33"/>
  <c r="AC23" i="33"/>
  <c r="BH23" i="33"/>
  <c r="B24" i="33"/>
  <c r="H24" i="33"/>
  <c r="I24" i="33" s="1"/>
  <c r="L24" i="33"/>
  <c r="N24" i="33"/>
  <c r="O24" i="33"/>
  <c r="Q24" i="33"/>
  <c r="R24" i="33"/>
  <c r="T24" i="33"/>
  <c r="U24" i="33"/>
  <c r="W24" i="33"/>
  <c r="X24" i="33"/>
  <c r="Z24" i="33"/>
  <c r="AA24" i="33"/>
  <c r="AC24" i="33"/>
  <c r="BH24" i="33"/>
  <c r="B25" i="33"/>
  <c r="H25" i="33"/>
  <c r="AF25" i="33" s="1"/>
  <c r="L25" i="33"/>
  <c r="N25" i="33"/>
  <c r="O25" i="33"/>
  <c r="Q25" i="33"/>
  <c r="R25" i="33"/>
  <c r="T25" i="33"/>
  <c r="U25" i="33"/>
  <c r="W25" i="33"/>
  <c r="X25" i="33"/>
  <c r="Z25" i="33"/>
  <c r="AA25" i="33"/>
  <c r="AC25" i="33"/>
  <c r="BH25" i="33"/>
  <c r="B26" i="33"/>
  <c r="H26" i="33"/>
  <c r="I26" i="33" s="1"/>
  <c r="L26" i="33"/>
  <c r="N26" i="33"/>
  <c r="O26" i="33"/>
  <c r="Q26" i="33"/>
  <c r="R26" i="33"/>
  <c r="T26" i="33"/>
  <c r="U26" i="33"/>
  <c r="W26" i="33"/>
  <c r="X26" i="33"/>
  <c r="Z26" i="33"/>
  <c r="AA26" i="33"/>
  <c r="AC26" i="33"/>
  <c r="BH26" i="33"/>
  <c r="B27" i="33"/>
  <c r="H27" i="33"/>
  <c r="AF27" i="33" s="1"/>
  <c r="L27" i="33"/>
  <c r="N27" i="33"/>
  <c r="O27" i="33"/>
  <c r="Q27" i="33"/>
  <c r="R27" i="33"/>
  <c r="T27" i="33"/>
  <c r="U27" i="33"/>
  <c r="W27" i="33"/>
  <c r="X27" i="33"/>
  <c r="Z27" i="33"/>
  <c r="AA27" i="33"/>
  <c r="AC27" i="33"/>
  <c r="BH27" i="33"/>
  <c r="B28" i="33"/>
  <c r="H28" i="33"/>
  <c r="AZ28" i="33" s="1"/>
  <c r="L28" i="33"/>
  <c r="N28" i="33"/>
  <c r="O28" i="33"/>
  <c r="Q28" i="33"/>
  <c r="R28" i="33"/>
  <c r="T28" i="33"/>
  <c r="U28" i="33"/>
  <c r="W28" i="33"/>
  <c r="X28" i="33"/>
  <c r="Z28" i="33"/>
  <c r="AA28" i="33"/>
  <c r="AC28" i="33"/>
  <c r="BH28" i="33"/>
  <c r="B29" i="33"/>
  <c r="H29" i="33"/>
  <c r="AF29" i="33" s="1"/>
  <c r="L29" i="33"/>
  <c r="N29" i="33"/>
  <c r="O29" i="33"/>
  <c r="Q29" i="33"/>
  <c r="R29" i="33"/>
  <c r="T29" i="33"/>
  <c r="U29" i="33"/>
  <c r="W29" i="33"/>
  <c r="X29" i="33"/>
  <c r="Z29" i="33"/>
  <c r="AA29" i="33"/>
  <c r="AC29" i="33"/>
  <c r="BH29" i="33"/>
  <c r="B30" i="33"/>
  <c r="H30" i="33"/>
  <c r="AK30" i="33" s="1"/>
  <c r="L30" i="33"/>
  <c r="N30" i="33"/>
  <c r="O30" i="33"/>
  <c r="Q30" i="33"/>
  <c r="R30" i="33"/>
  <c r="T30" i="33"/>
  <c r="U30" i="33"/>
  <c r="W30" i="33"/>
  <c r="X30" i="33"/>
  <c r="Z30" i="33"/>
  <c r="AA30" i="33"/>
  <c r="AC30" i="33"/>
  <c r="BH30" i="33"/>
  <c r="B31" i="33"/>
  <c r="H31" i="33"/>
  <c r="AK31" i="33" s="1"/>
  <c r="L31" i="33"/>
  <c r="N31" i="33"/>
  <c r="O31" i="33"/>
  <c r="Q31" i="33"/>
  <c r="R31" i="33"/>
  <c r="T31" i="33"/>
  <c r="U31" i="33"/>
  <c r="W31" i="33"/>
  <c r="X31" i="33"/>
  <c r="Z31" i="33"/>
  <c r="AA31" i="33"/>
  <c r="AC31" i="33"/>
  <c r="BH31" i="33"/>
  <c r="B32" i="33"/>
  <c r="H32" i="33"/>
  <c r="BE32" i="33" s="1"/>
  <c r="L32" i="33"/>
  <c r="N32" i="33"/>
  <c r="O32" i="33"/>
  <c r="Q32" i="33"/>
  <c r="R32" i="33"/>
  <c r="T32" i="33"/>
  <c r="U32" i="33"/>
  <c r="W32" i="33"/>
  <c r="X32" i="33"/>
  <c r="Z32" i="33"/>
  <c r="AA32" i="33"/>
  <c r="AC32" i="33"/>
  <c r="BH32" i="33"/>
  <c r="B33" i="33"/>
  <c r="H33" i="33"/>
  <c r="AF33" i="33" s="1"/>
  <c r="L33" i="33"/>
  <c r="N33" i="33"/>
  <c r="O33" i="33"/>
  <c r="Q33" i="33"/>
  <c r="R33" i="33"/>
  <c r="T33" i="33"/>
  <c r="U33" i="33"/>
  <c r="W33" i="33"/>
  <c r="X33" i="33"/>
  <c r="Z33" i="33"/>
  <c r="AA33" i="33"/>
  <c r="AC33" i="33"/>
  <c r="BH33" i="33"/>
  <c r="B34" i="33"/>
  <c r="H34" i="33"/>
  <c r="I34" i="33" s="1"/>
  <c r="L34" i="33"/>
  <c r="N34" i="33"/>
  <c r="O34" i="33"/>
  <c r="Q34" i="33"/>
  <c r="R34" i="33"/>
  <c r="T34" i="33"/>
  <c r="U34" i="33"/>
  <c r="W34" i="33"/>
  <c r="X34" i="33"/>
  <c r="Z34" i="33"/>
  <c r="AA34" i="33"/>
  <c r="AC34" i="33"/>
  <c r="BH34" i="33"/>
  <c r="B35" i="33"/>
  <c r="H35" i="33"/>
  <c r="I35" i="33" s="1"/>
  <c r="L35" i="33"/>
  <c r="N35" i="33"/>
  <c r="O35" i="33"/>
  <c r="Q35" i="33"/>
  <c r="R35" i="33"/>
  <c r="T35" i="33"/>
  <c r="U35" i="33"/>
  <c r="W35" i="33"/>
  <c r="X35" i="33"/>
  <c r="Z35" i="33"/>
  <c r="AA35" i="33"/>
  <c r="AC35" i="33"/>
  <c r="BH35" i="33"/>
  <c r="B36" i="33"/>
  <c r="H36" i="33"/>
  <c r="AF36" i="33" s="1"/>
  <c r="L36" i="33"/>
  <c r="N36" i="33"/>
  <c r="O36" i="33"/>
  <c r="Q36" i="33"/>
  <c r="R36" i="33"/>
  <c r="T36" i="33"/>
  <c r="U36" i="33"/>
  <c r="W36" i="33"/>
  <c r="X36" i="33"/>
  <c r="Z36" i="33"/>
  <c r="AA36" i="33"/>
  <c r="AC36" i="33"/>
  <c r="BH36" i="33"/>
  <c r="B37" i="33"/>
  <c r="H37" i="33"/>
  <c r="AK37" i="33" s="1"/>
  <c r="L37" i="33"/>
  <c r="N37" i="33"/>
  <c r="O37" i="33"/>
  <c r="Q37" i="33"/>
  <c r="R37" i="33"/>
  <c r="T37" i="33"/>
  <c r="U37" i="33"/>
  <c r="W37" i="33"/>
  <c r="X37" i="33"/>
  <c r="Z37" i="33"/>
  <c r="AA37" i="33"/>
  <c r="AC37" i="33"/>
  <c r="BH37" i="33"/>
  <c r="B38" i="33"/>
  <c r="H38" i="33"/>
  <c r="AF38" i="33" s="1"/>
  <c r="L38" i="33"/>
  <c r="N38" i="33"/>
  <c r="O38" i="33"/>
  <c r="Q38" i="33"/>
  <c r="R38" i="33"/>
  <c r="T38" i="33"/>
  <c r="U38" i="33"/>
  <c r="W38" i="33"/>
  <c r="X38" i="33"/>
  <c r="Z38" i="33"/>
  <c r="AA38" i="33"/>
  <c r="AC38" i="33"/>
  <c r="BH38" i="33"/>
  <c r="B39" i="33"/>
  <c r="H39" i="33"/>
  <c r="AK39" i="33" s="1"/>
  <c r="L39" i="33"/>
  <c r="N39" i="33"/>
  <c r="O39" i="33"/>
  <c r="Q39" i="33"/>
  <c r="R39" i="33"/>
  <c r="T39" i="33"/>
  <c r="U39" i="33"/>
  <c r="W39" i="33"/>
  <c r="X39" i="33"/>
  <c r="Z39" i="33"/>
  <c r="AA39" i="33"/>
  <c r="AC39" i="33"/>
  <c r="BH39" i="33"/>
  <c r="B40" i="33"/>
  <c r="H40" i="33"/>
  <c r="AZ40" i="33" s="1"/>
  <c r="L40" i="33"/>
  <c r="N40" i="33"/>
  <c r="O40" i="33"/>
  <c r="Q40" i="33"/>
  <c r="R40" i="33"/>
  <c r="T40" i="33"/>
  <c r="U40" i="33"/>
  <c r="W40" i="33"/>
  <c r="X40" i="33"/>
  <c r="Z40" i="33"/>
  <c r="AA40" i="33"/>
  <c r="AC40" i="33"/>
  <c r="BH40" i="33"/>
  <c r="B41" i="33"/>
  <c r="H41" i="33"/>
  <c r="I41" i="33" s="1"/>
  <c r="L41" i="33"/>
  <c r="N41" i="33"/>
  <c r="O41" i="33"/>
  <c r="Q41" i="33"/>
  <c r="R41" i="33"/>
  <c r="T41" i="33"/>
  <c r="U41" i="33"/>
  <c r="W41" i="33"/>
  <c r="X41" i="33"/>
  <c r="Z41" i="33"/>
  <c r="AA41" i="33"/>
  <c r="AC41" i="33"/>
  <c r="BH41" i="33"/>
  <c r="B42" i="33"/>
  <c r="H42" i="33"/>
  <c r="AK42" i="33" s="1"/>
  <c r="L42" i="33"/>
  <c r="N42" i="33"/>
  <c r="O42" i="33"/>
  <c r="Q42" i="33"/>
  <c r="R42" i="33"/>
  <c r="T42" i="33"/>
  <c r="U42" i="33"/>
  <c r="W42" i="33"/>
  <c r="X42" i="33"/>
  <c r="Z42" i="33"/>
  <c r="AA42" i="33"/>
  <c r="AC42" i="33"/>
  <c r="BH42" i="33"/>
  <c r="B43" i="33"/>
  <c r="H43" i="33"/>
  <c r="I43" i="33" s="1"/>
  <c r="L43" i="33"/>
  <c r="N43" i="33"/>
  <c r="O43" i="33"/>
  <c r="Q43" i="33"/>
  <c r="R43" i="33"/>
  <c r="T43" i="33"/>
  <c r="U43" i="33"/>
  <c r="W43" i="33"/>
  <c r="X43" i="33"/>
  <c r="Z43" i="33"/>
  <c r="AA43" i="33"/>
  <c r="AC43" i="33"/>
  <c r="BH43" i="33"/>
  <c r="B44" i="33"/>
  <c r="H44" i="33"/>
  <c r="AK44" i="33" s="1"/>
  <c r="L44" i="33"/>
  <c r="N44" i="33"/>
  <c r="O44" i="33"/>
  <c r="Q44" i="33"/>
  <c r="R44" i="33"/>
  <c r="T44" i="33"/>
  <c r="U44" i="33"/>
  <c r="W44" i="33"/>
  <c r="X44" i="33"/>
  <c r="Z44" i="33"/>
  <c r="AA44" i="33"/>
  <c r="AC44" i="33"/>
  <c r="BH44" i="33"/>
  <c r="B45" i="33"/>
  <c r="H45" i="33"/>
  <c r="AK45" i="33" s="1"/>
  <c r="L45" i="33"/>
  <c r="N45" i="33"/>
  <c r="O45" i="33"/>
  <c r="Q45" i="33"/>
  <c r="R45" i="33"/>
  <c r="T45" i="33"/>
  <c r="U45" i="33"/>
  <c r="W45" i="33"/>
  <c r="X45" i="33"/>
  <c r="Z45" i="33"/>
  <c r="AA45" i="33"/>
  <c r="AC45" i="33"/>
  <c r="BH45" i="33"/>
  <c r="B46" i="33"/>
  <c r="H46" i="33"/>
  <c r="I46" i="33" s="1"/>
  <c r="L46" i="33"/>
  <c r="N46" i="33"/>
  <c r="O46" i="33"/>
  <c r="Q46" i="33"/>
  <c r="R46" i="33"/>
  <c r="T46" i="33"/>
  <c r="U46" i="33"/>
  <c r="W46" i="33"/>
  <c r="X46" i="33"/>
  <c r="Z46" i="33"/>
  <c r="AA46" i="33"/>
  <c r="AC46" i="33"/>
  <c r="BH46" i="33"/>
  <c r="B47" i="33"/>
  <c r="H47" i="33"/>
  <c r="BE47" i="33" s="1"/>
  <c r="L47" i="33"/>
  <c r="N47" i="33"/>
  <c r="O47" i="33"/>
  <c r="Q47" i="33"/>
  <c r="R47" i="33"/>
  <c r="T47" i="33"/>
  <c r="U47" i="33"/>
  <c r="W47" i="33"/>
  <c r="X47" i="33"/>
  <c r="Z47" i="33"/>
  <c r="AA47" i="33"/>
  <c r="AC47" i="33"/>
  <c r="BH47" i="33"/>
  <c r="B48" i="33"/>
  <c r="H48" i="33"/>
  <c r="I48" i="33" s="1"/>
  <c r="L48" i="33"/>
  <c r="N48" i="33"/>
  <c r="O48" i="33"/>
  <c r="Q48" i="33"/>
  <c r="R48" i="33"/>
  <c r="T48" i="33"/>
  <c r="U48" i="33"/>
  <c r="W48" i="33"/>
  <c r="X48" i="33"/>
  <c r="Z48" i="33"/>
  <c r="AA48" i="33"/>
  <c r="AC48" i="33"/>
  <c r="BH48" i="33"/>
  <c r="B49" i="33"/>
  <c r="H49" i="33"/>
  <c r="AK49" i="33" s="1"/>
  <c r="L49" i="33"/>
  <c r="N49" i="33"/>
  <c r="O49" i="33"/>
  <c r="Q49" i="33"/>
  <c r="R49" i="33"/>
  <c r="T49" i="33"/>
  <c r="U49" i="33"/>
  <c r="W49" i="33"/>
  <c r="X49" i="33"/>
  <c r="Z49" i="33"/>
  <c r="AA49" i="33"/>
  <c r="AC49" i="33"/>
  <c r="BH49" i="33"/>
  <c r="B50" i="33"/>
  <c r="H50" i="33"/>
  <c r="AP50" i="33" s="1"/>
  <c r="L50" i="33"/>
  <c r="N50" i="33"/>
  <c r="O50" i="33"/>
  <c r="Q50" i="33"/>
  <c r="R50" i="33"/>
  <c r="T50" i="33"/>
  <c r="U50" i="33"/>
  <c r="W50" i="33"/>
  <c r="X50" i="33"/>
  <c r="Z50" i="33"/>
  <c r="AA50" i="33"/>
  <c r="AC50" i="33"/>
  <c r="BH50" i="33"/>
  <c r="B51" i="33"/>
  <c r="H51" i="33"/>
  <c r="AF51" i="33" s="1"/>
  <c r="L51" i="33"/>
  <c r="N51" i="33"/>
  <c r="O51" i="33"/>
  <c r="Q51" i="33"/>
  <c r="R51" i="33"/>
  <c r="T51" i="33"/>
  <c r="U51" i="33"/>
  <c r="W51" i="33"/>
  <c r="X51" i="33"/>
  <c r="Z51" i="33"/>
  <c r="AA51" i="33"/>
  <c r="AC51" i="33"/>
  <c r="BH51" i="33"/>
  <c r="B52" i="33"/>
  <c r="H52" i="33"/>
  <c r="AK52" i="33" s="1"/>
  <c r="L52" i="33"/>
  <c r="N52" i="33"/>
  <c r="O52" i="33"/>
  <c r="Q52" i="33"/>
  <c r="R52" i="33"/>
  <c r="T52" i="33"/>
  <c r="U52" i="33"/>
  <c r="W52" i="33"/>
  <c r="X52" i="33"/>
  <c r="Z52" i="33"/>
  <c r="AA52" i="33"/>
  <c r="AC52" i="33"/>
  <c r="BH52" i="33"/>
  <c r="B53" i="33"/>
  <c r="H53" i="33"/>
  <c r="I53" i="33" s="1"/>
  <c r="L53" i="33"/>
  <c r="N53" i="33"/>
  <c r="O53" i="33"/>
  <c r="Q53" i="33"/>
  <c r="R53" i="33"/>
  <c r="T53" i="33"/>
  <c r="U53" i="33"/>
  <c r="W53" i="33"/>
  <c r="X53" i="33"/>
  <c r="Z53" i="33"/>
  <c r="AA53" i="33"/>
  <c r="AC53" i="33"/>
  <c r="BH53" i="33"/>
  <c r="B54" i="33"/>
  <c r="H54" i="33"/>
  <c r="BE54" i="33" s="1"/>
  <c r="L54" i="33"/>
  <c r="N54" i="33"/>
  <c r="O54" i="33"/>
  <c r="Q54" i="33"/>
  <c r="R54" i="33"/>
  <c r="T54" i="33"/>
  <c r="U54" i="33"/>
  <c r="W54" i="33"/>
  <c r="X54" i="33"/>
  <c r="Z54" i="33"/>
  <c r="AA54" i="33"/>
  <c r="AC54" i="33"/>
  <c r="BH54" i="33"/>
  <c r="B55" i="33"/>
  <c r="H55" i="33"/>
  <c r="BE55" i="33" s="1"/>
  <c r="L55" i="33"/>
  <c r="N55" i="33"/>
  <c r="O55" i="33"/>
  <c r="Q55" i="33"/>
  <c r="R55" i="33"/>
  <c r="T55" i="33"/>
  <c r="U55" i="33"/>
  <c r="W55" i="33"/>
  <c r="X55" i="33"/>
  <c r="Z55" i="33"/>
  <c r="AA55" i="33"/>
  <c r="AC55" i="33"/>
  <c r="BH55" i="33"/>
  <c r="B56" i="33"/>
  <c r="H56" i="33"/>
  <c r="AP56" i="33" s="1"/>
  <c r="L56" i="33"/>
  <c r="N56" i="33"/>
  <c r="O56" i="33"/>
  <c r="Q56" i="33"/>
  <c r="R56" i="33"/>
  <c r="T56" i="33"/>
  <c r="U56" i="33"/>
  <c r="W56" i="33"/>
  <c r="X56" i="33"/>
  <c r="Z56" i="33"/>
  <c r="AA56" i="33"/>
  <c r="AC56" i="33"/>
  <c r="BH56" i="33"/>
  <c r="B57" i="33"/>
  <c r="H57" i="33"/>
  <c r="AK57" i="33" s="1"/>
  <c r="L57" i="33"/>
  <c r="N57" i="33"/>
  <c r="O57" i="33"/>
  <c r="Q57" i="33"/>
  <c r="R57" i="33"/>
  <c r="T57" i="33"/>
  <c r="U57" i="33"/>
  <c r="W57" i="33"/>
  <c r="X57" i="33"/>
  <c r="Z57" i="33"/>
  <c r="AA57" i="33"/>
  <c r="AC57" i="33"/>
  <c r="BH57" i="33"/>
  <c r="B58" i="33"/>
  <c r="H58" i="33"/>
  <c r="AF58" i="33" s="1"/>
  <c r="L58" i="33"/>
  <c r="N58" i="33"/>
  <c r="O58" i="33"/>
  <c r="Q58" i="33"/>
  <c r="R58" i="33"/>
  <c r="T58" i="33"/>
  <c r="U58" i="33"/>
  <c r="W58" i="33"/>
  <c r="X58" i="33"/>
  <c r="Z58" i="33"/>
  <c r="AA58" i="33"/>
  <c r="AC58" i="33"/>
  <c r="BH58" i="33"/>
  <c r="B59" i="33"/>
  <c r="H59" i="33"/>
  <c r="AK59" i="33" s="1"/>
  <c r="L59" i="33"/>
  <c r="N59" i="33"/>
  <c r="O59" i="33"/>
  <c r="Q59" i="33"/>
  <c r="R59" i="33"/>
  <c r="T59" i="33"/>
  <c r="U59" i="33"/>
  <c r="W59" i="33"/>
  <c r="X59" i="33"/>
  <c r="Z59" i="33"/>
  <c r="AA59" i="33"/>
  <c r="AC59" i="33"/>
  <c r="BH59" i="33"/>
  <c r="B60" i="33"/>
  <c r="H60" i="33"/>
  <c r="I60" i="33" s="1"/>
  <c r="L60" i="33"/>
  <c r="N60" i="33"/>
  <c r="O60" i="33"/>
  <c r="Q60" i="33"/>
  <c r="R60" i="33"/>
  <c r="T60" i="33"/>
  <c r="U60" i="33"/>
  <c r="W60" i="33"/>
  <c r="X60" i="33"/>
  <c r="Z60" i="33"/>
  <c r="AA60" i="33"/>
  <c r="AC60" i="33"/>
  <c r="BH60" i="33"/>
  <c r="B61" i="33"/>
  <c r="H61" i="33"/>
  <c r="AK61" i="33" s="1"/>
  <c r="L61" i="33"/>
  <c r="N61" i="33"/>
  <c r="O61" i="33"/>
  <c r="Q61" i="33"/>
  <c r="R61" i="33"/>
  <c r="T61" i="33"/>
  <c r="U61" i="33"/>
  <c r="W61" i="33"/>
  <c r="X61" i="33"/>
  <c r="Z61" i="33"/>
  <c r="AA61" i="33"/>
  <c r="AC61" i="33"/>
  <c r="BH61" i="33"/>
  <c r="B62" i="33"/>
  <c r="H62" i="33"/>
  <c r="I62" i="33" s="1"/>
  <c r="L62" i="33"/>
  <c r="N62" i="33"/>
  <c r="O62" i="33"/>
  <c r="Q62" i="33"/>
  <c r="R62" i="33"/>
  <c r="T62" i="33"/>
  <c r="U62" i="33"/>
  <c r="W62" i="33"/>
  <c r="X62" i="33"/>
  <c r="Z62" i="33"/>
  <c r="AA62" i="33"/>
  <c r="AC62" i="33"/>
  <c r="BH62" i="33"/>
  <c r="B63" i="33"/>
  <c r="H63" i="33"/>
  <c r="AF63" i="33" s="1"/>
  <c r="L63" i="33"/>
  <c r="N63" i="33"/>
  <c r="O63" i="33"/>
  <c r="Q63" i="33"/>
  <c r="R63" i="33"/>
  <c r="T63" i="33"/>
  <c r="U63" i="33"/>
  <c r="W63" i="33"/>
  <c r="X63" i="33"/>
  <c r="Z63" i="33"/>
  <c r="AA63" i="33"/>
  <c r="AC63" i="33"/>
  <c r="AH63" i="33"/>
  <c r="AH64" i="33"/>
  <c r="AH65" i="33"/>
  <c r="AH66" i="33"/>
  <c r="AH67" i="33"/>
  <c r="AH68" i="33"/>
  <c r="AH69" i="33"/>
  <c r="AH70" i="33"/>
  <c r="AH71" i="33"/>
  <c r="AH72" i="33"/>
  <c r="AH73" i="33"/>
  <c r="AH74" i="33"/>
  <c r="AH75" i="33"/>
  <c r="AH76" i="33"/>
  <c r="AH77" i="33"/>
  <c r="AH78" i="33"/>
  <c r="AH79" i="33"/>
  <c r="AH80" i="33"/>
  <c r="AH81" i="33"/>
  <c r="AH82" i="33"/>
  <c r="AH83" i="33"/>
  <c r="AH84" i="33"/>
  <c r="AH85" i="33"/>
  <c r="AH86" i="33"/>
  <c r="AH87" i="33"/>
  <c r="AM63" i="33"/>
  <c r="B64" i="33"/>
  <c r="H64" i="33"/>
  <c r="AZ64" i="33" s="1"/>
  <c r="L64" i="33"/>
  <c r="N64" i="33"/>
  <c r="O64" i="33"/>
  <c r="Q64" i="33"/>
  <c r="R64" i="33"/>
  <c r="T64" i="33"/>
  <c r="U64" i="33"/>
  <c r="W64" i="33"/>
  <c r="X64" i="33"/>
  <c r="Z64" i="33"/>
  <c r="AA64" i="33"/>
  <c r="AC64" i="33"/>
  <c r="B65" i="33"/>
  <c r="H65" i="33"/>
  <c r="AF65" i="33" s="1"/>
  <c r="L65" i="33"/>
  <c r="N65" i="33"/>
  <c r="O65" i="33"/>
  <c r="Q65" i="33"/>
  <c r="R65" i="33"/>
  <c r="T65" i="33"/>
  <c r="U65" i="33"/>
  <c r="W65" i="33"/>
  <c r="X65" i="33"/>
  <c r="Z65" i="33"/>
  <c r="AA65" i="33"/>
  <c r="AC65" i="33"/>
  <c r="B66" i="33"/>
  <c r="H66" i="33"/>
  <c r="AZ66" i="33" s="1"/>
  <c r="L66" i="33"/>
  <c r="N66" i="33"/>
  <c r="O66" i="33"/>
  <c r="Q66" i="33"/>
  <c r="R66" i="33"/>
  <c r="T66" i="33"/>
  <c r="U66" i="33"/>
  <c r="W66" i="33"/>
  <c r="X66" i="33"/>
  <c r="Z66" i="33"/>
  <c r="AA66" i="33"/>
  <c r="AC66" i="33"/>
  <c r="B67" i="33"/>
  <c r="H67" i="33"/>
  <c r="AP67" i="33" s="1"/>
  <c r="L67" i="33"/>
  <c r="N67" i="33"/>
  <c r="O67" i="33"/>
  <c r="Q67" i="33"/>
  <c r="R67" i="33"/>
  <c r="T67" i="33"/>
  <c r="U67" i="33"/>
  <c r="W67" i="33"/>
  <c r="X67" i="33"/>
  <c r="Z67" i="33"/>
  <c r="AA67" i="33"/>
  <c r="AC67" i="33"/>
  <c r="B68" i="33"/>
  <c r="H68" i="33"/>
  <c r="AZ68" i="33" s="1"/>
  <c r="L68" i="33"/>
  <c r="N68" i="33"/>
  <c r="O68" i="33"/>
  <c r="Q68" i="33"/>
  <c r="R68" i="33"/>
  <c r="T68" i="33"/>
  <c r="U68" i="33"/>
  <c r="W68" i="33"/>
  <c r="X68" i="33"/>
  <c r="Z68" i="33"/>
  <c r="AA68" i="33"/>
  <c r="AC68" i="33"/>
  <c r="B69" i="33"/>
  <c r="H69" i="33"/>
  <c r="AK69" i="33" s="1"/>
  <c r="L69" i="33"/>
  <c r="N69" i="33"/>
  <c r="O69" i="33"/>
  <c r="Q69" i="33"/>
  <c r="R69" i="33"/>
  <c r="T69" i="33"/>
  <c r="U69" i="33"/>
  <c r="W69" i="33"/>
  <c r="X69" i="33"/>
  <c r="Z69" i="33"/>
  <c r="AA69" i="33"/>
  <c r="AC69" i="33"/>
  <c r="B70" i="33"/>
  <c r="H70" i="33"/>
  <c r="AZ70" i="33" s="1"/>
  <c r="L70" i="33"/>
  <c r="N70" i="33"/>
  <c r="O70" i="33"/>
  <c r="Q70" i="33"/>
  <c r="R70" i="33"/>
  <c r="T70" i="33"/>
  <c r="U70" i="33"/>
  <c r="W70" i="33"/>
  <c r="X70" i="33"/>
  <c r="Z70" i="33"/>
  <c r="AA70" i="33"/>
  <c r="AC70" i="33"/>
  <c r="B71" i="33"/>
  <c r="H71" i="33"/>
  <c r="AZ71" i="33" s="1"/>
  <c r="L71" i="33"/>
  <c r="N71" i="33"/>
  <c r="O71" i="33"/>
  <c r="Q71" i="33"/>
  <c r="R71" i="33"/>
  <c r="T71" i="33"/>
  <c r="U71" i="33"/>
  <c r="W71" i="33"/>
  <c r="X71" i="33"/>
  <c r="Z71" i="33"/>
  <c r="AA71" i="33"/>
  <c r="AC71" i="33"/>
  <c r="B72" i="33"/>
  <c r="H72" i="33"/>
  <c r="L72" i="33"/>
  <c r="N72" i="33"/>
  <c r="O72" i="33"/>
  <c r="Q72" i="33"/>
  <c r="R72" i="33"/>
  <c r="T72" i="33"/>
  <c r="U72" i="33"/>
  <c r="W72" i="33"/>
  <c r="X72" i="33"/>
  <c r="Z72" i="33"/>
  <c r="AA72" i="33"/>
  <c r="AC72" i="33"/>
  <c r="B73" i="33"/>
  <c r="H73" i="33"/>
  <c r="AZ73" i="33" s="1"/>
  <c r="L73" i="33"/>
  <c r="N73" i="33"/>
  <c r="O73" i="33"/>
  <c r="Q73" i="33"/>
  <c r="R73" i="33"/>
  <c r="T73" i="33"/>
  <c r="U73" i="33"/>
  <c r="W73" i="33"/>
  <c r="X73" i="33"/>
  <c r="Z73" i="33"/>
  <c r="AA73" i="33"/>
  <c r="AC73" i="33"/>
  <c r="B74" i="33"/>
  <c r="H74" i="33"/>
  <c r="AF74" i="33" s="1"/>
  <c r="L74" i="33"/>
  <c r="N74" i="33"/>
  <c r="O74" i="33"/>
  <c r="Q74" i="33"/>
  <c r="R74" i="33"/>
  <c r="T74" i="33"/>
  <c r="U74" i="33"/>
  <c r="W74" i="33"/>
  <c r="X74" i="33"/>
  <c r="Z74" i="33"/>
  <c r="AA74" i="33"/>
  <c r="AC74" i="33"/>
  <c r="B75" i="33"/>
  <c r="H75" i="33"/>
  <c r="BE75" i="33" s="1"/>
  <c r="L75" i="33"/>
  <c r="N75" i="33"/>
  <c r="O75" i="33"/>
  <c r="Q75" i="33"/>
  <c r="R75" i="33"/>
  <c r="T75" i="33"/>
  <c r="U75" i="33"/>
  <c r="W75" i="33"/>
  <c r="X75" i="33"/>
  <c r="Z75" i="33"/>
  <c r="AA75" i="33"/>
  <c r="AC75" i="33"/>
  <c r="B76" i="33"/>
  <c r="H76" i="33"/>
  <c r="I76" i="33" s="1"/>
  <c r="L76" i="33"/>
  <c r="N76" i="33"/>
  <c r="O76" i="33"/>
  <c r="Q76" i="33"/>
  <c r="R76" i="33"/>
  <c r="T76" i="33"/>
  <c r="U76" i="33"/>
  <c r="W76" i="33"/>
  <c r="X76" i="33"/>
  <c r="Z76" i="33"/>
  <c r="AA76" i="33"/>
  <c r="AC76" i="33"/>
  <c r="B77" i="33"/>
  <c r="H77" i="33"/>
  <c r="I77" i="33" s="1"/>
  <c r="L77" i="33"/>
  <c r="N77" i="33"/>
  <c r="O77" i="33"/>
  <c r="Q77" i="33"/>
  <c r="R77" i="33"/>
  <c r="T77" i="33"/>
  <c r="U77" i="33"/>
  <c r="W77" i="33"/>
  <c r="X77" i="33"/>
  <c r="Z77" i="33"/>
  <c r="AA77" i="33"/>
  <c r="AC77" i="33"/>
  <c r="B78" i="33"/>
  <c r="H78" i="33"/>
  <c r="I78" i="33" s="1"/>
  <c r="L78" i="33"/>
  <c r="N78" i="33"/>
  <c r="O78" i="33"/>
  <c r="Q78" i="33"/>
  <c r="R78" i="33"/>
  <c r="T78" i="33"/>
  <c r="U78" i="33"/>
  <c r="W78" i="33"/>
  <c r="X78" i="33"/>
  <c r="Z78" i="33"/>
  <c r="AA78" i="33"/>
  <c r="AC78" i="33"/>
  <c r="B79" i="33"/>
  <c r="H79" i="33"/>
  <c r="AK79" i="33" s="1"/>
  <c r="L79" i="33"/>
  <c r="N79" i="33"/>
  <c r="O79" i="33"/>
  <c r="Q79" i="33"/>
  <c r="R79" i="33"/>
  <c r="T79" i="33"/>
  <c r="U79" i="33"/>
  <c r="W79" i="33"/>
  <c r="X79" i="33"/>
  <c r="Z79" i="33"/>
  <c r="AA79" i="33"/>
  <c r="AC79" i="33"/>
  <c r="B80" i="33"/>
  <c r="H80" i="33"/>
  <c r="I80" i="33" s="1"/>
  <c r="L80" i="33"/>
  <c r="N80" i="33"/>
  <c r="O80" i="33"/>
  <c r="Q80" i="33"/>
  <c r="R80" i="33"/>
  <c r="T80" i="33"/>
  <c r="U80" i="33"/>
  <c r="W80" i="33"/>
  <c r="X80" i="33"/>
  <c r="Z80" i="33"/>
  <c r="AA80" i="33"/>
  <c r="AC80" i="33"/>
  <c r="B81" i="33"/>
  <c r="H81" i="33"/>
  <c r="AF81" i="33" s="1"/>
  <c r="L81" i="33"/>
  <c r="N81" i="33"/>
  <c r="O81" i="33"/>
  <c r="Q81" i="33"/>
  <c r="R81" i="33"/>
  <c r="T81" i="33"/>
  <c r="U81" i="33"/>
  <c r="W81" i="33"/>
  <c r="X81" i="33"/>
  <c r="Z81" i="33"/>
  <c r="AA81" i="33"/>
  <c r="AC81" i="33"/>
  <c r="B82" i="33"/>
  <c r="H82" i="33"/>
  <c r="AF82" i="33" s="1"/>
  <c r="L82" i="33"/>
  <c r="N82" i="33"/>
  <c r="O82" i="33"/>
  <c r="Q82" i="33"/>
  <c r="R82" i="33"/>
  <c r="T82" i="33"/>
  <c r="U82" i="33"/>
  <c r="W82" i="33"/>
  <c r="X82" i="33"/>
  <c r="Z82" i="33"/>
  <c r="AA82" i="33"/>
  <c r="AC82" i="33"/>
  <c r="B83" i="33"/>
  <c r="H83" i="33"/>
  <c r="AK83" i="33" s="1"/>
  <c r="L83" i="33"/>
  <c r="N83" i="33"/>
  <c r="O83" i="33"/>
  <c r="Q83" i="33"/>
  <c r="R83" i="33"/>
  <c r="T83" i="33"/>
  <c r="U83" i="33"/>
  <c r="W83" i="33"/>
  <c r="X83" i="33"/>
  <c r="Z83" i="33"/>
  <c r="AA83" i="33"/>
  <c r="AC83" i="33"/>
  <c r="B84" i="33"/>
  <c r="H84" i="33"/>
  <c r="AZ84" i="33" s="1"/>
  <c r="L84" i="33"/>
  <c r="N84" i="33"/>
  <c r="O84" i="33"/>
  <c r="Q84" i="33"/>
  <c r="R84" i="33"/>
  <c r="T84" i="33"/>
  <c r="U84" i="33"/>
  <c r="W84" i="33"/>
  <c r="X84" i="33"/>
  <c r="Z84" i="33"/>
  <c r="AA84" i="33"/>
  <c r="AC84" i="33"/>
  <c r="B85" i="33"/>
  <c r="H85" i="33"/>
  <c r="AU85" i="33" s="1"/>
  <c r="L85" i="33"/>
  <c r="N85" i="33"/>
  <c r="O85" i="33"/>
  <c r="Q85" i="33"/>
  <c r="R85" i="33"/>
  <c r="T85" i="33"/>
  <c r="U85" i="33"/>
  <c r="W85" i="33"/>
  <c r="X85" i="33"/>
  <c r="Z85" i="33"/>
  <c r="AA85" i="33"/>
  <c r="AC85" i="33"/>
  <c r="B86" i="33"/>
  <c r="H86" i="33"/>
  <c r="AF86" i="33" s="1"/>
  <c r="L86" i="33"/>
  <c r="N86" i="33"/>
  <c r="O86" i="33"/>
  <c r="Q86" i="33"/>
  <c r="R86" i="33"/>
  <c r="T86" i="33"/>
  <c r="U86" i="33"/>
  <c r="W86" i="33"/>
  <c r="X86" i="33"/>
  <c r="Z86" i="33"/>
  <c r="AA86" i="33"/>
  <c r="AC86" i="33"/>
  <c r="B87" i="33"/>
  <c r="H87" i="33"/>
  <c r="AP87" i="33" s="1"/>
  <c r="L87" i="33"/>
  <c r="N87" i="33"/>
  <c r="O87" i="33"/>
  <c r="Q87" i="33"/>
  <c r="R87" i="33"/>
  <c r="T87" i="33"/>
  <c r="U87" i="33"/>
  <c r="W87" i="33"/>
  <c r="X87" i="33"/>
  <c r="Z87" i="33"/>
  <c r="AA87" i="33"/>
  <c r="AC87" i="33"/>
  <c r="B88" i="33"/>
  <c r="H88" i="33"/>
  <c r="I88" i="33" s="1"/>
  <c r="L88" i="33"/>
  <c r="N88" i="33"/>
  <c r="O88" i="33"/>
  <c r="Q88" i="33"/>
  <c r="R88" i="33"/>
  <c r="T88" i="33"/>
  <c r="U88" i="33"/>
  <c r="W88" i="33"/>
  <c r="X88" i="33"/>
  <c r="Z88" i="33"/>
  <c r="AA88" i="33"/>
  <c r="AC88" i="33"/>
  <c r="BH88" i="33"/>
  <c r="B89" i="33"/>
  <c r="H89" i="33"/>
  <c r="AK89" i="33" s="1"/>
  <c r="L89" i="33"/>
  <c r="N89" i="33"/>
  <c r="O89" i="33"/>
  <c r="Q89" i="33"/>
  <c r="R89" i="33"/>
  <c r="T89" i="33"/>
  <c r="U89" i="33"/>
  <c r="W89" i="33"/>
  <c r="X89" i="33"/>
  <c r="Z89" i="33"/>
  <c r="AA89" i="33"/>
  <c r="AC89" i="33"/>
  <c r="BH89" i="33"/>
  <c r="B90" i="33"/>
  <c r="H90" i="33"/>
  <c r="AF90" i="33" s="1"/>
  <c r="L90" i="33"/>
  <c r="N90" i="33"/>
  <c r="O90" i="33"/>
  <c r="Q90" i="33"/>
  <c r="R90" i="33"/>
  <c r="T90" i="33"/>
  <c r="U90" i="33"/>
  <c r="W90" i="33"/>
  <c r="X90" i="33"/>
  <c r="Z90" i="33"/>
  <c r="AA90" i="33"/>
  <c r="AC90" i="33"/>
  <c r="BH90" i="33"/>
  <c r="B91" i="33"/>
  <c r="H91" i="33"/>
  <c r="AP91" i="33" s="1"/>
  <c r="L91" i="33"/>
  <c r="N91" i="33"/>
  <c r="O91" i="33"/>
  <c r="Q91" i="33"/>
  <c r="R91" i="33"/>
  <c r="T91" i="33"/>
  <c r="U91" i="33"/>
  <c r="W91" i="33"/>
  <c r="X91" i="33"/>
  <c r="Z91" i="33"/>
  <c r="AA91" i="33"/>
  <c r="AC91" i="33"/>
  <c r="BH91" i="33"/>
  <c r="B92" i="33"/>
  <c r="H92" i="33"/>
  <c r="AP92" i="33" s="1"/>
  <c r="L92" i="33"/>
  <c r="N92" i="33"/>
  <c r="O92" i="33"/>
  <c r="Q92" i="33"/>
  <c r="R92" i="33"/>
  <c r="T92" i="33"/>
  <c r="U92" i="33"/>
  <c r="W92" i="33"/>
  <c r="X92" i="33"/>
  <c r="Z92" i="33"/>
  <c r="AA92" i="33"/>
  <c r="AC92" i="33"/>
  <c r="BH92" i="33"/>
  <c r="B93" i="33"/>
  <c r="H93" i="33"/>
  <c r="AK93" i="33" s="1"/>
  <c r="L93" i="33"/>
  <c r="N93" i="33"/>
  <c r="O93" i="33"/>
  <c r="Q93" i="33"/>
  <c r="R93" i="33"/>
  <c r="T93" i="33"/>
  <c r="U93" i="33"/>
  <c r="W93" i="33"/>
  <c r="X93" i="33"/>
  <c r="Z93" i="33"/>
  <c r="AA93" i="33"/>
  <c r="AC93" i="33"/>
  <c r="BH93" i="33"/>
  <c r="B94" i="33"/>
  <c r="H94" i="33"/>
  <c r="AP94" i="33" s="1"/>
  <c r="L94" i="33"/>
  <c r="N94" i="33"/>
  <c r="O94" i="33"/>
  <c r="Q94" i="33"/>
  <c r="R94" i="33"/>
  <c r="T94" i="33"/>
  <c r="U94" i="33"/>
  <c r="W94" i="33"/>
  <c r="X94" i="33"/>
  <c r="Z94" i="33"/>
  <c r="AA94" i="33"/>
  <c r="AC94" i="33"/>
  <c r="BH94" i="33"/>
  <c r="B95" i="33"/>
  <c r="H95" i="33"/>
  <c r="AK95" i="33" s="1"/>
  <c r="L95" i="33"/>
  <c r="N95" i="33"/>
  <c r="O95" i="33"/>
  <c r="Q95" i="33"/>
  <c r="R95" i="33"/>
  <c r="T95" i="33"/>
  <c r="U95" i="33"/>
  <c r="W95" i="33"/>
  <c r="X95" i="33"/>
  <c r="Z95" i="33"/>
  <c r="AA95" i="33"/>
  <c r="AC95" i="33"/>
  <c r="BH95" i="33"/>
  <c r="B96" i="33"/>
  <c r="H96" i="33"/>
  <c r="I96" i="33" s="1"/>
  <c r="L96" i="33"/>
  <c r="N96" i="33"/>
  <c r="O96" i="33"/>
  <c r="Q96" i="33"/>
  <c r="R96" i="33"/>
  <c r="T96" i="33"/>
  <c r="U96" i="33"/>
  <c r="W96" i="33"/>
  <c r="X96" i="33"/>
  <c r="Z96" i="33"/>
  <c r="AA96" i="33"/>
  <c r="AC96" i="33"/>
  <c r="BH96" i="33"/>
  <c r="B97" i="33"/>
  <c r="H97" i="33"/>
  <c r="L97" i="33"/>
  <c r="N97" i="33"/>
  <c r="O97" i="33"/>
  <c r="Q97" i="33"/>
  <c r="R97" i="33"/>
  <c r="T97" i="33"/>
  <c r="U97" i="33"/>
  <c r="W97" i="33"/>
  <c r="X97" i="33"/>
  <c r="Z97" i="33"/>
  <c r="AA97" i="33"/>
  <c r="AC97" i="33"/>
  <c r="BH97" i="33"/>
  <c r="B98" i="33"/>
  <c r="H98" i="33"/>
  <c r="AP98" i="33" s="1"/>
  <c r="L98" i="33"/>
  <c r="N98" i="33"/>
  <c r="O98" i="33"/>
  <c r="Q98" i="33"/>
  <c r="R98" i="33"/>
  <c r="T98" i="33"/>
  <c r="U98" i="33"/>
  <c r="W98" i="33"/>
  <c r="X98" i="33"/>
  <c r="Z98" i="33"/>
  <c r="AA98" i="33"/>
  <c r="AC98" i="33"/>
  <c r="BH98" i="33"/>
  <c r="B99" i="33"/>
  <c r="H99" i="33"/>
  <c r="BE99" i="33" s="1"/>
  <c r="L99" i="33"/>
  <c r="N99" i="33"/>
  <c r="O99" i="33"/>
  <c r="Q99" i="33"/>
  <c r="R99" i="33"/>
  <c r="T99" i="33"/>
  <c r="U99" i="33"/>
  <c r="W99" i="33"/>
  <c r="X99" i="33"/>
  <c r="Z99" i="33"/>
  <c r="AA99" i="33"/>
  <c r="AC99" i="33"/>
  <c r="BH99" i="33"/>
  <c r="B100" i="33"/>
  <c r="H100" i="33"/>
  <c r="BE100" i="33" s="1"/>
  <c r="L100" i="33"/>
  <c r="N100" i="33"/>
  <c r="O100" i="33"/>
  <c r="Q100" i="33"/>
  <c r="R100" i="33"/>
  <c r="T100" i="33"/>
  <c r="U100" i="33"/>
  <c r="W100" i="33"/>
  <c r="X100" i="33"/>
  <c r="Z100" i="33"/>
  <c r="AA100" i="33"/>
  <c r="AC100" i="33"/>
  <c r="BH100" i="33"/>
  <c r="B101" i="33"/>
  <c r="H101" i="33"/>
  <c r="AZ101" i="33" s="1"/>
  <c r="L101" i="33"/>
  <c r="N101" i="33"/>
  <c r="O101" i="33"/>
  <c r="Q101" i="33"/>
  <c r="R101" i="33"/>
  <c r="T101" i="33"/>
  <c r="U101" i="33"/>
  <c r="W101" i="33"/>
  <c r="X101" i="33"/>
  <c r="Z101" i="33"/>
  <c r="AA101" i="33"/>
  <c r="AC101" i="33"/>
  <c r="BH101" i="33"/>
  <c r="B102" i="33"/>
  <c r="H102" i="33"/>
  <c r="L102" i="33"/>
  <c r="N102" i="33"/>
  <c r="O102" i="33"/>
  <c r="Q102" i="33"/>
  <c r="R102" i="33"/>
  <c r="T102" i="33"/>
  <c r="U102" i="33"/>
  <c r="W102" i="33"/>
  <c r="X102" i="33"/>
  <c r="Z102" i="33"/>
  <c r="AA102" i="33"/>
  <c r="AC102" i="33"/>
  <c r="BH102" i="33"/>
  <c r="B103" i="33"/>
  <c r="H103" i="33"/>
  <c r="I103" i="33" s="1"/>
  <c r="L103" i="33"/>
  <c r="N103" i="33"/>
  <c r="O103" i="33"/>
  <c r="Q103" i="33"/>
  <c r="R103" i="33"/>
  <c r="T103" i="33"/>
  <c r="U103" i="33"/>
  <c r="W103" i="33"/>
  <c r="X103" i="33"/>
  <c r="Z103" i="33"/>
  <c r="AA103" i="33"/>
  <c r="AC103" i="33"/>
  <c r="BH103" i="33"/>
  <c r="B104" i="33"/>
  <c r="H104" i="33"/>
  <c r="AP104" i="33" s="1"/>
  <c r="L104" i="33"/>
  <c r="N104" i="33"/>
  <c r="O104" i="33"/>
  <c r="Q104" i="33"/>
  <c r="R104" i="33"/>
  <c r="T104" i="33"/>
  <c r="U104" i="33"/>
  <c r="W104" i="33"/>
  <c r="X104" i="33"/>
  <c r="Z104" i="33"/>
  <c r="AA104" i="33"/>
  <c r="AC104" i="33"/>
  <c r="BH104" i="33"/>
  <c r="B105" i="33"/>
  <c r="H105" i="33"/>
  <c r="AK105" i="33" s="1"/>
  <c r="L105" i="33"/>
  <c r="N105" i="33"/>
  <c r="O105" i="33"/>
  <c r="Q105" i="33"/>
  <c r="R105" i="33"/>
  <c r="T105" i="33"/>
  <c r="U105" i="33"/>
  <c r="W105" i="33"/>
  <c r="X105" i="33"/>
  <c r="Z105" i="33"/>
  <c r="AA105" i="33"/>
  <c r="AC105" i="33"/>
  <c r="BH105" i="33"/>
  <c r="B106" i="33"/>
  <c r="H106" i="33"/>
  <c r="AF106" i="33" s="1"/>
  <c r="L106" i="33"/>
  <c r="N106" i="33"/>
  <c r="O106" i="33"/>
  <c r="Q106" i="33"/>
  <c r="R106" i="33"/>
  <c r="T106" i="33"/>
  <c r="U106" i="33"/>
  <c r="W106" i="33"/>
  <c r="X106" i="33"/>
  <c r="Z106" i="33"/>
  <c r="AA106" i="33"/>
  <c r="AC106" i="33"/>
  <c r="BH106" i="33"/>
  <c r="B107" i="33"/>
  <c r="H107" i="33"/>
  <c r="AK107" i="33" s="1"/>
  <c r="L107" i="33"/>
  <c r="N107" i="33"/>
  <c r="O107" i="33"/>
  <c r="Q107" i="33"/>
  <c r="R107" i="33"/>
  <c r="T107" i="33"/>
  <c r="U107" i="33"/>
  <c r="W107" i="33"/>
  <c r="X107" i="33"/>
  <c r="Z107" i="33"/>
  <c r="AA107" i="33"/>
  <c r="AC107" i="33"/>
  <c r="BH107" i="33"/>
  <c r="B108" i="33"/>
  <c r="H108" i="33"/>
  <c r="L108" i="33"/>
  <c r="N108" i="33"/>
  <c r="O108" i="33"/>
  <c r="Q108" i="33"/>
  <c r="R108" i="33"/>
  <c r="T108" i="33"/>
  <c r="U108" i="33"/>
  <c r="W108" i="33"/>
  <c r="X108" i="33"/>
  <c r="Z108" i="33"/>
  <c r="AA108" i="33"/>
  <c r="AC108" i="33"/>
  <c r="BH108" i="33"/>
  <c r="B109" i="33"/>
  <c r="H109" i="33"/>
  <c r="AF109" i="33" s="1"/>
  <c r="L109" i="33"/>
  <c r="N109" i="33"/>
  <c r="O109" i="33"/>
  <c r="Q109" i="33"/>
  <c r="R109" i="33"/>
  <c r="T109" i="33"/>
  <c r="U109" i="33"/>
  <c r="W109" i="33"/>
  <c r="X109" i="33"/>
  <c r="Z109" i="33"/>
  <c r="AA109" i="33"/>
  <c r="AC109" i="33"/>
  <c r="BH109" i="33"/>
  <c r="B110" i="33"/>
  <c r="H110" i="33"/>
  <c r="L110" i="33"/>
  <c r="N110" i="33"/>
  <c r="O110" i="33"/>
  <c r="Q110" i="33"/>
  <c r="R110" i="33"/>
  <c r="T110" i="33"/>
  <c r="U110" i="33"/>
  <c r="W110" i="33"/>
  <c r="X110" i="33"/>
  <c r="Z110" i="33"/>
  <c r="AA110" i="33"/>
  <c r="AC110" i="33"/>
  <c r="BH110" i="33"/>
  <c r="B111" i="33"/>
  <c r="H111" i="33"/>
  <c r="I111" i="33" s="1"/>
  <c r="L111" i="33"/>
  <c r="N111" i="33"/>
  <c r="O111" i="33"/>
  <c r="Q111" i="33"/>
  <c r="R111" i="33"/>
  <c r="T111" i="33"/>
  <c r="U111" i="33"/>
  <c r="W111" i="33"/>
  <c r="X111" i="33"/>
  <c r="Z111" i="33"/>
  <c r="AA111" i="33"/>
  <c r="AC111" i="33"/>
  <c r="BH111" i="33"/>
  <c r="B112" i="33"/>
  <c r="H112" i="33"/>
  <c r="AK112" i="33" s="1"/>
  <c r="L112" i="33"/>
  <c r="N112" i="33"/>
  <c r="O112" i="33"/>
  <c r="Q112" i="33"/>
  <c r="R112" i="33"/>
  <c r="T112" i="33"/>
  <c r="U112" i="33"/>
  <c r="W112" i="33"/>
  <c r="X112" i="33"/>
  <c r="Z112" i="33"/>
  <c r="AA112" i="33"/>
  <c r="AC112" i="33"/>
  <c r="BH112" i="33"/>
  <c r="B113" i="33"/>
  <c r="H113" i="33"/>
  <c r="AP113" i="33" s="1"/>
  <c r="L113" i="33"/>
  <c r="N113" i="33"/>
  <c r="O113" i="33"/>
  <c r="Q113" i="33"/>
  <c r="R113" i="33"/>
  <c r="T113" i="33"/>
  <c r="U113" i="33"/>
  <c r="W113" i="33"/>
  <c r="X113" i="33"/>
  <c r="Z113" i="33"/>
  <c r="AA113" i="33"/>
  <c r="AC113" i="33"/>
  <c r="BH113" i="33"/>
  <c r="B114" i="33"/>
  <c r="H114" i="33"/>
  <c r="AF114" i="33" s="1"/>
  <c r="L114" i="33"/>
  <c r="N114" i="33"/>
  <c r="O114" i="33"/>
  <c r="Q114" i="33"/>
  <c r="R114" i="33"/>
  <c r="T114" i="33"/>
  <c r="U114" i="33"/>
  <c r="W114" i="33"/>
  <c r="X114" i="33"/>
  <c r="Z114" i="33"/>
  <c r="AA114" i="33"/>
  <c r="AC114" i="33"/>
  <c r="BH114" i="33"/>
  <c r="B115" i="33"/>
  <c r="H115" i="33"/>
  <c r="AU115" i="33" s="1"/>
  <c r="L115" i="33"/>
  <c r="N115" i="33"/>
  <c r="O115" i="33"/>
  <c r="Q115" i="33"/>
  <c r="R115" i="33"/>
  <c r="T115" i="33"/>
  <c r="U115" i="33"/>
  <c r="W115" i="33"/>
  <c r="X115" i="33"/>
  <c r="Z115" i="33"/>
  <c r="AA115" i="33"/>
  <c r="AC115" i="33"/>
  <c r="BH115" i="33"/>
  <c r="B116" i="33"/>
  <c r="H116" i="33"/>
  <c r="AZ116" i="33" s="1"/>
  <c r="L116" i="33"/>
  <c r="N116" i="33"/>
  <c r="O116" i="33"/>
  <c r="Q116" i="33"/>
  <c r="R116" i="33"/>
  <c r="T116" i="33"/>
  <c r="U116" i="33"/>
  <c r="W116" i="33"/>
  <c r="X116" i="33"/>
  <c r="Z116" i="33"/>
  <c r="AA116" i="33"/>
  <c r="AC116" i="33"/>
  <c r="BH116" i="33"/>
  <c r="B117" i="33"/>
  <c r="H117" i="33"/>
  <c r="BE117" i="33" s="1"/>
  <c r="L117" i="33"/>
  <c r="N117" i="33"/>
  <c r="O117" i="33"/>
  <c r="Q117" i="33"/>
  <c r="R117" i="33"/>
  <c r="T117" i="33"/>
  <c r="U117" i="33"/>
  <c r="W117" i="33"/>
  <c r="X117" i="33"/>
  <c r="Z117" i="33"/>
  <c r="AA117" i="33"/>
  <c r="AC117" i="33"/>
  <c r="BH117" i="33"/>
  <c r="B118" i="33"/>
  <c r="H118" i="33"/>
  <c r="L118" i="33"/>
  <c r="N118" i="33"/>
  <c r="O118" i="33"/>
  <c r="Q118" i="33"/>
  <c r="R118" i="33"/>
  <c r="T118" i="33"/>
  <c r="U118" i="33"/>
  <c r="W118" i="33"/>
  <c r="X118" i="33"/>
  <c r="Z118" i="33"/>
  <c r="AA118" i="33"/>
  <c r="AC118" i="33"/>
  <c r="BH118" i="33"/>
  <c r="B119" i="33"/>
  <c r="H119" i="33"/>
  <c r="I119" i="33" s="1"/>
  <c r="L119" i="33"/>
  <c r="N119" i="33"/>
  <c r="O119" i="33"/>
  <c r="Q119" i="33"/>
  <c r="R119" i="33"/>
  <c r="T119" i="33"/>
  <c r="U119" i="33"/>
  <c r="W119" i="33"/>
  <c r="X119" i="33"/>
  <c r="Z119" i="33"/>
  <c r="AA119" i="33"/>
  <c r="AC119" i="33"/>
  <c r="BH119" i="33"/>
  <c r="B120" i="33"/>
  <c r="H120" i="33"/>
  <c r="I120" i="33" s="1"/>
  <c r="L120" i="33"/>
  <c r="N120" i="33"/>
  <c r="O120" i="33"/>
  <c r="Q120" i="33"/>
  <c r="R120" i="33"/>
  <c r="T120" i="33"/>
  <c r="U120" i="33"/>
  <c r="W120" i="33"/>
  <c r="X120" i="33"/>
  <c r="Z120" i="33"/>
  <c r="AA120" i="33"/>
  <c r="AC120" i="33"/>
  <c r="BH120" i="33"/>
  <c r="B121" i="33"/>
  <c r="H121" i="33"/>
  <c r="L121" i="33"/>
  <c r="N121" i="33"/>
  <c r="O121" i="33"/>
  <c r="Q121" i="33"/>
  <c r="R121" i="33"/>
  <c r="T121" i="33"/>
  <c r="U121" i="33"/>
  <c r="W121" i="33"/>
  <c r="X121" i="33"/>
  <c r="Z121" i="33"/>
  <c r="AA121" i="33"/>
  <c r="AC121" i="33"/>
  <c r="BH121" i="33"/>
  <c r="B122" i="33"/>
  <c r="H122" i="33"/>
  <c r="AK122" i="33" s="1"/>
  <c r="L122" i="33"/>
  <c r="N122" i="33"/>
  <c r="O122" i="33"/>
  <c r="Q122" i="33"/>
  <c r="R122" i="33"/>
  <c r="T122" i="33"/>
  <c r="U122" i="33"/>
  <c r="W122" i="33"/>
  <c r="X122" i="33"/>
  <c r="Z122" i="33"/>
  <c r="AA122" i="33"/>
  <c r="AC122" i="33"/>
  <c r="BH122" i="33"/>
  <c r="B123" i="33"/>
  <c r="H123" i="33"/>
  <c r="AZ123" i="33" s="1"/>
  <c r="L123" i="33"/>
  <c r="N123" i="33"/>
  <c r="O123" i="33"/>
  <c r="Q123" i="33"/>
  <c r="R123" i="33"/>
  <c r="T123" i="33"/>
  <c r="U123" i="33"/>
  <c r="W123" i="33"/>
  <c r="X123" i="33"/>
  <c r="Z123" i="33"/>
  <c r="AA123" i="33"/>
  <c r="AC123" i="33"/>
  <c r="BH123" i="33"/>
  <c r="B124" i="33"/>
  <c r="H124" i="33"/>
  <c r="L124" i="33"/>
  <c r="N124" i="33"/>
  <c r="O124" i="33"/>
  <c r="Q124" i="33"/>
  <c r="R124" i="33"/>
  <c r="T124" i="33"/>
  <c r="U124" i="33"/>
  <c r="W124" i="33"/>
  <c r="X124" i="33"/>
  <c r="Z124" i="33"/>
  <c r="AA124" i="33"/>
  <c r="AC124" i="33"/>
  <c r="BH124" i="33"/>
  <c r="B125" i="33"/>
  <c r="H125" i="33"/>
  <c r="AF125" i="33" s="1"/>
  <c r="L125" i="33"/>
  <c r="N125" i="33"/>
  <c r="O125" i="33"/>
  <c r="Q125" i="33"/>
  <c r="R125" i="33"/>
  <c r="T125" i="33"/>
  <c r="U125" i="33"/>
  <c r="W125" i="33"/>
  <c r="X125" i="33"/>
  <c r="Z125" i="33"/>
  <c r="AA125" i="33"/>
  <c r="AC125" i="33"/>
  <c r="BH125" i="33"/>
  <c r="B126" i="33"/>
  <c r="H126" i="33"/>
  <c r="AZ126" i="33" s="1"/>
  <c r="L126" i="33"/>
  <c r="N126" i="33"/>
  <c r="O126" i="33"/>
  <c r="Q126" i="33"/>
  <c r="R126" i="33"/>
  <c r="T126" i="33"/>
  <c r="U126" i="33"/>
  <c r="W126" i="33"/>
  <c r="X126" i="33"/>
  <c r="Z126" i="33"/>
  <c r="AA126" i="33"/>
  <c r="AC126" i="33"/>
  <c r="BH126" i="33"/>
  <c r="B127" i="33"/>
  <c r="H127" i="33"/>
  <c r="AF127" i="33" s="1"/>
  <c r="L127" i="33"/>
  <c r="N127" i="33"/>
  <c r="O127" i="33"/>
  <c r="Q127" i="33"/>
  <c r="R127" i="33"/>
  <c r="T127" i="33"/>
  <c r="U127" i="33"/>
  <c r="W127" i="33"/>
  <c r="X127" i="33"/>
  <c r="Z127" i="33"/>
  <c r="AA127" i="33"/>
  <c r="AC127" i="33"/>
  <c r="BH127" i="33"/>
  <c r="B128" i="33"/>
  <c r="H128" i="33"/>
  <c r="I128" i="33" s="1"/>
  <c r="L128" i="33"/>
  <c r="N128" i="33"/>
  <c r="O128" i="33"/>
  <c r="Q128" i="33"/>
  <c r="R128" i="33"/>
  <c r="T128" i="33"/>
  <c r="U128" i="33"/>
  <c r="W128" i="33"/>
  <c r="X128" i="33"/>
  <c r="Z128" i="33"/>
  <c r="AA128" i="33"/>
  <c r="AC128" i="33"/>
  <c r="BH128" i="33"/>
  <c r="B129" i="33"/>
  <c r="H129" i="33"/>
  <c r="AP129" i="33" s="1"/>
  <c r="L129" i="33"/>
  <c r="N129" i="33"/>
  <c r="O129" i="33"/>
  <c r="Q129" i="33"/>
  <c r="R129" i="33"/>
  <c r="T129" i="33"/>
  <c r="U129" i="33"/>
  <c r="W129" i="33"/>
  <c r="X129" i="33"/>
  <c r="Z129" i="33"/>
  <c r="AA129" i="33"/>
  <c r="AC129" i="33"/>
  <c r="BH129" i="33"/>
  <c r="B130" i="33"/>
  <c r="H130" i="33"/>
  <c r="I130" i="33" s="1"/>
  <c r="L130" i="33"/>
  <c r="N130" i="33"/>
  <c r="O130" i="33"/>
  <c r="Q130" i="33"/>
  <c r="R130" i="33"/>
  <c r="T130" i="33"/>
  <c r="U130" i="33"/>
  <c r="W130" i="33"/>
  <c r="X130" i="33"/>
  <c r="Z130" i="33"/>
  <c r="AA130" i="33"/>
  <c r="AC130" i="33"/>
  <c r="BH130" i="33"/>
  <c r="B131" i="33"/>
  <c r="H131" i="33"/>
  <c r="AK131" i="33" s="1"/>
  <c r="L131" i="33"/>
  <c r="N131" i="33"/>
  <c r="O131" i="33"/>
  <c r="Q131" i="33"/>
  <c r="R131" i="33"/>
  <c r="T131" i="33"/>
  <c r="U131" i="33"/>
  <c r="W131" i="33"/>
  <c r="X131" i="33"/>
  <c r="Z131" i="33"/>
  <c r="AA131" i="33"/>
  <c r="AC131" i="33"/>
  <c r="BH131" i="33"/>
  <c r="B132" i="33"/>
  <c r="H132" i="33"/>
  <c r="L132" i="33"/>
  <c r="N132" i="33"/>
  <c r="O132" i="33"/>
  <c r="Q132" i="33"/>
  <c r="R132" i="33"/>
  <c r="T132" i="33"/>
  <c r="U132" i="33"/>
  <c r="W132" i="33"/>
  <c r="X132" i="33"/>
  <c r="Z132" i="33"/>
  <c r="AA132" i="33"/>
  <c r="AC132" i="33"/>
  <c r="BH132" i="33"/>
  <c r="B133" i="33"/>
  <c r="H133" i="33"/>
  <c r="AK133" i="33" s="1"/>
  <c r="L133" i="33"/>
  <c r="N133" i="33"/>
  <c r="O133" i="33"/>
  <c r="Q133" i="33"/>
  <c r="R133" i="33"/>
  <c r="T133" i="33"/>
  <c r="U133" i="33"/>
  <c r="W133" i="33"/>
  <c r="X133" i="33"/>
  <c r="Z133" i="33"/>
  <c r="AA133" i="33"/>
  <c r="AC133" i="33"/>
  <c r="BH133" i="33"/>
  <c r="B134" i="33"/>
  <c r="H134" i="33"/>
  <c r="AP134" i="33" s="1"/>
  <c r="L134" i="33"/>
  <c r="N134" i="33"/>
  <c r="O134" i="33"/>
  <c r="Q134" i="33"/>
  <c r="R134" i="33"/>
  <c r="T134" i="33"/>
  <c r="U134" i="33"/>
  <c r="W134" i="33"/>
  <c r="X134" i="33"/>
  <c r="Z134" i="33"/>
  <c r="AA134" i="33"/>
  <c r="AC134" i="33"/>
  <c r="BH134" i="33"/>
  <c r="B135" i="33"/>
  <c r="H135" i="33"/>
  <c r="AF135" i="33" s="1"/>
  <c r="L135" i="33"/>
  <c r="N135" i="33"/>
  <c r="O135" i="33"/>
  <c r="Q135" i="33"/>
  <c r="R135" i="33"/>
  <c r="T135" i="33"/>
  <c r="U135" i="33"/>
  <c r="W135" i="33"/>
  <c r="X135" i="33"/>
  <c r="Z135" i="33"/>
  <c r="AA135" i="33"/>
  <c r="AC135" i="33"/>
  <c r="BH135" i="33"/>
  <c r="B136" i="33"/>
  <c r="H136" i="33"/>
  <c r="AK136" i="33" s="1"/>
  <c r="L136" i="33"/>
  <c r="N136" i="33"/>
  <c r="O136" i="33"/>
  <c r="Q136" i="33"/>
  <c r="R136" i="33"/>
  <c r="T136" i="33"/>
  <c r="U136" i="33"/>
  <c r="W136" i="33"/>
  <c r="X136" i="33"/>
  <c r="Z136" i="33"/>
  <c r="AA136" i="33"/>
  <c r="AC136" i="33"/>
  <c r="BH136" i="33"/>
  <c r="B137" i="33"/>
  <c r="H137" i="33"/>
  <c r="AZ137" i="33" s="1"/>
  <c r="L137" i="33"/>
  <c r="N137" i="33"/>
  <c r="O137" i="33"/>
  <c r="Q137" i="33"/>
  <c r="R137" i="33"/>
  <c r="T137" i="33"/>
  <c r="U137" i="33"/>
  <c r="W137" i="33"/>
  <c r="X137" i="33"/>
  <c r="Z137" i="33"/>
  <c r="AA137" i="33"/>
  <c r="AC137" i="33"/>
  <c r="BH137" i="33"/>
  <c r="B138" i="33"/>
  <c r="H138" i="33"/>
  <c r="AF138" i="33" s="1"/>
  <c r="L138" i="33"/>
  <c r="N138" i="33"/>
  <c r="O138" i="33"/>
  <c r="Q138" i="33"/>
  <c r="R138" i="33"/>
  <c r="T138" i="33"/>
  <c r="U138" i="33"/>
  <c r="W138" i="33"/>
  <c r="X138" i="33"/>
  <c r="Z138" i="33"/>
  <c r="AA138" i="33"/>
  <c r="AC138" i="33"/>
  <c r="BH138" i="33"/>
  <c r="B139" i="33"/>
  <c r="H139" i="33"/>
  <c r="AF139" i="33" s="1"/>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AZ115" i="33"/>
  <c r="BE41" i="33"/>
  <c r="BH63" i="33"/>
  <c r="AM64" i="33"/>
  <c r="AM65" i="33"/>
  <c r="BH64" i="33"/>
  <c r="BH65" i="33"/>
  <c r="AM66" i="33"/>
  <c r="BH66" i="33"/>
  <c r="AM67" i="33"/>
  <c r="L3" i="22"/>
  <c r="AK4"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G41" i="2" s="1"/>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C3" i="2"/>
  <c r="AC2"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G16" i="33"/>
  <c r="G139" i="33"/>
  <c r="G140" i="33"/>
  <c r="G9" i="33"/>
  <c r="G10" i="33"/>
  <c r="G8" i="33"/>
  <c r="G7" i="33"/>
  <c r="G32" i="33"/>
  <c r="G63" i="33"/>
  <c r="G105" i="33"/>
  <c r="G115" i="33"/>
  <c r="G126" i="33"/>
  <c r="G134" i="33"/>
  <c r="G47" i="33"/>
  <c r="G15" i="33"/>
  <c r="G49" i="33"/>
  <c r="G57" i="33"/>
  <c r="G60" i="33"/>
  <c r="G66" i="33"/>
  <c r="G68" i="33"/>
  <c r="G85" i="33"/>
  <c r="G92" i="33"/>
  <c r="G97" i="33"/>
  <c r="G102" i="33"/>
  <c r="G118" i="33"/>
  <c r="G131" i="33"/>
  <c r="G70" i="33"/>
  <c r="G87" i="33"/>
  <c r="G107" i="33"/>
  <c r="G123" i="33"/>
  <c r="G12" i="33"/>
  <c r="G20" i="33"/>
  <c r="G29" i="33"/>
  <c r="G34" i="33"/>
  <c r="G37" i="33"/>
  <c r="G46" i="33"/>
  <c r="G54" i="33"/>
  <c r="G72" i="33"/>
  <c r="G112" i="33"/>
  <c r="G90" i="33"/>
  <c r="G151" i="33"/>
  <c r="G17" i="33"/>
  <c r="G23" i="33"/>
  <c r="G26" i="33"/>
  <c r="G40" i="33"/>
  <c r="G62" i="33"/>
  <c r="G74" i="33"/>
  <c r="G89" i="33"/>
  <c r="G94" i="33"/>
  <c r="G104" i="33"/>
  <c r="G128" i="33"/>
  <c r="G136" i="33"/>
  <c r="G4" i="33"/>
  <c r="G43" i="33"/>
  <c r="G51" i="33"/>
  <c r="G59" i="33"/>
  <c r="G76" i="33"/>
  <c r="G78" i="33"/>
  <c r="G99" i="33"/>
  <c r="G109" i="33"/>
  <c r="G114" i="33"/>
  <c r="G120" i="33"/>
  <c r="G100" i="33"/>
  <c r="G3" i="33"/>
  <c r="G19" i="33"/>
  <c r="G31" i="33"/>
  <c r="G80" i="33"/>
  <c r="G82" i="33"/>
  <c r="G84" i="33"/>
  <c r="G125" i="33"/>
  <c r="G133" i="33"/>
  <c r="G138" i="33"/>
  <c r="G106" i="33"/>
  <c r="G83" i="33"/>
  <c r="G150" i="33"/>
  <c r="G14" i="33"/>
  <c r="G25" i="33"/>
  <c r="G39" i="33"/>
  <c r="G45" i="33"/>
  <c r="G48" i="33"/>
  <c r="G53" i="33"/>
  <c r="G56" i="33"/>
  <c r="G65" i="33"/>
  <c r="G91" i="33"/>
  <c r="G96" i="33"/>
  <c r="G101" i="33"/>
  <c r="G111" i="33"/>
  <c r="G117" i="33"/>
  <c r="G130" i="33"/>
  <c r="G122" i="33"/>
  <c r="G127" i="33"/>
  <c r="G44" i="33"/>
  <c r="G11" i="33"/>
  <c r="G22" i="33"/>
  <c r="G28" i="33"/>
  <c r="G33" i="33"/>
  <c r="G36" i="33"/>
  <c r="G67" i="33"/>
  <c r="G86" i="33"/>
  <c r="G52" i="33"/>
  <c r="G110" i="33"/>
  <c r="G42" i="33"/>
  <c r="G58" i="33"/>
  <c r="G61" i="33"/>
  <c r="G69" i="33"/>
  <c r="G71" i="33"/>
  <c r="G73" i="33"/>
  <c r="G88" i="33"/>
  <c r="G93" i="33"/>
  <c r="G98" i="33"/>
  <c r="G103" i="33"/>
  <c r="G132" i="33"/>
  <c r="G30" i="33"/>
  <c r="G50" i="33"/>
  <c r="G55" i="33"/>
  <c r="G64" i="33"/>
  <c r="G108" i="33"/>
  <c r="G113" i="33"/>
  <c r="G116" i="33"/>
  <c r="G119" i="33"/>
  <c r="G135" i="33"/>
  <c r="G2" i="33"/>
  <c r="G13" i="33"/>
  <c r="G18" i="33"/>
  <c r="G24" i="33"/>
  <c r="G27" i="33"/>
  <c r="G38" i="33"/>
  <c r="G75" i="33"/>
  <c r="G77" i="33"/>
  <c r="G79" i="33"/>
  <c r="G124" i="33"/>
  <c r="G129" i="33"/>
  <c r="G149" i="33"/>
  <c r="G21" i="33"/>
  <c r="G35" i="33"/>
  <c r="G41" i="33"/>
  <c r="G81" i="33"/>
  <c r="G95" i="33"/>
  <c r="G121" i="33"/>
  <c r="G137" i="33"/>
  <c r="G5" i="33"/>
  <c r="G6" i="33"/>
  <c r="G142" i="33"/>
  <c r="G145" i="33"/>
  <c r="G148" i="33"/>
  <c r="G141" i="33"/>
  <c r="G144" i="33"/>
  <c r="G147" i="33"/>
  <c r="G143" i="33"/>
  <c r="G146" i="33"/>
  <c r="BH67" i="33"/>
  <c r="AM68" i="33"/>
  <c r="T6" i="1" a="1"/>
  <c r="T6" i="1"/>
  <c r="AM69" i="33"/>
  <c r="BH68" i="33"/>
  <c r="B1" i="27"/>
  <c r="BH69" i="33"/>
  <c r="AM70" i="33"/>
  <c r="F16" i="27"/>
  <c r="I16" i="27"/>
  <c r="J16" i="27"/>
  <c r="F17" i="27"/>
  <c r="G17" i="27"/>
  <c r="I17" i="27"/>
  <c r="J17" i="27"/>
  <c r="F18" i="27"/>
  <c r="I18" i="27"/>
  <c r="J18" i="27"/>
  <c r="C19" i="27"/>
  <c r="I28" i="27"/>
  <c r="F19" i="27"/>
  <c r="J19" i="27"/>
  <c r="F20" i="27"/>
  <c r="G20" i="27"/>
  <c r="J20" i="27"/>
  <c r="A21" i="27"/>
  <c r="C21" i="27"/>
  <c r="I30" i="27"/>
  <c r="F21" i="27"/>
  <c r="J21" i="27"/>
  <c r="B22" i="27"/>
  <c r="C16" i="27"/>
  <c r="F22" i="27"/>
  <c r="G19" i="27"/>
  <c r="C25" i="27"/>
  <c r="F25" i="27"/>
  <c r="G25" i="27"/>
  <c r="F26" i="27"/>
  <c r="G26" i="27"/>
  <c r="C27" i="27"/>
  <c r="F27" i="27"/>
  <c r="G27" i="27"/>
  <c r="C28" i="27"/>
  <c r="F28" i="27"/>
  <c r="G28" i="27"/>
  <c r="C29" i="27"/>
  <c r="F29" i="27"/>
  <c r="G29" i="27"/>
  <c r="A30" i="27"/>
  <c r="C30" i="27"/>
  <c r="F30" i="27"/>
  <c r="G30" i="27"/>
  <c r="G31" i="27"/>
  <c r="F35" i="27"/>
  <c r="C44" i="27"/>
  <c r="I35" i="27"/>
  <c r="J35" i="27"/>
  <c r="F36" i="27"/>
  <c r="G36" i="27"/>
  <c r="I36" i="27"/>
  <c r="J36" i="27"/>
  <c r="F37" i="27"/>
  <c r="C46" i="27"/>
  <c r="I37" i="27"/>
  <c r="F38" i="27"/>
  <c r="C47" i="27"/>
  <c r="J38" i="27"/>
  <c r="F39" i="27"/>
  <c r="J39" i="27"/>
  <c r="A40" i="27"/>
  <c r="A49" i="27"/>
  <c r="A63" i="27" s="1"/>
  <c r="F40" i="27"/>
  <c r="J40" i="27"/>
  <c r="B41" i="27"/>
  <c r="C36" i="27"/>
  <c r="F41" i="27"/>
  <c r="C54" i="27"/>
  <c r="F44" i="27"/>
  <c r="G44" i="27"/>
  <c r="G50" i="27"/>
  <c r="C45" i="27"/>
  <c r="F45" i="27"/>
  <c r="G45" i="27"/>
  <c r="F46" i="27"/>
  <c r="G46" i="27"/>
  <c r="F47" i="27"/>
  <c r="G47" i="27"/>
  <c r="C48" i="27"/>
  <c r="F48" i="27"/>
  <c r="G48" i="27"/>
  <c r="C49" i="27"/>
  <c r="F49" i="27"/>
  <c r="G49" i="27"/>
  <c r="B53" i="27"/>
  <c r="BH70" i="33"/>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c r="H30" i="27"/>
  <c r="C26" i="27"/>
  <c r="C53" i="27"/>
  <c r="E41" i="27"/>
  <c r="G37" i="27"/>
  <c r="H44" i="27"/>
  <c r="H50" i="27"/>
  <c r="C39" i="27"/>
  <c r="C17" i="27"/>
  <c r="I26" i="27"/>
  <c r="C37" i="27"/>
  <c r="G35" i="27"/>
  <c r="C35" i="27"/>
  <c r="E22" i="27"/>
  <c r="G18" i="27"/>
  <c r="G40" i="27"/>
  <c r="G38" i="27"/>
  <c r="C20" i="27"/>
  <c r="I29" i="27"/>
  <c r="C18" i="27"/>
  <c r="I27" i="27"/>
  <c r="G16" i="27"/>
  <c r="G22" i="27"/>
  <c r="C40" i="27"/>
  <c r="C38" i="27"/>
  <c r="G39" i="27"/>
  <c r="B54" i="27"/>
  <c r="G21" i="27"/>
  <c r="BH71" i="33"/>
  <c r="AM72" i="33"/>
  <c r="I41" i="27"/>
  <c r="D54" i="27"/>
  <c r="K38" i="27"/>
  <c r="K36" i="27"/>
  <c r="K35" i="27"/>
  <c r="K39" i="27"/>
  <c r="E54" i="27"/>
  <c r="B50" i="27"/>
  <c r="D49" i="27"/>
  <c r="C31" i="27"/>
  <c r="J27" i="27"/>
  <c r="K27" i="27"/>
  <c r="M27" i="27"/>
  <c r="J25" i="27"/>
  <c r="K25" i="27"/>
  <c r="M25" i="27"/>
  <c r="M31" i="27"/>
  <c r="I31" i="27"/>
  <c r="C55" i="27"/>
  <c r="C56" i="27"/>
  <c r="C22" i="27"/>
  <c r="C60" i="27"/>
  <c r="C58" i="27"/>
  <c r="C63" i="27"/>
  <c r="C59" i="27"/>
  <c r="C62" i="27"/>
  <c r="C41" i="27"/>
  <c r="D47" i="27"/>
  <c r="B55" i="27"/>
  <c r="B56" i="27"/>
  <c r="K17" i="27"/>
  <c r="K40" i="27"/>
  <c r="D53" i="27"/>
  <c r="K20" i="27"/>
  <c r="I22" i="27"/>
  <c r="L30" i="27"/>
  <c r="K16" i="27"/>
  <c r="K22" i="27"/>
  <c r="J29" i="27"/>
  <c r="K29" i="27"/>
  <c r="M29" i="27"/>
  <c r="D44" i="27"/>
  <c r="E62" i="27"/>
  <c r="E63" i="27"/>
  <c r="E61" i="27"/>
  <c r="E59" i="27"/>
  <c r="E64" i="27"/>
  <c r="K37" i="27"/>
  <c r="G41" i="27"/>
  <c r="C61" i="27"/>
  <c r="J26" i="27"/>
  <c r="K26" i="27"/>
  <c r="M26" i="27"/>
  <c r="H31" i="27"/>
  <c r="L28" i="27"/>
  <c r="AM73" i="33"/>
  <c r="BH72" i="33"/>
  <c r="D25" i="27"/>
  <c r="B31" i="27"/>
  <c r="D30" i="27"/>
  <c r="D28" i="27"/>
  <c r="E53" i="27"/>
  <c r="D29" i="27"/>
  <c r="D27" i="27"/>
  <c r="D26" i="27"/>
  <c r="D55" i="27"/>
  <c r="D56" i="27"/>
  <c r="K41" i="27"/>
  <c r="C64" i="27"/>
  <c r="D50" i="27"/>
  <c r="B61" i="27"/>
  <c r="I47" i="27"/>
  <c r="B58" i="27"/>
  <c r="B63" i="27"/>
  <c r="I49" i="27"/>
  <c r="B59" i="27"/>
  <c r="I45" i="27"/>
  <c r="B62" i="27"/>
  <c r="I48" i="27"/>
  <c r="B60" i="27"/>
  <c r="I46" i="27"/>
  <c r="J31" i="27"/>
  <c r="L25" i="27"/>
  <c r="L31" i="27"/>
  <c r="D63" i="27"/>
  <c r="D61" i="27"/>
  <c r="D59" i="27"/>
  <c r="D62" i="27"/>
  <c r="D58" i="27"/>
  <c r="D60" i="27"/>
  <c r="K31" i="27"/>
  <c r="L29" i="27"/>
  <c r="L26" i="27"/>
  <c r="L27" i="27"/>
  <c r="BH73" i="33"/>
  <c r="AM74" i="33"/>
  <c r="J48" i="27"/>
  <c r="K48" i="27"/>
  <c r="M48" i="27"/>
  <c r="K49" i="27"/>
  <c r="J49" i="27"/>
  <c r="L49" i="27"/>
  <c r="M49" i="27"/>
  <c r="B64" i="27"/>
  <c r="I44" i="27"/>
  <c r="M45" i="27"/>
  <c r="K45" i="27"/>
  <c r="J45" i="27"/>
  <c r="L45" i="27"/>
  <c r="D64" i="27"/>
  <c r="M47" i="27"/>
  <c r="J47" i="27"/>
  <c r="K47" i="27"/>
  <c r="J46" i="27"/>
  <c r="K46" i="27"/>
  <c r="M46" i="27"/>
  <c r="E55" i="27"/>
  <c r="E56" i="27"/>
  <c r="D31" i="27"/>
  <c r="BH74" i="33"/>
  <c r="AM75" i="33"/>
  <c r="M44" i="27"/>
  <c r="M50" i="27"/>
  <c r="I50" i="27"/>
  <c r="J44" i="27"/>
  <c r="K44" i="27"/>
  <c r="K50" i="27"/>
  <c r="L46" i="27"/>
  <c r="L47" i="27"/>
  <c r="L48" i="27"/>
  <c r="BH75" i="33"/>
  <c r="AM76" i="33"/>
  <c r="L44" i="27"/>
  <c r="L50" i="27"/>
  <c r="J50" i="27"/>
  <c r="AM77" i="33"/>
  <c r="BH76" i="33"/>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BH77" i="33"/>
  <c r="AM78" i="33"/>
  <c r="C3" i="16"/>
  <c r="I4" i="15" s="1"/>
  <c r="BH78" i="33"/>
  <c r="AM79" i="33"/>
  <c r="AA58" i="2"/>
  <c r="AM80" i="33"/>
  <c r="BH79" i="33"/>
  <c r="AA29" i="2"/>
  <c r="AA87" i="2"/>
  <c r="G65" i="2"/>
  <c r="G66" i="2"/>
  <c r="G67" i="2"/>
  <c r="G68" i="2"/>
  <c r="G69" i="2"/>
  <c r="G70" i="2"/>
  <c r="G71" i="2"/>
  <c r="G72" i="2"/>
  <c r="G73" i="2"/>
  <c r="G74" i="2"/>
  <c r="G75" i="2"/>
  <c r="G76" i="2"/>
  <c r="G77" i="2"/>
  <c r="G78" i="2"/>
  <c r="G79" i="2"/>
  <c r="G80" i="2"/>
  <c r="G81" i="2"/>
  <c r="G82" i="2"/>
  <c r="G83" i="2"/>
  <c r="G84" i="2"/>
  <c r="G85" i="2"/>
  <c r="G86" i="2"/>
  <c r="E65" i="2"/>
  <c r="E66" i="2"/>
  <c r="E67" i="2"/>
  <c r="E68" i="2"/>
  <c r="E69" i="2"/>
  <c r="E70" i="2"/>
  <c r="E71" i="2"/>
  <c r="E72" i="2"/>
  <c r="E73" i="2"/>
  <c r="E74" i="2"/>
  <c r="E75" i="2"/>
  <c r="E76" i="2"/>
  <c r="E77" i="2"/>
  <c r="E78" i="2"/>
  <c r="E79" i="2"/>
  <c r="E80" i="2"/>
  <c r="E81" i="2"/>
  <c r="E82" i="2"/>
  <c r="E83" i="2"/>
  <c r="E84" i="2"/>
  <c r="E85" i="2"/>
  <c r="E86" i="2"/>
  <c r="G94" i="2"/>
  <c r="G95" i="2"/>
  <c r="G96" i="2"/>
  <c r="G97" i="2"/>
  <c r="G98" i="2"/>
  <c r="G99" i="2"/>
  <c r="G100" i="2"/>
  <c r="G101" i="2"/>
  <c r="G102" i="2"/>
  <c r="G103" i="2"/>
  <c r="G104" i="2"/>
  <c r="G105" i="2"/>
  <c r="G106" i="2"/>
  <c r="G107" i="2"/>
  <c r="G108" i="2"/>
  <c r="G109" i="2"/>
  <c r="G110" i="2"/>
  <c r="G111" i="2"/>
  <c r="G112" i="2"/>
  <c r="G113" i="2"/>
  <c r="G114" i="2"/>
  <c r="G115" i="2"/>
  <c r="E94" i="2"/>
  <c r="E95" i="2"/>
  <c r="E96" i="2"/>
  <c r="E97" i="2"/>
  <c r="E98" i="2"/>
  <c r="E99" i="2"/>
  <c r="E100" i="2"/>
  <c r="E101" i="2"/>
  <c r="E102" i="2"/>
  <c r="E103" i="2"/>
  <c r="E104" i="2"/>
  <c r="E105" i="2"/>
  <c r="E106" i="2"/>
  <c r="E107" i="2"/>
  <c r="E108" i="2"/>
  <c r="E109" i="2"/>
  <c r="E110" i="2"/>
  <c r="E111" i="2"/>
  <c r="E112" i="2"/>
  <c r="E113" i="2"/>
  <c r="E114" i="2"/>
  <c r="E115" i="2"/>
  <c r="G123" i="2"/>
  <c r="G124" i="2"/>
  <c r="G125" i="2"/>
  <c r="G126" i="2"/>
  <c r="E123" i="2"/>
  <c r="E124" i="2"/>
  <c r="E125" i="2"/>
  <c r="E126" i="2"/>
  <c r="I123" i="2"/>
  <c r="I124" i="2"/>
  <c r="I125" i="2"/>
  <c r="I126" i="2"/>
  <c r="J123" i="2"/>
  <c r="J124" i="2"/>
  <c r="J125" i="2"/>
  <c r="J126" i="2"/>
  <c r="K123" i="2"/>
  <c r="K124" i="2"/>
  <c r="K125" i="2"/>
  <c r="K126" i="2"/>
  <c r="L123" i="2"/>
  <c r="L124" i="2"/>
  <c r="L125" i="2"/>
  <c r="L126" i="2"/>
  <c r="R123" i="2"/>
  <c r="R124" i="2"/>
  <c r="R125" i="2"/>
  <c r="R126" i="2"/>
  <c r="R127" i="2"/>
  <c r="S123" i="2"/>
  <c r="S124" i="2"/>
  <c r="S125" i="2"/>
  <c r="S126" i="2"/>
  <c r="S127" i="2"/>
  <c r="AE123" i="2"/>
  <c r="AE124" i="2"/>
  <c r="AE125" i="2"/>
  <c r="AE126" i="2"/>
  <c r="AE127" i="2"/>
  <c r="AH123" i="2"/>
  <c r="AH124" i="2"/>
  <c r="AH125" i="2"/>
  <c r="AH126" i="2"/>
  <c r="AH127" i="2"/>
  <c r="AK123" i="2"/>
  <c r="AK124" i="2"/>
  <c r="AK125" i="2"/>
  <c r="AK126" i="2"/>
  <c r="AK127" i="2"/>
  <c r="I109" i="2"/>
  <c r="I110" i="2"/>
  <c r="I111" i="2"/>
  <c r="I112" i="2"/>
  <c r="I113" i="2"/>
  <c r="I114" i="2"/>
  <c r="I115" i="2"/>
  <c r="J109" i="2"/>
  <c r="J110" i="2"/>
  <c r="J111" i="2"/>
  <c r="J112" i="2"/>
  <c r="J113" i="2"/>
  <c r="J114" i="2"/>
  <c r="J115" i="2"/>
  <c r="K109" i="2"/>
  <c r="K110" i="2"/>
  <c r="K111" i="2"/>
  <c r="K112" i="2"/>
  <c r="K113" i="2"/>
  <c r="K114" i="2"/>
  <c r="K115" i="2"/>
  <c r="L109" i="2"/>
  <c r="L110" i="2"/>
  <c r="L111" i="2"/>
  <c r="L112" i="2"/>
  <c r="L113" i="2"/>
  <c r="L114" i="2"/>
  <c r="L115" i="2"/>
  <c r="R109" i="2"/>
  <c r="R110" i="2"/>
  <c r="R111" i="2"/>
  <c r="R112" i="2"/>
  <c r="R113" i="2"/>
  <c r="R114" i="2"/>
  <c r="R115" i="2"/>
  <c r="S109" i="2"/>
  <c r="S110" i="2"/>
  <c r="S111" i="2"/>
  <c r="S112" i="2"/>
  <c r="S113" i="2"/>
  <c r="S114" i="2"/>
  <c r="S115" i="2"/>
  <c r="AE109" i="2"/>
  <c r="AE110" i="2"/>
  <c r="AE111" i="2"/>
  <c r="AE112" i="2"/>
  <c r="AE113" i="2"/>
  <c r="AE114" i="2"/>
  <c r="AE115" i="2"/>
  <c r="AH109" i="2"/>
  <c r="AH110" i="2"/>
  <c r="AH111" i="2"/>
  <c r="AH112" i="2"/>
  <c r="AH113" i="2"/>
  <c r="AH114" i="2"/>
  <c r="AH115" i="2"/>
  <c r="AK109" i="2"/>
  <c r="AK110" i="2"/>
  <c r="AK111" i="2"/>
  <c r="AK112" i="2"/>
  <c r="AK113" i="2"/>
  <c r="AK114" i="2"/>
  <c r="AK115" i="2"/>
  <c r="I94" i="2"/>
  <c r="I95" i="2"/>
  <c r="I96" i="2"/>
  <c r="I97" i="2"/>
  <c r="I98" i="2"/>
  <c r="I99" i="2"/>
  <c r="I100" i="2"/>
  <c r="I101" i="2"/>
  <c r="I102" i="2"/>
  <c r="I103" i="2"/>
  <c r="I104" i="2"/>
  <c r="I105" i="2"/>
  <c r="I106" i="2"/>
  <c r="I107" i="2"/>
  <c r="I108" i="2"/>
  <c r="J94" i="2"/>
  <c r="J95" i="2"/>
  <c r="J96" i="2"/>
  <c r="J97" i="2"/>
  <c r="J98" i="2"/>
  <c r="J99" i="2"/>
  <c r="J100" i="2"/>
  <c r="J101" i="2"/>
  <c r="J102" i="2"/>
  <c r="J103" i="2"/>
  <c r="J104" i="2"/>
  <c r="J105" i="2"/>
  <c r="J106" i="2"/>
  <c r="J107" i="2"/>
  <c r="J108" i="2"/>
  <c r="K94" i="2"/>
  <c r="K95" i="2"/>
  <c r="K96" i="2"/>
  <c r="K97" i="2"/>
  <c r="K98" i="2"/>
  <c r="K99" i="2"/>
  <c r="K100" i="2"/>
  <c r="K101" i="2"/>
  <c r="K102" i="2"/>
  <c r="K103" i="2"/>
  <c r="K104" i="2"/>
  <c r="K105" i="2"/>
  <c r="K106" i="2"/>
  <c r="K107" i="2"/>
  <c r="K108" i="2"/>
  <c r="L94" i="2"/>
  <c r="L95" i="2"/>
  <c r="L96" i="2"/>
  <c r="L97" i="2"/>
  <c r="L98" i="2"/>
  <c r="L99" i="2"/>
  <c r="L100" i="2"/>
  <c r="L101" i="2"/>
  <c r="L102" i="2"/>
  <c r="L103" i="2"/>
  <c r="L104" i="2"/>
  <c r="L105" i="2"/>
  <c r="L106" i="2"/>
  <c r="L107" i="2"/>
  <c r="L108" i="2"/>
  <c r="R94" i="2"/>
  <c r="R95" i="2"/>
  <c r="R96" i="2"/>
  <c r="R97" i="2"/>
  <c r="R98" i="2"/>
  <c r="R99" i="2"/>
  <c r="R100" i="2"/>
  <c r="R101" i="2"/>
  <c r="R102" i="2"/>
  <c r="R103" i="2"/>
  <c r="R104" i="2"/>
  <c r="R105" i="2"/>
  <c r="R106" i="2"/>
  <c r="R107" i="2"/>
  <c r="R108" i="2"/>
  <c r="S94" i="2"/>
  <c r="S95" i="2"/>
  <c r="S96" i="2"/>
  <c r="S97" i="2"/>
  <c r="S98" i="2"/>
  <c r="S99" i="2"/>
  <c r="S100" i="2"/>
  <c r="S101" i="2"/>
  <c r="S102" i="2"/>
  <c r="S103" i="2"/>
  <c r="S104" i="2"/>
  <c r="S105" i="2"/>
  <c r="S106" i="2"/>
  <c r="S107" i="2"/>
  <c r="S108" i="2"/>
  <c r="AE94" i="2"/>
  <c r="AE95" i="2"/>
  <c r="AE96" i="2"/>
  <c r="AE97" i="2"/>
  <c r="AE98" i="2"/>
  <c r="AE99" i="2"/>
  <c r="AE100" i="2"/>
  <c r="AE101" i="2"/>
  <c r="AE102" i="2"/>
  <c r="AE103" i="2"/>
  <c r="AE104" i="2"/>
  <c r="AE105" i="2"/>
  <c r="AE106" i="2"/>
  <c r="AE107" i="2"/>
  <c r="AE108" i="2"/>
  <c r="AH94" i="2"/>
  <c r="AH95" i="2"/>
  <c r="AH96" i="2"/>
  <c r="AH97" i="2"/>
  <c r="AH98" i="2"/>
  <c r="AH99" i="2"/>
  <c r="AH100" i="2"/>
  <c r="AH101" i="2"/>
  <c r="AH102" i="2"/>
  <c r="AH103" i="2"/>
  <c r="AH104" i="2"/>
  <c r="AH105" i="2"/>
  <c r="AH106" i="2"/>
  <c r="AH107" i="2"/>
  <c r="AH108" i="2"/>
  <c r="AK94" i="2"/>
  <c r="AK95" i="2"/>
  <c r="AK96" i="2"/>
  <c r="AK97" i="2"/>
  <c r="AK98" i="2"/>
  <c r="AK99" i="2"/>
  <c r="AK100" i="2"/>
  <c r="AK101" i="2"/>
  <c r="AK102" i="2"/>
  <c r="AK103" i="2"/>
  <c r="AK104" i="2"/>
  <c r="AK105" i="2"/>
  <c r="AK106" i="2"/>
  <c r="AK107" i="2"/>
  <c r="AK108" i="2"/>
  <c r="I65" i="2"/>
  <c r="I66" i="2"/>
  <c r="I67" i="2"/>
  <c r="I68" i="2"/>
  <c r="I69" i="2"/>
  <c r="I70" i="2"/>
  <c r="I71" i="2"/>
  <c r="I72" i="2"/>
  <c r="I73" i="2"/>
  <c r="I74" i="2"/>
  <c r="I75" i="2"/>
  <c r="I76" i="2"/>
  <c r="I77" i="2"/>
  <c r="I78" i="2"/>
  <c r="I79" i="2"/>
  <c r="I80" i="2"/>
  <c r="I81" i="2"/>
  <c r="I82" i="2"/>
  <c r="I83" i="2"/>
  <c r="I84" i="2"/>
  <c r="I85" i="2"/>
  <c r="I86" i="2"/>
  <c r="J65" i="2"/>
  <c r="J66" i="2"/>
  <c r="J67" i="2"/>
  <c r="J68" i="2"/>
  <c r="J69" i="2"/>
  <c r="J70" i="2"/>
  <c r="J71" i="2"/>
  <c r="J72" i="2"/>
  <c r="J73" i="2"/>
  <c r="J74" i="2"/>
  <c r="J75" i="2"/>
  <c r="J76" i="2"/>
  <c r="J77" i="2"/>
  <c r="J78" i="2"/>
  <c r="J79" i="2"/>
  <c r="J80" i="2"/>
  <c r="J81" i="2"/>
  <c r="J82" i="2"/>
  <c r="J83" i="2"/>
  <c r="J84" i="2"/>
  <c r="J85" i="2"/>
  <c r="J86" i="2"/>
  <c r="K65" i="2"/>
  <c r="K66" i="2"/>
  <c r="K67" i="2"/>
  <c r="K68" i="2"/>
  <c r="K69" i="2"/>
  <c r="K70" i="2"/>
  <c r="K71" i="2"/>
  <c r="K72" i="2"/>
  <c r="K73" i="2"/>
  <c r="K74" i="2"/>
  <c r="K75" i="2"/>
  <c r="K76" i="2"/>
  <c r="K77" i="2"/>
  <c r="K78" i="2"/>
  <c r="K79" i="2"/>
  <c r="K80" i="2"/>
  <c r="K81" i="2"/>
  <c r="K82" i="2"/>
  <c r="K83" i="2"/>
  <c r="K84" i="2"/>
  <c r="K85" i="2"/>
  <c r="K86" i="2"/>
  <c r="L65" i="2"/>
  <c r="L66" i="2"/>
  <c r="L67" i="2"/>
  <c r="L68" i="2"/>
  <c r="L69" i="2"/>
  <c r="L70" i="2"/>
  <c r="L71" i="2"/>
  <c r="L72" i="2"/>
  <c r="L73" i="2"/>
  <c r="L74" i="2"/>
  <c r="L75" i="2"/>
  <c r="L76" i="2"/>
  <c r="L77" i="2"/>
  <c r="L78" i="2"/>
  <c r="L79" i="2"/>
  <c r="L80" i="2"/>
  <c r="L81" i="2"/>
  <c r="L82" i="2"/>
  <c r="L83" i="2"/>
  <c r="L84" i="2"/>
  <c r="L85" i="2"/>
  <c r="L86" i="2"/>
  <c r="R65" i="2"/>
  <c r="R66" i="2"/>
  <c r="R67" i="2"/>
  <c r="R68" i="2"/>
  <c r="R69" i="2"/>
  <c r="R70" i="2"/>
  <c r="R71" i="2"/>
  <c r="R72" i="2"/>
  <c r="R73" i="2"/>
  <c r="R74" i="2"/>
  <c r="R75" i="2"/>
  <c r="R76" i="2"/>
  <c r="R77" i="2"/>
  <c r="R78" i="2"/>
  <c r="R79" i="2"/>
  <c r="R80" i="2"/>
  <c r="R81" i="2"/>
  <c r="R82" i="2"/>
  <c r="R83" i="2"/>
  <c r="R84" i="2"/>
  <c r="R85" i="2"/>
  <c r="R86" i="2"/>
  <c r="S65" i="2"/>
  <c r="S66" i="2"/>
  <c r="S67" i="2"/>
  <c r="S68" i="2"/>
  <c r="S69" i="2"/>
  <c r="S70" i="2"/>
  <c r="S71" i="2"/>
  <c r="S72" i="2"/>
  <c r="S73" i="2"/>
  <c r="S74" i="2"/>
  <c r="S75" i="2"/>
  <c r="S76" i="2"/>
  <c r="S77" i="2"/>
  <c r="S78" i="2"/>
  <c r="S79" i="2"/>
  <c r="S80" i="2"/>
  <c r="S81" i="2"/>
  <c r="S82" i="2"/>
  <c r="S83" i="2"/>
  <c r="S84" i="2"/>
  <c r="S85" i="2"/>
  <c r="S86" i="2"/>
  <c r="AE65" i="2"/>
  <c r="AE66" i="2"/>
  <c r="AE67" i="2"/>
  <c r="AE68" i="2"/>
  <c r="AE69" i="2"/>
  <c r="AE70" i="2"/>
  <c r="AE71" i="2"/>
  <c r="AE72" i="2"/>
  <c r="AE73" i="2"/>
  <c r="AE74" i="2"/>
  <c r="AE75" i="2"/>
  <c r="AE76" i="2"/>
  <c r="AE77" i="2"/>
  <c r="AE78" i="2"/>
  <c r="AE79" i="2"/>
  <c r="AE80" i="2"/>
  <c r="AE81" i="2"/>
  <c r="AE82" i="2"/>
  <c r="AE83" i="2"/>
  <c r="AE84" i="2"/>
  <c r="AE85" i="2"/>
  <c r="AE86" i="2"/>
  <c r="AH65" i="2"/>
  <c r="AH66" i="2"/>
  <c r="AH67" i="2"/>
  <c r="AH68" i="2"/>
  <c r="AH69" i="2"/>
  <c r="AH70" i="2"/>
  <c r="AH71" i="2"/>
  <c r="AH72" i="2"/>
  <c r="AH73" i="2"/>
  <c r="AH74" i="2"/>
  <c r="AH75" i="2"/>
  <c r="AH76" i="2"/>
  <c r="AH77" i="2"/>
  <c r="AH78" i="2"/>
  <c r="AH79" i="2"/>
  <c r="AH80" i="2"/>
  <c r="AH81" i="2"/>
  <c r="AH82" i="2"/>
  <c r="AH83" i="2"/>
  <c r="AH84" i="2"/>
  <c r="AH85" i="2"/>
  <c r="AH86" i="2"/>
  <c r="AK65" i="2"/>
  <c r="AK66" i="2"/>
  <c r="AK67" i="2"/>
  <c r="AK68" i="2"/>
  <c r="AK69" i="2"/>
  <c r="AK70" i="2"/>
  <c r="AK71" i="2"/>
  <c r="AK72" i="2"/>
  <c r="AK73" i="2"/>
  <c r="AK74" i="2"/>
  <c r="AK75" i="2"/>
  <c r="AK76" i="2"/>
  <c r="AK77" i="2"/>
  <c r="AK78" i="2"/>
  <c r="AK79" i="2"/>
  <c r="AK80" i="2"/>
  <c r="AK81" i="2"/>
  <c r="AK82" i="2"/>
  <c r="AK83" i="2"/>
  <c r="AK84" i="2"/>
  <c r="AK85" i="2"/>
  <c r="AK86" i="2"/>
  <c r="G36" i="2"/>
  <c r="G37" i="2"/>
  <c r="G38" i="2"/>
  <c r="G39" i="2"/>
  <c r="G40" i="2"/>
  <c r="G41" i="2"/>
  <c r="G42" i="2"/>
  <c r="G43" i="2"/>
  <c r="G44" i="2"/>
  <c r="G45" i="2"/>
  <c r="G46" i="2"/>
  <c r="G47" i="2"/>
  <c r="G48" i="2"/>
  <c r="G49" i="2"/>
  <c r="G50" i="2"/>
  <c r="G51" i="2"/>
  <c r="G52" i="2"/>
  <c r="G53" i="2"/>
  <c r="G54" i="2"/>
  <c r="G55" i="2"/>
  <c r="G56" i="2"/>
  <c r="G57" i="2"/>
  <c r="E36" i="2"/>
  <c r="E37" i="2"/>
  <c r="E38" i="2"/>
  <c r="E39" i="2"/>
  <c r="E40" i="2"/>
  <c r="E41" i="2"/>
  <c r="E42" i="2"/>
  <c r="E43" i="2"/>
  <c r="E44" i="2"/>
  <c r="E45" i="2"/>
  <c r="E46" i="2"/>
  <c r="E47" i="2"/>
  <c r="E48" i="2"/>
  <c r="E49" i="2"/>
  <c r="E50" i="2"/>
  <c r="E51" i="2"/>
  <c r="E52" i="2"/>
  <c r="E53" i="2"/>
  <c r="E54" i="2"/>
  <c r="E55" i="2"/>
  <c r="E56" i="2"/>
  <c r="E57" i="2"/>
  <c r="I36" i="2"/>
  <c r="I37" i="2"/>
  <c r="I38" i="2"/>
  <c r="I39" i="2"/>
  <c r="I40" i="2"/>
  <c r="I41" i="2"/>
  <c r="I42" i="2"/>
  <c r="I43" i="2"/>
  <c r="I44" i="2"/>
  <c r="I45" i="2"/>
  <c r="I46" i="2"/>
  <c r="I47" i="2"/>
  <c r="I48" i="2"/>
  <c r="I49" i="2"/>
  <c r="I50" i="2"/>
  <c r="I51" i="2"/>
  <c r="I52" i="2"/>
  <c r="I53" i="2"/>
  <c r="I54" i="2"/>
  <c r="I55" i="2"/>
  <c r="I56" i="2"/>
  <c r="I57" i="2"/>
  <c r="J36" i="2"/>
  <c r="J37" i="2"/>
  <c r="J38" i="2"/>
  <c r="J39" i="2"/>
  <c r="J40" i="2"/>
  <c r="J41" i="2"/>
  <c r="J42" i="2"/>
  <c r="J43" i="2"/>
  <c r="J44" i="2"/>
  <c r="J45" i="2"/>
  <c r="J46" i="2"/>
  <c r="J47" i="2"/>
  <c r="J48" i="2"/>
  <c r="J49" i="2"/>
  <c r="J50" i="2"/>
  <c r="J51" i="2"/>
  <c r="J52" i="2"/>
  <c r="J53" i="2"/>
  <c r="J54" i="2"/>
  <c r="J55" i="2"/>
  <c r="J56" i="2"/>
  <c r="J57" i="2"/>
  <c r="K36" i="2"/>
  <c r="K37" i="2"/>
  <c r="K38" i="2"/>
  <c r="K39" i="2"/>
  <c r="K40" i="2"/>
  <c r="K41" i="2"/>
  <c r="K42" i="2"/>
  <c r="K43" i="2"/>
  <c r="K44" i="2"/>
  <c r="K45" i="2"/>
  <c r="K46" i="2"/>
  <c r="K47" i="2"/>
  <c r="K48" i="2"/>
  <c r="K49" i="2"/>
  <c r="K50" i="2"/>
  <c r="K51" i="2"/>
  <c r="K52" i="2"/>
  <c r="K53" i="2"/>
  <c r="K54" i="2"/>
  <c r="K55" i="2"/>
  <c r="K56" i="2"/>
  <c r="K57" i="2"/>
  <c r="L36" i="2"/>
  <c r="L37" i="2"/>
  <c r="L38" i="2"/>
  <c r="L39" i="2"/>
  <c r="L40" i="2"/>
  <c r="L41" i="2"/>
  <c r="L42" i="2"/>
  <c r="L43" i="2"/>
  <c r="L44" i="2"/>
  <c r="L45" i="2"/>
  <c r="L46" i="2"/>
  <c r="L47" i="2"/>
  <c r="L48" i="2"/>
  <c r="L49" i="2"/>
  <c r="L50" i="2"/>
  <c r="L51" i="2"/>
  <c r="L52" i="2"/>
  <c r="L53" i="2"/>
  <c r="L54" i="2"/>
  <c r="L55" i="2"/>
  <c r="L56" i="2"/>
  <c r="L57" i="2"/>
  <c r="R36" i="2"/>
  <c r="R37" i="2"/>
  <c r="R38" i="2"/>
  <c r="R39" i="2"/>
  <c r="R40" i="2"/>
  <c r="R41" i="2"/>
  <c r="R42" i="2"/>
  <c r="R43" i="2"/>
  <c r="R44" i="2"/>
  <c r="R45" i="2"/>
  <c r="R46" i="2"/>
  <c r="R47" i="2"/>
  <c r="R48" i="2"/>
  <c r="R49" i="2"/>
  <c r="R50" i="2"/>
  <c r="R51" i="2"/>
  <c r="R52" i="2"/>
  <c r="R53" i="2"/>
  <c r="R54" i="2"/>
  <c r="R55" i="2"/>
  <c r="R56" i="2"/>
  <c r="R57" i="2"/>
  <c r="S36" i="2"/>
  <c r="S37" i="2"/>
  <c r="S38" i="2"/>
  <c r="S39" i="2"/>
  <c r="S40" i="2"/>
  <c r="S41" i="2"/>
  <c r="S42" i="2"/>
  <c r="S43" i="2"/>
  <c r="S44" i="2"/>
  <c r="S45" i="2"/>
  <c r="S46" i="2"/>
  <c r="S47" i="2"/>
  <c r="S48" i="2"/>
  <c r="S49" i="2"/>
  <c r="S50" i="2"/>
  <c r="S51" i="2"/>
  <c r="S52" i="2"/>
  <c r="S53" i="2"/>
  <c r="S54" i="2"/>
  <c r="S55" i="2"/>
  <c r="S56" i="2"/>
  <c r="S57" i="2"/>
  <c r="AE36" i="2"/>
  <c r="AE37" i="2"/>
  <c r="AE38" i="2"/>
  <c r="AE39" i="2"/>
  <c r="AE40" i="2"/>
  <c r="AE41" i="2"/>
  <c r="AE42" i="2"/>
  <c r="AE43" i="2"/>
  <c r="AE44" i="2"/>
  <c r="AE45" i="2"/>
  <c r="AE46" i="2"/>
  <c r="AE47" i="2"/>
  <c r="AE48" i="2"/>
  <c r="AE49" i="2"/>
  <c r="AE50" i="2"/>
  <c r="AE51" i="2"/>
  <c r="AE52" i="2"/>
  <c r="AE53" i="2"/>
  <c r="AE54" i="2"/>
  <c r="AE55" i="2"/>
  <c r="AE56" i="2"/>
  <c r="AE57" i="2"/>
  <c r="AH36" i="2"/>
  <c r="AH37" i="2"/>
  <c r="AH38" i="2"/>
  <c r="AH39" i="2"/>
  <c r="AH40" i="2"/>
  <c r="AH41" i="2"/>
  <c r="AH42" i="2"/>
  <c r="AH43" i="2"/>
  <c r="AH44" i="2"/>
  <c r="AH45" i="2"/>
  <c r="AH46" i="2"/>
  <c r="AH47" i="2"/>
  <c r="AH48" i="2"/>
  <c r="AH49" i="2"/>
  <c r="AH50" i="2"/>
  <c r="AH51" i="2"/>
  <c r="AH52" i="2"/>
  <c r="AH53" i="2"/>
  <c r="AH54" i="2"/>
  <c r="AH55" i="2"/>
  <c r="AH56" i="2"/>
  <c r="AH57" i="2"/>
  <c r="AK36" i="2"/>
  <c r="AK37" i="2"/>
  <c r="AK38" i="2"/>
  <c r="AK39" i="2"/>
  <c r="AK40" i="2"/>
  <c r="AK41" i="2"/>
  <c r="AK42" i="2"/>
  <c r="AK43" i="2"/>
  <c r="AK44" i="2"/>
  <c r="AK45" i="2"/>
  <c r="AK46" i="2"/>
  <c r="AK47" i="2"/>
  <c r="AK48" i="2"/>
  <c r="AK49" i="2"/>
  <c r="AK50" i="2"/>
  <c r="AK51" i="2"/>
  <c r="AK52" i="2"/>
  <c r="AK53" i="2"/>
  <c r="AK54" i="2"/>
  <c r="AK55" i="2"/>
  <c r="AK56" i="2"/>
  <c r="AK57" i="2"/>
  <c r="G22" i="2"/>
  <c r="G23" i="2"/>
  <c r="G24" i="2"/>
  <c r="G25" i="2"/>
  <c r="G26" i="2"/>
  <c r="G27" i="2"/>
  <c r="G28" i="2"/>
  <c r="D22" i="2"/>
  <c r="D23" i="2"/>
  <c r="D24" i="2"/>
  <c r="D25" i="2"/>
  <c r="D26" i="2"/>
  <c r="D27" i="2"/>
  <c r="D28" i="2"/>
  <c r="E22" i="2"/>
  <c r="E23" i="2"/>
  <c r="E24" i="2"/>
  <c r="E25" i="2"/>
  <c r="E26" i="2"/>
  <c r="E27" i="2"/>
  <c r="E28" i="2"/>
  <c r="I22" i="2"/>
  <c r="I23" i="2"/>
  <c r="I24" i="2"/>
  <c r="I25" i="2"/>
  <c r="I26" i="2"/>
  <c r="I27" i="2"/>
  <c r="I28" i="2"/>
  <c r="J22" i="2"/>
  <c r="J23" i="2"/>
  <c r="J24" i="2"/>
  <c r="J25" i="2"/>
  <c r="J26" i="2"/>
  <c r="J27" i="2"/>
  <c r="J28" i="2"/>
  <c r="K22" i="2"/>
  <c r="K23" i="2"/>
  <c r="K24" i="2"/>
  <c r="K25" i="2"/>
  <c r="K26" i="2"/>
  <c r="K27" i="2"/>
  <c r="K28" i="2"/>
  <c r="L22" i="2"/>
  <c r="L23" i="2"/>
  <c r="L24" i="2"/>
  <c r="L25" i="2"/>
  <c r="L26" i="2"/>
  <c r="L27" i="2"/>
  <c r="L28" i="2"/>
  <c r="R22" i="2"/>
  <c r="R23" i="2"/>
  <c r="R24" i="2"/>
  <c r="R25" i="2"/>
  <c r="R26" i="2"/>
  <c r="R27" i="2"/>
  <c r="R28" i="2"/>
  <c r="S22" i="2"/>
  <c r="S23" i="2"/>
  <c r="S24" i="2"/>
  <c r="S25" i="2"/>
  <c r="S26" i="2"/>
  <c r="S27" i="2"/>
  <c r="S28" i="2"/>
  <c r="AE22" i="2"/>
  <c r="AE23" i="2"/>
  <c r="AE24" i="2"/>
  <c r="AE25" i="2"/>
  <c r="AE26" i="2"/>
  <c r="AE27" i="2"/>
  <c r="AE28" i="2"/>
  <c r="AH22" i="2"/>
  <c r="AH23" i="2"/>
  <c r="AH24" i="2"/>
  <c r="AH25" i="2"/>
  <c r="AH26" i="2"/>
  <c r="AH27" i="2"/>
  <c r="AH28" i="2"/>
  <c r="AK22" i="2"/>
  <c r="AK23" i="2"/>
  <c r="AK24" i="2"/>
  <c r="AK25" i="2"/>
  <c r="AK26" i="2"/>
  <c r="AK27" i="2"/>
  <c r="AK28" i="2"/>
  <c r="G7" i="2"/>
  <c r="G8" i="2"/>
  <c r="G9" i="2"/>
  <c r="G10" i="2"/>
  <c r="G11" i="2"/>
  <c r="G12" i="2"/>
  <c r="G13" i="2"/>
  <c r="G14" i="2"/>
  <c r="G15" i="2"/>
  <c r="G16" i="2"/>
  <c r="G17" i="2"/>
  <c r="G18" i="2"/>
  <c r="G19" i="2"/>
  <c r="G20" i="2"/>
  <c r="G21" i="2"/>
  <c r="D7" i="2"/>
  <c r="D8" i="2"/>
  <c r="D9" i="2"/>
  <c r="D10" i="2"/>
  <c r="D11" i="2"/>
  <c r="D12" i="2"/>
  <c r="D13" i="2"/>
  <c r="D14" i="2"/>
  <c r="D15" i="2"/>
  <c r="D16" i="2"/>
  <c r="D17" i="2"/>
  <c r="D18" i="2"/>
  <c r="D19" i="2"/>
  <c r="D20" i="2"/>
  <c r="D21" i="2"/>
  <c r="E7" i="2"/>
  <c r="E8" i="2"/>
  <c r="E9" i="2"/>
  <c r="E10" i="2"/>
  <c r="E11" i="2"/>
  <c r="E12" i="2"/>
  <c r="E13" i="2"/>
  <c r="E14" i="2"/>
  <c r="E15" i="2"/>
  <c r="E16" i="2"/>
  <c r="E17" i="2"/>
  <c r="E18" i="2"/>
  <c r="E19" i="2"/>
  <c r="E20" i="2"/>
  <c r="E21" i="2"/>
  <c r="I7" i="2"/>
  <c r="I8" i="2"/>
  <c r="I9" i="2"/>
  <c r="I10" i="2"/>
  <c r="I11" i="2"/>
  <c r="I12" i="2"/>
  <c r="I13" i="2"/>
  <c r="I14" i="2"/>
  <c r="I15" i="2"/>
  <c r="I16" i="2"/>
  <c r="I17" i="2"/>
  <c r="I18" i="2"/>
  <c r="I19" i="2"/>
  <c r="I20" i="2"/>
  <c r="I21" i="2"/>
  <c r="J7" i="2"/>
  <c r="J8" i="2"/>
  <c r="J9" i="2"/>
  <c r="J10" i="2"/>
  <c r="J11" i="2"/>
  <c r="J12" i="2"/>
  <c r="J13" i="2"/>
  <c r="J14" i="2"/>
  <c r="J15" i="2"/>
  <c r="J16" i="2"/>
  <c r="J17" i="2"/>
  <c r="J18" i="2"/>
  <c r="J19" i="2"/>
  <c r="J20" i="2"/>
  <c r="J21" i="2"/>
  <c r="K7" i="2"/>
  <c r="K8" i="2"/>
  <c r="K9" i="2"/>
  <c r="K10" i="2"/>
  <c r="K11" i="2"/>
  <c r="K12" i="2"/>
  <c r="K13" i="2"/>
  <c r="K14" i="2"/>
  <c r="K15" i="2"/>
  <c r="K16" i="2"/>
  <c r="K17" i="2"/>
  <c r="K18" i="2"/>
  <c r="K19" i="2"/>
  <c r="K20" i="2"/>
  <c r="K21" i="2"/>
  <c r="L7" i="2"/>
  <c r="L8" i="2"/>
  <c r="L9" i="2"/>
  <c r="L10" i="2"/>
  <c r="L11" i="2"/>
  <c r="L12" i="2"/>
  <c r="L13" i="2"/>
  <c r="L14" i="2"/>
  <c r="L15" i="2"/>
  <c r="L16" i="2"/>
  <c r="L17" i="2"/>
  <c r="L18" i="2"/>
  <c r="L19" i="2"/>
  <c r="L20" i="2"/>
  <c r="L21" i="2"/>
  <c r="R7" i="2"/>
  <c r="R8" i="2"/>
  <c r="R9" i="2"/>
  <c r="R10" i="2"/>
  <c r="R11" i="2"/>
  <c r="R12" i="2"/>
  <c r="R13" i="2"/>
  <c r="R14" i="2"/>
  <c r="R15" i="2"/>
  <c r="R16" i="2"/>
  <c r="R17" i="2"/>
  <c r="R18" i="2"/>
  <c r="R19" i="2"/>
  <c r="R20" i="2"/>
  <c r="R21" i="2"/>
  <c r="S7" i="2"/>
  <c r="S8" i="2"/>
  <c r="S9" i="2"/>
  <c r="S10" i="2"/>
  <c r="S11" i="2"/>
  <c r="S12" i="2"/>
  <c r="S13" i="2"/>
  <c r="S14" i="2"/>
  <c r="S15" i="2"/>
  <c r="S16" i="2"/>
  <c r="S17" i="2"/>
  <c r="S18" i="2"/>
  <c r="S19" i="2"/>
  <c r="S20" i="2"/>
  <c r="S21" i="2"/>
  <c r="AE7" i="2"/>
  <c r="AE8" i="2"/>
  <c r="AE9" i="2"/>
  <c r="AE10" i="2"/>
  <c r="AE11" i="2"/>
  <c r="AE12" i="2"/>
  <c r="AE13" i="2"/>
  <c r="AE14" i="2"/>
  <c r="AE15" i="2"/>
  <c r="AE16" i="2"/>
  <c r="AE17" i="2"/>
  <c r="AE18" i="2"/>
  <c r="AE19" i="2"/>
  <c r="AE20" i="2"/>
  <c r="AE21" i="2"/>
  <c r="AH7" i="2"/>
  <c r="AH8" i="2"/>
  <c r="AH9" i="2"/>
  <c r="AH10" i="2"/>
  <c r="AH11" i="2"/>
  <c r="AH12" i="2"/>
  <c r="AH13" i="2"/>
  <c r="AH14" i="2"/>
  <c r="AH15" i="2"/>
  <c r="AH16" i="2"/>
  <c r="AH17" i="2"/>
  <c r="AH18" i="2"/>
  <c r="AH19" i="2"/>
  <c r="AH20" i="2"/>
  <c r="AH21" i="2"/>
  <c r="AK7" i="2"/>
  <c r="AK8" i="2"/>
  <c r="AK9" i="2"/>
  <c r="AK10" i="2"/>
  <c r="AK11" i="2"/>
  <c r="AK12" i="2"/>
  <c r="AK13" i="2"/>
  <c r="AK14" i="2"/>
  <c r="AK15" i="2"/>
  <c r="AK16" i="2"/>
  <c r="AK17" i="2"/>
  <c r="AK18" i="2"/>
  <c r="AK19" i="2"/>
  <c r="AK20" i="2"/>
  <c r="AK21" i="2"/>
  <c r="AA31" i="2"/>
  <c r="D2" i="2"/>
  <c r="E2" i="2"/>
  <c r="G2" i="2"/>
  <c r="I2" i="2"/>
  <c r="J2" i="2"/>
  <c r="K2" i="2"/>
  <c r="L2" i="2"/>
  <c r="AE2" i="2"/>
  <c r="AH2" i="2"/>
  <c r="AK2" i="2"/>
  <c r="D3" i="2"/>
  <c r="E3" i="2"/>
  <c r="G3" i="2"/>
  <c r="I3" i="2"/>
  <c r="J3" i="2"/>
  <c r="K3" i="2"/>
  <c r="L3" i="2"/>
  <c r="AE3" i="2"/>
  <c r="AH3" i="2"/>
  <c r="AK3" i="2"/>
  <c r="D4" i="2"/>
  <c r="E4" i="2"/>
  <c r="G4" i="2"/>
  <c r="I4" i="2"/>
  <c r="J4" i="2"/>
  <c r="K4" i="2"/>
  <c r="L4" i="2"/>
  <c r="AE4" i="2"/>
  <c r="AH4" i="2"/>
  <c r="D5" i="2"/>
  <c r="E5" i="2"/>
  <c r="G5" i="2"/>
  <c r="I5" i="2"/>
  <c r="J5" i="2"/>
  <c r="K5" i="2"/>
  <c r="L5" i="2"/>
  <c r="AE5" i="2"/>
  <c r="AH5" i="2"/>
  <c r="AK5" i="2"/>
  <c r="D6" i="2"/>
  <c r="E6" i="2"/>
  <c r="G6" i="2"/>
  <c r="I6" i="2"/>
  <c r="J6" i="2"/>
  <c r="K6" i="2"/>
  <c r="L6" i="2"/>
  <c r="AE6" i="2"/>
  <c r="AH6" i="2"/>
  <c r="AK6" i="2"/>
  <c r="D29" i="2"/>
  <c r="E29" i="2"/>
  <c r="G29" i="2"/>
  <c r="I29" i="2"/>
  <c r="J29" i="2"/>
  <c r="K29" i="2"/>
  <c r="L29" i="2"/>
  <c r="AE29" i="2"/>
  <c r="AH29" i="2"/>
  <c r="AK29" i="2"/>
  <c r="D30" i="2"/>
  <c r="E30" i="2"/>
  <c r="G30" i="2"/>
  <c r="I30" i="2"/>
  <c r="J30" i="2"/>
  <c r="K30" i="2"/>
  <c r="L30" i="2"/>
  <c r="AE30" i="2"/>
  <c r="AH30" i="2"/>
  <c r="AK30"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58" i="2"/>
  <c r="E58" i="2"/>
  <c r="G58" i="2"/>
  <c r="I58" i="2"/>
  <c r="J58" i="2"/>
  <c r="K58" i="2"/>
  <c r="L58" i="2"/>
  <c r="AE58" i="2"/>
  <c r="AH58" i="2"/>
  <c r="AK58" i="2"/>
  <c r="D59" i="2"/>
  <c r="E59" i="2"/>
  <c r="G59" i="2"/>
  <c r="I59" i="2"/>
  <c r="J59" i="2"/>
  <c r="K59" i="2"/>
  <c r="L59" i="2"/>
  <c r="AA59" i="2"/>
  <c r="AE59" i="2"/>
  <c r="AH59" i="2"/>
  <c r="AK59" i="2"/>
  <c r="D60" i="2"/>
  <c r="E60" i="2"/>
  <c r="G60" i="2"/>
  <c r="I60" i="2"/>
  <c r="J60" i="2"/>
  <c r="K60" i="2"/>
  <c r="L60" i="2"/>
  <c r="AE60" i="2"/>
  <c r="AH60" i="2"/>
  <c r="AK60" i="2"/>
  <c r="D61" i="2"/>
  <c r="E61" i="2"/>
  <c r="G61" i="2"/>
  <c r="I61" i="2"/>
  <c r="J61" i="2"/>
  <c r="K61" i="2"/>
  <c r="L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87" i="2"/>
  <c r="E87" i="2"/>
  <c r="G87" i="2"/>
  <c r="I87" i="2"/>
  <c r="J87" i="2"/>
  <c r="K87" i="2"/>
  <c r="L87" i="2"/>
  <c r="AE87" i="2"/>
  <c r="AH87" i="2"/>
  <c r="AK87" i="2"/>
  <c r="D88" i="2"/>
  <c r="E88" i="2"/>
  <c r="G88" i="2"/>
  <c r="I88" i="2"/>
  <c r="J88" i="2"/>
  <c r="K88" i="2"/>
  <c r="L88" i="2"/>
  <c r="AA88" i="2"/>
  <c r="AE88" i="2"/>
  <c r="AH88" i="2"/>
  <c r="AK88" i="2"/>
  <c r="D89" i="2"/>
  <c r="E89" i="2"/>
  <c r="G89" i="2"/>
  <c r="I89" i="2"/>
  <c r="J89" i="2"/>
  <c r="K89" i="2"/>
  <c r="L89" i="2"/>
  <c r="AE89" i="2"/>
  <c r="AH89" i="2"/>
  <c r="AK89" i="2"/>
  <c r="D90" i="2"/>
  <c r="E90" i="2"/>
  <c r="G90" i="2"/>
  <c r="I90" i="2"/>
  <c r="J90" i="2"/>
  <c r="K90" i="2"/>
  <c r="L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J116" i="2"/>
  <c r="J117" i="2"/>
  <c r="J118" i="2"/>
  <c r="J119" i="2"/>
  <c r="J120" i="2"/>
  <c r="J121" i="2"/>
  <c r="J122" i="2"/>
  <c r="K116" i="2"/>
  <c r="K117" i="2"/>
  <c r="K118" i="2"/>
  <c r="K119" i="2"/>
  <c r="K120" i="2"/>
  <c r="K121" i="2"/>
  <c r="K122" i="2"/>
  <c r="L116" i="2"/>
  <c r="L117" i="2"/>
  <c r="L118" i="2"/>
  <c r="L119" i="2"/>
  <c r="L120" i="2"/>
  <c r="L121" i="2"/>
  <c r="L122" i="2"/>
  <c r="BH80" i="33"/>
  <c r="AM81" i="33"/>
  <c r="AA30" i="2"/>
  <c r="AA60" i="2"/>
  <c r="AA32" i="2"/>
  <c r="AA2" i="2"/>
  <c r="AA89" i="2"/>
  <c r="BH81" i="33"/>
  <c r="AM82" i="33"/>
  <c r="AA61" i="2"/>
  <c r="AA90" i="2"/>
  <c r="AA33" i="2"/>
  <c r="AA3" i="2"/>
  <c r="BH82" i="33"/>
  <c r="AM83" i="33"/>
  <c r="AA62" i="2"/>
  <c r="AA91" i="2"/>
  <c r="AA4" i="2"/>
  <c r="AA34" i="2"/>
  <c r="BH83" i="33"/>
  <c r="AM84" i="33"/>
  <c r="AA63" i="2"/>
  <c r="AA5" i="2"/>
  <c r="AA92" i="2"/>
  <c r="BH84" i="33"/>
  <c r="AM85" i="33"/>
  <c r="AA6" i="2"/>
  <c r="AA35" i="2"/>
  <c r="AM86" i="33"/>
  <c r="BH85" i="33"/>
  <c r="AA7" i="2"/>
  <c r="AA36" i="2"/>
  <c r="AA64" i="2"/>
  <c r="AA93" i="2"/>
  <c r="BH86" i="33"/>
  <c r="AM87" i="33"/>
  <c r="BH87" i="33"/>
  <c r="AA8" i="2"/>
  <c r="AA37" i="2"/>
  <c r="AA65" i="2"/>
  <c r="AA94" i="2"/>
  <c r="D117" i="2"/>
  <c r="E117" i="2"/>
  <c r="G117" i="2"/>
  <c r="I117" i="2"/>
  <c r="AE117" i="2"/>
  <c r="AH117" i="2"/>
  <c r="AK117" i="2"/>
  <c r="D118" i="2"/>
  <c r="E118" i="2"/>
  <c r="G118" i="2"/>
  <c r="I118" i="2"/>
  <c r="AE118" i="2"/>
  <c r="AH118" i="2"/>
  <c r="AK118"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AA9" i="2"/>
  <c r="AA38" i="2"/>
  <c r="AA66" i="2"/>
  <c r="AA95" i="2"/>
  <c r="AA10" i="2"/>
  <c r="AA39" i="2"/>
  <c r="AA67" i="2"/>
  <c r="AA96" i="2"/>
  <c r="D3" i="22"/>
  <c r="C4" i="16"/>
  <c r="C5" i="16"/>
  <c r="I8" i="15" s="1"/>
  <c r="C6" i="16"/>
  <c r="C7" i="16"/>
  <c r="C10" i="16"/>
  <c r="K14" i="15" s="1"/>
  <c r="C2" i="16"/>
  <c r="AH116" i="2"/>
  <c r="AK116" i="2"/>
  <c r="AE116" i="2"/>
  <c r="B10" i="25"/>
  <c r="E10" i="25"/>
  <c r="F10" i="25"/>
  <c r="H10" i="25"/>
  <c r="J10" i="25"/>
  <c r="K10" i="25"/>
  <c r="L10" i="25"/>
  <c r="M10" i="25"/>
  <c r="I5" i="15"/>
  <c r="I7" i="15"/>
  <c r="I10" i="15"/>
  <c r="K6" i="15"/>
  <c r="I11" i="15"/>
  <c r="K9" i="15"/>
  <c r="K11" i="15"/>
  <c r="K10" i="15"/>
  <c r="K8" i="15"/>
  <c r="K2" i="15"/>
  <c r="H115" i="2" s="1"/>
  <c r="K3" i="15"/>
  <c r="C2" i="33"/>
  <c r="I12" i="15"/>
  <c r="K13" i="15"/>
  <c r="AA11" i="2"/>
  <c r="AA40" i="2"/>
  <c r="AA68" i="2"/>
  <c r="AA97" i="2"/>
  <c r="K12" i="15"/>
  <c r="C84" i="33"/>
  <c r="C97" i="33"/>
  <c r="C41" i="33"/>
  <c r="C36" i="33"/>
  <c r="C37" i="33"/>
  <c r="C151" i="33"/>
  <c r="C110" i="33"/>
  <c r="C148" i="33"/>
  <c r="C71" i="33"/>
  <c r="C146" i="33"/>
  <c r="C65" i="33"/>
  <c r="C140" i="33"/>
  <c r="C46" i="33"/>
  <c r="C53" i="33"/>
  <c r="C38" i="33"/>
  <c r="C147" i="33"/>
  <c r="C112" i="33"/>
  <c r="C32" i="33"/>
  <c r="C144" i="33"/>
  <c r="C6" i="33"/>
  <c r="C106" i="33"/>
  <c r="C63" i="33"/>
  <c r="C102" i="33"/>
  <c r="C139" i="33"/>
  <c r="C83" i="33"/>
  <c r="C104" i="33"/>
  <c r="C64" i="33"/>
  <c r="C34" i="33"/>
  <c r="C47" i="33"/>
  <c r="C5" i="33"/>
  <c r="C136" i="33"/>
  <c r="C96" i="33"/>
  <c r="C43" i="33"/>
  <c r="C30" i="33"/>
  <c r="C115" i="33"/>
  <c r="C72" i="33"/>
  <c r="C134" i="33"/>
  <c r="C88" i="33"/>
  <c r="C15" i="33"/>
  <c r="C28" i="33"/>
  <c r="C113" i="33"/>
  <c r="C59" i="33"/>
  <c r="C132" i="33"/>
  <c r="C81" i="33"/>
  <c r="C62" i="33"/>
  <c r="C80" i="33"/>
  <c r="C103" i="33"/>
  <c r="C35" i="33"/>
  <c r="C130" i="33"/>
  <c r="C69" i="33"/>
  <c r="C60" i="33"/>
  <c r="C68" i="33"/>
  <c r="C95" i="33"/>
  <c r="C49" i="33"/>
  <c r="C128" i="33"/>
  <c r="C51" i="33"/>
  <c r="C58" i="33"/>
  <c r="C20" i="33"/>
  <c r="C93" i="33"/>
  <c r="C29" i="33"/>
  <c r="C126" i="33"/>
  <c r="C13" i="33"/>
  <c r="C56" i="33"/>
  <c r="C16" i="33"/>
  <c r="C57" i="33"/>
  <c r="C120" i="33"/>
  <c r="C150" i="33"/>
  <c r="C54" i="33"/>
  <c r="C14" i="33"/>
  <c r="C109" i="33"/>
  <c r="C91" i="33"/>
  <c r="C22" i="33"/>
  <c r="C137" i="33"/>
  <c r="C89" i="33"/>
  <c r="C133" i="33"/>
  <c r="C61" i="33"/>
  <c r="C127" i="33"/>
  <c r="C82" i="33"/>
  <c r="C119" i="33"/>
  <c r="C4" i="33"/>
  <c r="C108" i="33"/>
  <c r="C11" i="33"/>
  <c r="C52" i="33"/>
  <c r="C18" i="33"/>
  <c r="C117" i="33"/>
  <c r="C135" i="33"/>
  <c r="C111" i="33"/>
  <c r="C75" i="33"/>
  <c r="C55" i="33"/>
  <c r="C33" i="33"/>
  <c r="C124" i="33"/>
  <c r="C100" i="33"/>
  <c r="C76" i="33"/>
  <c r="C67" i="33"/>
  <c r="C50" i="33"/>
  <c r="C26" i="33"/>
  <c r="C12" i="33"/>
  <c r="C131" i="33"/>
  <c r="C107" i="33"/>
  <c r="C45" i="33"/>
  <c r="C145" i="33"/>
  <c r="C39" i="33"/>
  <c r="C19" i="33"/>
  <c r="C122" i="33"/>
  <c r="C98" i="33"/>
  <c r="C77" i="33"/>
  <c r="C17" i="33"/>
  <c r="C48" i="33"/>
  <c r="C24" i="33"/>
  <c r="C7" i="33"/>
  <c r="C129" i="33"/>
  <c r="C105" i="33"/>
  <c r="C79" i="33"/>
  <c r="C118" i="33"/>
  <c r="C94" i="33"/>
  <c r="C23" i="33"/>
  <c r="C85" i="33"/>
  <c r="C44" i="33"/>
  <c r="C73" i="33"/>
  <c r="C3" i="33"/>
  <c r="C125" i="33"/>
  <c r="C101" i="33"/>
  <c r="C70" i="33"/>
  <c r="C143" i="33"/>
  <c r="C31" i="33"/>
  <c r="C142" i="33"/>
  <c r="C27" i="33"/>
  <c r="C116" i="33"/>
  <c r="C92" i="33"/>
  <c r="C86" i="33"/>
  <c r="C78" i="33"/>
  <c r="C42" i="33"/>
  <c r="C25" i="33"/>
  <c r="C123" i="33"/>
  <c r="C99" i="33"/>
  <c r="C141" i="33"/>
  <c r="C21" i="33"/>
  <c r="C138" i="33"/>
  <c r="C114" i="33"/>
  <c r="C90" i="33"/>
  <c r="C74" i="33"/>
  <c r="C66" i="33"/>
  <c r="C40" i="33"/>
  <c r="C87" i="33"/>
  <c r="C149" i="33"/>
  <c r="C121" i="33"/>
  <c r="F8" i="27"/>
  <c r="A38" i="27" s="1"/>
  <c r="A47" i="27" s="1"/>
  <c r="A61" i="27" s="1"/>
  <c r="F9" i="27"/>
  <c r="A39" i="27" s="1"/>
  <c r="A48" i="27" s="1"/>
  <c r="A62" i="27" s="1"/>
  <c r="C8" i="33"/>
  <c r="C9" i="33"/>
  <c r="C10" i="33"/>
  <c r="AA12" i="2"/>
  <c r="AA41" i="2"/>
  <c r="AA69" i="2"/>
  <c r="AA98" i="2"/>
  <c r="I116"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H13" i="33"/>
  <c r="AU13" i="33" s="1"/>
  <c r="H19" i="33"/>
  <c r="AZ19" i="33" s="1"/>
  <c r="H12" i="33"/>
  <c r="AZ12" i="33" s="1"/>
  <c r="H14" i="33"/>
  <c r="AU14" i="33" s="1"/>
  <c r="H11" i="33"/>
  <c r="AF11" i="33" s="1"/>
  <c r="H18" i="33"/>
  <c r="H8" i="33"/>
  <c r="AU8" i="33" s="1"/>
  <c r="AA13" i="2"/>
  <c r="AA42" i="2"/>
  <c r="AA70" i="2"/>
  <c r="AD70" i="2" s="1"/>
  <c r="AA99" i="2"/>
  <c r="F4" i="21"/>
  <c r="F5" i="21"/>
  <c r="F2" i="21"/>
  <c r="F3" i="21"/>
  <c r="F6" i="21"/>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3" i="22"/>
  <c r="AA14" i="2"/>
  <c r="AA43" i="2"/>
  <c r="AA71" i="2"/>
  <c r="AA100" i="2"/>
  <c r="I10" i="25"/>
  <c r="AA15" i="2"/>
  <c r="AA44" i="2"/>
  <c r="AA72" i="2"/>
  <c r="AA101" i="2"/>
  <c r="G10" i="25"/>
  <c r="C10" i="25"/>
  <c r="AA16" i="2"/>
  <c r="AA45" i="2"/>
  <c r="AG72" i="2"/>
  <c r="AA73" i="2"/>
  <c r="AA102" i="2"/>
  <c r="AA17" i="2"/>
  <c r="AA46" i="2"/>
  <c r="AA74" i="2"/>
  <c r="AA103" i="2"/>
  <c r="AA18" i="2"/>
  <c r="AA47" i="2"/>
  <c r="AA75" i="2"/>
  <c r="AA104" i="2"/>
  <c r="C12" i="25"/>
  <c r="C3" i="25"/>
  <c r="D54" i="5"/>
  <c r="D37" i="5"/>
  <c r="D19" i="5"/>
  <c r="AL3" i="22"/>
  <c r="AD3" i="22"/>
  <c r="Z3" i="22"/>
  <c r="W3" i="22"/>
  <c r="AC3" i="22"/>
  <c r="T3" i="22"/>
  <c r="Q3" i="22"/>
  <c r="N3" i="22"/>
  <c r="M3" i="22"/>
  <c r="K3" i="22"/>
  <c r="J3" i="22"/>
  <c r="I3" i="22"/>
  <c r="H3" i="22"/>
  <c r="G3" i="22"/>
  <c r="L6" i="21"/>
  <c r="K6" i="21"/>
  <c r="J6" i="21"/>
  <c r="I6" i="21"/>
  <c r="H6" i="21"/>
  <c r="G6" i="21"/>
  <c r="D6" i="21"/>
  <c r="C6" i="21" s="1"/>
  <c r="L5" i="21"/>
  <c r="K5" i="21"/>
  <c r="J5" i="21"/>
  <c r="I5" i="21"/>
  <c r="H5" i="21"/>
  <c r="G5" i="21"/>
  <c r="L4" i="21"/>
  <c r="K4" i="21"/>
  <c r="J4" i="21"/>
  <c r="I4" i="21"/>
  <c r="H4" i="21"/>
  <c r="G4" i="21"/>
  <c r="L3" i="21"/>
  <c r="K3" i="21"/>
  <c r="J3" i="21"/>
  <c r="I3" i="21"/>
  <c r="H3" i="21"/>
  <c r="G3" i="21"/>
  <c r="L2" i="21"/>
  <c r="K2" i="21"/>
  <c r="J2" i="21"/>
  <c r="I2" i="21"/>
  <c r="H2" i="21"/>
  <c r="G2" i="2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c r="S9" i="10"/>
  <c r="T9" i="10"/>
  <c r="AI9" i="10"/>
  <c r="U9" i="10"/>
  <c r="V9" i="10"/>
  <c r="AK9" i="10"/>
  <c r="W9" i="10"/>
  <c r="X9" i="10"/>
  <c r="AM9" i="10"/>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c r="W13" i="10"/>
  <c r="X13" i="10"/>
  <c r="AM13" i="10"/>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16" i="33"/>
  <c r="F8" i="33"/>
  <c r="F10" i="33"/>
  <c r="F9" i="33"/>
  <c r="F65" i="33"/>
  <c r="F77" i="33"/>
  <c r="F33" i="33"/>
  <c r="F45" i="33"/>
  <c r="F70" i="33"/>
  <c r="F82" i="33"/>
  <c r="F37" i="33"/>
  <c r="F75" i="33"/>
  <c r="F89" i="33"/>
  <c r="F91" i="33"/>
  <c r="F93" i="33"/>
  <c r="F95" i="33"/>
  <c r="F97" i="33"/>
  <c r="F99" i="33"/>
  <c r="F101" i="33"/>
  <c r="F103" i="33"/>
  <c r="F105" i="33"/>
  <c r="F107" i="33"/>
  <c r="F109" i="33"/>
  <c r="F111" i="33"/>
  <c r="F113" i="33"/>
  <c r="F115" i="33"/>
  <c r="F117" i="33"/>
  <c r="F119" i="33"/>
  <c r="F121" i="33"/>
  <c r="F123" i="33"/>
  <c r="F125" i="33"/>
  <c r="F127" i="33"/>
  <c r="F129" i="33"/>
  <c r="F131" i="33"/>
  <c r="F133" i="33"/>
  <c r="F135" i="33"/>
  <c r="F137" i="33"/>
  <c r="F139" i="33"/>
  <c r="F31" i="33"/>
  <c r="F41" i="33"/>
  <c r="F47" i="33"/>
  <c r="F53" i="33"/>
  <c r="F84" i="33"/>
  <c r="F149" i="33"/>
  <c r="F151" i="33"/>
  <c r="F3" i="33"/>
  <c r="F7" i="33"/>
  <c r="F12" i="33"/>
  <c r="F14" i="33"/>
  <c r="F18" i="33"/>
  <c r="F20" i="33"/>
  <c r="F68" i="33"/>
  <c r="F80" i="33"/>
  <c r="F87" i="33"/>
  <c r="F73" i="33"/>
  <c r="F88" i="33"/>
  <c r="F98" i="33"/>
  <c r="F106" i="33"/>
  <c r="F108" i="33"/>
  <c r="F120" i="33"/>
  <c r="F122" i="33"/>
  <c r="F130" i="33"/>
  <c r="F132" i="33"/>
  <c r="F138" i="33"/>
  <c r="F67" i="33"/>
  <c r="F86" i="33"/>
  <c r="F39" i="33"/>
  <c r="F55" i="33"/>
  <c r="F61" i="33"/>
  <c r="F22" i="33"/>
  <c r="F24" i="33"/>
  <c r="F26" i="33"/>
  <c r="F28" i="33"/>
  <c r="F30" i="33"/>
  <c r="F32" i="33"/>
  <c r="F34" i="33"/>
  <c r="F36" i="33"/>
  <c r="F38" i="33"/>
  <c r="F40" i="33"/>
  <c r="F42" i="33"/>
  <c r="F44" i="33"/>
  <c r="F46" i="33"/>
  <c r="F48" i="33"/>
  <c r="F50" i="33"/>
  <c r="F52" i="33"/>
  <c r="F54" i="33"/>
  <c r="F56" i="33"/>
  <c r="F58" i="33"/>
  <c r="F60" i="33"/>
  <c r="F62" i="33"/>
  <c r="F66" i="33"/>
  <c r="F78" i="33"/>
  <c r="F85" i="33"/>
  <c r="F81" i="33"/>
  <c r="F112" i="33"/>
  <c r="F128" i="33"/>
  <c r="F136" i="33"/>
  <c r="F72" i="33"/>
  <c r="F64" i="33"/>
  <c r="F71" i="33"/>
  <c r="F83" i="33"/>
  <c r="F90" i="33"/>
  <c r="F102" i="33"/>
  <c r="F114" i="33"/>
  <c r="F134" i="33"/>
  <c r="F76" i="33"/>
  <c r="F69" i="33"/>
  <c r="F92" i="33"/>
  <c r="F94" i="33"/>
  <c r="F110" i="33"/>
  <c r="F118" i="33"/>
  <c r="F126" i="33"/>
  <c r="F29" i="33"/>
  <c r="F51" i="33"/>
  <c r="F96" i="33"/>
  <c r="F100" i="33"/>
  <c r="F104" i="33"/>
  <c r="F116" i="33"/>
  <c r="F124" i="33"/>
  <c r="F150" i="33"/>
  <c r="F2" i="33"/>
  <c r="F4" i="33"/>
  <c r="F11" i="33"/>
  <c r="F13" i="33"/>
  <c r="F15" i="33"/>
  <c r="F17" i="33"/>
  <c r="F19" i="33"/>
  <c r="F74" i="33"/>
  <c r="F43" i="33"/>
  <c r="F49" i="33"/>
  <c r="F59" i="33"/>
  <c r="F79" i="33"/>
  <c r="F21" i="33"/>
  <c r="F23" i="33"/>
  <c r="F25" i="33"/>
  <c r="F27" i="33"/>
  <c r="F35" i="33"/>
  <c r="F57" i="33"/>
  <c r="F63" i="33"/>
  <c r="F140" i="33"/>
  <c r="F141" i="33"/>
  <c r="F142" i="33"/>
  <c r="F143" i="33"/>
  <c r="F144" i="33"/>
  <c r="F145" i="33"/>
  <c r="F146" i="33"/>
  <c r="F147" i="33"/>
  <c r="F148" i="33"/>
  <c r="F5" i="33"/>
  <c r="F6" i="33"/>
  <c r="H142" i="33"/>
  <c r="BE142" i="33" s="1"/>
  <c r="H145" i="33"/>
  <c r="BE145" i="33" s="1"/>
  <c r="H148" i="33"/>
  <c r="AP148" i="33" s="1"/>
  <c r="AA19" i="2"/>
  <c r="AA48" i="2"/>
  <c r="AA76" i="2"/>
  <c r="AA105" i="2"/>
  <c r="C9" i="25"/>
  <c r="D59" i="18"/>
  <c r="D61" i="18"/>
  <c r="D62" i="18"/>
  <c r="C62" i="18" s="1"/>
  <c r="D63" i="18"/>
  <c r="C63" i="18" s="1"/>
  <c r="D60" i="18"/>
  <c r="C60" i="18" s="1"/>
  <c r="D52" i="18"/>
  <c r="C52" i="18" s="1"/>
  <c r="D54" i="18"/>
  <c r="C54" i="18" s="1"/>
  <c r="D57" i="18"/>
  <c r="D53" i="18"/>
  <c r="D55" i="18"/>
  <c r="C55" i="18" s="1"/>
  <c r="D56" i="18"/>
  <c r="C56" i="18" s="1"/>
  <c r="D58" i="18"/>
  <c r="C8" i="25"/>
  <c r="D116" i="2"/>
  <c r="E116" i="2"/>
  <c r="G116" i="2"/>
  <c r="D2" i="21"/>
  <c r="C2" i="21" s="1"/>
  <c r="D5" i="21"/>
  <c r="C5" i="21" s="1"/>
  <c r="D3" i="18"/>
  <c r="D29" i="18"/>
  <c r="C29" i="18" s="1"/>
  <c r="D21" i="18"/>
  <c r="C21" i="18" s="1"/>
  <c r="D47" i="18"/>
  <c r="D20" i="18"/>
  <c r="D44" i="18"/>
  <c r="D17" i="18"/>
  <c r="D42" i="18"/>
  <c r="D11" i="18"/>
  <c r="D41" i="18"/>
  <c r="D9" i="18"/>
  <c r="C9" i="18" s="1"/>
  <c r="D35" i="18"/>
  <c r="C35" i="18" s="1"/>
  <c r="D8" i="18"/>
  <c r="D33" i="18"/>
  <c r="D6" i="18"/>
  <c r="D32" i="18"/>
  <c r="D46" i="18"/>
  <c r="C46" i="18" s="1"/>
  <c r="D34" i="18"/>
  <c r="D22" i="18"/>
  <c r="D10" i="18"/>
  <c r="D43" i="18"/>
  <c r="D31" i="18"/>
  <c r="D19" i="18"/>
  <c r="D7" i="18"/>
  <c r="D40" i="18"/>
  <c r="D28" i="18"/>
  <c r="D16" i="18"/>
  <c r="D51" i="18"/>
  <c r="C51" i="18" s="1"/>
  <c r="D39" i="18"/>
  <c r="D27" i="18"/>
  <c r="D15" i="18"/>
  <c r="D50" i="18"/>
  <c r="D38" i="18"/>
  <c r="C38" i="18" s="1"/>
  <c r="D26" i="18"/>
  <c r="D14" i="18"/>
  <c r="D2" i="18"/>
  <c r="D49" i="18"/>
  <c r="D37" i="18"/>
  <c r="C37" i="18" s="1"/>
  <c r="D25" i="18"/>
  <c r="D13" i="18"/>
  <c r="C13" i="18" s="1"/>
  <c r="D48" i="18"/>
  <c r="D36" i="18"/>
  <c r="C36" i="18" s="1"/>
  <c r="D24" i="18"/>
  <c r="D12" i="18"/>
  <c r="AA20" i="2"/>
  <c r="AA49" i="2"/>
  <c r="AA77" i="2"/>
  <c r="AA106" i="2"/>
  <c r="I2" i="25"/>
  <c r="C13" i="25"/>
  <c r="H4" i="33"/>
  <c r="AF4" i="33" s="1"/>
  <c r="G2" i="25"/>
  <c r="N4" i="16"/>
  <c r="O4" i="22" s="1"/>
  <c r="G8" i="25"/>
  <c r="G20" i="25"/>
  <c r="G6" i="25"/>
  <c r="G21" i="25"/>
  <c r="G12" i="25"/>
  <c r="G19" i="25"/>
  <c r="G9" i="25"/>
  <c r="G11" i="25"/>
  <c r="G5" i="25"/>
  <c r="G3" i="25"/>
  <c r="I16" i="25"/>
  <c r="I12" i="25"/>
  <c r="I21" i="25"/>
  <c r="I17" i="25"/>
  <c r="I3" i="25"/>
  <c r="I8" i="25"/>
  <c r="I19" i="25"/>
  <c r="I9" i="25"/>
  <c r="I7" i="25"/>
  <c r="I18" i="25"/>
  <c r="I13" i="25"/>
  <c r="I20" i="25"/>
  <c r="G14" i="25"/>
  <c r="I15" i="25"/>
  <c r="I22" i="25"/>
  <c r="K15" i="15"/>
  <c r="I15" i="15"/>
  <c r="I25" i="25"/>
  <c r="I24" i="25"/>
  <c r="H2" i="33"/>
  <c r="AK2" i="33" s="1"/>
  <c r="H3" i="33"/>
  <c r="I3" i="33" s="1"/>
  <c r="V8" i="16"/>
  <c r="AA8" i="22" s="1"/>
  <c r="T8" i="16"/>
  <c r="X8" i="22" s="1"/>
  <c r="T9" i="16"/>
  <c r="X9" i="22" s="1"/>
  <c r="V9" i="16"/>
  <c r="AA9" i="22" s="1"/>
  <c r="N8" i="16"/>
  <c r="O8" i="22" s="1"/>
  <c r="N9" i="16"/>
  <c r="O9" i="22" s="1"/>
  <c r="Z9" i="16"/>
  <c r="AI9" i="22" s="1"/>
  <c r="AJ9" i="22" s="1"/>
  <c r="AB9" i="16"/>
  <c r="AM9" i="22" s="1"/>
  <c r="AN9" i="22" s="1"/>
  <c r="P8" i="16"/>
  <c r="R8" i="22" s="1"/>
  <c r="AB8" i="16"/>
  <c r="AM8" i="22" s="1"/>
  <c r="AN8" i="22" s="1"/>
  <c r="P9" i="16"/>
  <c r="R9" i="22" s="1"/>
  <c r="R8" i="16"/>
  <c r="U8" i="22" s="1"/>
  <c r="R9" i="16"/>
  <c r="U9" i="22" s="1"/>
  <c r="H7" i="33"/>
  <c r="AF7" i="33" s="1"/>
  <c r="V2" i="16"/>
  <c r="AA2" i="22" s="1"/>
  <c r="N5" i="16"/>
  <c r="O5" i="22" s="1"/>
  <c r="P4" i="16"/>
  <c r="R4" i="22" s="1"/>
  <c r="I4" i="25"/>
  <c r="G32" i="25"/>
  <c r="G41" i="25"/>
  <c r="G26" i="25"/>
  <c r="G33" i="25"/>
  <c r="I32" i="25"/>
  <c r="H63" i="2"/>
  <c r="I35" i="25"/>
  <c r="H82" i="2"/>
  <c r="I26" i="25"/>
  <c r="I23" i="25"/>
  <c r="H88" i="2"/>
  <c r="I37" i="25"/>
  <c r="I34" i="25"/>
  <c r="H66" i="2"/>
  <c r="I29" i="25"/>
  <c r="I36" i="25"/>
  <c r="H26" i="2"/>
  <c r="I40" i="25"/>
  <c r="I28" i="25"/>
  <c r="I38" i="25"/>
  <c r="H27" i="2"/>
  <c r="I39" i="25"/>
  <c r="I33" i="25"/>
  <c r="H119" i="2"/>
  <c r="I31" i="25"/>
  <c r="I30" i="25"/>
  <c r="I41" i="25"/>
  <c r="I27" i="25"/>
  <c r="H117" i="2"/>
  <c r="H28" i="2"/>
  <c r="AA21" i="2"/>
  <c r="AA50" i="2"/>
  <c r="AA78" i="2"/>
  <c r="AD78" i="2" s="1"/>
  <c r="AA107" i="2"/>
  <c r="H33" i="2"/>
  <c r="H35" i="2"/>
  <c r="H56" i="2"/>
  <c r="H34" i="2"/>
  <c r="R3" i="16"/>
  <c r="P2" i="16"/>
  <c r="R2" i="22" s="1"/>
  <c r="R6" i="16"/>
  <c r="U6" i="22" s="1"/>
  <c r="R10" i="16"/>
  <c r="U10" i="22" s="1"/>
  <c r="V3" i="16"/>
  <c r="T2" i="16"/>
  <c r="X2" i="22" s="1"/>
  <c r="T3" i="16"/>
  <c r="X3" i="22" s="1"/>
  <c r="R7" i="16"/>
  <c r="U13" i="33"/>
  <c r="P7" i="16"/>
  <c r="R7" i="22" s="1"/>
  <c r="R13" i="33"/>
  <c r="G30" i="25"/>
  <c r="G27" i="25"/>
  <c r="G36" i="25"/>
  <c r="G29" i="25"/>
  <c r="G22" i="25"/>
  <c r="I14" i="25"/>
  <c r="G37" i="25"/>
  <c r="C20" i="25"/>
  <c r="G24" i="25"/>
  <c r="G23" i="25"/>
  <c r="G28" i="25"/>
  <c r="G35" i="25"/>
  <c r="G34" i="25"/>
  <c r="G31" i="25"/>
  <c r="G38" i="25"/>
  <c r="G40" i="25"/>
  <c r="G39" i="25"/>
  <c r="G25" i="25"/>
  <c r="AB3" i="16"/>
  <c r="AM3" i="22" s="1"/>
  <c r="AN3" i="22" s="1"/>
  <c r="T6" i="16"/>
  <c r="X6" i="22" s="1"/>
  <c r="V10" i="16"/>
  <c r="AA10" i="22" s="1"/>
  <c r="V5" i="16"/>
  <c r="AA5" i="22" s="1"/>
  <c r="N2" i="16"/>
  <c r="O2" i="22" s="1"/>
  <c r="P10" i="16"/>
  <c r="R10" i="22" s="1"/>
  <c r="T10" i="16"/>
  <c r="X10" i="22" s="1"/>
  <c r="V6" i="16"/>
  <c r="AA6" i="22" s="1"/>
  <c r="T4" i="16"/>
  <c r="X4" i="22" s="1"/>
  <c r="T5" i="16"/>
  <c r="X5" i="22" s="1"/>
  <c r="P6" i="16"/>
  <c r="R6" i="22" s="1"/>
  <c r="R2" i="16"/>
  <c r="U2" i="22" s="1"/>
  <c r="V7" i="16"/>
  <c r="AA13" i="33"/>
  <c r="AB10" i="16"/>
  <c r="AM10" i="22" s="1"/>
  <c r="AN10" i="22" s="1"/>
  <c r="Z10" i="16"/>
  <c r="AI10" i="22" s="1"/>
  <c r="AJ10" i="22" s="1"/>
  <c r="AB6" i="16"/>
  <c r="AM6" i="22" s="1"/>
  <c r="AN6" i="22" s="1"/>
  <c r="R5" i="16"/>
  <c r="U5" i="22" s="1"/>
  <c r="V4" i="16"/>
  <c r="AA4" i="22" s="1"/>
  <c r="T7" i="16"/>
  <c r="X7" i="22" s="1"/>
  <c r="X13" i="33"/>
  <c r="P5" i="16"/>
  <c r="R5" i="22" s="1"/>
  <c r="AB7" i="16"/>
  <c r="AM7" i="22" s="1"/>
  <c r="AN7" i="22" s="1"/>
  <c r="I5" i="25"/>
  <c r="C21" i="25"/>
  <c r="I6" i="25"/>
  <c r="G16" i="25"/>
  <c r="G4" i="25"/>
  <c r="C19" i="25"/>
  <c r="C18" i="25"/>
  <c r="G15" i="25"/>
  <c r="C17" i="25"/>
  <c r="C2" i="25"/>
  <c r="I11" i="25"/>
  <c r="G7" i="25"/>
  <c r="G17" i="25"/>
  <c r="G18" i="25"/>
  <c r="G13" i="25"/>
  <c r="H15" i="33"/>
  <c r="AU15" i="33" s="1"/>
  <c r="H16" i="33"/>
  <c r="BE16" i="33" s="1"/>
  <c r="H17" i="33"/>
  <c r="I17" i="33" s="1"/>
  <c r="R16" i="33"/>
  <c r="R17" i="33"/>
  <c r="AA18" i="33"/>
  <c r="AA19" i="33"/>
  <c r="X17" i="33"/>
  <c r="X16" i="33"/>
  <c r="R18" i="33"/>
  <c r="R19" i="33"/>
  <c r="X19" i="33"/>
  <c r="X18" i="33"/>
  <c r="U16" i="33"/>
  <c r="U17" i="33"/>
  <c r="O19" i="33"/>
  <c r="O18" i="33"/>
  <c r="U18" i="33"/>
  <c r="U19" i="33"/>
  <c r="O17" i="33"/>
  <c r="O16" i="33"/>
  <c r="AA16" i="33"/>
  <c r="AA17" i="33"/>
  <c r="U14" i="33"/>
  <c r="U15" i="33"/>
  <c r="R14" i="33"/>
  <c r="R15" i="33"/>
  <c r="X14" i="33"/>
  <c r="X15" i="33"/>
  <c r="AA14" i="33"/>
  <c r="AA15" i="33"/>
  <c r="O14" i="33"/>
  <c r="U11" i="33"/>
  <c r="U12" i="33"/>
  <c r="AA12" i="33"/>
  <c r="AA11" i="33"/>
  <c r="X11" i="33"/>
  <c r="X12" i="33"/>
  <c r="R11" i="33"/>
  <c r="R12" i="33"/>
  <c r="U7" i="33"/>
  <c r="AA7" i="33"/>
  <c r="X7" i="33"/>
  <c r="H151" i="33"/>
  <c r="AK151" i="33" s="1"/>
  <c r="H150" i="33"/>
  <c r="AP150" i="33" s="1"/>
  <c r="H149" i="33"/>
  <c r="BE149" i="33" s="1"/>
  <c r="R151" i="33"/>
  <c r="R150" i="33"/>
  <c r="R149" i="33"/>
  <c r="AA4" i="33"/>
  <c r="X4" i="33"/>
  <c r="U4" i="33"/>
  <c r="R2" i="33"/>
  <c r="R3" i="33"/>
  <c r="U3" i="33"/>
  <c r="R4" i="33"/>
  <c r="X150" i="33"/>
  <c r="X149" i="33"/>
  <c r="X151" i="33"/>
  <c r="AA149" i="33"/>
  <c r="AA150" i="33"/>
  <c r="AA151" i="33"/>
  <c r="O4" i="33"/>
  <c r="U151" i="33"/>
  <c r="U149" i="33"/>
  <c r="U150" i="33"/>
  <c r="O149" i="33"/>
  <c r="O150" i="33"/>
  <c r="O151" i="33"/>
  <c r="AA3" i="33"/>
  <c r="AA2" i="33"/>
  <c r="X3" i="33"/>
  <c r="X2" i="33"/>
  <c r="AB2" i="16"/>
  <c r="AM2" i="22" s="1"/>
  <c r="AN2" i="22" s="1"/>
  <c r="H5" i="33"/>
  <c r="AF5" i="33" s="1"/>
  <c r="H6" i="33"/>
  <c r="AF6" i="33" s="1"/>
  <c r="H141" i="33"/>
  <c r="AP141" i="33" s="1"/>
  <c r="H144" i="33"/>
  <c r="AU144" i="33" s="1"/>
  <c r="H147" i="33"/>
  <c r="AF147" i="33" s="1"/>
  <c r="H10" i="33"/>
  <c r="BE10" i="33" s="1"/>
  <c r="H140" i="33"/>
  <c r="AZ140" i="33" s="1"/>
  <c r="H143" i="33"/>
  <c r="AU143" i="33" s="1"/>
  <c r="H146" i="33"/>
  <c r="I146" i="33" s="1"/>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U9" i="33"/>
  <c r="X9" i="33"/>
  <c r="AA9" i="33"/>
  <c r="C34" i="25"/>
  <c r="C25" i="25"/>
  <c r="C27" i="25"/>
  <c r="C39" i="25"/>
  <c r="C32" i="25"/>
  <c r="C40" i="25"/>
  <c r="C37" i="25"/>
  <c r="C30" i="25"/>
  <c r="C35" i="25"/>
  <c r="C22" i="25"/>
  <c r="C29" i="25"/>
  <c r="C23" i="25"/>
  <c r="C31" i="25"/>
  <c r="C41" i="25"/>
  <c r="C26" i="25"/>
  <c r="C28" i="25"/>
  <c r="C38" i="25"/>
  <c r="C24" i="25"/>
  <c r="C33" i="25"/>
  <c r="C36" i="25"/>
  <c r="AA22" i="2"/>
  <c r="AA51" i="2"/>
  <c r="AA79" i="2"/>
  <c r="AA108" i="2"/>
  <c r="N10" i="16"/>
  <c r="O10" i="22" s="1"/>
  <c r="O15" i="33"/>
  <c r="Z2" i="16"/>
  <c r="AI2" i="22" s="1"/>
  <c r="AJ2" i="22" s="1"/>
  <c r="N6" i="16"/>
  <c r="O6" i="22" s="1"/>
  <c r="R4" i="16"/>
  <c r="U4" i="22" s="1"/>
  <c r="C14" i="25"/>
  <c r="C11" i="25"/>
  <c r="C7" i="25"/>
  <c r="N7" i="16"/>
  <c r="O7" i="22" s="1"/>
  <c r="O13" i="33"/>
  <c r="C5" i="25"/>
  <c r="C16" i="25"/>
  <c r="C15" i="25"/>
  <c r="AB4" i="16"/>
  <c r="AM4" i="22" s="1"/>
  <c r="AN4" i="22" s="1"/>
  <c r="C6" i="25"/>
  <c r="P3" i="16"/>
  <c r="R3" i="22" s="1"/>
  <c r="R7" i="33"/>
  <c r="C4" i="25"/>
  <c r="N3" i="16"/>
  <c r="O3" i="22" s="1"/>
  <c r="O11" i="33"/>
  <c r="O12" i="33"/>
  <c r="U2" i="33"/>
  <c r="O2" i="33"/>
  <c r="O3" i="33"/>
  <c r="O7" i="33"/>
  <c r="O8" i="33"/>
  <c r="O10" i="33"/>
  <c r="O5" i="33"/>
  <c r="O6" i="33"/>
  <c r="R8" i="33"/>
  <c r="R10" i="33"/>
  <c r="O9" i="33"/>
  <c r="R9" i="33"/>
  <c r="AA23" i="2"/>
  <c r="AA52" i="2"/>
  <c r="AA80" i="2"/>
  <c r="AA109" i="2"/>
  <c r="AA24" i="2"/>
  <c r="AA53" i="2"/>
  <c r="AG80" i="2"/>
  <c r="AA81" i="2"/>
  <c r="AA110" i="2"/>
  <c r="AA25" i="2"/>
  <c r="AA54" i="2"/>
  <c r="AA82" i="2"/>
  <c r="AA111" i="2"/>
  <c r="AD111" i="2" s="1"/>
  <c r="AA26" i="2"/>
  <c r="AA55" i="2"/>
  <c r="AD55" i="2" s="1"/>
  <c r="AA83" i="2"/>
  <c r="AA112" i="2"/>
  <c r="AG112" i="2" s="1"/>
  <c r="AA28" i="2"/>
  <c r="AA27" i="2"/>
  <c r="AA57" i="2"/>
  <c r="AA56" i="2"/>
  <c r="AA84" i="2"/>
  <c r="AA113" i="2"/>
  <c r="AA86" i="2"/>
  <c r="AD86" i="2" s="1"/>
  <c r="AA85" i="2"/>
  <c r="AA115" i="2"/>
  <c r="AA114" i="2"/>
  <c r="AA116" i="2"/>
  <c r="AA117" i="2"/>
  <c r="AA119" i="2"/>
  <c r="AA118" i="2"/>
  <c r="AA120" i="2"/>
  <c r="AA121" i="2"/>
  <c r="AA122" i="2"/>
  <c r="AA123" i="2"/>
  <c r="AA124" i="2"/>
  <c r="AA125" i="2"/>
  <c r="AA126" i="2"/>
  <c r="AA127" i="2"/>
  <c r="H9" i="33"/>
  <c r="I9" i="33" s="1"/>
  <c r="H32" i="2" l="1"/>
  <c r="H67" i="2"/>
  <c r="H86" i="2"/>
  <c r="H78" i="2"/>
  <c r="H41" i="2"/>
  <c r="H49" i="2"/>
  <c r="H84" i="2"/>
  <c r="H74" i="2"/>
  <c r="H87" i="2"/>
  <c r="H47" i="2"/>
  <c r="H52" i="2"/>
  <c r="H51" i="2"/>
  <c r="H37" i="2"/>
  <c r="H59" i="2"/>
  <c r="H72" i="2"/>
  <c r="H85" i="2"/>
  <c r="H93" i="2"/>
  <c r="H110" i="2"/>
  <c r="H99" i="2"/>
  <c r="H126" i="2"/>
  <c r="H96" i="2"/>
  <c r="H70" i="2"/>
  <c r="H31" i="2"/>
  <c r="H76" i="2"/>
  <c r="H81" i="2"/>
  <c r="H48" i="2"/>
  <c r="H40" i="2"/>
  <c r="H39" i="2"/>
  <c r="H98" i="2"/>
  <c r="H92" i="2"/>
  <c r="H69" i="2"/>
  <c r="H105" i="2"/>
  <c r="H91" i="2"/>
  <c r="H89" i="2"/>
  <c r="H79" i="2"/>
  <c r="H61" i="2"/>
  <c r="H97" i="2"/>
  <c r="AG98" i="2"/>
  <c r="H36" i="2"/>
  <c r="H53" i="2"/>
  <c r="H71" i="2"/>
  <c r="H57" i="2"/>
  <c r="H44" i="2"/>
  <c r="H50" i="2"/>
  <c r="H113" i="2"/>
  <c r="H102" i="2"/>
  <c r="H103" i="2"/>
  <c r="H120" i="2"/>
  <c r="H73" i="2"/>
  <c r="H121" i="2"/>
  <c r="H90" i="2"/>
  <c r="H94" i="2"/>
  <c r="H112" i="2"/>
  <c r="H54" i="2"/>
  <c r="H30" i="2"/>
  <c r="H38" i="2"/>
  <c r="AG50" i="2"/>
  <c r="H108" i="2"/>
  <c r="H124" i="2"/>
  <c r="H114" i="2"/>
  <c r="H80" i="2"/>
  <c r="H62" i="2"/>
  <c r="H77" i="2"/>
  <c r="H75" i="2"/>
  <c r="H43" i="2"/>
  <c r="H68" i="2"/>
  <c r="H101" i="2"/>
  <c r="H100" i="2"/>
  <c r="H107" i="2"/>
  <c r="H29" i="2"/>
  <c r="H65" i="2"/>
  <c r="H106" i="2"/>
  <c r="H46" i="2"/>
  <c r="H42" i="2"/>
  <c r="H55" i="2"/>
  <c r="H45" i="2"/>
  <c r="H123" i="2"/>
  <c r="H118" i="2"/>
  <c r="H125" i="2"/>
  <c r="H83" i="2"/>
  <c r="H60" i="2"/>
  <c r="H58" i="2"/>
  <c r="H64" i="2"/>
  <c r="H95" i="2"/>
  <c r="AG113" i="2"/>
  <c r="AG57" i="2"/>
  <c r="AG49" i="2"/>
  <c r="AJ113" i="2"/>
  <c r="C15" i="15"/>
  <c r="Z6" i="16" s="1"/>
  <c r="AI6" i="22" s="1"/>
  <c r="AJ6" i="22" s="1"/>
  <c r="H109" i="2"/>
  <c r="H116" i="2"/>
  <c r="H111" i="2"/>
  <c r="H104" i="2"/>
  <c r="C7" i="18"/>
  <c r="AD29" i="2"/>
  <c r="H122" i="2"/>
  <c r="AG117" i="2"/>
  <c r="AJ124" i="2"/>
  <c r="C6" i="18"/>
  <c r="C57" i="18"/>
  <c r="C14" i="18"/>
  <c r="C22" i="18"/>
  <c r="AD109" i="2"/>
  <c r="AD105" i="2"/>
  <c r="AJ83" i="2"/>
  <c r="AJ43" i="2"/>
  <c r="AD97" i="2"/>
  <c r="AG120" i="2"/>
  <c r="D5" i="18"/>
  <c r="C5" i="18" s="1"/>
  <c r="B8" i="27"/>
  <c r="A19" i="27" s="1"/>
  <c r="I6" i="15"/>
  <c r="C6" i="15" s="1"/>
  <c r="K7" i="15"/>
  <c r="I9" i="15"/>
  <c r="D4" i="21"/>
  <c r="C4" i="21" s="1"/>
  <c r="AJ82" i="2"/>
  <c r="AD116" i="2"/>
  <c r="AJ47" i="2"/>
  <c r="C15" i="18"/>
  <c r="AD66" i="2"/>
  <c r="C31" i="18"/>
  <c r="AG29" i="2"/>
  <c r="C39" i="18"/>
  <c r="AG124" i="2"/>
  <c r="AJ58" i="2"/>
  <c r="C59" i="18"/>
  <c r="C47" i="18"/>
  <c r="AJ31" i="2"/>
  <c r="AJ74" i="2"/>
  <c r="AG118" i="2"/>
  <c r="AJ29" i="2"/>
  <c r="AG121" i="2"/>
  <c r="AG106" i="2"/>
  <c r="AK35" i="33"/>
  <c r="AJ99" i="2"/>
  <c r="AJ118" i="2"/>
  <c r="AJ51" i="2"/>
  <c r="AJ107" i="2"/>
  <c r="AJ59" i="2"/>
  <c r="AG107" i="2"/>
  <c r="AG87" i="2"/>
  <c r="AD58" i="2"/>
  <c r="AD87" i="2"/>
  <c r="AG123" i="2"/>
  <c r="AG119" i="2"/>
  <c r="AJ87" i="2"/>
  <c r="AG58" i="2"/>
  <c r="AJ116" i="2"/>
  <c r="AD122" i="2"/>
  <c r="AD118" i="2"/>
  <c r="AJ92" i="2"/>
  <c r="AD91" i="2"/>
  <c r="AJ90" i="2"/>
  <c r="AD89" i="2"/>
  <c r="AJ35" i="2"/>
  <c r="AD34" i="2"/>
  <c r="AJ33" i="2"/>
  <c r="AD32" i="2"/>
  <c r="AD30" i="2"/>
  <c r="AG12" i="2"/>
  <c r="AJ28" i="2"/>
  <c r="AG27" i="2"/>
  <c r="AJ56" i="2"/>
  <c r="AJ48" i="2"/>
  <c r="AJ36" i="2"/>
  <c r="AG54" i="2"/>
  <c r="AG46" i="2"/>
  <c r="AG42" i="2"/>
  <c r="AG38" i="2"/>
  <c r="AD56" i="2"/>
  <c r="AD48" i="2"/>
  <c r="AD36" i="2"/>
  <c r="AJ79" i="2"/>
  <c r="AJ75" i="2"/>
  <c r="AJ71" i="2"/>
  <c r="AG85" i="2"/>
  <c r="AG77" i="2"/>
  <c r="AG73" i="2"/>
  <c r="AG69" i="2"/>
  <c r="AG65" i="2"/>
  <c r="AD83" i="2"/>
  <c r="AD79" i="2"/>
  <c r="AD75" i="2"/>
  <c r="AD71" i="2"/>
  <c r="AJ108" i="2"/>
  <c r="AJ100" i="2"/>
  <c r="AJ96" i="2"/>
  <c r="AG103" i="2"/>
  <c r="AG99" i="2"/>
  <c r="AG95" i="2"/>
  <c r="AD94" i="2"/>
  <c r="AJ120" i="2"/>
  <c r="AJ52" i="2"/>
  <c r="AJ44" i="2"/>
  <c r="AJ40" i="2"/>
  <c r="AD52" i="2"/>
  <c r="AD44" i="2"/>
  <c r="AD40" i="2"/>
  <c r="AJ67" i="2"/>
  <c r="AG81" i="2"/>
  <c r="AD67" i="2"/>
  <c r="AJ104" i="2"/>
  <c r="AD106" i="2"/>
  <c r="AD102" i="2"/>
  <c r="AD98" i="2"/>
  <c r="AJ114" i="2"/>
  <c r="AJ110" i="2"/>
  <c r="AG109" i="2"/>
  <c r="AD112" i="2"/>
  <c r="AJ125" i="2"/>
  <c r="AD125" i="2"/>
  <c r="AJ119" i="2"/>
  <c r="AD93" i="2"/>
  <c r="AG63" i="2"/>
  <c r="AJ109" i="2"/>
  <c r="AD47" i="2"/>
  <c r="AJ66" i="2"/>
  <c r="AG61" i="2"/>
  <c r="AD124" i="2"/>
  <c r="AD121" i="2"/>
  <c r="AD117" i="2"/>
  <c r="AG92" i="2"/>
  <c r="AG90" i="2"/>
  <c r="AJ88" i="2"/>
  <c r="AJ64" i="2"/>
  <c r="AD63" i="2"/>
  <c r="AJ62" i="2"/>
  <c r="AD61" i="2"/>
  <c r="AJ122" i="2"/>
  <c r="AD120" i="2"/>
  <c r="AJ93" i="2"/>
  <c r="AD92" i="2"/>
  <c r="AJ91" i="2"/>
  <c r="AD90" i="2"/>
  <c r="AJ89" i="2"/>
  <c r="AG88" i="2"/>
  <c r="AG64" i="2"/>
  <c r="AG62" i="2"/>
  <c r="AG60" i="2"/>
  <c r="AD59" i="2"/>
  <c r="AD35" i="2"/>
  <c r="AJ34" i="2"/>
  <c r="AD33" i="2"/>
  <c r="AJ121" i="2"/>
  <c r="AJ117" i="2"/>
  <c r="AG116" i="2"/>
  <c r="AD119" i="2"/>
  <c r="AG93" i="2"/>
  <c r="AG91" i="2"/>
  <c r="AG89" i="2"/>
  <c r="AD88" i="2"/>
  <c r="AD64" i="2"/>
  <c r="AJ63" i="2"/>
  <c r="AD62" i="2"/>
  <c r="AJ61" i="2"/>
  <c r="AD60" i="2"/>
  <c r="AG34" i="2"/>
  <c r="AG32" i="2"/>
  <c r="AG30" i="2"/>
  <c r="AJ60" i="2"/>
  <c r="AG59" i="2"/>
  <c r="AG35" i="2"/>
  <c r="AG33" i="2"/>
  <c r="AG31" i="2"/>
  <c r="AJ27" i="2"/>
  <c r="AG26" i="2"/>
  <c r="AJ55" i="2"/>
  <c r="AJ39" i="2"/>
  <c r="AG53" i="2"/>
  <c r="AG45" i="2"/>
  <c r="AG37" i="2"/>
  <c r="AD51" i="2"/>
  <c r="AD43" i="2"/>
  <c r="AD39" i="2"/>
  <c r="AJ86" i="2"/>
  <c r="AJ78" i="2"/>
  <c r="AJ70" i="2"/>
  <c r="AG84" i="2"/>
  <c r="AG76" i="2"/>
  <c r="AG68" i="2"/>
  <c r="AD82" i="2"/>
  <c r="AD74" i="2"/>
  <c r="AJ103" i="2"/>
  <c r="AJ95" i="2"/>
  <c r="AG102" i="2"/>
  <c r="AG94" i="2"/>
  <c r="AD101" i="2"/>
  <c r="AD115" i="2"/>
  <c r="AJ32" i="2"/>
  <c r="AD31" i="2"/>
  <c r="AJ30" i="2"/>
  <c r="AJ26" i="2"/>
  <c r="AD28" i="2"/>
  <c r="AJ54" i="2"/>
  <c r="AJ50" i="2"/>
  <c r="AJ46" i="2"/>
  <c r="AJ42" i="2"/>
  <c r="AJ38" i="2"/>
  <c r="AG56" i="2"/>
  <c r="AG52" i="2"/>
  <c r="AG48" i="2"/>
  <c r="AG44" i="2"/>
  <c r="AG40" i="2"/>
  <c r="AG36" i="2"/>
  <c r="AD54" i="2"/>
  <c r="AD50" i="2"/>
  <c r="AD46" i="2"/>
  <c r="AD42" i="2"/>
  <c r="AD38" i="2"/>
  <c r="AJ85" i="2"/>
  <c r="AJ81" i="2"/>
  <c r="AJ77" i="2"/>
  <c r="AJ73" i="2"/>
  <c r="AJ69" i="2"/>
  <c r="AJ65" i="2"/>
  <c r="AG83" i="2"/>
  <c r="AG79" i="2"/>
  <c r="AG75" i="2"/>
  <c r="AG71" i="2"/>
  <c r="AG67" i="2"/>
  <c r="AD85" i="2"/>
  <c r="AD81" i="2"/>
  <c r="AD77" i="2"/>
  <c r="AD73" i="2"/>
  <c r="AD69" i="2"/>
  <c r="AD65" i="2"/>
  <c r="AJ106" i="2"/>
  <c r="AJ102" i="2"/>
  <c r="AJ98" i="2"/>
  <c r="AJ94" i="2"/>
  <c r="AG105" i="2"/>
  <c r="AG101" i="2"/>
  <c r="AG97" i="2"/>
  <c r="AD108" i="2"/>
  <c r="AD104" i="2"/>
  <c r="AD100" i="2"/>
  <c r="AD96" i="2"/>
  <c r="AJ112" i="2"/>
  <c r="AG115" i="2"/>
  <c r="AG111" i="2"/>
  <c r="AD114" i="2"/>
  <c r="AD110" i="2"/>
  <c r="AJ127" i="2"/>
  <c r="AJ123" i="2"/>
  <c r="AD127" i="2"/>
  <c r="AD123" i="2"/>
  <c r="AG28" i="2"/>
  <c r="AD27" i="2"/>
  <c r="AJ57" i="2"/>
  <c r="AJ53" i="2"/>
  <c r="AJ49" i="2"/>
  <c r="AJ45" i="2"/>
  <c r="AJ41" i="2"/>
  <c r="AJ37" i="2"/>
  <c r="AG55" i="2"/>
  <c r="AG51" i="2"/>
  <c r="AG47" i="2"/>
  <c r="AG43" i="2"/>
  <c r="AG39" i="2"/>
  <c r="AD57" i="2"/>
  <c r="AD53" i="2"/>
  <c r="AD49" i="2"/>
  <c r="AD45" i="2"/>
  <c r="AD41" i="2"/>
  <c r="AD37" i="2"/>
  <c r="AJ84" i="2"/>
  <c r="AJ80" i="2"/>
  <c r="AJ76" i="2"/>
  <c r="AJ72" i="2"/>
  <c r="AJ68" i="2"/>
  <c r="AG86" i="2"/>
  <c r="AG82" i="2"/>
  <c r="AG78" i="2"/>
  <c r="AG74" i="2"/>
  <c r="AG70" i="2"/>
  <c r="AG66" i="2"/>
  <c r="AD84" i="2"/>
  <c r="AD80" i="2"/>
  <c r="AD76" i="2"/>
  <c r="AD72" i="2"/>
  <c r="AD68" i="2"/>
  <c r="AJ105" i="2"/>
  <c r="AJ101" i="2"/>
  <c r="AJ97" i="2"/>
  <c r="AG108" i="2"/>
  <c r="AG104" i="2"/>
  <c r="AG100" i="2"/>
  <c r="AG96" i="2"/>
  <c r="AD107" i="2"/>
  <c r="AD103" i="2"/>
  <c r="AD99" i="2"/>
  <c r="AD95" i="2"/>
  <c r="AJ115" i="2"/>
  <c r="AJ111" i="2"/>
  <c r="AG114" i="2"/>
  <c r="AG110" i="2"/>
  <c r="AD113" i="2"/>
  <c r="AJ126" i="2"/>
  <c r="AD126" i="2"/>
  <c r="AG126" i="2"/>
  <c r="AG122" i="2"/>
  <c r="AG125" i="2"/>
  <c r="AG127" i="2"/>
  <c r="I3" i="15"/>
  <c r="C3" i="15" s="1"/>
  <c r="X3" i="16" s="1"/>
  <c r="I14" i="15"/>
  <c r="C14" i="15" s="1"/>
  <c r="I2" i="15"/>
  <c r="F21" i="2" s="1"/>
  <c r="K16" i="15"/>
  <c r="C16" i="15" s="1"/>
  <c r="K4" i="15"/>
  <c r="C4" i="15" s="1"/>
  <c r="AF57" i="33"/>
  <c r="AZ25" i="33"/>
  <c r="AZ41" i="33"/>
  <c r="AZ33" i="33"/>
  <c r="AP69" i="33"/>
  <c r="AD24" i="2"/>
  <c r="AK33" i="33"/>
  <c r="AK77" i="33"/>
  <c r="AU49" i="33"/>
  <c r="AP65" i="33"/>
  <c r="AK65" i="33"/>
  <c r="BE25" i="33"/>
  <c r="BE49" i="33"/>
  <c r="AU41" i="33"/>
  <c r="BE65" i="33"/>
  <c r="AU69" i="33"/>
  <c r="AZ69" i="33"/>
  <c r="AP49" i="33"/>
  <c r="AZ65" i="33"/>
  <c r="AF77" i="33"/>
  <c r="AZ77" i="33"/>
  <c r="AK25" i="33"/>
  <c r="AP73" i="33"/>
  <c r="BE33" i="33"/>
  <c r="AP33" i="33"/>
  <c r="AZ49" i="33"/>
  <c r="AU33" i="33"/>
  <c r="AF69" i="33"/>
  <c r="AK73" i="33"/>
  <c r="AU57" i="33"/>
  <c r="BE57" i="33"/>
  <c r="AF34" i="33"/>
  <c r="AU25" i="33"/>
  <c r="AP77" i="33"/>
  <c r="AU73" i="33"/>
  <c r="AP41" i="33"/>
  <c r="AK41" i="33"/>
  <c r="BE69" i="33"/>
  <c r="AF49" i="33"/>
  <c r="AU65" i="33"/>
  <c r="AZ57" i="33"/>
  <c r="AP25" i="33"/>
  <c r="AP57" i="33"/>
  <c r="AK78" i="33"/>
  <c r="AF73" i="33"/>
  <c r="BE73" i="33"/>
  <c r="AU99" i="33"/>
  <c r="BE107" i="33"/>
  <c r="AZ58" i="33"/>
  <c r="BE50" i="33"/>
  <c r="AP20" i="33"/>
  <c r="AU77" i="33"/>
  <c r="AF28" i="33"/>
  <c r="AU36" i="33"/>
  <c r="BE28" i="33"/>
  <c r="C12" i="18"/>
  <c r="C44" i="18"/>
  <c r="C20" i="18"/>
  <c r="C28" i="18"/>
  <c r="AU24" i="33"/>
  <c r="AK24" i="33"/>
  <c r="AZ24" i="33"/>
  <c r="BE89" i="33"/>
  <c r="AP24" i="33"/>
  <c r="BE24" i="33"/>
  <c r="AK147" i="33"/>
  <c r="AP147" i="33"/>
  <c r="AF23" i="33"/>
  <c r="I151" i="33"/>
  <c r="AP6" i="33"/>
  <c r="AK6" i="33"/>
  <c r="AU84" i="33"/>
  <c r="AP80" i="33"/>
  <c r="AU78" i="33"/>
  <c r="AZ144" i="33"/>
  <c r="I147" i="33"/>
  <c r="AK149" i="33"/>
  <c r="BE150" i="33"/>
  <c r="I149" i="33"/>
  <c r="AF88" i="33"/>
  <c r="AF149" i="33"/>
  <c r="AU147" i="33"/>
  <c r="AZ149" i="33"/>
  <c r="AZ42" i="33"/>
  <c r="AK99" i="33"/>
  <c r="AU26" i="33"/>
  <c r="AU50" i="33"/>
  <c r="AP58" i="33"/>
  <c r="BE58" i="33"/>
  <c r="AU58" i="33"/>
  <c r="AZ99" i="33"/>
  <c r="AP115" i="33"/>
  <c r="AF50" i="33"/>
  <c r="AZ91" i="33"/>
  <c r="AK34" i="33"/>
  <c r="AK123" i="33"/>
  <c r="AP107" i="33"/>
  <c r="BE91" i="33"/>
  <c r="AP26" i="33"/>
  <c r="AF91" i="33"/>
  <c r="AZ34" i="33"/>
  <c r="BE42" i="33"/>
  <c r="AK91" i="33"/>
  <c r="AF115" i="33"/>
  <c r="AU91" i="33"/>
  <c r="AK58" i="33"/>
  <c r="AP42" i="33"/>
  <c r="AP34" i="33"/>
  <c r="AU107" i="33"/>
  <c r="BE26" i="33"/>
  <c r="AZ107" i="33"/>
  <c r="AZ50" i="33"/>
  <c r="AP99" i="33"/>
  <c r="BE115" i="33"/>
  <c r="AU42" i="33"/>
  <c r="AF107" i="33"/>
  <c r="AU34" i="33"/>
  <c r="AF42" i="33"/>
  <c r="AK50" i="33"/>
  <c r="AF99" i="33"/>
  <c r="AZ26" i="33"/>
  <c r="AK115" i="33"/>
  <c r="AK26" i="33"/>
  <c r="BE30" i="33"/>
  <c r="AZ139" i="33"/>
  <c r="AP103" i="33"/>
  <c r="AD8" i="2"/>
  <c r="AP62" i="33"/>
  <c r="AZ23" i="33"/>
  <c r="AZ112" i="33"/>
  <c r="AP23" i="33"/>
  <c r="AZ38" i="33"/>
  <c r="AD26" i="2"/>
  <c r="AZ143" i="33"/>
  <c r="AU149" i="33"/>
  <c r="AZ95" i="33"/>
  <c r="AF62" i="33"/>
  <c r="AP96" i="33"/>
  <c r="BE23" i="33"/>
  <c r="BE104" i="33"/>
  <c r="AP143" i="33"/>
  <c r="AP149" i="33"/>
  <c r="BE80" i="33"/>
  <c r="AU23" i="33"/>
  <c r="BE143" i="33"/>
  <c r="AU46" i="33"/>
  <c r="AF46" i="33"/>
  <c r="AU96" i="33"/>
  <c r="AF103" i="33"/>
  <c r="AF143" i="33"/>
  <c r="AF67" i="33"/>
  <c r="BE86" i="33"/>
  <c r="AK143" i="33"/>
  <c r="AA3" i="22"/>
  <c r="AA7" i="22"/>
  <c r="AP78" i="33"/>
  <c r="AU94" i="33"/>
  <c r="AZ78" i="33"/>
  <c r="BE78" i="33"/>
  <c r="AP79" i="33"/>
  <c r="BE92" i="33"/>
  <c r="U3" i="22"/>
  <c r="U7" i="22"/>
  <c r="I143" i="33"/>
  <c r="AU86" i="33"/>
  <c r="AG4" i="2"/>
  <c r="AD16" i="2"/>
  <c r="AG15" i="2"/>
  <c r="C3" i="22"/>
  <c r="AD138" i="33" s="1"/>
  <c r="C2" i="22"/>
  <c r="AD71" i="33" s="1"/>
  <c r="AT132" i="33"/>
  <c r="AS118" i="33"/>
  <c r="AY88" i="33"/>
  <c r="BA88" i="33" s="1"/>
  <c r="AT127" i="33"/>
  <c r="AY103" i="33"/>
  <c r="BA103" i="33" s="1"/>
  <c r="AT75" i="33"/>
  <c r="AS103" i="33"/>
  <c r="AX92" i="33"/>
  <c r="AY134" i="33"/>
  <c r="BA134" i="33" s="1"/>
  <c r="AY124" i="33"/>
  <c r="BA124" i="33" s="1"/>
  <c r="AT77" i="33"/>
  <c r="BD102" i="33"/>
  <c r="BF102" i="33" s="1"/>
  <c r="BD10" i="33"/>
  <c r="BF10" i="33" s="1"/>
  <c r="AY137" i="33"/>
  <c r="BA137" i="33" s="1"/>
  <c r="AX137" i="33"/>
  <c r="AS138" i="33"/>
  <c r="AY138" i="33"/>
  <c r="BA138" i="33" s="1"/>
  <c r="AY9" i="33"/>
  <c r="BA9" i="33" s="1"/>
  <c r="AT107" i="33"/>
  <c r="AY127" i="33"/>
  <c r="BA127" i="33" s="1"/>
  <c r="AT86" i="33"/>
  <c r="AS47" i="33"/>
  <c r="BC135" i="33"/>
  <c r="AT138" i="33"/>
  <c r="AT131" i="33"/>
  <c r="AY123" i="33"/>
  <c r="BA123" i="33" s="1"/>
  <c r="AS107" i="33"/>
  <c r="AS129" i="33"/>
  <c r="AT103" i="33"/>
  <c r="AS93" i="33"/>
  <c r="AT92" i="33"/>
  <c r="AS123" i="33"/>
  <c r="BD115" i="33"/>
  <c r="BF115" i="33" s="1"/>
  <c r="AY106" i="33"/>
  <c r="BA106" i="33" s="1"/>
  <c r="AT98" i="33"/>
  <c r="AT108" i="33"/>
  <c r="AS128" i="33"/>
  <c r="AT139" i="33"/>
  <c r="AS54" i="33"/>
  <c r="BC147" i="33"/>
  <c r="AT51" i="33"/>
  <c r="AS90" i="33"/>
  <c r="AY46" i="33"/>
  <c r="BA46" i="33" s="1"/>
  <c r="BC45" i="33"/>
  <c r="AS9" i="33"/>
  <c r="AS10" i="33"/>
  <c r="AT109" i="33"/>
  <c r="AY132" i="33"/>
  <c r="BA132" i="33" s="1"/>
  <c r="AS133" i="33"/>
  <c r="AT136" i="33"/>
  <c r="AT129" i="33"/>
  <c r="AS105" i="33"/>
  <c r="BC102" i="33"/>
  <c r="AY90" i="33"/>
  <c r="BA90" i="33" s="1"/>
  <c r="AT121" i="33"/>
  <c r="AX114" i="33"/>
  <c r="AX101" i="33"/>
  <c r="AY120" i="33"/>
  <c r="BA120" i="33" s="1"/>
  <c r="AS126" i="33"/>
  <c r="AX133" i="33"/>
  <c r="AS39" i="33"/>
  <c r="AY81" i="33"/>
  <c r="BA81" i="33" s="1"/>
  <c r="AT8" i="33"/>
  <c r="AT50" i="33"/>
  <c r="AY39" i="33"/>
  <c r="BA39" i="33" s="1"/>
  <c r="AX45" i="33"/>
  <c r="AT150" i="33"/>
  <c r="AY80" i="33"/>
  <c r="BA80" i="33" s="1"/>
  <c r="AS16" i="33"/>
  <c r="AX87" i="33"/>
  <c r="AT16" i="33"/>
  <c r="BD24" i="33"/>
  <c r="BF24" i="33" s="1"/>
  <c r="AT14" i="33"/>
  <c r="AS51" i="33"/>
  <c r="AX65" i="33"/>
  <c r="AS146" i="33"/>
  <c r="AS11" i="33"/>
  <c r="AX34" i="33"/>
  <c r="AS44" i="33"/>
  <c r="AX79" i="33"/>
  <c r="AT32" i="33"/>
  <c r="AX51" i="33"/>
  <c r="AT68" i="33"/>
  <c r="AS75" i="33"/>
  <c r="AX86" i="33"/>
  <c r="BC103" i="33"/>
  <c r="AT120" i="33"/>
  <c r="BC127" i="33"/>
  <c r="BD134" i="33"/>
  <c r="BF134" i="33" s="1"/>
  <c r="AT104" i="33"/>
  <c r="AT144" i="33"/>
  <c r="AS96" i="33"/>
  <c r="AY105" i="33"/>
  <c r="BA105" i="33" s="1"/>
  <c r="AX113" i="33"/>
  <c r="AD116" i="33"/>
  <c r="AY122" i="33"/>
  <c r="BA122" i="33" s="1"/>
  <c r="AS130" i="33"/>
  <c r="AX139" i="33"/>
  <c r="AS102" i="33"/>
  <c r="AX110" i="33"/>
  <c r="AX117" i="33"/>
  <c r="BD126" i="33"/>
  <c r="BF126" i="33" s="1"/>
  <c r="BD135" i="33"/>
  <c r="BF135" i="33" s="1"/>
  <c r="BC88" i="33"/>
  <c r="AY108" i="33"/>
  <c r="BA108" i="33" s="1"/>
  <c r="BC27" i="33"/>
  <c r="BC82" i="33"/>
  <c r="AS23" i="33"/>
  <c r="AT23" i="33"/>
  <c r="AY89" i="33"/>
  <c r="BA89" i="33" s="1"/>
  <c r="AX21" i="33"/>
  <c r="BC64" i="33"/>
  <c r="AY93" i="33"/>
  <c r="BA93" i="33" s="1"/>
  <c r="AY83" i="33"/>
  <c r="BA83" i="33" s="1"/>
  <c r="BD21" i="33"/>
  <c r="BF21" i="33" s="1"/>
  <c r="BC50" i="33"/>
  <c r="AS77" i="33"/>
  <c r="BD85" i="33"/>
  <c r="BF85" i="33" s="1"/>
  <c r="AY147" i="33"/>
  <c r="BA147" i="33" s="1"/>
  <c r="AX12" i="33"/>
  <c r="AY35" i="33"/>
  <c r="BA35" i="33" s="1"/>
  <c r="AY55" i="33"/>
  <c r="BA55" i="33" s="1"/>
  <c r="BC72" i="33"/>
  <c r="AT4" i="33"/>
  <c r="AS62" i="33"/>
  <c r="AT84" i="33"/>
  <c r="AX94" i="33"/>
  <c r="AX105" i="33"/>
  <c r="AT113" i="33"/>
  <c r="AS137" i="33"/>
  <c r="AS88" i="33"/>
  <c r="AY146" i="33"/>
  <c r="BA146" i="33" s="1"/>
  <c r="AT122" i="33"/>
  <c r="BC100" i="33"/>
  <c r="BC109" i="33"/>
  <c r="BD116" i="33"/>
  <c r="BF116" i="33" s="1"/>
  <c r="AT124" i="33"/>
  <c r="BD131" i="33"/>
  <c r="BF131" i="33" s="1"/>
  <c r="AX96" i="33"/>
  <c r="AX104" i="33"/>
  <c r="AS112" i="33"/>
  <c r="BC32" i="33"/>
  <c r="AD141" i="33"/>
  <c r="BC89" i="33"/>
  <c r="BC17" i="33"/>
  <c r="AX58" i="33"/>
  <c r="AY26" i="33"/>
  <c r="BA26" i="33" s="1"/>
  <c r="BC26" i="33"/>
  <c r="BC23" i="33"/>
  <c r="AX67" i="33"/>
  <c r="BC69" i="33"/>
  <c r="BD69" i="33"/>
  <c r="BF69" i="33" s="1"/>
  <c r="BC85" i="33"/>
  <c r="AS38" i="33"/>
  <c r="BD67" i="33"/>
  <c r="BF67" i="33" s="1"/>
  <c r="AT148" i="33"/>
  <c r="AT36" i="33"/>
  <c r="AY65" i="33"/>
  <c r="BA65" i="33" s="1"/>
  <c r="BC81" i="33"/>
  <c r="AX7" i="33"/>
  <c r="AY34" i="33"/>
  <c r="BA34" i="33" s="1"/>
  <c r="AT44" i="33"/>
  <c r="AY53" i="33"/>
  <c r="BA53" i="33" s="1"/>
  <c r="AY70" i="33"/>
  <c r="BA70" i="33" s="1"/>
  <c r="AX77" i="33"/>
  <c r="AY95" i="33"/>
  <c r="BA95" i="33" s="1"/>
  <c r="AS122" i="33"/>
  <c r="AY129" i="33"/>
  <c r="BA129" i="33" s="1"/>
  <c r="BD136" i="33"/>
  <c r="BF136" i="33" s="1"/>
  <c r="BC129" i="33"/>
  <c r="AS139" i="33"/>
  <c r="AS106" i="33"/>
  <c r="AD151" i="33"/>
  <c r="AY107" i="33"/>
  <c r="BA107" i="33" s="1"/>
  <c r="AT115" i="33"/>
  <c r="AT101" i="33"/>
  <c r="AS97" i="33"/>
  <c r="BD107" i="33"/>
  <c r="BF107" i="33" s="1"/>
  <c r="AY115" i="33"/>
  <c r="BA115" i="33" s="1"/>
  <c r="AX124" i="33"/>
  <c r="AJ41" i="33"/>
  <c r="AL41" i="33" s="1"/>
  <c r="BC53" i="33"/>
  <c r="BD122" i="33"/>
  <c r="BF122" i="33" s="1"/>
  <c r="AY104" i="33"/>
  <c r="BA104" i="33" s="1"/>
  <c r="AT112" i="33"/>
  <c r="AT119" i="33"/>
  <c r="BC128" i="33"/>
  <c r="AX90" i="33"/>
  <c r="AT102" i="33"/>
  <c r="AX41" i="33"/>
  <c r="BD40" i="33"/>
  <c r="BF40" i="33" s="1"/>
  <c r="AX69" i="33"/>
  <c r="AT97" i="33"/>
  <c r="AX25" i="33"/>
  <c r="AS72" i="33"/>
  <c r="AT55" i="33"/>
  <c r="AX72" i="33"/>
  <c r="BD42" i="33"/>
  <c r="BF42" i="33" s="1"/>
  <c r="AX57" i="33"/>
  <c r="AT79" i="33"/>
  <c r="AT88" i="33"/>
  <c r="BC8" i="33"/>
  <c r="BD14" i="33"/>
  <c r="BF14" i="33" s="1"/>
  <c r="AX37" i="33"/>
  <c r="BD48" i="33"/>
  <c r="BF48" i="33" s="1"/>
  <c r="BC57" i="33"/>
  <c r="BC74" i="33"/>
  <c r="AT11" i="33"/>
  <c r="BC35" i="33"/>
  <c r="BC63" i="33"/>
  <c r="AX4" i="33"/>
  <c r="AX107" i="33"/>
  <c r="AS115" i="33"/>
  <c r="BC131" i="33"/>
  <c r="BD33" i="33"/>
  <c r="BF33" i="33" s="1"/>
  <c r="AT100" i="33"/>
  <c r="BC116" i="33"/>
  <c r="AS124" i="33"/>
  <c r="BC39" i="33"/>
  <c r="BC111" i="33"/>
  <c r="AY118" i="33"/>
  <c r="BA118" i="33" s="1"/>
  <c r="AT126" i="33"/>
  <c r="AY133" i="33"/>
  <c r="BA133" i="33" s="1"/>
  <c r="AY51" i="33"/>
  <c r="BA51" i="33" s="1"/>
  <c r="BC133" i="33"/>
  <c r="AS58" i="33"/>
  <c r="BC97" i="33"/>
  <c r="AT106" i="33"/>
  <c r="AS114" i="33"/>
  <c r="BD147" i="33"/>
  <c r="BF147" i="33" s="1"/>
  <c r="AS91" i="33"/>
  <c r="AY96" i="33"/>
  <c r="BA96" i="33" s="1"/>
  <c r="AS67" i="33"/>
  <c r="AT93" i="33"/>
  <c r="BC71" i="33"/>
  <c r="AT42" i="33"/>
  <c r="AT57" i="33"/>
  <c r="AX74" i="33"/>
  <c r="AX8" i="33"/>
  <c r="AT43" i="33"/>
  <c r="AY59" i="33"/>
  <c r="BA59" i="33" s="1"/>
  <c r="BC5" i="33"/>
  <c r="AT38" i="33"/>
  <c r="AS49" i="33"/>
  <c r="AT146" i="33"/>
  <c r="BD12" i="33"/>
  <c r="BF12" i="33" s="1"/>
  <c r="AX36" i="33"/>
  <c r="BC46" i="33"/>
  <c r="BD72" i="33"/>
  <c r="BF72" i="33" s="1"/>
  <c r="AY79" i="33"/>
  <c r="BA79" i="33" s="1"/>
  <c r="AX44" i="33"/>
  <c r="AY116" i="33"/>
  <c r="BA116" i="33" s="1"/>
  <c r="BD123" i="33"/>
  <c r="BF123" i="33" s="1"/>
  <c r="AY131" i="33"/>
  <c r="BA131" i="33" s="1"/>
  <c r="BD138" i="33"/>
  <c r="BF138" i="33" s="1"/>
  <c r="AT137" i="33"/>
  <c r="AS108" i="33"/>
  <c r="AX49" i="33"/>
  <c r="AY109" i="33"/>
  <c r="BA109" i="33" s="1"/>
  <c r="AE127" i="33"/>
  <c r="AG127" i="33" s="1"/>
  <c r="BD100" i="33"/>
  <c r="BF100" i="33" s="1"/>
  <c r="BD109" i="33"/>
  <c r="BF109" i="33" s="1"/>
  <c r="AX126" i="33"/>
  <c r="AX135" i="33"/>
  <c r="AT66" i="33"/>
  <c r="AS98" i="33"/>
  <c r="BC124" i="33"/>
  <c r="AT82" i="33"/>
  <c r="BD97" i="33"/>
  <c r="BF97" i="33" s="1"/>
  <c r="AX106" i="33"/>
  <c r="AT114" i="33"/>
  <c r="AS121" i="33"/>
  <c r="AY130" i="33"/>
  <c r="BA130" i="33" s="1"/>
  <c r="AS45" i="33"/>
  <c r="AS92" i="33"/>
  <c r="AX2" i="33"/>
  <c r="AX71" i="33"/>
  <c r="AX78" i="33"/>
  <c r="AS149" i="33"/>
  <c r="AX85" i="33"/>
  <c r="BD17" i="33"/>
  <c r="BF17" i="33" s="1"/>
  <c r="AT63" i="33"/>
  <c r="AS12" i="33"/>
  <c r="AX63" i="33"/>
  <c r="BC14" i="33"/>
  <c r="BD50" i="33"/>
  <c r="BF50" i="33" s="1"/>
  <c r="BD83" i="33"/>
  <c r="BF83" i="33" s="1"/>
  <c r="AT7" i="33"/>
  <c r="BC43" i="33"/>
  <c r="AX53" i="33"/>
  <c r="BD61" i="33"/>
  <c r="BF61" i="33" s="1"/>
  <c r="AX70" i="33"/>
  <c r="AT39" i="33"/>
  <c r="BD59" i="33"/>
  <c r="BF59" i="33" s="1"/>
  <c r="BD74" i="33"/>
  <c r="BF74" i="33" s="1"/>
  <c r="AS82" i="33"/>
  <c r="AX111" i="33"/>
  <c r="AS135" i="33"/>
  <c r="BD46" i="33"/>
  <c r="BF46" i="33" s="1"/>
  <c r="AY101" i="33"/>
  <c r="BA101" i="33" s="1"/>
  <c r="BC95" i="33"/>
  <c r="AX120" i="33"/>
  <c r="BC107" i="33"/>
  <c r="AX115" i="33"/>
  <c r="AX122" i="33"/>
  <c r="BD129" i="33"/>
  <c r="BF129" i="33" s="1"/>
  <c r="AY97" i="33"/>
  <c r="BA97" i="33" s="1"/>
  <c r="AS104" i="33"/>
  <c r="BC120" i="33"/>
  <c r="AT110" i="33"/>
  <c r="AS119" i="33"/>
  <c r="AT90" i="33"/>
  <c r="BD101" i="33"/>
  <c r="BF101" i="33" s="1"/>
  <c r="AS134" i="33"/>
  <c r="AX98" i="33"/>
  <c r="AT9" i="33"/>
  <c r="BD114" i="33"/>
  <c r="BF114" i="33" s="1"/>
  <c r="AY77" i="33"/>
  <c r="BA77" i="33" s="1"/>
  <c r="AX129" i="33"/>
  <c r="AX131" i="33"/>
  <c r="AY10" i="33"/>
  <c r="BA10" i="33" s="1"/>
  <c r="AS131" i="33"/>
  <c r="AY139" i="33"/>
  <c r="BA139" i="33" s="1"/>
  <c r="AY126" i="33"/>
  <c r="BA126" i="33" s="1"/>
  <c r="BD120" i="33"/>
  <c r="BF120" i="33" s="1"/>
  <c r="AY136" i="33"/>
  <c r="BA136" i="33" s="1"/>
  <c r="BD112" i="33"/>
  <c r="BF112" i="33" s="1"/>
  <c r="AS94" i="33"/>
  <c r="AX125" i="33"/>
  <c r="BD117" i="33"/>
  <c r="BF117" i="33" s="1"/>
  <c r="BD108" i="33"/>
  <c r="BF108" i="33" s="1"/>
  <c r="AX99" i="33"/>
  <c r="BD87" i="33"/>
  <c r="BF87" i="33" s="1"/>
  <c r="AT125" i="33"/>
  <c r="BC108" i="33"/>
  <c r="BD89" i="33"/>
  <c r="BF89" i="33" s="1"/>
  <c r="AS136" i="33"/>
  <c r="BD128" i="33"/>
  <c r="BF128" i="33" s="1"/>
  <c r="BC115" i="33"/>
  <c r="BC126" i="33"/>
  <c r="AT128" i="33"/>
  <c r="AS110" i="33"/>
  <c r="BC38" i="33"/>
  <c r="AS32" i="33"/>
  <c r="AY74" i="33"/>
  <c r="BA74" i="33" s="1"/>
  <c r="BD78" i="33"/>
  <c r="BF78" i="33" s="1"/>
  <c r="BD141" i="33"/>
  <c r="BF141" i="33" s="1"/>
  <c r="BD94" i="33"/>
  <c r="BF94" i="33" s="1"/>
  <c r="BC150" i="33"/>
  <c r="AX9" i="33"/>
  <c r="AT111" i="33"/>
  <c r="BD118" i="33"/>
  <c r="BF118" i="33" s="1"/>
  <c r="AX130" i="33"/>
  <c r="BC139" i="33"/>
  <c r="AT130" i="33"/>
  <c r="AX136" i="33"/>
  <c r="AX10" i="33"/>
  <c r="BC123" i="33"/>
  <c r="AS113" i="33"/>
  <c r="AX127" i="33"/>
  <c r="BD119" i="33"/>
  <c r="BF119" i="33" s="1"/>
  <c r="AS111" i="33"/>
  <c r="AX103" i="33"/>
  <c r="BC93" i="33"/>
  <c r="AS116" i="33"/>
  <c r="BC98" i="33"/>
  <c r="BD63" i="33"/>
  <c r="BF63" i="33" s="1"/>
  <c r="AS127" i="33"/>
  <c r="AX119" i="33"/>
  <c r="AX112" i="33"/>
  <c r="AX88" i="33"/>
  <c r="AY113" i="33"/>
  <c r="BA113" i="33" s="1"/>
  <c r="AX118" i="33"/>
  <c r="AX109" i="33"/>
  <c r="AY37" i="33"/>
  <c r="BA37" i="33" s="1"/>
  <c r="AS68" i="33"/>
  <c r="BC76" i="33"/>
  <c r="AY76" i="33"/>
  <c r="BA76" i="33" s="1"/>
  <c r="AS95" i="33"/>
  <c r="BD81" i="33"/>
  <c r="BF81" i="33" s="1"/>
  <c r="BC9" i="33"/>
  <c r="AT94" i="33"/>
  <c r="AX128" i="33"/>
  <c r="BC125" i="33"/>
  <c r="AT62" i="33"/>
  <c r="BC138" i="33"/>
  <c r="AX134" i="33"/>
  <c r="AX138" i="33"/>
  <c r="BD113" i="33"/>
  <c r="BF113" i="33" s="1"/>
  <c r="AY92" i="33"/>
  <c r="BA92" i="33" s="1"/>
  <c r="AX123" i="33"/>
  <c r="BD106" i="33"/>
  <c r="BF106" i="33" s="1"/>
  <c r="AS60" i="33"/>
  <c r="AT123" i="33"/>
  <c r="AY114" i="33"/>
  <c r="BA114" i="33" s="1"/>
  <c r="BC106" i="33"/>
  <c r="AX84" i="33"/>
  <c r="AT134" i="33"/>
  <c r="AS84" i="33"/>
  <c r="AX108" i="33"/>
  <c r="BC70" i="33"/>
  <c r="AY111" i="33"/>
  <c r="BA111" i="33" s="1"/>
  <c r="AT133" i="33"/>
  <c r="AS100" i="33"/>
  <c r="AS66" i="33"/>
  <c r="BC86" i="33"/>
  <c r="AT49" i="33"/>
  <c r="AT12" i="33"/>
  <c r="AS73" i="33"/>
  <c r="BC99" i="33"/>
  <c r="BC122" i="33"/>
  <c r="AS120" i="33"/>
  <c r="AS117" i="33"/>
  <c r="BD137" i="33"/>
  <c r="BF137" i="33" s="1"/>
  <c r="AX116" i="33"/>
  <c r="BC137" i="33"/>
  <c r="AT10" i="33"/>
  <c r="AS132" i="33"/>
  <c r="BD132" i="33"/>
  <c r="BF132" i="33" s="1"/>
  <c r="AY125" i="33"/>
  <c r="BA125" i="33" s="1"/>
  <c r="AS109" i="33"/>
  <c r="AS86" i="33"/>
  <c r="BC55" i="33"/>
  <c r="AS125" i="33"/>
  <c r="AY117" i="33"/>
  <c r="BA117" i="33" s="1"/>
  <c r="AY110" i="33"/>
  <c r="BA110" i="33" s="1"/>
  <c r="AT117" i="33"/>
  <c r="AX68" i="33"/>
  <c r="BC118" i="33"/>
  <c r="AT135" i="33"/>
  <c r="BC105" i="33"/>
  <c r="BD96" i="33"/>
  <c r="BF96" i="33" s="1"/>
  <c r="BD99" i="33"/>
  <c r="BF99" i="33" s="1"/>
  <c r="BC65" i="33"/>
  <c r="BD13" i="33"/>
  <c r="BF13" i="33" s="1"/>
  <c r="BC59" i="33"/>
  <c r="AX59" i="33"/>
  <c r="AS55" i="33"/>
  <c r="AT69" i="33"/>
  <c r="AY82" i="33"/>
  <c r="BA82" i="33" s="1"/>
  <c r="AT118" i="33"/>
  <c r="AX83" i="33"/>
  <c r="AY128" i="33"/>
  <c r="BA128" i="33" s="1"/>
  <c r="BC79" i="33"/>
  <c r="BD130" i="33"/>
  <c r="BF130" i="33" s="1"/>
  <c r="AT105" i="33"/>
  <c r="BC132" i="33"/>
  <c r="BC136" i="33"/>
  <c r="AY135" i="33"/>
  <c r="BA135" i="33" s="1"/>
  <c r="BC10" i="33"/>
  <c r="AT116" i="33"/>
  <c r="AY99" i="33"/>
  <c r="BA99" i="33" s="1"/>
  <c r="AY121" i="33"/>
  <c r="BA121" i="33" s="1"/>
  <c r="BC112" i="33"/>
  <c r="AX121" i="33"/>
  <c r="AY112" i="33"/>
  <c r="BA112" i="33" s="1"/>
  <c r="BD104" i="33"/>
  <c r="BF104" i="33" s="1"/>
  <c r="AY7" i="33"/>
  <c r="BA7" i="33" s="1"/>
  <c r="AX132" i="33"/>
  <c r="BD111" i="33"/>
  <c r="BF111" i="33" s="1"/>
  <c r="AT96" i="33"/>
  <c r="BD103" i="33"/>
  <c r="BF103" i="33" s="1"/>
  <c r="AS30" i="33"/>
  <c r="BD125" i="33"/>
  <c r="BF125" i="33" s="1"/>
  <c r="BD8" i="33"/>
  <c r="BF8" i="33" s="1"/>
  <c r="BC48" i="33"/>
  <c r="AS43" i="33"/>
  <c r="AS14" i="33"/>
  <c r="C2" i="18"/>
  <c r="C10" i="18"/>
  <c r="C26" i="18"/>
  <c r="C45" i="18"/>
  <c r="C25" i="18"/>
  <c r="C50" i="18"/>
  <c r="C11" i="18"/>
  <c r="C34" i="18"/>
  <c r="C19" i="18"/>
  <c r="C42" i="18"/>
  <c r="C58" i="18"/>
  <c r="C41" i="18"/>
  <c r="C27" i="18"/>
  <c r="C17" i="18"/>
  <c r="C3" i="18"/>
  <c r="C49" i="18"/>
  <c r="C43" i="18"/>
  <c r="C33" i="18"/>
  <c r="C32" i="18"/>
  <c r="C30" i="18"/>
  <c r="B7" i="27"/>
  <c r="A18" i="27" s="1"/>
  <c r="I13" i="15"/>
  <c r="C13" i="15" s="1"/>
  <c r="K5" i="15"/>
  <c r="H2" i="2" s="1"/>
  <c r="F7" i="2"/>
  <c r="D3" i="21"/>
  <c r="C3" i="21" s="1"/>
  <c r="C23" i="18"/>
  <c r="AX56" i="33"/>
  <c r="BC2" i="33"/>
  <c r="BC49" i="33"/>
  <c r="B6" i="27"/>
  <c r="AU51" i="33"/>
  <c r="F13" i="2"/>
  <c r="C24" i="18"/>
  <c r="C18" i="18"/>
  <c r="AU125" i="33"/>
  <c r="D4" i="18"/>
  <c r="C4" i="18" s="1"/>
  <c r="C8" i="18"/>
  <c r="BC75" i="33"/>
  <c r="AY102" i="33"/>
  <c r="BA102" i="33" s="1"/>
  <c r="AT71" i="33"/>
  <c r="BC92" i="33"/>
  <c r="AU117" i="33"/>
  <c r="C48" i="18"/>
  <c r="C16" i="18"/>
  <c r="C53" i="18"/>
  <c r="C61" i="18"/>
  <c r="AY73" i="33"/>
  <c r="BA73" i="33" s="1"/>
  <c r="BC30" i="33"/>
  <c r="B5" i="27"/>
  <c r="A16" i="27" s="1"/>
  <c r="F7" i="27"/>
  <c r="A37" i="27" s="1"/>
  <c r="A46" i="27" s="1"/>
  <c r="A60" i="27" s="1"/>
  <c r="BE77" i="33"/>
  <c r="F22" i="2"/>
  <c r="B9" i="27"/>
  <c r="A20" i="27" s="1"/>
  <c r="F6" i="27"/>
  <c r="A36" i="27" s="1"/>
  <c r="A45" i="27" s="1"/>
  <c r="A59" i="27" s="1"/>
  <c r="C40" i="18"/>
  <c r="AX26" i="33"/>
  <c r="F5" i="27"/>
  <c r="A35" i="27" s="1"/>
  <c r="A44" i="27" s="1"/>
  <c r="A58" i="27" s="1"/>
  <c r="AZ59" i="33"/>
  <c r="AU66" i="33"/>
  <c r="AZ74" i="33"/>
  <c r="AP74" i="33"/>
  <c r="AU74" i="33"/>
  <c r="BE27" i="33"/>
  <c r="AZ2" i="33"/>
  <c r="AF66" i="33"/>
  <c r="BE74" i="33"/>
  <c r="AK125" i="33"/>
  <c r="AZ43" i="33"/>
  <c r="AP93" i="33"/>
  <c r="AP43" i="33"/>
  <c r="AZ117" i="33"/>
  <c r="AF2" i="33"/>
  <c r="AK27" i="33"/>
  <c r="BE66" i="33"/>
  <c r="AZ125" i="33"/>
  <c r="AP27" i="33"/>
  <c r="AZ93" i="33"/>
  <c r="AU59" i="33"/>
  <c r="AZ27" i="33"/>
  <c r="AU70" i="33"/>
  <c r="AP66" i="33"/>
  <c r="AP51" i="33"/>
  <c r="AP117" i="33"/>
  <c r="AF93" i="33"/>
  <c r="AK43" i="33"/>
  <c r="AF59" i="33"/>
  <c r="AP16" i="33"/>
  <c r="AK51" i="33"/>
  <c r="AF70" i="33"/>
  <c r="AK74" i="33"/>
  <c r="BE51" i="33"/>
  <c r="AK117" i="33"/>
  <c r="AP35" i="33"/>
  <c r="BE35" i="33"/>
  <c r="AU93" i="33"/>
  <c r="AU43" i="33"/>
  <c r="AF117" i="33"/>
  <c r="BE59" i="33"/>
  <c r="AU27" i="33"/>
  <c r="AZ51" i="33"/>
  <c r="BE70" i="33"/>
  <c r="AK66" i="33"/>
  <c r="BE43" i="33"/>
  <c r="BE125" i="33"/>
  <c r="AF35" i="33"/>
  <c r="AP125" i="33"/>
  <c r="AK70" i="33"/>
  <c r="AP59" i="33"/>
  <c r="AD23" i="2"/>
  <c r="AZ35" i="33"/>
  <c r="AP70" i="33"/>
  <c r="AU35" i="33"/>
  <c r="BE93" i="33"/>
  <c r="BE45" i="33"/>
  <c r="AU6" i="33"/>
  <c r="AZ147" i="33"/>
  <c r="AF16" i="33"/>
  <c r="H22" i="2"/>
  <c r="H23" i="2"/>
  <c r="F23" i="2"/>
  <c r="H17" i="2"/>
  <c r="F4" i="2"/>
  <c r="F5" i="2"/>
  <c r="F2" i="2"/>
  <c r="C7" i="15"/>
  <c r="X6" i="16" s="1"/>
  <c r="AE6" i="22" s="1"/>
  <c r="AF6" i="22" s="1"/>
  <c r="C9" i="15"/>
  <c r="AZ46" i="33"/>
  <c r="AZ88" i="33"/>
  <c r="AF84" i="33"/>
  <c r="AU67" i="33"/>
  <c r="AU75" i="33"/>
  <c r="AU136" i="33"/>
  <c r="BE20" i="33"/>
  <c r="AU104" i="33"/>
  <c r="BE46" i="33"/>
  <c r="AF75" i="33"/>
  <c r="AK38" i="33"/>
  <c r="AU61" i="33"/>
  <c r="AP54" i="33"/>
  <c r="AP29" i="33"/>
  <c r="BE71" i="33"/>
  <c r="AP45" i="33"/>
  <c r="AK104" i="33"/>
  <c r="AZ103" i="33"/>
  <c r="AZ6" i="33"/>
  <c r="BE147" i="33"/>
  <c r="AZ16" i="33"/>
  <c r="H25" i="2"/>
  <c r="H19" i="2"/>
  <c r="H4" i="2"/>
  <c r="H7" i="2"/>
  <c r="F12" i="2"/>
  <c r="F9" i="2"/>
  <c r="AP4" i="33"/>
  <c r="AD2" i="2"/>
  <c r="AZ54" i="33"/>
  <c r="AZ20" i="33"/>
  <c r="AK29" i="33"/>
  <c r="AK53" i="33"/>
  <c r="AK111" i="33"/>
  <c r="AU88" i="33"/>
  <c r="AF54" i="33"/>
  <c r="AF80" i="33"/>
  <c r="AZ62" i="33"/>
  <c r="AU95" i="33"/>
  <c r="BE53" i="33"/>
  <c r="AK80" i="33"/>
  <c r="BE38" i="33"/>
  <c r="BE103" i="33"/>
  <c r="BE84" i="33"/>
  <c r="I23" i="33"/>
  <c r="AK141" i="33"/>
  <c r="F25" i="2"/>
  <c r="H20" i="2"/>
  <c r="H18" i="2"/>
  <c r="F6" i="2"/>
  <c r="F16" i="2"/>
  <c r="F14" i="2"/>
  <c r="AD19" i="2"/>
  <c r="AZ29" i="33"/>
  <c r="AU53" i="33"/>
  <c r="AU111" i="33"/>
  <c r="AZ111" i="33"/>
  <c r="AZ96" i="33"/>
  <c r="AU54" i="33"/>
  <c r="AZ80" i="33"/>
  <c r="AK62" i="33"/>
  <c r="BE112" i="33"/>
  <c r="BE96" i="33"/>
  <c r="BE67" i="33"/>
  <c r="AF95" i="33"/>
  <c r="BE95" i="33"/>
  <c r="AU45" i="33"/>
  <c r="AK71" i="33"/>
  <c r="AU71" i="33"/>
  <c r="AF45" i="33"/>
  <c r="AF20" i="33"/>
  <c r="I16" i="33"/>
  <c r="BE61" i="33"/>
  <c r="AP37" i="33"/>
  <c r="AK16" i="33"/>
  <c r="H24" i="2"/>
  <c r="H9" i="2"/>
  <c r="H13" i="2"/>
  <c r="H12" i="2"/>
  <c r="F20" i="2"/>
  <c r="F15" i="2"/>
  <c r="C8" i="15"/>
  <c r="AB5" i="16" s="1"/>
  <c r="AM5" i="22" s="1"/>
  <c r="AN5" i="22" s="1"/>
  <c r="AF53" i="33"/>
  <c r="AU135" i="33"/>
  <c r="BE136" i="33"/>
  <c r="AF112" i="33"/>
  <c r="AF30" i="33"/>
  <c r="AU37" i="33"/>
  <c r="BE120" i="33"/>
  <c r="AK54" i="33"/>
  <c r="AP88" i="33"/>
  <c r="BE128" i="33"/>
  <c r="AF96" i="33"/>
  <c r="AP112" i="33"/>
  <c r="AP38" i="33"/>
  <c r="AZ45" i="33"/>
  <c r="AU20" i="33"/>
  <c r="AU16" i="33"/>
  <c r="H6" i="2"/>
  <c r="H16" i="2"/>
  <c r="H5" i="2"/>
  <c r="F11" i="2"/>
  <c r="F10" i="2"/>
  <c r="AD11" i="2"/>
  <c r="AU29" i="33"/>
  <c r="AZ67" i="33"/>
  <c r="AK75" i="33"/>
  <c r="AU112" i="33"/>
  <c r="AP30" i="33"/>
  <c r="AZ104" i="33"/>
  <c r="AP71" i="33"/>
  <c r="AK88" i="33"/>
  <c r="AK119" i="33"/>
  <c r="AF120" i="33"/>
  <c r="AP95" i="33"/>
  <c r="AU30" i="33"/>
  <c r="AP111" i="33"/>
  <c r="AU103" i="33"/>
  <c r="AF37" i="33"/>
  <c r="F8" i="2"/>
  <c r="AZ61" i="33"/>
  <c r="AZ53" i="33"/>
  <c r="BE29" i="33"/>
  <c r="BE111" i="33"/>
  <c r="AP61" i="33"/>
  <c r="F24" i="2"/>
  <c r="H11" i="2"/>
  <c r="AZ30" i="33"/>
  <c r="AZ37" i="33"/>
  <c r="AK46" i="33"/>
  <c r="AP84" i="33"/>
  <c r="AP75" i="33"/>
  <c r="AK67" i="33"/>
  <c r="AK84" i="33"/>
  <c r="AZ75" i="33"/>
  <c r="AZ120" i="33"/>
  <c r="AU38" i="33"/>
  <c r="AF104" i="33"/>
  <c r="AF71" i="33"/>
  <c r="AP46" i="33"/>
  <c r="AF61" i="33"/>
  <c r="AK128" i="33"/>
  <c r="AU62" i="33"/>
  <c r="BE37" i="33"/>
  <c r="BE3" i="33"/>
  <c r="AG21" i="2"/>
  <c r="AY27" i="33"/>
  <c r="BA27" i="33" s="1"/>
  <c r="AU28" i="33"/>
  <c r="AZ31" i="33"/>
  <c r="AD25" i="2"/>
  <c r="AU39" i="33"/>
  <c r="AF39" i="33"/>
  <c r="AP28" i="33"/>
  <c r="AZ89" i="33"/>
  <c r="AU140" i="33"/>
  <c r="AY13" i="33"/>
  <c r="BA13" i="33" s="1"/>
  <c r="AX11" i="33"/>
  <c r="AZ60" i="33"/>
  <c r="AK28" i="33"/>
  <c r="AU44" i="33"/>
  <c r="AD65" i="33"/>
  <c r="BE60" i="33"/>
  <c r="AK60" i="33"/>
  <c r="BE64" i="33"/>
  <c r="AZ83" i="33"/>
  <c r="AU60" i="33"/>
  <c r="AU151" i="33"/>
  <c r="AP60" i="33"/>
  <c r="AF60" i="33"/>
  <c r="A27" i="27"/>
  <c r="AU18" i="33"/>
  <c r="BE18" i="33"/>
  <c r="AP18" i="33"/>
  <c r="I15" i="33"/>
  <c r="AU132" i="33"/>
  <c r="BE132" i="33"/>
  <c r="AP124" i="33"/>
  <c r="BE124" i="33"/>
  <c r="AU124" i="33"/>
  <c r="AZ124" i="33"/>
  <c r="AP116" i="33"/>
  <c r="AU116" i="33"/>
  <c r="AK116" i="33"/>
  <c r="BE116" i="33"/>
  <c r="AF116" i="33"/>
  <c r="BE108" i="33"/>
  <c r="AZ108" i="33"/>
  <c r="AU108" i="33"/>
  <c r="AF108" i="33"/>
  <c r="AK108" i="33"/>
  <c r="AP108" i="33"/>
  <c r="AD52" i="33"/>
  <c r="AS70" i="33"/>
  <c r="AY61" i="33"/>
  <c r="BA61" i="33" s="1"/>
  <c r="AS53" i="33"/>
  <c r="AS35" i="33"/>
  <c r="AS5" i="33"/>
  <c r="AX61" i="33"/>
  <c r="AT20" i="33"/>
  <c r="AY87" i="33"/>
  <c r="BA87" i="33" s="1"/>
  <c r="BD71" i="33"/>
  <c r="BF71" i="33" s="1"/>
  <c r="AS63" i="33"/>
  <c r="BC52" i="33"/>
  <c r="BD18" i="33"/>
  <c r="BF18" i="33" s="1"/>
  <c r="AT95" i="33"/>
  <c r="AT85" i="33"/>
  <c r="AY52" i="33"/>
  <c r="BA52" i="33" s="1"/>
  <c r="BD45" i="33"/>
  <c r="BF45" i="33" s="1"/>
  <c r="BD82" i="33"/>
  <c r="BF82" i="33" s="1"/>
  <c r="BD66" i="33"/>
  <c r="BF66" i="33" s="1"/>
  <c r="BC47" i="33"/>
  <c r="BD28" i="33"/>
  <c r="BF28" i="33" s="1"/>
  <c r="AS69" i="33"/>
  <c r="AY58" i="33"/>
  <c r="BA58" i="33" s="1"/>
  <c r="BD49" i="33"/>
  <c r="BF49" i="33" s="1"/>
  <c r="AS29" i="33"/>
  <c r="AS18" i="33"/>
  <c r="AY75" i="33"/>
  <c r="BA75" i="33" s="1"/>
  <c r="BD51" i="33"/>
  <c r="BF51" i="33" s="1"/>
  <c r="AY40" i="33"/>
  <c r="BA40" i="33" s="1"/>
  <c r="AY98" i="33"/>
  <c r="BA98" i="33" s="1"/>
  <c r="AY43" i="33"/>
  <c r="BA43" i="33" s="1"/>
  <c r="AY25" i="33"/>
  <c r="BA25" i="33" s="1"/>
  <c r="AZ135" i="33"/>
  <c r="AY67" i="33"/>
  <c r="BA67" i="33" s="1"/>
  <c r="AY50" i="33"/>
  <c r="BA50" i="33" s="1"/>
  <c r="BC19" i="33"/>
  <c r="BC78" i="33"/>
  <c r="AT61" i="33"/>
  <c r="BD142" i="33"/>
  <c r="BF142" i="33" s="1"/>
  <c r="AX93" i="33"/>
  <c r="AT83" i="33"/>
  <c r="BD73" i="33"/>
  <c r="BF73" i="33" s="1"/>
  <c r="BD58" i="33"/>
  <c r="BF58" i="33" s="1"/>
  <c r="BC18" i="33"/>
  <c r="AX89" i="33"/>
  <c r="BC73" i="33"/>
  <c r="AY56" i="33"/>
  <c r="BA56" i="33" s="1"/>
  <c r="AT27" i="33"/>
  <c r="AT18" i="33"/>
  <c r="AX141" i="33"/>
  <c r="BD84" i="33"/>
  <c r="BF84" i="33" s="1"/>
  <c r="BD68" i="33"/>
  <c r="BF68" i="33" s="1"/>
  <c r="AS27" i="33"/>
  <c r="AX73" i="33"/>
  <c r="AX62" i="33"/>
  <c r="BD31" i="33"/>
  <c r="BF31" i="33" s="1"/>
  <c r="AS150" i="33"/>
  <c r="AX29" i="33"/>
  <c r="AS17" i="33"/>
  <c r="AY18" i="33"/>
  <c r="BA18" i="33" s="1"/>
  <c r="AI142" i="33"/>
  <c r="BD15" i="33"/>
  <c r="BF15" i="33" s="1"/>
  <c r="AY5" i="33"/>
  <c r="BA5" i="33" s="1"/>
  <c r="BC83" i="33"/>
  <c r="BC67" i="33"/>
  <c r="AX42" i="33"/>
  <c r="BD22" i="33"/>
  <c r="BF22" i="33" s="1"/>
  <c r="AT81" i="33"/>
  <c r="AT74" i="33"/>
  <c r="AS57" i="33"/>
  <c r="AX48" i="33"/>
  <c r="AX76" i="33"/>
  <c r="AY69" i="33"/>
  <c r="BA69" i="33" s="1"/>
  <c r="AS48" i="33"/>
  <c r="BC24" i="33"/>
  <c r="AS101" i="33"/>
  <c r="AX91" i="33"/>
  <c r="BC80" i="33"/>
  <c r="AY64" i="33"/>
  <c r="BA64" i="33" s="1"/>
  <c r="BC56" i="33"/>
  <c r="BC41" i="33"/>
  <c r="AT140" i="33"/>
  <c r="AT87" i="33"/>
  <c r="BD62" i="33"/>
  <c r="BF62" i="33" s="1"/>
  <c r="BC54" i="33"/>
  <c r="BD151" i="33"/>
  <c r="BF151" i="33" s="1"/>
  <c r="AT89" i="33"/>
  <c r="BC66" i="33"/>
  <c r="BD3" i="33"/>
  <c r="BF3" i="33" s="1"/>
  <c r="BD90" i="33"/>
  <c r="BF90" i="33" s="1"/>
  <c r="AT80" i="33"/>
  <c r="AX60" i="33"/>
  <c r="AX47" i="33"/>
  <c r="AT28" i="33"/>
  <c r="AY144" i="33"/>
  <c r="BA144" i="33" s="1"/>
  <c r="AX24" i="33"/>
  <c r="AP135" i="33"/>
  <c r="AY72" i="33"/>
  <c r="BA72" i="33" s="1"/>
  <c r="AY63" i="33"/>
  <c r="BA63" i="33" s="1"/>
  <c r="AX55" i="33"/>
  <c r="AT37" i="33"/>
  <c r="AS148" i="33"/>
  <c r="AX81" i="33"/>
  <c r="AT65" i="33"/>
  <c r="AY48" i="33"/>
  <c r="BA48" i="33" s="1"/>
  <c r="BD19" i="33"/>
  <c r="BF19" i="33" s="1"/>
  <c r="AI4" i="33"/>
  <c r="BC87" i="33"/>
  <c r="AS46" i="33"/>
  <c r="AT99" i="33"/>
  <c r="AY91" i="33"/>
  <c r="BA91" i="33" s="1"/>
  <c r="BD56" i="33"/>
  <c r="BF56" i="33" s="1"/>
  <c r="AY78" i="33"/>
  <c r="BA78" i="33" s="1"/>
  <c r="BD54" i="33"/>
  <c r="BF54" i="33" s="1"/>
  <c r="BD47" i="33"/>
  <c r="BF47" i="33" s="1"/>
  <c r="BD150" i="33"/>
  <c r="BF150" i="33" s="1"/>
  <c r="AS85" i="33"/>
  <c r="AS76" i="33"/>
  <c r="BC60" i="33"/>
  <c r="AX52" i="33"/>
  <c r="AO149" i="33"/>
  <c r="AV149" i="33" s="1"/>
  <c r="AS87" i="33"/>
  <c r="AX80" i="33"/>
  <c r="AY62" i="33"/>
  <c r="BA62" i="33" s="1"/>
  <c r="AT52" i="33"/>
  <c r="BC40" i="33"/>
  <c r="BC151" i="33"/>
  <c r="BD77" i="33"/>
  <c r="BF77" i="33" s="1"/>
  <c r="BC68" i="33"/>
  <c r="AN91" i="33"/>
  <c r="BC22" i="33"/>
  <c r="AT151" i="33"/>
  <c r="AY148" i="33"/>
  <c r="BA148" i="33" s="1"/>
  <c r="AS52" i="33"/>
  <c r="AT70" i="33"/>
  <c r="BC61" i="33"/>
  <c r="AT53" i="33"/>
  <c r="AX35" i="33"/>
  <c r="AS79" i="33"/>
  <c r="AT46" i="33"/>
  <c r="BD16" i="33"/>
  <c r="BF16" i="33" s="1"/>
  <c r="BD6" i="33"/>
  <c r="BF6" i="33" s="1"/>
  <c r="AY85" i="33"/>
  <c r="BA85" i="33" s="1"/>
  <c r="BD52" i="33"/>
  <c r="BF52" i="33" s="1"/>
  <c r="AY21" i="33"/>
  <c r="BA21" i="33" s="1"/>
  <c r="AX97" i="33"/>
  <c r="BD80" i="33"/>
  <c r="BF80" i="33" s="1"/>
  <c r="AT76" i="33"/>
  <c r="BD60" i="33"/>
  <c r="BF60" i="33" s="1"/>
  <c r="AT21" i="33"/>
  <c r="AE6" i="33"/>
  <c r="AG6" i="33" s="1"/>
  <c r="BD75" i="33"/>
  <c r="BF75" i="33" s="1"/>
  <c r="BC58" i="33"/>
  <c r="AT78" i="33"/>
  <c r="BD30" i="33"/>
  <c r="BF30" i="33" s="1"/>
  <c r="BC94" i="33"/>
  <c r="BC84" i="33"/>
  <c r="AT64" i="33"/>
  <c r="BC3" i="33"/>
  <c r="AX100" i="33"/>
  <c r="AX82" i="33"/>
  <c r="BD32" i="33"/>
  <c r="BF32" i="33" s="1"/>
  <c r="AX142" i="33"/>
  <c r="BC34" i="33"/>
  <c r="BD37" i="33"/>
  <c r="BF37" i="33" s="1"/>
  <c r="BC7" i="33"/>
  <c r="BE135" i="33"/>
  <c r="AF140" i="33"/>
  <c r="AF150" i="33"/>
  <c r="AP7" i="33"/>
  <c r="A25" i="27"/>
  <c r="I10" i="33"/>
  <c r="AP151" i="33"/>
  <c r="AF3" i="33"/>
  <c r="BE7" i="33"/>
  <c r="BC96" i="33"/>
  <c r="AS89" i="33"/>
  <c r="AY66" i="33"/>
  <c r="BA66" i="33" s="1"/>
  <c r="AX54" i="33"/>
  <c r="AY2" i="33"/>
  <c r="BA2" i="33" s="1"/>
  <c r="AX102" i="33"/>
  <c r="BD88" i="33"/>
  <c r="BF88" i="33" s="1"/>
  <c r="AS71" i="33"/>
  <c r="BD44" i="33"/>
  <c r="BF44" i="33" s="1"/>
  <c r="AS42" i="33"/>
  <c r="AX17" i="33"/>
  <c r="AX145" i="33"/>
  <c r="BC44" i="33"/>
  <c r="BC12" i="33"/>
  <c r="AY28" i="33"/>
  <c r="BA28" i="33" s="1"/>
  <c r="AF21" i="33"/>
  <c r="AU21" i="33"/>
  <c r="AZ21" i="33"/>
  <c r="AP21" i="33"/>
  <c r="AK21" i="33"/>
  <c r="BE21" i="33"/>
  <c r="AP140" i="33"/>
  <c r="AF10" i="33"/>
  <c r="BE151" i="33"/>
  <c r="AP3" i="33"/>
  <c r="AU7" i="33"/>
  <c r="BE140" i="33"/>
  <c r="AK3" i="33"/>
  <c r="AZ7" i="33"/>
  <c r="BC144" i="33"/>
  <c r="AY12" i="33"/>
  <c r="BA12" i="33" s="1"/>
  <c r="AS34" i="33"/>
  <c r="AS140" i="33"/>
  <c r="AX146" i="33"/>
  <c r="AY14" i="33"/>
  <c r="BA14" i="33" s="1"/>
  <c r="AD26" i="33"/>
  <c r="AX46" i="33"/>
  <c r="BD53" i="33"/>
  <c r="BF53" i="33" s="1"/>
  <c r="BD146" i="33"/>
  <c r="BF146" i="33" s="1"/>
  <c r="AT149" i="33"/>
  <c r="AS19" i="33"/>
  <c r="AS147" i="33"/>
  <c r="AT15" i="33"/>
  <c r="AT22" i="33"/>
  <c r="AS3" i="33"/>
  <c r="AY29" i="33"/>
  <c r="BA29" i="33" s="1"/>
  <c r="BD36" i="33"/>
  <c r="BF36" i="33" s="1"/>
  <c r="AY22" i="33"/>
  <c r="BA22" i="33" s="1"/>
  <c r="AD145" i="33"/>
  <c r="AS21" i="33"/>
  <c r="AJ151" i="33"/>
  <c r="AL151" i="33" s="1"/>
  <c r="AS56" i="33"/>
  <c r="AT73" i="33"/>
  <c r="AY86" i="33"/>
  <c r="BA86" i="33" s="1"/>
  <c r="BD35" i="33"/>
  <c r="BF35" i="33" s="1"/>
  <c r="AY42" i="33"/>
  <c r="BA42" i="33" s="1"/>
  <c r="AS4" i="33"/>
  <c r="BC21" i="33"/>
  <c r="BC28" i="33"/>
  <c r="AT34" i="33"/>
  <c r="AT48" i="33"/>
  <c r="AS13" i="33"/>
  <c r="AE28" i="33"/>
  <c r="AG28" i="33" s="1"/>
  <c r="AS142" i="33"/>
  <c r="AT17" i="33"/>
  <c r="AT24" i="33"/>
  <c r="BC36" i="33"/>
  <c r="AX43" i="33"/>
  <c r="AY145" i="33"/>
  <c r="BA145" i="33" s="1"/>
  <c r="AX6" i="33"/>
  <c r="AE25" i="33"/>
  <c r="AG25" i="33" s="1"/>
  <c r="AY19" i="33"/>
  <c r="BA19" i="33" s="1"/>
  <c r="BC29" i="33"/>
  <c r="AY151" i="33"/>
  <c r="BA151" i="33" s="1"/>
  <c r="BC13" i="33"/>
  <c r="BC31" i="33"/>
  <c r="AY3" i="33"/>
  <c r="BA3" i="33" s="1"/>
  <c r="BC51" i="33"/>
  <c r="AT58" i="33"/>
  <c r="AX75" i="33"/>
  <c r="AT2" i="33"/>
  <c r="AX14" i="33"/>
  <c r="AX23" i="33"/>
  <c r="AT143" i="33"/>
  <c r="AX5" i="33"/>
  <c r="BD7" i="33"/>
  <c r="BF7" i="33" s="1"/>
  <c r="AY16" i="33"/>
  <c r="BA16" i="33" s="1"/>
  <c r="AT41" i="33"/>
  <c r="BC62" i="33"/>
  <c r="AX148" i="33"/>
  <c r="BD2" i="33"/>
  <c r="BF2" i="33" s="1"/>
  <c r="AS22" i="33"/>
  <c r="AT29" i="33"/>
  <c r="AY36" i="33"/>
  <c r="BA36" i="33" s="1"/>
  <c r="AY11" i="33"/>
  <c r="BA11" i="33" s="1"/>
  <c r="AE18" i="33"/>
  <c r="AG18" i="33" s="1"/>
  <c r="AT31" i="33"/>
  <c r="AY149" i="33"/>
  <c r="BA149" i="33" s="1"/>
  <c r="BC11" i="33"/>
  <c r="AX19" i="33"/>
  <c r="BD25" i="33"/>
  <c r="BF25" i="33" s="1"/>
  <c r="AX31" i="33"/>
  <c r="AY38" i="33"/>
  <c r="BA38" i="33" s="1"/>
  <c r="AO144" i="33"/>
  <c r="AY6" i="33"/>
  <c r="BA6" i="33" s="1"/>
  <c r="BD4" i="33"/>
  <c r="BF4" i="33" s="1"/>
  <c r="AY24" i="33"/>
  <c r="BA24" i="33" s="1"/>
  <c r="AS141" i="33"/>
  <c r="AY141" i="33"/>
  <c r="BA141" i="33" s="1"/>
  <c r="AY8" i="33"/>
  <c r="BA8" i="33" s="1"/>
  <c r="AX30" i="33"/>
  <c r="AO36" i="33"/>
  <c r="AY23" i="33"/>
  <c r="BA23" i="33" s="1"/>
  <c r="AY30" i="33"/>
  <c r="BA30" i="33" s="1"/>
  <c r="AS36" i="33"/>
  <c r="BC42" i="33"/>
  <c r="AS50" i="33"/>
  <c r="AY57" i="33"/>
  <c r="BA57" i="33" s="1"/>
  <c r="AY143" i="33"/>
  <c r="BA143" i="33" s="1"/>
  <c r="AS15" i="33"/>
  <c r="BC143" i="33"/>
  <c r="AT6" i="33"/>
  <c r="AT19" i="33"/>
  <c r="BC25" i="33"/>
  <c r="AX38" i="33"/>
  <c r="BC140" i="33"/>
  <c r="AI32" i="33"/>
  <c r="AY45" i="33"/>
  <c r="BA45" i="33" s="1"/>
  <c r="BC145" i="33"/>
  <c r="AY15" i="33"/>
  <c r="BA15" i="33" s="1"/>
  <c r="AY31" i="33"/>
  <c r="BA31" i="33" s="1"/>
  <c r="AY142" i="33"/>
  <c r="BA142" i="33" s="1"/>
  <c r="AX147" i="33"/>
  <c r="AJ2" i="33"/>
  <c r="AL2" i="33" s="1"/>
  <c r="BC15" i="33"/>
  <c r="AT26" i="33"/>
  <c r="BC33" i="33"/>
  <c r="AX40" i="33"/>
  <c r="AX144" i="33"/>
  <c r="AT54" i="33"/>
  <c r="AT60" i="33"/>
  <c r="BD70" i="33"/>
  <c r="BF70" i="33" s="1"/>
  <c r="BC77" i="33"/>
  <c r="AO4" i="33"/>
  <c r="AX16" i="33"/>
  <c r="AS25" i="33"/>
  <c r="BC37" i="33"/>
  <c r="AY44" i="33"/>
  <c r="BA44" i="33" s="1"/>
  <c r="BD144" i="33"/>
  <c r="BF144" i="33" s="1"/>
  <c r="AO11" i="33"/>
  <c r="AQ11" i="33" s="1"/>
  <c r="AS64" i="33"/>
  <c r="BD5" i="33"/>
  <c r="BF5" i="33" s="1"/>
  <c r="AS24" i="33"/>
  <c r="AS31" i="33"/>
  <c r="AX149" i="33"/>
  <c r="AY20" i="33"/>
  <c r="BA20" i="33" s="1"/>
  <c r="AT33" i="33"/>
  <c r="AN141" i="33"/>
  <c r="AT147" i="33"/>
  <c r="AX13" i="33"/>
  <c r="BC20" i="33"/>
  <c r="AX33" i="33"/>
  <c r="BC149" i="33"/>
  <c r="BD20" i="33"/>
  <c r="BF20" i="33" s="1"/>
  <c r="AS26" i="33"/>
  <c r="AJ5" i="33"/>
  <c r="AL5" i="33" s="1"/>
  <c r="AX3" i="33"/>
  <c r="AT35" i="33"/>
  <c r="AS145" i="33"/>
  <c r="BD39" i="33"/>
  <c r="BF39" i="33" s="1"/>
  <c r="AT47" i="33"/>
  <c r="AS143" i="33"/>
  <c r="AX18" i="33"/>
  <c r="AX39" i="33"/>
  <c r="AO145" i="33"/>
  <c r="AT25" i="33"/>
  <c r="AY32" i="33"/>
  <c r="BA32" i="33" s="1"/>
  <c r="AT59" i="33"/>
  <c r="BD65" i="33"/>
  <c r="BF65" i="33" s="1"/>
  <c r="AT145" i="33"/>
  <c r="AS6" i="33"/>
  <c r="AS33" i="33"/>
  <c r="AY140" i="33"/>
  <c r="BA140" i="33" s="1"/>
  <c r="AS151" i="33"/>
  <c r="BD34" i="33"/>
  <c r="BF34" i="33" s="1"/>
  <c r="BD41" i="33"/>
  <c r="BF41" i="33" s="1"/>
  <c r="BD143" i="33"/>
  <c r="BF143" i="33" s="1"/>
  <c r="BC148" i="33"/>
  <c r="AX15" i="33"/>
  <c r="AX22" i="33"/>
  <c r="BD148" i="33"/>
  <c r="BF148" i="33" s="1"/>
  <c r="AX151" i="33"/>
  <c r="AY17" i="33"/>
  <c r="BA17" i="33" s="1"/>
  <c r="BD27" i="33"/>
  <c r="BF27" i="33" s="1"/>
  <c r="AY33" i="33"/>
  <c r="BA33" i="33" s="1"/>
  <c r="AS144" i="33"/>
  <c r="BD149" i="33"/>
  <c r="BF149" i="33" s="1"/>
  <c r="AS7" i="33"/>
  <c r="BD29" i="33"/>
  <c r="BF29" i="33" s="1"/>
  <c r="AS37" i="33"/>
  <c r="BD43" i="33"/>
  <c r="BF43" i="33" s="1"/>
  <c r="AD149" i="33"/>
  <c r="AS28" i="33"/>
  <c r="AT40" i="33"/>
  <c r="AY49" i="33"/>
  <c r="BA49" i="33" s="1"/>
  <c r="AX66" i="33"/>
  <c r="BD79" i="33"/>
  <c r="BF79" i="33" s="1"/>
  <c r="AT5" i="33"/>
  <c r="AX32" i="33"/>
  <c r="AY150" i="33"/>
  <c r="BA150" i="33" s="1"/>
  <c r="AJ58" i="33"/>
  <c r="AL58" i="33" s="1"/>
  <c r="AY4" i="33"/>
  <c r="BA4" i="33" s="1"/>
  <c r="AT142" i="33"/>
  <c r="BD140" i="33"/>
  <c r="BF140" i="33" s="1"/>
  <c r="AN14" i="33"/>
  <c r="BD38" i="33"/>
  <c r="BF38" i="33" s="1"/>
  <c r="AI74" i="33"/>
  <c r="AY94" i="33"/>
  <c r="BA94" i="33" s="1"/>
  <c r="AT56" i="33"/>
  <c r="AS78" i="33"/>
  <c r="BD92" i="33"/>
  <c r="BF92" i="33" s="1"/>
  <c r="AY100" i="33"/>
  <c r="BA100" i="33" s="1"/>
  <c r="AX28" i="33"/>
  <c r="AY47" i="33"/>
  <c r="BA47" i="33" s="1"/>
  <c r="AY54" i="33"/>
  <c r="BA54" i="33" s="1"/>
  <c r="AY60" i="33"/>
  <c r="BA60" i="33" s="1"/>
  <c r="BD86" i="33"/>
  <c r="BF86" i="33" s="1"/>
  <c r="AX143" i="33"/>
  <c r="AO25" i="33"/>
  <c r="AY41" i="33"/>
  <c r="BA41" i="33" s="1"/>
  <c r="AX64" i="33"/>
  <c r="AY71" i="33"/>
  <c r="BA71" i="33" s="1"/>
  <c r="AS83" i="33"/>
  <c r="AT91" i="33"/>
  <c r="BC142" i="33"/>
  <c r="AO48" i="33"/>
  <c r="AT67" i="33"/>
  <c r="AS99" i="33"/>
  <c r="AX50" i="33"/>
  <c r="AS74" i="33"/>
  <c r="AS81" i="33"/>
  <c r="AX95" i="33"/>
  <c r="AS8" i="33"/>
  <c r="BC16" i="33"/>
  <c r="BD23" i="33"/>
  <c r="BF23" i="33" s="1"/>
  <c r="AS59" i="33"/>
  <c r="AS65" i="33"/>
  <c r="AT72" i="33"/>
  <c r="BC141" i="33"/>
  <c r="AS20" i="33"/>
  <c r="AE47" i="33"/>
  <c r="AG47" i="33" s="1"/>
  <c r="AX27" i="33"/>
  <c r="BC4" i="33"/>
  <c r="AT3" i="33"/>
  <c r="BC146" i="33"/>
  <c r="AT45" i="33"/>
  <c r="AY68" i="33"/>
  <c r="BA68" i="33" s="1"/>
  <c r="AK5" i="33"/>
  <c r="I140" i="33"/>
  <c r="AU3" i="33"/>
  <c r="AK7" i="33"/>
  <c r="AY84" i="33"/>
  <c r="BA84" i="33" s="1"/>
  <c r="AT30" i="33"/>
  <c r="BC6" i="33"/>
  <c r="AJ18" i="33"/>
  <c r="AL18" i="33" s="1"/>
  <c r="AS40" i="33"/>
  <c r="AD32" i="33"/>
  <c r="AX140" i="33"/>
  <c r="I7" i="33"/>
  <c r="AK140" i="33"/>
  <c r="AU150" i="33"/>
  <c r="AZ3" i="33"/>
  <c r="I150" i="33"/>
  <c r="AT141" i="33"/>
  <c r="BC90" i="33"/>
  <c r="AS80" i="33"/>
  <c r="BD55" i="33"/>
  <c r="BF55" i="33" s="1"/>
  <c r="AS2" i="33"/>
  <c r="BD145" i="33"/>
  <c r="BF145" i="33" s="1"/>
  <c r="BD11" i="33"/>
  <c r="BF11" i="33" s="1"/>
  <c r="AN144" i="33"/>
  <c r="AT13" i="33"/>
  <c r="AX20" i="33"/>
  <c r="AS61" i="33"/>
  <c r="AJ24" i="33"/>
  <c r="AL24" i="33" s="1"/>
  <c r="AS41" i="33"/>
  <c r="AX150" i="33"/>
  <c r="BE134" i="33"/>
  <c r="AK134" i="33"/>
  <c r="AZ134" i="33"/>
  <c r="AP126" i="33"/>
  <c r="AK126" i="33"/>
  <c r="AF126" i="33"/>
  <c r="BE126" i="33"/>
  <c r="AP118" i="33"/>
  <c r="AK118" i="33"/>
  <c r="AF118" i="33"/>
  <c r="AU118" i="33"/>
  <c r="AZ118" i="33"/>
  <c r="BE118" i="33"/>
  <c r="AF110" i="33"/>
  <c r="AK110" i="33"/>
  <c r="BE110" i="33"/>
  <c r="AU110" i="33"/>
  <c r="AP110" i="33"/>
  <c r="I102" i="33"/>
  <c r="AF102" i="33"/>
  <c r="AP102" i="33"/>
  <c r="AZ102" i="33"/>
  <c r="AK102" i="33"/>
  <c r="AU102" i="33"/>
  <c r="I94" i="33"/>
  <c r="BE94" i="33"/>
  <c r="AK94" i="33"/>
  <c r="AF94" i="33"/>
  <c r="I87" i="33"/>
  <c r="AU87" i="33"/>
  <c r="AF87" i="33"/>
  <c r="AP83" i="33"/>
  <c r="BE83" i="33"/>
  <c r="AU83" i="33"/>
  <c r="AF83" i="33"/>
  <c r="I79" i="33"/>
  <c r="AU79" i="33"/>
  <c r="BE79" i="33"/>
  <c r="AF79" i="33"/>
  <c r="I137" i="33"/>
  <c r="AU137" i="33"/>
  <c r="AK121" i="33"/>
  <c r="AP121" i="33"/>
  <c r="BE121" i="33"/>
  <c r="AZ121" i="33"/>
  <c r="AF121" i="33"/>
  <c r="AU121" i="33"/>
  <c r="I113" i="33"/>
  <c r="AK113" i="33"/>
  <c r="BE113" i="33"/>
  <c r="AU113" i="33"/>
  <c r="I105" i="33"/>
  <c r="BE105" i="33"/>
  <c r="AP105" i="33"/>
  <c r="AZ105" i="33"/>
  <c r="AF105" i="33"/>
  <c r="AF97" i="33"/>
  <c r="BE97" i="33"/>
  <c r="AU97" i="33"/>
  <c r="AP97" i="33"/>
  <c r="AK97" i="33"/>
  <c r="AF89" i="33"/>
  <c r="AU89" i="33"/>
  <c r="AP89" i="33"/>
  <c r="AZ72" i="33"/>
  <c r="AK72" i="33"/>
  <c r="AF55" i="33"/>
  <c r="AK55" i="33"/>
  <c r="AP55" i="33"/>
  <c r="AU55" i="33"/>
  <c r="AZ55" i="33"/>
  <c r="AK47" i="33"/>
  <c r="AU47" i="33"/>
  <c r="AP47" i="33"/>
  <c r="AZ47" i="33"/>
  <c r="AF47" i="33"/>
  <c r="BE39" i="33"/>
  <c r="AZ39" i="33"/>
  <c r="AP39" i="33"/>
  <c r="AU31" i="33"/>
  <c r="AP31" i="33"/>
  <c r="BE31" i="33"/>
  <c r="AF31" i="33"/>
  <c r="AU126" i="33"/>
  <c r="AZ97" i="33"/>
  <c r="BE87" i="33"/>
  <c r="AZ87" i="33"/>
  <c r="AZ113" i="33"/>
  <c r="AP137" i="33"/>
  <c r="BE102" i="33"/>
  <c r="AZ110" i="33"/>
  <c r="C12" i="15"/>
  <c r="C11" i="15"/>
  <c r="I27" i="33"/>
  <c r="C10" i="15"/>
  <c r="X7" i="16" s="1"/>
  <c r="AJ15" i="2"/>
  <c r="AG11" i="2"/>
  <c r="AG13" i="2"/>
  <c r="AZ5" i="33"/>
  <c r="AP15" i="33"/>
  <c r="AZ85" i="33"/>
  <c r="AP136" i="33"/>
  <c r="BE5" i="33"/>
  <c r="AZ15" i="33"/>
  <c r="AK98" i="33"/>
  <c r="AP133" i="33"/>
  <c r="AP128" i="33"/>
  <c r="AU56" i="33"/>
  <c r="AP146" i="33"/>
  <c r="AU5" i="33"/>
  <c r="AF15" i="33"/>
  <c r="AZ136" i="33"/>
  <c r="AF136" i="33"/>
  <c r="AU133" i="33"/>
  <c r="AU128" i="33"/>
  <c r="AZ48" i="33"/>
  <c r="AZ114" i="33"/>
  <c r="BE40" i="33"/>
  <c r="AK15" i="33"/>
  <c r="AU146" i="33"/>
  <c r="BE15" i="33"/>
  <c r="AZ11" i="33"/>
  <c r="AP138" i="33"/>
  <c r="AP81" i="33"/>
  <c r="BE146" i="33"/>
  <c r="AK146" i="33"/>
  <c r="I19" i="33"/>
  <c r="AZ133" i="33"/>
  <c r="AU32" i="33"/>
  <c r="I5" i="33"/>
  <c r="AZ32" i="33"/>
  <c r="BE56" i="33"/>
  <c r="AF12" i="33"/>
  <c r="AJ13" i="2"/>
  <c r="AF148" i="33"/>
  <c r="BE141" i="33"/>
  <c r="AU4" i="33"/>
  <c r="AU90" i="33"/>
  <c r="AK114" i="33"/>
  <c r="BE85" i="33"/>
  <c r="AP130" i="33"/>
  <c r="AK135" i="33"/>
  <c r="AF130" i="33"/>
  <c r="BE48" i="33"/>
  <c r="AZ81" i="33"/>
  <c r="AZ141" i="33"/>
  <c r="AZ4" i="33"/>
  <c r="AU19" i="33"/>
  <c r="AK48" i="33"/>
  <c r="AK90" i="33"/>
  <c r="BE138" i="33"/>
  <c r="AP40" i="33"/>
  <c r="AF56" i="33"/>
  <c r="AK40" i="33"/>
  <c r="AP32" i="33"/>
  <c r="AP122" i="33"/>
  <c r="AF32" i="33"/>
  <c r="I141" i="33"/>
  <c r="I4" i="33"/>
  <c r="AK19" i="33"/>
  <c r="AZ56" i="33"/>
  <c r="AU138" i="33"/>
  <c r="AU48" i="33"/>
  <c r="AZ90" i="33"/>
  <c r="BE98" i="33"/>
  <c r="AK56" i="33"/>
  <c r="AF40" i="33"/>
  <c r="AK32" i="33"/>
  <c r="AP114" i="33"/>
  <c r="AP139" i="33"/>
  <c r="BE139" i="33"/>
  <c r="BE106" i="33"/>
  <c r="BE114" i="33"/>
  <c r="AZ98" i="33"/>
  <c r="AU141" i="33"/>
  <c r="BE4" i="33"/>
  <c r="AP19" i="33"/>
  <c r="AF48" i="33"/>
  <c r="AU40" i="33"/>
  <c r="AU98" i="33"/>
  <c r="BE90" i="33"/>
  <c r="AF141" i="33"/>
  <c r="BE19" i="33"/>
  <c r="AK85" i="33"/>
  <c r="AU130" i="33"/>
  <c r="AK81" i="33"/>
  <c r="AF98" i="33"/>
  <c r="AP90" i="33"/>
  <c r="AU139" i="33"/>
  <c r="AF122" i="33"/>
  <c r="AU17" i="33"/>
  <c r="AK4" i="33"/>
  <c r="AK138" i="33"/>
  <c r="BE81" i="33"/>
  <c r="BE130" i="33"/>
  <c r="AP17" i="33"/>
  <c r="AD15" i="2"/>
  <c r="AF19" i="33"/>
  <c r="AU106" i="33"/>
  <c r="AU81" i="33"/>
  <c r="AP85" i="33"/>
  <c r="AF85" i="33"/>
  <c r="AP106" i="33"/>
  <c r="AK130" i="33"/>
  <c r="BE122" i="33"/>
  <c r="AP48" i="33"/>
  <c r="AK106" i="33"/>
  <c r="I139" i="33"/>
  <c r="AF78" i="33"/>
  <c r="BE12" i="33"/>
  <c r="I32" i="33"/>
  <c r="I121" i="33"/>
  <c r="AF13" i="33"/>
  <c r="AP12" i="33"/>
  <c r="I144" i="33"/>
  <c r="AF146" i="33"/>
  <c r="BE6" i="33"/>
  <c r="AK144" i="33"/>
  <c r="AU10" i="33"/>
  <c r="AK150" i="33"/>
  <c r="AZ151" i="33"/>
  <c r="AK17" i="33"/>
  <c r="I2" i="33"/>
  <c r="I18" i="33"/>
  <c r="AD3" i="2"/>
  <c r="AU22" i="33"/>
  <c r="AZ109" i="33"/>
  <c r="BE119" i="33"/>
  <c r="AU119" i="33"/>
  <c r="BE63" i="33"/>
  <c r="BE109" i="33"/>
  <c r="AK101" i="33"/>
  <c r="AU109" i="33"/>
  <c r="AP86" i="33"/>
  <c r="AU129" i="33"/>
  <c r="AP22" i="33"/>
  <c r="I100" i="33"/>
  <c r="AP144" i="33"/>
  <c r="AF17" i="33"/>
  <c r="AZ18" i="33"/>
  <c r="AZ44" i="33"/>
  <c r="AU76" i="33"/>
  <c r="AK82" i="33"/>
  <c r="AZ138" i="33"/>
  <c r="AP101" i="33"/>
  <c r="AZ86" i="33"/>
  <c r="BE52" i="33"/>
  <c r="AU68" i="33"/>
  <c r="I112" i="33"/>
  <c r="AP2" i="33"/>
  <c r="AP145" i="33"/>
  <c r="AF18" i="33"/>
  <c r="AP13" i="33"/>
  <c r="AZ63" i="33"/>
  <c r="AF76" i="33"/>
  <c r="AZ119" i="33"/>
  <c r="AF101" i="33"/>
  <c r="AK64" i="33"/>
  <c r="AZ52" i="33"/>
  <c r="AU52" i="33"/>
  <c r="AK129" i="33"/>
  <c r="BE72" i="33"/>
  <c r="AP63" i="33"/>
  <c r="AU145" i="33"/>
  <c r="AK18" i="33"/>
  <c r="AP72" i="33"/>
  <c r="AF100" i="33"/>
  <c r="AF119" i="33"/>
  <c r="AP100" i="33"/>
  <c r="BE76" i="33"/>
  <c r="AF92" i="33"/>
  <c r="AF129" i="33"/>
  <c r="BE129" i="33"/>
  <c r="AP68" i="33"/>
  <c r="BE82" i="33"/>
  <c r="I28" i="33"/>
  <c r="AZ17" i="33"/>
  <c r="AF144" i="33"/>
  <c r="AP10" i="33"/>
  <c r="AU2" i="33"/>
  <c r="AZ146" i="33"/>
  <c r="AP5" i="33"/>
  <c r="I6" i="33"/>
  <c r="AZ10" i="33"/>
  <c r="AZ150" i="33"/>
  <c r="AF151" i="33"/>
  <c r="BE17" i="33"/>
  <c r="BE2" i="33"/>
  <c r="AZ145" i="33"/>
  <c r="AU63" i="33"/>
  <c r="AK22" i="33"/>
  <c r="AK63" i="33"/>
  <c r="AP76" i="33"/>
  <c r="AU100" i="33"/>
  <c r="AK100" i="33"/>
  <c r="AZ76" i="33"/>
  <c r="AP119" i="33"/>
  <c r="AZ92" i="33"/>
  <c r="AZ129" i="33"/>
  <c r="AF52" i="33"/>
  <c r="AZ82" i="33"/>
  <c r="AF68" i="33"/>
  <c r="AU82" i="33"/>
  <c r="AF134" i="33"/>
  <c r="AU134" i="33"/>
  <c r="AP64" i="33"/>
  <c r="I134" i="33"/>
  <c r="AU80" i="33"/>
  <c r="I59" i="33"/>
  <c r="I14" i="33"/>
  <c r="BE144" i="33"/>
  <c r="AK10" i="33"/>
  <c r="I145" i="33"/>
  <c r="AZ22" i="33"/>
  <c r="AK36" i="33"/>
  <c r="AZ100" i="33"/>
  <c r="AK76" i="33"/>
  <c r="AP109" i="33"/>
  <c r="AU92" i="33"/>
  <c r="BE36" i="33"/>
  <c r="AK68" i="33"/>
  <c r="AP36" i="33"/>
  <c r="AK86" i="33"/>
  <c r="AP82" i="33"/>
  <c r="AF44" i="33"/>
  <c r="I58" i="33"/>
  <c r="I31" i="33"/>
  <c r="AF145" i="33"/>
  <c r="AZ36" i="33"/>
  <c r="AU101" i="33"/>
  <c r="AK109" i="33"/>
  <c r="AP44" i="33"/>
  <c r="AK92" i="33"/>
  <c r="BE68" i="33"/>
  <c r="BE101" i="33"/>
  <c r="AP52" i="33"/>
  <c r="AF72" i="33"/>
  <c r="AU72" i="33"/>
  <c r="BE22" i="33"/>
  <c r="BE44" i="33"/>
  <c r="AU64" i="33"/>
  <c r="AF64" i="33"/>
  <c r="I126" i="33"/>
  <c r="BE88" i="33"/>
  <c r="AZ79" i="33"/>
  <c r="AF41" i="33"/>
  <c r="I40" i="33"/>
  <c r="AF24" i="33"/>
  <c r="AK145" i="33"/>
  <c r="AF14" i="33"/>
  <c r="AZ130" i="33"/>
  <c r="I129" i="33"/>
  <c r="I125" i="33"/>
  <c r="I55" i="33"/>
  <c r="I54" i="33"/>
  <c r="I45" i="33"/>
  <c r="I44" i="33"/>
  <c r="AK13" i="33"/>
  <c r="AK8" i="33"/>
  <c r="BE14" i="33"/>
  <c r="AZ13" i="33"/>
  <c r="I135" i="33"/>
  <c r="I117" i="33"/>
  <c r="I13" i="33"/>
  <c r="I11" i="33"/>
  <c r="AU12" i="33"/>
  <c r="I116" i="33"/>
  <c r="AU105" i="33"/>
  <c r="I95" i="33"/>
  <c r="I142" i="33"/>
  <c r="I37" i="33"/>
  <c r="BE9" i="33"/>
  <c r="AP142" i="33"/>
  <c r="AK124" i="33"/>
  <c r="I122" i="33"/>
  <c r="I92" i="33"/>
  <c r="I51" i="33"/>
  <c r="AU9" i="33"/>
  <c r="AZ9" i="33"/>
  <c r="AK142" i="33"/>
  <c r="AP11" i="33"/>
  <c r="AF124" i="33"/>
  <c r="AP120" i="33"/>
  <c r="AU127" i="33"/>
  <c r="AZ122" i="33"/>
  <c r="AK96" i="33"/>
  <c r="I91" i="33"/>
  <c r="I50" i="33"/>
  <c r="AF142" i="33"/>
  <c r="AK14" i="33"/>
  <c r="AU131" i="33"/>
  <c r="I99" i="33"/>
  <c r="AJ10" i="2"/>
  <c r="AU122" i="33"/>
  <c r="AK139" i="33"/>
  <c r="I138" i="33"/>
  <c r="I104" i="33"/>
  <c r="I36" i="33"/>
  <c r="AZ8" i="33"/>
  <c r="BE13" i="33"/>
  <c r="AG17" i="2"/>
  <c r="BE127" i="33"/>
  <c r="AU120" i="33"/>
  <c r="I109" i="33"/>
  <c r="I86" i="33"/>
  <c r="I85" i="33"/>
  <c r="I84" i="33"/>
  <c r="I83" i="33"/>
  <c r="I82" i="33"/>
  <c r="I81" i="33"/>
  <c r="I63" i="33"/>
  <c r="AK9" i="33"/>
  <c r="AZ142" i="33"/>
  <c r="I8" i="33"/>
  <c r="I12" i="33"/>
  <c r="AU11" i="33"/>
  <c r="AK12" i="33"/>
  <c r="AD12" i="2"/>
  <c r="AK127" i="33"/>
  <c r="BE131" i="33"/>
  <c r="AF113" i="33"/>
  <c r="I108" i="33"/>
  <c r="AK87" i="33"/>
  <c r="AP9" i="33"/>
  <c r="AF9" i="33"/>
  <c r="AU142" i="33"/>
  <c r="BE148" i="33"/>
  <c r="BE8" i="33"/>
  <c r="AK11" i="33"/>
  <c r="AZ14" i="33"/>
  <c r="AU123" i="33"/>
  <c r="AK137" i="33"/>
  <c r="BE137" i="33"/>
  <c r="AZ128" i="33"/>
  <c r="AF137" i="33"/>
  <c r="I136" i="33"/>
  <c r="AF128" i="33"/>
  <c r="I127" i="33"/>
  <c r="AK120" i="33"/>
  <c r="I118" i="33"/>
  <c r="AF111" i="33"/>
  <c r="I110" i="33"/>
  <c r="AK103" i="33"/>
  <c r="I101" i="33"/>
  <c r="AZ94" i="33"/>
  <c r="I93" i="33"/>
  <c r="BE62" i="33"/>
  <c r="I61" i="33"/>
  <c r="AP53" i="33"/>
  <c r="I52" i="33"/>
  <c r="AF43" i="33"/>
  <c r="I42" i="33"/>
  <c r="BE34" i="33"/>
  <c r="I33" i="33"/>
  <c r="AF26" i="33"/>
  <c r="I25" i="33"/>
  <c r="AZ131" i="33"/>
  <c r="AZ127" i="33"/>
  <c r="AF8" i="33"/>
  <c r="BE11" i="33"/>
  <c r="AJ12" i="2"/>
  <c r="I148" i="33"/>
  <c r="AU114" i="33"/>
  <c r="BE123" i="33"/>
  <c r="AF133" i="33"/>
  <c r="I133" i="33"/>
  <c r="I124" i="33"/>
  <c r="I115" i="33"/>
  <c r="I107" i="33"/>
  <c r="I98" i="33"/>
  <c r="I90" i="33"/>
  <c r="I57" i="33"/>
  <c r="I49" i="33"/>
  <c r="I39" i="33"/>
  <c r="I30" i="33"/>
  <c r="I22" i="33"/>
  <c r="AK148" i="33"/>
  <c r="AP8" i="33"/>
  <c r="AZ132" i="33"/>
  <c r="AF123" i="33"/>
  <c r="AP131" i="33"/>
  <c r="AP127" i="33"/>
  <c r="AZ106" i="33"/>
  <c r="BE133" i="33"/>
  <c r="I132" i="33"/>
  <c r="I123" i="33"/>
  <c r="I114" i="33"/>
  <c r="I106" i="33"/>
  <c r="I97" i="33"/>
  <c r="I89" i="33"/>
  <c r="I75" i="33"/>
  <c r="I74" i="33"/>
  <c r="I73" i="33"/>
  <c r="I72" i="33"/>
  <c r="I71" i="33"/>
  <c r="I70" i="33"/>
  <c r="I69" i="33"/>
  <c r="I68" i="33"/>
  <c r="I67" i="33"/>
  <c r="I66" i="33"/>
  <c r="I65" i="33"/>
  <c r="I64" i="33"/>
  <c r="I56" i="33"/>
  <c r="I47" i="33"/>
  <c r="I38" i="33"/>
  <c r="I29" i="33"/>
  <c r="I21" i="33"/>
  <c r="AU148" i="33"/>
  <c r="AF131" i="33"/>
  <c r="AF132" i="33"/>
  <c r="AP132" i="33"/>
  <c r="I131" i="33"/>
  <c r="AP123" i="33"/>
  <c r="I20" i="33"/>
  <c r="AZ148" i="33"/>
  <c r="AP14" i="33"/>
  <c r="AK132" i="33"/>
  <c r="AJ9" i="2"/>
  <c r="AJ17" i="2"/>
  <c r="AD20" i="2"/>
  <c r="AJ18" i="2"/>
  <c r="AD13" i="2"/>
  <c r="AD22" i="2"/>
  <c r="AD10" i="2"/>
  <c r="AD14" i="2"/>
  <c r="AG10" i="2"/>
  <c r="AJ19" i="2"/>
  <c r="AJ11" i="2"/>
  <c r="AG18" i="2"/>
  <c r="AG23" i="2"/>
  <c r="AD18" i="2"/>
  <c r="AG24" i="2"/>
  <c r="AJ23" i="2"/>
  <c r="AD17" i="2"/>
  <c r="AJ5" i="2"/>
  <c r="AG5" i="2"/>
  <c r="AG19" i="2"/>
  <c r="AD9" i="2"/>
  <c r="AG9" i="2"/>
  <c r="AG7" i="2"/>
  <c r="AD6" i="2"/>
  <c r="AD4" i="2"/>
  <c r="AG25" i="2"/>
  <c r="AJ24" i="2"/>
  <c r="AJ21" i="2"/>
  <c r="AG20" i="2"/>
  <c r="AJ7" i="2"/>
  <c r="AD5" i="2"/>
  <c r="AJ25" i="2"/>
  <c r="AG22" i="2"/>
  <c r="AD21" i="2"/>
  <c r="AJ20" i="2"/>
  <c r="AG14" i="2"/>
  <c r="AG8" i="2"/>
  <c r="AD7" i="2"/>
  <c r="AJ22" i="2"/>
  <c r="AJ14" i="2"/>
  <c r="AJ8" i="2"/>
  <c r="AG6" i="2"/>
  <c r="AJ6" i="2"/>
  <c r="AG3" i="2"/>
  <c r="AJ16" i="2"/>
  <c r="AG2" i="2"/>
  <c r="AG16" i="2"/>
  <c r="AJ4" i="2"/>
  <c r="AJ2" i="2"/>
  <c r="AJ3" i="2"/>
  <c r="AN88" i="33" l="1"/>
  <c r="AO78" i="33"/>
  <c r="AE150" i="33"/>
  <c r="AG150" i="33" s="1"/>
  <c r="AI57" i="33"/>
  <c r="AD36" i="33"/>
  <c r="AJ81" i="33"/>
  <c r="AL81" i="33" s="1"/>
  <c r="AI72" i="33"/>
  <c r="AN21" i="33"/>
  <c r="AN18" i="33"/>
  <c r="AJ21" i="33"/>
  <c r="AL21" i="33" s="1"/>
  <c r="AN45" i="33"/>
  <c r="AO147" i="33"/>
  <c r="AQ147" i="33" s="1"/>
  <c r="AI13" i="33"/>
  <c r="AN42" i="33"/>
  <c r="AD34" i="33"/>
  <c r="A28" i="27"/>
  <c r="AE59" i="33"/>
  <c r="AG59" i="33" s="1"/>
  <c r="AJ28" i="33"/>
  <c r="AL28" i="33" s="1"/>
  <c r="AE20" i="33"/>
  <c r="AG20" i="33" s="1"/>
  <c r="AI73" i="33"/>
  <c r="AJ76" i="33"/>
  <c r="AL76" i="33" s="1"/>
  <c r="AI51" i="33"/>
  <c r="AJ97" i="33"/>
  <c r="AL97" i="33" s="1"/>
  <c r="AD58" i="33"/>
  <c r="AE19" i="33"/>
  <c r="AG19" i="33" s="1"/>
  <c r="AE148" i="33"/>
  <c r="AG148" i="33" s="1"/>
  <c r="AI86" i="33"/>
  <c r="AO22" i="33"/>
  <c r="AI17" i="33"/>
  <c r="AE140" i="33"/>
  <c r="AG140" i="33" s="1"/>
  <c r="AI16" i="33"/>
  <c r="AI19" i="33"/>
  <c r="AE8" i="33"/>
  <c r="AG8" i="33" s="1"/>
  <c r="AD64" i="33"/>
  <c r="AD110" i="33"/>
  <c r="AE24" i="33"/>
  <c r="AG24" i="33" s="1"/>
  <c r="C2" i="15"/>
  <c r="F65" i="2"/>
  <c r="F119" i="2"/>
  <c r="F111" i="2"/>
  <c r="F95" i="2"/>
  <c r="F67" i="2"/>
  <c r="F42" i="2"/>
  <c r="F48" i="2"/>
  <c r="F86" i="2"/>
  <c r="F124" i="2"/>
  <c r="F49" i="2"/>
  <c r="F33" i="2"/>
  <c r="F74" i="2"/>
  <c r="F96" i="2"/>
  <c r="F89" i="2"/>
  <c r="F92" i="2"/>
  <c r="F79" i="2"/>
  <c r="F78" i="2"/>
  <c r="F38" i="2"/>
  <c r="F46" i="2"/>
  <c r="F43" i="2"/>
  <c r="F100" i="2"/>
  <c r="F47" i="2"/>
  <c r="F30" i="2"/>
  <c r="F81" i="2"/>
  <c r="F98" i="2"/>
  <c r="F28" i="2"/>
  <c r="F77" i="2"/>
  <c r="F70" i="2"/>
  <c r="F57" i="2"/>
  <c r="F82" i="2"/>
  <c r="F56" i="2"/>
  <c r="F66" i="2"/>
  <c r="F93" i="2"/>
  <c r="F123" i="2"/>
  <c r="F75" i="2"/>
  <c r="F83" i="2"/>
  <c r="F121" i="2"/>
  <c r="F63" i="2"/>
  <c r="F103" i="2"/>
  <c r="F37" i="2"/>
  <c r="F52" i="2"/>
  <c r="F41" i="2"/>
  <c r="F36" i="2"/>
  <c r="F50" i="2"/>
  <c r="F64" i="2"/>
  <c r="F44" i="2"/>
  <c r="F91" i="2"/>
  <c r="F29" i="2"/>
  <c r="F60" i="2"/>
  <c r="F116" i="2"/>
  <c r="F62" i="2"/>
  <c r="F39" i="2"/>
  <c r="F73" i="2"/>
  <c r="F122" i="2"/>
  <c r="F85" i="2"/>
  <c r="F54" i="2"/>
  <c r="F35" i="2"/>
  <c r="F125" i="2"/>
  <c r="F55" i="2"/>
  <c r="F71" i="2"/>
  <c r="F102" i="2"/>
  <c r="F69" i="2"/>
  <c r="F88" i="2"/>
  <c r="F72" i="2"/>
  <c r="F80" i="2"/>
  <c r="F107" i="2"/>
  <c r="F115" i="2"/>
  <c r="F99" i="2"/>
  <c r="F90" i="2"/>
  <c r="F26" i="2"/>
  <c r="F27" i="2"/>
  <c r="F51" i="2"/>
  <c r="F61" i="2"/>
  <c r="F105" i="2"/>
  <c r="F31" i="2"/>
  <c r="F120" i="2"/>
  <c r="F58" i="2"/>
  <c r="F87" i="2"/>
  <c r="F84" i="2"/>
  <c r="F94" i="2"/>
  <c r="F97" i="2"/>
  <c r="F112" i="2"/>
  <c r="F59" i="2"/>
  <c r="F53" i="2"/>
  <c r="F34" i="2"/>
  <c r="F118" i="2"/>
  <c r="F114" i="2"/>
  <c r="F113" i="2"/>
  <c r="F40" i="2"/>
  <c r="F109" i="2"/>
  <c r="F117" i="2"/>
  <c r="F104" i="2"/>
  <c r="F126" i="2"/>
  <c r="F106" i="2"/>
  <c r="F76" i="2"/>
  <c r="F68" i="2"/>
  <c r="F110" i="2"/>
  <c r="F101" i="2"/>
  <c r="F108" i="2"/>
  <c r="F45" i="2"/>
  <c r="F32" i="2"/>
  <c r="F3" i="2"/>
  <c r="F18" i="2"/>
  <c r="F19" i="2"/>
  <c r="F17" i="2"/>
  <c r="A29" i="27"/>
  <c r="X8" i="16"/>
  <c r="AE8" i="22" s="1"/>
  <c r="AF8" i="22" s="1"/>
  <c r="Z7" i="16"/>
  <c r="AI7" i="22" s="1"/>
  <c r="AJ7" i="22" s="1"/>
  <c r="Z3" i="16"/>
  <c r="AI3" i="22" s="1"/>
  <c r="AJ3" i="22" s="1"/>
  <c r="Z8" i="16"/>
  <c r="AI8" i="22" s="1"/>
  <c r="AJ8" i="22" s="1"/>
  <c r="Z4" i="16"/>
  <c r="AI4" i="22" s="1"/>
  <c r="AJ4" i="22" s="1"/>
  <c r="X9" i="16"/>
  <c r="AE9" i="22" s="1"/>
  <c r="AF9" i="22" s="1"/>
  <c r="X10" i="16"/>
  <c r="AE10" i="22" s="1"/>
  <c r="AF10" i="22" s="1"/>
  <c r="AJ139" i="33"/>
  <c r="AL139" i="33" s="1"/>
  <c r="AE135" i="33"/>
  <c r="AG135" i="33" s="1"/>
  <c r="AE29" i="33"/>
  <c r="AG29" i="33" s="1"/>
  <c r="AO110" i="33"/>
  <c r="AV110" i="33" s="1"/>
  <c r="AI123" i="33"/>
  <c r="AD111" i="33"/>
  <c r="AO128" i="33"/>
  <c r="AQ128" i="33" s="1"/>
  <c r="AO106" i="33"/>
  <c r="AV106" i="33" s="1"/>
  <c r="AD84" i="33"/>
  <c r="AO13" i="33"/>
  <c r="AV13" i="33" s="1"/>
  <c r="AE114" i="33"/>
  <c r="AG114" i="33" s="1"/>
  <c r="AD98" i="33"/>
  <c r="AN110" i="33"/>
  <c r="AO34" i="33"/>
  <c r="AV34" i="33" s="1"/>
  <c r="AE136" i="33"/>
  <c r="AG136" i="33" s="1"/>
  <c r="AO108" i="33"/>
  <c r="AQ108" i="33" s="1"/>
  <c r="AE120" i="33"/>
  <c r="AG120" i="33" s="1"/>
  <c r="AO140" i="33"/>
  <c r="AQ140" i="33" s="1"/>
  <c r="AN56" i="33"/>
  <c r="AI108" i="33"/>
  <c r="AO101" i="33"/>
  <c r="AV101" i="33" s="1"/>
  <c r="AO64" i="33"/>
  <c r="AV64" i="33" s="1"/>
  <c r="AO81" i="33"/>
  <c r="AV81" i="33" s="1"/>
  <c r="AD80" i="33"/>
  <c r="AI145" i="33"/>
  <c r="AO97" i="33"/>
  <c r="AV97" i="33" s="1"/>
  <c r="AI89" i="33"/>
  <c r="AE69" i="33"/>
  <c r="AG69" i="33" s="1"/>
  <c r="AO107" i="33"/>
  <c r="AQ107" i="33" s="1"/>
  <c r="AO88" i="33"/>
  <c r="AQ88" i="33" s="1"/>
  <c r="AO98" i="33"/>
  <c r="AQ98" i="33" s="1"/>
  <c r="AN4" i="33"/>
  <c r="AN105" i="33"/>
  <c r="AJ136" i="33"/>
  <c r="AL136" i="33" s="1"/>
  <c r="AE110" i="33"/>
  <c r="AG110" i="33" s="1"/>
  <c r="AE104" i="33"/>
  <c r="AG104" i="33" s="1"/>
  <c r="AD124" i="33"/>
  <c r="AE79" i="33"/>
  <c r="AG79" i="33" s="1"/>
  <c r="AO67" i="33"/>
  <c r="AV67" i="33" s="1"/>
  <c r="AO44" i="33"/>
  <c r="AV44" i="33" s="1"/>
  <c r="AD45" i="33"/>
  <c r="AN51" i="33"/>
  <c r="AE38" i="33"/>
  <c r="AG38" i="33" s="1"/>
  <c r="AD66" i="33"/>
  <c r="AJ51" i="33"/>
  <c r="AL51" i="33" s="1"/>
  <c r="AN46" i="33"/>
  <c r="AJ147" i="33"/>
  <c r="AL147" i="33" s="1"/>
  <c r="AN24" i="33"/>
  <c r="AJ47" i="33"/>
  <c r="AL47" i="33" s="1"/>
  <c r="AJ38" i="33"/>
  <c r="AL38" i="33" s="1"/>
  <c r="AO79" i="33"/>
  <c r="AV79" i="33" s="1"/>
  <c r="AE13" i="33"/>
  <c r="AG13" i="33" s="1"/>
  <c r="AJ88" i="33"/>
  <c r="AL88" i="33" s="1"/>
  <c r="AJ72" i="33"/>
  <c r="AL72" i="33" s="1"/>
  <c r="AE57" i="33"/>
  <c r="AG57" i="33" s="1"/>
  <c r="AE145" i="33"/>
  <c r="AG145" i="33" s="1"/>
  <c r="AO43" i="33"/>
  <c r="AV43" i="33" s="1"/>
  <c r="AN20" i="33"/>
  <c r="AI68" i="33"/>
  <c r="AO85" i="33"/>
  <c r="AQ85" i="33" s="1"/>
  <c r="AD27" i="33"/>
  <c r="AJ149" i="33"/>
  <c r="AL149" i="33" s="1"/>
  <c r="AI151" i="33"/>
  <c r="AO38" i="33"/>
  <c r="AQ38" i="33" s="1"/>
  <c r="AJ26" i="33"/>
  <c r="AL26" i="33" s="1"/>
  <c r="AN12" i="33"/>
  <c r="AN41" i="33"/>
  <c r="AI22" i="33"/>
  <c r="AD8" i="33"/>
  <c r="AD62" i="33"/>
  <c r="AI30" i="33"/>
  <c r="AJ30" i="33"/>
  <c r="AL30" i="33" s="1"/>
  <c r="AD4" i="33"/>
  <c r="AI140" i="33"/>
  <c r="AO148" i="33"/>
  <c r="AQ148" i="33" s="1"/>
  <c r="AJ29" i="33"/>
  <c r="AL29" i="33" s="1"/>
  <c r="AD143" i="33"/>
  <c r="AD5" i="33"/>
  <c r="AI15" i="33"/>
  <c r="AJ43" i="33"/>
  <c r="AL43" i="33" s="1"/>
  <c r="AD20" i="33"/>
  <c r="AE46" i="33"/>
  <c r="AG46" i="33" s="1"/>
  <c r="AD37" i="33"/>
  <c r="AI12" i="33"/>
  <c r="AI39" i="33"/>
  <c r="AJ39" i="33"/>
  <c r="AL39" i="33" s="1"/>
  <c r="AD122" i="33"/>
  <c r="AJ91" i="33"/>
  <c r="AL91" i="33" s="1"/>
  <c r="AJ80" i="33"/>
  <c r="AL80" i="33" s="1"/>
  <c r="AE138" i="33"/>
  <c r="AG138" i="33" s="1"/>
  <c r="AN114" i="33"/>
  <c r="AI98" i="33"/>
  <c r="AE125" i="33"/>
  <c r="AG125" i="33" s="1"/>
  <c r="AI88" i="33"/>
  <c r="AD69" i="33"/>
  <c r="AO66" i="33"/>
  <c r="AV66" i="33" s="1"/>
  <c r="AI42" i="33"/>
  <c r="AD30" i="33"/>
  <c r="AD127" i="33"/>
  <c r="AO102" i="33"/>
  <c r="AV102" i="33" s="1"/>
  <c r="AN10" i="33"/>
  <c r="AN137" i="33"/>
  <c r="AJ65" i="33"/>
  <c r="AL65" i="33" s="1"/>
  <c r="AE106" i="33"/>
  <c r="AG106" i="33" s="1"/>
  <c r="AJ135" i="33"/>
  <c r="AL135" i="33" s="1"/>
  <c r="AJ121" i="33"/>
  <c r="AL121" i="33" s="1"/>
  <c r="AD114" i="33"/>
  <c r="AJ118" i="33"/>
  <c r="AL118" i="33" s="1"/>
  <c r="AN62" i="33"/>
  <c r="AI67" i="33"/>
  <c r="AE50" i="33"/>
  <c r="AG50" i="33" s="1"/>
  <c r="AI107" i="33"/>
  <c r="AN121" i="33"/>
  <c r="AO94" i="33"/>
  <c r="AQ94" i="33" s="1"/>
  <c r="AN116" i="33"/>
  <c r="AE52" i="33"/>
  <c r="AG52" i="33" s="1"/>
  <c r="AO2" i="33"/>
  <c r="AV2" i="33" s="1"/>
  <c r="AI117" i="33"/>
  <c r="AI79" i="33"/>
  <c r="AN108" i="33"/>
  <c r="AE53" i="33"/>
  <c r="AG53" i="33" s="1"/>
  <c r="AO61" i="33"/>
  <c r="AQ61" i="33" s="1"/>
  <c r="AN92" i="33"/>
  <c r="AI118" i="33"/>
  <c r="AO132" i="33"/>
  <c r="AQ132" i="33" s="1"/>
  <c r="AD48" i="33"/>
  <c r="AO39" i="33"/>
  <c r="AV39" i="33" s="1"/>
  <c r="AE43" i="33"/>
  <c r="AG43" i="33" s="1"/>
  <c r="AJ78" i="33"/>
  <c r="AL78" i="33" s="1"/>
  <c r="AO137" i="33"/>
  <c r="AV137" i="33" s="1"/>
  <c r="AE75" i="33"/>
  <c r="AG75" i="33" s="1"/>
  <c r="AJ119" i="33"/>
  <c r="AL119" i="33" s="1"/>
  <c r="AN44" i="33"/>
  <c r="AN75" i="33"/>
  <c r="AI78" i="33"/>
  <c r="AJ116" i="33"/>
  <c r="AL116" i="33" s="1"/>
  <c r="AN89" i="33"/>
  <c r="AD74" i="33"/>
  <c r="AD139" i="33"/>
  <c r="AD133" i="33"/>
  <c r="AI129" i="33"/>
  <c r="AO118" i="33"/>
  <c r="AV118" i="33" s="1"/>
  <c r="AJ111" i="33"/>
  <c r="AL111" i="33" s="1"/>
  <c r="AN106" i="33"/>
  <c r="AI60" i="33"/>
  <c r="AN138" i="33"/>
  <c r="AN113" i="33"/>
  <c r="AD102" i="33"/>
  <c r="AN40" i="33"/>
  <c r="AE144" i="33"/>
  <c r="AG144" i="33" s="1"/>
  <c r="AE149" i="33"/>
  <c r="AG149" i="33" s="1"/>
  <c r="AI101" i="33"/>
  <c r="AO41" i="33"/>
  <c r="AV41" i="33" s="1"/>
  <c r="AJ46" i="33"/>
  <c r="AL46" i="33" s="1"/>
  <c r="AJ141" i="33"/>
  <c r="AL141" i="33" s="1"/>
  <c r="AO42" i="33"/>
  <c r="AQ42" i="33" s="1"/>
  <c r="AD68" i="33"/>
  <c r="AI99" i="33"/>
  <c r="AE14" i="33"/>
  <c r="AG14" i="33" s="1"/>
  <c r="AJ45" i="33"/>
  <c r="AL45" i="33" s="1"/>
  <c r="AN11" i="33"/>
  <c r="AE61" i="33"/>
  <c r="AG61" i="33" s="1"/>
  <c r="AE26" i="33"/>
  <c r="AG26" i="33" s="1"/>
  <c r="AE27" i="33"/>
  <c r="AG27" i="33" s="1"/>
  <c r="AN146" i="33"/>
  <c r="AJ144" i="33"/>
  <c r="AL144" i="33" s="1"/>
  <c r="AD16" i="33"/>
  <c r="AD51" i="33"/>
  <c r="AN149" i="33"/>
  <c r="AI31" i="33"/>
  <c r="AJ83" i="33"/>
  <c r="AL83" i="33" s="1"/>
  <c r="AJ12" i="33"/>
  <c r="AL12" i="33" s="1"/>
  <c r="AE32" i="33"/>
  <c r="AG32" i="33" s="1"/>
  <c r="AJ8" i="33"/>
  <c r="AL8" i="33" s="1"/>
  <c r="AJ14" i="33"/>
  <c r="AL14" i="33" s="1"/>
  <c r="AJ44" i="33"/>
  <c r="AL44" i="33" s="1"/>
  <c r="AJ37" i="33"/>
  <c r="AL37" i="33" s="1"/>
  <c r="AE35" i="33"/>
  <c r="AG35" i="33" s="1"/>
  <c r="AE142" i="33"/>
  <c r="AG142" i="33" s="1"/>
  <c r="AI5" i="33"/>
  <c r="AI18" i="33"/>
  <c r="AJ7" i="33"/>
  <c r="AL7" i="33" s="1"/>
  <c r="AI21" i="33"/>
  <c r="AI141" i="33"/>
  <c r="AJ142" i="33"/>
  <c r="AL142" i="33" s="1"/>
  <c r="AE151" i="33"/>
  <c r="AG151" i="33" s="1"/>
  <c r="AJ67" i="33"/>
  <c r="AL67" i="33" s="1"/>
  <c r="AD38" i="33"/>
  <c r="AD60" i="33"/>
  <c r="AJ19" i="33"/>
  <c r="AL19" i="33" s="1"/>
  <c r="AE40" i="33"/>
  <c r="AG40" i="33" s="1"/>
  <c r="AO12" i="33"/>
  <c r="AQ12" i="33" s="1"/>
  <c r="AO29" i="33"/>
  <c r="AV29" i="33" s="1"/>
  <c r="AJ74" i="33"/>
  <c r="AL74" i="33" s="1"/>
  <c r="AN140" i="33"/>
  <c r="AE4" i="33"/>
  <c r="AG4" i="33" s="1"/>
  <c r="AI59" i="33"/>
  <c r="AI20" i="33"/>
  <c r="AE96" i="33"/>
  <c r="AG96" i="33" s="1"/>
  <c r="AE54" i="33"/>
  <c r="AG54" i="33" s="1"/>
  <c r="AE45" i="33"/>
  <c r="AG45" i="33" s="1"/>
  <c r="AI103" i="33"/>
  <c r="AN97" i="33"/>
  <c r="AE98" i="33"/>
  <c r="AG98" i="33" s="1"/>
  <c r="AE66" i="33"/>
  <c r="AG66" i="33" s="1"/>
  <c r="AE65" i="33"/>
  <c r="AG65" i="33" s="1"/>
  <c r="AJ101" i="33"/>
  <c r="AL101" i="33" s="1"/>
  <c r="AO83" i="33"/>
  <c r="AQ83" i="33" s="1"/>
  <c r="AD15" i="33"/>
  <c r="AO72" i="33"/>
  <c r="AV72" i="33" s="1"/>
  <c r="AI84" i="33"/>
  <c r="AI58" i="33"/>
  <c r="AI36" i="33"/>
  <c r="AO27" i="33"/>
  <c r="AQ27" i="33" s="1"/>
  <c r="AI63" i="33"/>
  <c r="AI38" i="33"/>
  <c r="AO8" i="33"/>
  <c r="AQ8" i="33" s="1"/>
  <c r="AE88" i="33"/>
  <c r="AG88" i="33" s="1"/>
  <c r="AJ124" i="33"/>
  <c r="AL124" i="33" s="1"/>
  <c r="AN112" i="33"/>
  <c r="AE93" i="33"/>
  <c r="AG93" i="33" s="1"/>
  <c r="AO30" i="33"/>
  <c r="AQ30" i="33" s="1"/>
  <c r="AJ57" i="33"/>
  <c r="AL57" i="33" s="1"/>
  <c r="AJ143" i="33"/>
  <c r="AL143" i="33" s="1"/>
  <c r="AO18" i="33"/>
  <c r="AQ18" i="33" s="1"/>
  <c r="AE5" i="33"/>
  <c r="AG5" i="33" s="1"/>
  <c r="AN28" i="33"/>
  <c r="AD82" i="33"/>
  <c r="AO50" i="33"/>
  <c r="AQ50" i="33" s="1"/>
  <c r="AN19" i="33"/>
  <c r="AJ27" i="33"/>
  <c r="AL27" i="33" s="1"/>
  <c r="AD41" i="33"/>
  <c r="AD18" i="33"/>
  <c r="AI6" i="33"/>
  <c r="AI37" i="33"/>
  <c r="AD19" i="33"/>
  <c r="AE30" i="33"/>
  <c r="AG30" i="33" s="1"/>
  <c r="AI24" i="33"/>
  <c r="AD14" i="33"/>
  <c r="AN7" i="33"/>
  <c r="AN8" i="33"/>
  <c r="AI81" i="33"/>
  <c r="AO52" i="33"/>
  <c r="AQ52" i="33" s="1"/>
  <c r="AE70" i="33"/>
  <c r="AG70" i="33" s="1"/>
  <c r="AD39" i="33"/>
  <c r="AI62" i="33"/>
  <c r="AJ62" i="33"/>
  <c r="AL62" i="33" s="1"/>
  <c r="AD35" i="33"/>
  <c r="AN150" i="33"/>
  <c r="AD42" i="33"/>
  <c r="AE94" i="33"/>
  <c r="AG94" i="33" s="1"/>
  <c r="AE62" i="33"/>
  <c r="AG62" i="33" s="1"/>
  <c r="AN22" i="33"/>
  <c r="AD54" i="33"/>
  <c r="AI147" i="33"/>
  <c r="AN93" i="33"/>
  <c r="AJ79" i="33"/>
  <c r="AL79" i="33" s="1"/>
  <c r="AJ92" i="33"/>
  <c r="AL92" i="33" s="1"/>
  <c r="AO65" i="33"/>
  <c r="AQ65" i="33" s="1"/>
  <c r="AN151" i="33"/>
  <c r="AD129" i="33"/>
  <c r="AI135" i="33"/>
  <c r="AN98" i="33"/>
  <c r="AE23" i="33"/>
  <c r="AG23" i="33" s="1"/>
  <c r="AN35" i="33"/>
  <c r="AI90" i="33"/>
  <c r="AE17" i="33"/>
  <c r="AG17" i="33" s="1"/>
  <c r="AI65" i="33"/>
  <c r="AN52" i="33"/>
  <c r="AJ31" i="33"/>
  <c r="AL31" i="33" s="1"/>
  <c r="AJ85" i="33"/>
  <c r="AL85" i="33" s="1"/>
  <c r="AJ33" i="33"/>
  <c r="AL33" i="33" s="1"/>
  <c r="AN32" i="33"/>
  <c r="AO3" i="33"/>
  <c r="AQ3" i="33" s="1"/>
  <c r="AE37" i="33"/>
  <c r="AG37" i="33" s="1"/>
  <c r="AN17" i="33"/>
  <c r="AE77" i="33"/>
  <c r="AG77" i="33" s="1"/>
  <c r="AN85" i="33"/>
  <c r="AJ16" i="33"/>
  <c r="AL16" i="33" s="1"/>
  <c r="AD140" i="33"/>
  <c r="AO21" i="33"/>
  <c r="AQ21" i="33" s="1"/>
  <c r="AE55" i="33"/>
  <c r="AG55" i="33" s="1"/>
  <c r="AN16" i="33"/>
  <c r="AJ150" i="33"/>
  <c r="AL150" i="33" s="1"/>
  <c r="AN26" i="33"/>
  <c r="AN3" i="33"/>
  <c r="AN43" i="33"/>
  <c r="AJ146" i="33"/>
  <c r="AL146" i="33" s="1"/>
  <c r="AJ6" i="33"/>
  <c r="AL6" i="33" s="1"/>
  <c r="AE143" i="33"/>
  <c r="AG143" i="33" s="1"/>
  <c r="AJ56" i="33"/>
  <c r="AL56" i="33" s="1"/>
  <c r="AN29" i="33"/>
  <c r="AI143" i="33"/>
  <c r="AO54" i="33"/>
  <c r="AQ54" i="33" s="1"/>
  <c r="AE147" i="33"/>
  <c r="AG147" i="33" s="1"/>
  <c r="AI2" i="33"/>
  <c r="AD2" i="33"/>
  <c r="AI7" i="33"/>
  <c r="AE34" i="33"/>
  <c r="AG34" i="33" s="1"/>
  <c r="AJ95" i="33"/>
  <c r="AL95" i="33" s="1"/>
  <c r="AI46" i="33"/>
  <c r="AN142" i="33"/>
  <c r="AI25" i="33"/>
  <c r="AO20" i="33"/>
  <c r="AV20" i="33" s="1"/>
  <c r="AE39" i="33"/>
  <c r="AG39" i="33" s="1"/>
  <c r="AJ68" i="33"/>
  <c r="AL68" i="33" s="1"/>
  <c r="AN6" i="33"/>
  <c r="AI149" i="33"/>
  <c r="AI48" i="33"/>
  <c r="AN87" i="33"/>
  <c r="AE72" i="33"/>
  <c r="AG72" i="33" s="1"/>
  <c r="AO35" i="33"/>
  <c r="AQ35" i="33" s="1"/>
  <c r="AE2" i="33"/>
  <c r="AG2" i="33" s="1"/>
  <c r="AI146" i="33"/>
  <c r="AD53" i="33"/>
  <c r="AJ13" i="33"/>
  <c r="AL13" i="33" s="1"/>
  <c r="AI33" i="33"/>
  <c r="AI41" i="33"/>
  <c r="AO7" i="33"/>
  <c r="AV7" i="33" s="1"/>
  <c r="AO26" i="33"/>
  <c r="AV26" i="33" s="1"/>
  <c r="AJ17" i="33"/>
  <c r="AL17" i="33" s="1"/>
  <c r="AD23" i="33"/>
  <c r="AJ63" i="33"/>
  <c r="AL63" i="33" s="1"/>
  <c r="AD144" i="33"/>
  <c r="AE3" i="33"/>
  <c r="AG3" i="33" s="1"/>
  <c r="AN30" i="33"/>
  <c r="AD25" i="33"/>
  <c r="AE49" i="33"/>
  <c r="AG49" i="33" s="1"/>
  <c r="AJ22" i="33"/>
  <c r="AL22" i="33" s="1"/>
  <c r="AE81" i="33"/>
  <c r="AG81" i="33" s="1"/>
  <c r="AO31" i="33"/>
  <c r="AQ31" i="33" s="1"/>
  <c r="AN23" i="33"/>
  <c r="AJ23" i="33"/>
  <c r="AL23" i="33" s="1"/>
  <c r="AN37" i="33"/>
  <c r="AJ35" i="33"/>
  <c r="AL35" i="33" s="1"/>
  <c r="AO151" i="33"/>
  <c r="AV151" i="33" s="1"/>
  <c r="AJ15" i="33"/>
  <c r="AL15" i="33" s="1"/>
  <c r="AI29" i="33"/>
  <c r="AD11" i="33"/>
  <c r="AO141" i="33"/>
  <c r="AV141" i="33" s="1"/>
  <c r="AI23" i="33"/>
  <c r="AI28" i="33"/>
  <c r="AN27" i="33"/>
  <c r="AJ42" i="33"/>
  <c r="AL42" i="33" s="1"/>
  <c r="AD21" i="33"/>
  <c r="AO53" i="33"/>
  <c r="AV53" i="33" s="1"/>
  <c r="AE11" i="33"/>
  <c r="AG11" i="33" s="1"/>
  <c r="AN68" i="33"/>
  <c r="AJ36" i="33"/>
  <c r="AL36" i="33" s="1"/>
  <c r="AE68" i="33"/>
  <c r="AG68" i="33" s="1"/>
  <c r="AJ70" i="33"/>
  <c r="AL70" i="33" s="1"/>
  <c r="AI43" i="33"/>
  <c r="AN13" i="33"/>
  <c r="AI144" i="33"/>
  <c r="AN25" i="33"/>
  <c r="AJ75" i="33"/>
  <c r="AL75" i="33" s="1"/>
  <c r="AJ50" i="33"/>
  <c r="AL50" i="33" s="1"/>
  <c r="AJ48" i="33"/>
  <c r="AL48" i="33" s="1"/>
  <c r="AN65" i="33"/>
  <c r="AD44" i="33"/>
  <c r="AO17" i="33"/>
  <c r="AQ17" i="33" s="1"/>
  <c r="AO5" i="33"/>
  <c r="AQ5" i="33" s="1"/>
  <c r="AO40" i="33"/>
  <c r="AV40" i="33" s="1"/>
  <c r="AO74" i="33"/>
  <c r="AV74" i="33" s="1"/>
  <c r="AN59" i="33"/>
  <c r="AO6" i="33"/>
  <c r="AQ6" i="33" s="1"/>
  <c r="A17" i="27"/>
  <c r="A26" i="27"/>
  <c r="AI127" i="33"/>
  <c r="AN134" i="33"/>
  <c r="AO125" i="33"/>
  <c r="AQ125" i="33" s="1"/>
  <c r="AD83" i="33"/>
  <c r="AE113" i="33"/>
  <c r="AG113" i="33" s="1"/>
  <c r="AO80" i="33"/>
  <c r="AV80" i="33" s="1"/>
  <c r="AI106" i="33"/>
  <c r="C5" i="15"/>
  <c r="B2" i="2" s="1"/>
  <c r="AQ2" i="33"/>
  <c r="AE3" i="22"/>
  <c r="AF3" i="22" s="1"/>
  <c r="AE7" i="22"/>
  <c r="AF7" i="22" s="1"/>
  <c r="AE132" i="33"/>
  <c r="AG132" i="33" s="1"/>
  <c r="AI132" i="33"/>
  <c r="AJ122" i="33"/>
  <c r="AL122" i="33" s="1"/>
  <c r="AD31" i="33"/>
  <c r="AI128" i="33"/>
  <c r="AO90" i="33"/>
  <c r="AQ90" i="33" s="1"/>
  <c r="AN2" i="33"/>
  <c r="AI26" i="33"/>
  <c r="AJ148" i="33"/>
  <c r="AL148" i="33" s="1"/>
  <c r="AI53" i="33"/>
  <c r="AN71" i="33"/>
  <c r="AN117" i="33"/>
  <c r="AN47" i="33"/>
  <c r="AO60" i="33"/>
  <c r="AQ60" i="33" s="1"/>
  <c r="AN94" i="33"/>
  <c r="AD119" i="33"/>
  <c r="AD101" i="33"/>
  <c r="AJ61" i="33"/>
  <c r="AL61" i="33" s="1"/>
  <c r="AD135" i="33"/>
  <c r="AD90" i="33"/>
  <c r="AN55" i="33"/>
  <c r="AJ112" i="33"/>
  <c r="AL112" i="33" s="1"/>
  <c r="AN129" i="33"/>
  <c r="AJ145" i="33"/>
  <c r="AL145" i="33" s="1"/>
  <c r="AE146" i="33"/>
  <c r="AG146" i="33" s="1"/>
  <c r="AO127" i="33"/>
  <c r="AV127" i="33" s="1"/>
  <c r="AE76" i="33"/>
  <c r="AG76" i="33" s="1"/>
  <c r="AE74" i="33"/>
  <c r="AG74" i="33" s="1"/>
  <c r="AJ90" i="33"/>
  <c r="AL90" i="33" s="1"/>
  <c r="AO113" i="33"/>
  <c r="AV113" i="33" s="1"/>
  <c r="AJ140" i="33"/>
  <c r="AL140" i="33" s="1"/>
  <c r="AE130" i="33"/>
  <c r="AG130" i="33" s="1"/>
  <c r="AJ4" i="33"/>
  <c r="AL4" i="33" s="1"/>
  <c r="AE21" i="33"/>
  <c r="AG21" i="33" s="1"/>
  <c r="AJ82" i="33"/>
  <c r="AL82" i="33" s="1"/>
  <c r="AJ54" i="33"/>
  <c r="AL54" i="33" s="1"/>
  <c r="AO130" i="33"/>
  <c r="AV130" i="33" s="1"/>
  <c r="AI91" i="33"/>
  <c r="AD22" i="33"/>
  <c r="AO68" i="33"/>
  <c r="AV68" i="33" s="1"/>
  <c r="AO33" i="33"/>
  <c r="AQ33" i="33" s="1"/>
  <c r="AD105" i="33"/>
  <c r="AJ123" i="33"/>
  <c r="AL123" i="33" s="1"/>
  <c r="AO121" i="33"/>
  <c r="AV121" i="33" s="1"/>
  <c r="AN61" i="33"/>
  <c r="AI44" i="33"/>
  <c r="AE56" i="33"/>
  <c r="AG56" i="33" s="1"/>
  <c r="AI56" i="33"/>
  <c r="AD63" i="33"/>
  <c r="AN132" i="33"/>
  <c r="AN67" i="33"/>
  <c r="AO96" i="33"/>
  <c r="AQ96" i="33" s="1"/>
  <c r="AE91" i="33"/>
  <c r="AG91" i="33" s="1"/>
  <c r="AI102" i="33"/>
  <c r="AE116" i="33"/>
  <c r="AG116" i="33" s="1"/>
  <c r="AJ49" i="33"/>
  <c r="AL49" i="33" s="1"/>
  <c r="AN58" i="33"/>
  <c r="AN64" i="33"/>
  <c r="AJ134" i="33"/>
  <c r="AL134" i="33" s="1"/>
  <c r="AN95" i="33"/>
  <c r="AO14" i="33"/>
  <c r="AQ14" i="33" s="1"/>
  <c r="AE31" i="33"/>
  <c r="AG31" i="33" s="1"/>
  <c r="AN101" i="33"/>
  <c r="AI87" i="33"/>
  <c r="AO114" i="33"/>
  <c r="AQ114" i="33" s="1"/>
  <c r="AO120" i="33"/>
  <c r="AV120" i="33" s="1"/>
  <c r="AI120" i="33"/>
  <c r="AJ114" i="33"/>
  <c r="AL114" i="33" s="1"/>
  <c r="AI40" i="33"/>
  <c r="AE124" i="33"/>
  <c r="AG124" i="33" s="1"/>
  <c r="AJ73" i="33"/>
  <c r="AL73" i="33" s="1"/>
  <c r="AD7" i="33"/>
  <c r="AE58" i="33"/>
  <c r="AG58" i="33" s="1"/>
  <c r="AO71" i="33"/>
  <c r="AQ71" i="33" s="1"/>
  <c r="AO105" i="33"/>
  <c r="AV105" i="33" s="1"/>
  <c r="AI133" i="33"/>
  <c r="AI139" i="33"/>
  <c r="AD108" i="33"/>
  <c r="AJ107" i="33"/>
  <c r="AL107" i="33" s="1"/>
  <c r="AJ34" i="33"/>
  <c r="AL34" i="33" s="1"/>
  <c r="AI14" i="33"/>
  <c r="AJ99" i="33"/>
  <c r="AL99" i="33" s="1"/>
  <c r="AE33" i="33"/>
  <c r="AG33" i="33" s="1"/>
  <c r="AI126" i="33"/>
  <c r="AO32" i="33"/>
  <c r="AV32" i="33" s="1"/>
  <c r="AO62" i="33"/>
  <c r="AQ62" i="33" s="1"/>
  <c r="AD103" i="33"/>
  <c r="AE103" i="33"/>
  <c r="AG103" i="33" s="1"/>
  <c r="AN84" i="33"/>
  <c r="AE41" i="33"/>
  <c r="AG41" i="33" s="1"/>
  <c r="AD131" i="33"/>
  <c r="AE100" i="33"/>
  <c r="AG100" i="33" s="1"/>
  <c r="AE86" i="33"/>
  <c r="AG86" i="33" s="1"/>
  <c r="AD46" i="33"/>
  <c r="AN78" i="33"/>
  <c r="AD107" i="33"/>
  <c r="AI125" i="33"/>
  <c r="AO123" i="33"/>
  <c r="AI75" i="33"/>
  <c r="AI71" i="33"/>
  <c r="AD67" i="33"/>
  <c r="AJ117" i="33"/>
  <c r="AL117" i="33" s="1"/>
  <c r="AD85" i="33"/>
  <c r="AO82" i="33"/>
  <c r="AO55" i="33"/>
  <c r="AE80" i="33"/>
  <c r="AG80" i="33" s="1"/>
  <c r="AN33" i="33"/>
  <c r="AD142" i="33"/>
  <c r="AE129" i="33"/>
  <c r="AG129" i="33" s="1"/>
  <c r="AN127" i="33"/>
  <c r="AJ127" i="33"/>
  <c r="AL127" i="33" s="1"/>
  <c r="AI113" i="33"/>
  <c r="AI119" i="33"/>
  <c r="AN124" i="33"/>
  <c r="AI115" i="33"/>
  <c r="AI93" i="33"/>
  <c r="AD109" i="33"/>
  <c r="AJ133" i="33"/>
  <c r="AL133" i="33" s="1"/>
  <c r="AD95" i="33"/>
  <c r="AE118" i="33"/>
  <c r="AG118" i="33" s="1"/>
  <c r="AD12" i="33"/>
  <c r="AE137" i="33"/>
  <c r="AG137" i="33" s="1"/>
  <c r="AE95" i="33"/>
  <c r="AG95" i="33" s="1"/>
  <c r="AJ102" i="33"/>
  <c r="AL102" i="33" s="1"/>
  <c r="AE133" i="33"/>
  <c r="AG133" i="33" s="1"/>
  <c r="AN38" i="33"/>
  <c r="AO69" i="33"/>
  <c r="AV69" i="33" s="1"/>
  <c r="AD57" i="33"/>
  <c r="AD88" i="33"/>
  <c r="AE7" i="33"/>
  <c r="AG7" i="33" s="1"/>
  <c r="AO15" i="33"/>
  <c r="AV15" i="33" s="1"/>
  <c r="AI96" i="33"/>
  <c r="AI148" i="33"/>
  <c r="AJ20" i="33"/>
  <c r="AL20" i="33" s="1"/>
  <c r="AO19" i="33"/>
  <c r="AQ19" i="33" s="1"/>
  <c r="AJ103" i="33"/>
  <c r="AL103" i="33" s="1"/>
  <c r="AN145" i="33"/>
  <c r="AI94" i="33"/>
  <c r="AD17" i="33"/>
  <c r="AE141" i="33"/>
  <c r="AG141" i="33" s="1"/>
  <c r="AO49" i="33"/>
  <c r="AQ49" i="33" s="1"/>
  <c r="AN49" i="33"/>
  <c r="AO57" i="33"/>
  <c r="AQ57" i="33" s="1"/>
  <c r="AI70" i="33"/>
  <c r="AN74" i="33"/>
  <c r="AE36" i="33"/>
  <c r="AG36" i="33" s="1"/>
  <c r="AD13" i="33"/>
  <c r="AO24" i="33"/>
  <c r="AQ24" i="33" s="1"/>
  <c r="AE22" i="33"/>
  <c r="AG22" i="33" s="1"/>
  <c r="AO23" i="33"/>
  <c r="AV23" i="33" s="1"/>
  <c r="AJ25" i="33"/>
  <c r="AL25" i="33" s="1"/>
  <c r="AJ11" i="33"/>
  <c r="AL11" i="33" s="1"/>
  <c r="AN5" i="33"/>
  <c r="AE92" i="33"/>
  <c r="AG92" i="33" s="1"/>
  <c r="AN31" i="33"/>
  <c r="AO100" i="33"/>
  <c r="AO111" i="33"/>
  <c r="AE126" i="33"/>
  <c r="AG126" i="33" s="1"/>
  <c r="AJ77" i="33"/>
  <c r="AL77" i="33" s="1"/>
  <c r="AD91" i="33"/>
  <c r="AE111" i="33"/>
  <c r="AG111" i="33" s="1"/>
  <c r="AN36" i="33"/>
  <c r="AI45" i="33"/>
  <c r="AI52" i="33"/>
  <c r="AE121" i="33"/>
  <c r="AG121" i="33" s="1"/>
  <c r="AI97" i="33"/>
  <c r="AJ10" i="33"/>
  <c r="AL10" i="33" s="1"/>
  <c r="AO92" i="33"/>
  <c r="AJ109" i="33"/>
  <c r="AL109" i="33" s="1"/>
  <c r="AN86" i="33"/>
  <c r="AE78" i="33"/>
  <c r="AG78" i="33" s="1"/>
  <c r="AN73" i="33"/>
  <c r="AE123" i="33"/>
  <c r="AG123" i="33" s="1"/>
  <c r="AD93" i="33"/>
  <c r="AD86" i="33"/>
  <c r="AN147" i="33"/>
  <c r="AO45" i="33"/>
  <c r="AE63" i="33"/>
  <c r="AG63" i="33" s="1"/>
  <c r="AO103" i="33"/>
  <c r="AO46" i="33"/>
  <c r="AN148" i="33"/>
  <c r="AI80" i="33"/>
  <c r="AO75" i="33"/>
  <c r="AJ132" i="33"/>
  <c r="AL132" i="33" s="1"/>
  <c r="AD125" i="33"/>
  <c r="AO16" i="33"/>
  <c r="AD50" i="33"/>
  <c r="AE119" i="33"/>
  <c r="AG119" i="33" s="1"/>
  <c r="AI138" i="33"/>
  <c r="AO9" i="33"/>
  <c r="AO95" i="33"/>
  <c r="AI104" i="33"/>
  <c r="AO116" i="33"/>
  <c r="AJ94" i="33"/>
  <c r="AL94" i="33" s="1"/>
  <c r="AO77" i="33"/>
  <c r="AJ9" i="33"/>
  <c r="AL9" i="33" s="1"/>
  <c r="AJ128" i="33"/>
  <c r="AL128" i="33" s="1"/>
  <c r="AN107" i="33"/>
  <c r="AD115" i="33"/>
  <c r="AO139" i="33"/>
  <c r="AE139" i="33"/>
  <c r="AG139" i="33" s="1"/>
  <c r="AJ129" i="33"/>
  <c r="AL129" i="33" s="1"/>
  <c r="AE108" i="33"/>
  <c r="AG108" i="33" s="1"/>
  <c r="AJ115" i="33"/>
  <c r="AL115" i="33" s="1"/>
  <c r="AN72" i="33"/>
  <c r="AD117" i="33"/>
  <c r="AD3" i="33"/>
  <c r="AO115" i="33"/>
  <c r="AN139" i="33"/>
  <c r="AJ52" i="33"/>
  <c r="AL52" i="33" s="1"/>
  <c r="AE99" i="33"/>
  <c r="AG99" i="33" s="1"/>
  <c r="AI150" i="33"/>
  <c r="AI61" i="33"/>
  <c r="AO86" i="33"/>
  <c r="AV86" i="33" s="1"/>
  <c r="AI8" i="33"/>
  <c r="AO142" i="33"/>
  <c r="AV142" i="33" s="1"/>
  <c r="AO93" i="33"/>
  <c r="AV93" i="33" s="1"/>
  <c r="AD79" i="33"/>
  <c r="AJ86" i="33"/>
  <c r="AL86" i="33" s="1"/>
  <c r="AO91" i="33"/>
  <c r="AV91" i="33" s="1"/>
  <c r="AO146" i="33"/>
  <c r="AV146" i="33" s="1"/>
  <c r="AD40" i="33"/>
  <c r="AN34" i="33"/>
  <c r="AD70" i="33"/>
  <c r="AJ32" i="33"/>
  <c r="AL32" i="33" s="1"/>
  <c r="AE9" i="33"/>
  <c r="AG9" i="33" s="1"/>
  <c r="AI83" i="33"/>
  <c r="AE112" i="33"/>
  <c r="AG112" i="33" s="1"/>
  <c r="AD120" i="33"/>
  <c r="AJ59" i="33"/>
  <c r="AL59" i="33" s="1"/>
  <c r="AI35" i="33"/>
  <c r="AI54" i="33"/>
  <c r="AN128" i="33"/>
  <c r="AJ106" i="33"/>
  <c r="AL106" i="33" s="1"/>
  <c r="AD150" i="33"/>
  <c r="AN103" i="33"/>
  <c r="AO63" i="33"/>
  <c r="AV63" i="33" s="1"/>
  <c r="AD33" i="33"/>
  <c r="AD87" i="33"/>
  <c r="AE85" i="33"/>
  <c r="AG85" i="33" s="1"/>
  <c r="AD28" i="33"/>
  <c r="AE105" i="33"/>
  <c r="AG105" i="33" s="1"/>
  <c r="AD146" i="33"/>
  <c r="AN54" i="33"/>
  <c r="AD123" i="33"/>
  <c r="AD61" i="33"/>
  <c r="AD94" i="33"/>
  <c r="AO37" i="33"/>
  <c r="AQ37" i="33" s="1"/>
  <c r="AE89" i="33"/>
  <c r="AG89" i="33" s="1"/>
  <c r="AD89" i="33"/>
  <c r="AE107" i="33"/>
  <c r="AG107" i="33" s="1"/>
  <c r="AJ53" i="33"/>
  <c r="AL53" i="33" s="1"/>
  <c r="AO126" i="33"/>
  <c r="AV126" i="33" s="1"/>
  <c r="AN104" i="33"/>
  <c r="AN102" i="33"/>
  <c r="AD10" i="33"/>
  <c r="AD128" i="33"/>
  <c r="AO134" i="33"/>
  <c r="AQ134" i="33" s="1"/>
  <c r="AI124" i="33"/>
  <c r="AO99" i="33"/>
  <c r="AQ99" i="33" s="1"/>
  <c r="AN125" i="33"/>
  <c r="AE44" i="33"/>
  <c r="AG44" i="33" s="1"/>
  <c r="AE101" i="33"/>
  <c r="AG101" i="33" s="1"/>
  <c r="AE131" i="33"/>
  <c r="AG131" i="33" s="1"/>
  <c r="AO133" i="33"/>
  <c r="AQ133" i="33" s="1"/>
  <c r="AN119" i="33"/>
  <c r="AD29" i="33"/>
  <c r="AI130" i="33"/>
  <c r="AI122" i="33"/>
  <c r="AJ110" i="33"/>
  <c r="AL110" i="33" s="1"/>
  <c r="AJ60" i="33"/>
  <c r="AL60" i="33" s="1"/>
  <c r="AI131" i="33"/>
  <c r="AJ93" i="33"/>
  <c r="AL93" i="33" s="1"/>
  <c r="AE109" i="33"/>
  <c r="AG109" i="33" s="1"/>
  <c r="AD59" i="33"/>
  <c r="AI77" i="33"/>
  <c r="AN50" i="33"/>
  <c r="AO89" i="33"/>
  <c r="AQ89" i="33" s="1"/>
  <c r="AD24" i="33"/>
  <c r="AO28" i="33"/>
  <c r="AV28" i="33" s="1"/>
  <c r="AD78" i="33"/>
  <c r="AJ84" i="33"/>
  <c r="AL84" i="33" s="1"/>
  <c r="AN79" i="33"/>
  <c r="AE90" i="33"/>
  <c r="AG90" i="33" s="1"/>
  <c r="AD77" i="33"/>
  <c r="AN83" i="33"/>
  <c r="AO143" i="33"/>
  <c r="AQ143" i="33" s="1"/>
  <c r="AN81" i="33"/>
  <c r="AI34" i="33"/>
  <c r="AN15" i="33"/>
  <c r="AD49" i="33"/>
  <c r="AI55" i="33"/>
  <c r="AO70" i="33"/>
  <c r="AV70" i="33" s="1"/>
  <c r="AE82" i="33"/>
  <c r="AG82" i="33" s="1"/>
  <c r="AD112" i="33"/>
  <c r="AJ40" i="33"/>
  <c r="AL40" i="33" s="1"/>
  <c r="AI121" i="33"/>
  <c r="AI27" i="33"/>
  <c r="AN99" i="33"/>
  <c r="AE84" i="33"/>
  <c r="AG84" i="33" s="1"/>
  <c r="AI66" i="33"/>
  <c r="AN66" i="33"/>
  <c r="AJ64" i="33"/>
  <c r="AL64" i="33" s="1"/>
  <c r="AI69" i="33"/>
  <c r="AO135" i="33"/>
  <c r="AI114" i="33"/>
  <c r="AJ3" i="33"/>
  <c r="AL3" i="33" s="1"/>
  <c r="AI76" i="33"/>
  <c r="AI111" i="33"/>
  <c r="AI92" i="33"/>
  <c r="AO51" i="33"/>
  <c r="AV51" i="33" s="1"/>
  <c r="AN90" i="33"/>
  <c r="AD113" i="33"/>
  <c r="AN143" i="33"/>
  <c r="AN63" i="33"/>
  <c r="AD47" i="33"/>
  <c r="AJ130" i="33"/>
  <c r="AL130" i="33" s="1"/>
  <c r="AJ108" i="33"/>
  <c r="AL108" i="33" s="1"/>
  <c r="AI105" i="33"/>
  <c r="AN76" i="33"/>
  <c r="AD100" i="33"/>
  <c r="AE97" i="33"/>
  <c r="AG97" i="33" s="1"/>
  <c r="AD92" i="33"/>
  <c r="AO104" i="33"/>
  <c r="AV104" i="33" s="1"/>
  <c r="AO117" i="33"/>
  <c r="AV117" i="33" s="1"/>
  <c r="AI116" i="33"/>
  <c r="AI64" i="33"/>
  <c r="AE67" i="33"/>
  <c r="AG67" i="33" s="1"/>
  <c r="AE134" i="33"/>
  <c r="AG134" i="33" s="1"/>
  <c r="AI112" i="33"/>
  <c r="AD72" i="33"/>
  <c r="AI109" i="33"/>
  <c r="AI9" i="33"/>
  <c r="AO136" i="33"/>
  <c r="AQ136" i="33" s="1"/>
  <c r="AN135" i="33"/>
  <c r="AI100" i="33"/>
  <c r="AI110" i="33"/>
  <c r="AI49" i="33"/>
  <c r="AO10" i="33"/>
  <c r="AQ10" i="33" s="1"/>
  <c r="AJ87" i="33"/>
  <c r="AL87" i="33" s="1"/>
  <c r="AO73" i="33"/>
  <c r="AV73" i="33" s="1"/>
  <c r="AJ138" i="33"/>
  <c r="AL138" i="33" s="1"/>
  <c r="AJ126" i="33"/>
  <c r="AL126" i="33" s="1"/>
  <c r="AD96" i="33"/>
  <c r="AD126" i="33"/>
  <c r="AI10" i="33"/>
  <c r="AN60" i="33"/>
  <c r="AN130" i="33"/>
  <c r="AJ104" i="33"/>
  <c r="AL104" i="33" s="1"/>
  <c r="AN100" i="33"/>
  <c r="AJ113" i="33"/>
  <c r="AL113" i="33" s="1"/>
  <c r="AD55" i="33"/>
  <c r="AN136" i="33"/>
  <c r="AJ89" i="33"/>
  <c r="AL89" i="33" s="1"/>
  <c r="AO58" i="33"/>
  <c r="AV58" i="33" s="1"/>
  <c r="AE51" i="33"/>
  <c r="AG51" i="33" s="1"/>
  <c r="AD148" i="33"/>
  <c r="AE48" i="33"/>
  <c r="AG48" i="33" s="1"/>
  <c r="AN69" i="33"/>
  <c r="AD75" i="33"/>
  <c r="AO150" i="33"/>
  <c r="AV150" i="33" s="1"/>
  <c r="AE60" i="33"/>
  <c r="AG60" i="33" s="1"/>
  <c r="AN70" i="33"/>
  <c r="AO76" i="33"/>
  <c r="AV76" i="33" s="1"/>
  <c r="AI11" i="33"/>
  <c r="AD147" i="33"/>
  <c r="AE15" i="33"/>
  <c r="AG15" i="33" s="1"/>
  <c r="AD43" i="33"/>
  <c r="AE42" i="33"/>
  <c r="AG42" i="33" s="1"/>
  <c r="AE16" i="33"/>
  <c r="AG16" i="33" s="1"/>
  <c r="AD56" i="33"/>
  <c r="AE64" i="33"/>
  <c r="AG64" i="33" s="1"/>
  <c r="AE73" i="33"/>
  <c r="AG73" i="33" s="1"/>
  <c r="AO87" i="33"/>
  <c r="AI50" i="33"/>
  <c r="AE71" i="33"/>
  <c r="AG71" i="33" s="1"/>
  <c r="AN77" i="33"/>
  <c r="AN48" i="33"/>
  <c r="BD64" i="33"/>
  <c r="BF64" i="33" s="1"/>
  <c r="AJ55" i="33"/>
  <c r="AL55" i="33" s="1"/>
  <c r="AI95" i="33"/>
  <c r="AO122" i="33"/>
  <c r="AV122" i="33" s="1"/>
  <c r="AN9" i="33"/>
  <c r="BD57" i="33"/>
  <c r="BF57" i="33" s="1"/>
  <c r="BD139" i="33"/>
  <c r="BF139" i="33" s="1"/>
  <c r="AE128" i="33"/>
  <c r="AG128" i="33" s="1"/>
  <c r="AD130" i="33"/>
  <c r="AD9" i="33"/>
  <c r="AO59" i="33"/>
  <c r="AQ59" i="33" s="1"/>
  <c r="AD99" i="33"/>
  <c r="AN109" i="33"/>
  <c r="AD81" i="33"/>
  <c r="AD73" i="33"/>
  <c r="BD95" i="33"/>
  <c r="BF95" i="33" s="1"/>
  <c r="AN120" i="33"/>
  <c r="BD133" i="33"/>
  <c r="BF133" i="33" s="1"/>
  <c r="AN122" i="33"/>
  <c r="AN80" i="33"/>
  <c r="AE87" i="33"/>
  <c r="AG87" i="33" s="1"/>
  <c r="BC117" i="33"/>
  <c r="AN123" i="33"/>
  <c r="AD97" i="33"/>
  <c r="AN131" i="33"/>
  <c r="BD93" i="33"/>
  <c r="BF93" i="33" s="1"/>
  <c r="AJ69" i="33"/>
  <c r="AL69" i="33" s="1"/>
  <c r="BC101" i="33"/>
  <c r="AI137" i="33"/>
  <c r="AJ125" i="33"/>
  <c r="AL125" i="33" s="1"/>
  <c r="AE122" i="33"/>
  <c r="AG122" i="33" s="1"/>
  <c r="AJ66" i="33"/>
  <c r="AL66" i="33" s="1"/>
  <c r="BC104" i="33"/>
  <c r="AN118" i="33"/>
  <c r="AO131" i="33"/>
  <c r="AQ131" i="33" s="1"/>
  <c r="AI85" i="33"/>
  <c r="AN115" i="33"/>
  <c r="AO119" i="33"/>
  <c r="AQ119" i="33" s="1"/>
  <c r="BD9" i="33"/>
  <c r="BF9" i="33" s="1"/>
  <c r="AD132" i="33"/>
  <c r="AD6" i="33"/>
  <c r="BC113" i="33"/>
  <c r="AJ98" i="33"/>
  <c r="AL98" i="33" s="1"/>
  <c r="AO56" i="33"/>
  <c r="AI3" i="33"/>
  <c r="AI47" i="33"/>
  <c r="BD91" i="33"/>
  <c r="BF91" i="33" s="1"/>
  <c r="BC121" i="33"/>
  <c r="BD121" i="33"/>
  <c r="BF121" i="33" s="1"/>
  <c r="AE12" i="33"/>
  <c r="AG12" i="33" s="1"/>
  <c r="AO124" i="33"/>
  <c r="AD104" i="33"/>
  <c r="AO112" i="33"/>
  <c r="AN53" i="33"/>
  <c r="AN126" i="33"/>
  <c r="BD110" i="33"/>
  <c r="BF110" i="33" s="1"/>
  <c r="BC130" i="33"/>
  <c r="AD106" i="33"/>
  <c r="AQ63" i="33"/>
  <c r="BD105" i="33"/>
  <c r="BF105" i="33" s="1"/>
  <c r="AE10" i="33"/>
  <c r="AG10" i="33" s="1"/>
  <c r="AD136" i="33"/>
  <c r="AE83" i="33"/>
  <c r="AG83" i="33" s="1"/>
  <c r="AO84" i="33"/>
  <c r="AN57" i="33"/>
  <c r="AD76" i="33"/>
  <c r="AO129" i="33"/>
  <c r="AJ100" i="33"/>
  <c r="AL100" i="33" s="1"/>
  <c r="BC134" i="33"/>
  <c r="AD134" i="33"/>
  <c r="AN39" i="33"/>
  <c r="AJ131" i="33"/>
  <c r="AL131" i="33" s="1"/>
  <c r="AN111" i="33"/>
  <c r="BD98" i="33"/>
  <c r="BF98" i="33" s="1"/>
  <c r="AN133" i="33"/>
  <c r="AN82" i="33"/>
  <c r="BC119" i="33"/>
  <c r="AJ105" i="33"/>
  <c r="AL105" i="33" s="1"/>
  <c r="BD127" i="33"/>
  <c r="BF127" i="33" s="1"/>
  <c r="AJ71" i="33"/>
  <c r="AL71" i="33" s="1"/>
  <c r="BD76" i="33"/>
  <c r="BF76" i="33" s="1"/>
  <c r="AI82" i="33"/>
  <c r="BD26" i="33"/>
  <c r="BF26" i="33" s="1"/>
  <c r="AO47" i="33"/>
  <c r="AQ47" i="33" s="1"/>
  <c r="AI136" i="33"/>
  <c r="AD137" i="33"/>
  <c r="AO109" i="33"/>
  <c r="AV109" i="33" s="1"/>
  <c r="AJ137" i="33"/>
  <c r="AL137" i="33" s="1"/>
  <c r="AO138" i="33"/>
  <c r="AQ138" i="33" s="1"/>
  <c r="AE117" i="33"/>
  <c r="AG117" i="33" s="1"/>
  <c r="AE102" i="33"/>
  <c r="AG102" i="33" s="1"/>
  <c r="AJ120" i="33"/>
  <c r="AL120" i="33" s="1"/>
  <c r="AN96" i="33"/>
  <c r="AD121" i="33"/>
  <c r="AI134" i="33"/>
  <c r="BC91" i="33"/>
  <c r="BC114" i="33"/>
  <c r="AD118" i="33"/>
  <c r="AE115" i="33"/>
  <c r="AG115" i="33" s="1"/>
  <c r="AJ96" i="33"/>
  <c r="AL96" i="33" s="1"/>
  <c r="BC110" i="33"/>
  <c r="BD124" i="33"/>
  <c r="BF124" i="33" s="1"/>
  <c r="AY119" i="33"/>
  <c r="BA119" i="33" s="1"/>
  <c r="H8" i="2"/>
  <c r="H15" i="2"/>
  <c r="H3" i="2"/>
  <c r="H14" i="2"/>
  <c r="H10" i="2"/>
  <c r="H21" i="2"/>
  <c r="AQ79" i="33"/>
  <c r="AQ149" i="33"/>
  <c r="AV22" i="33"/>
  <c r="AQ22" i="33"/>
  <c r="B19" i="2"/>
  <c r="B22" i="2"/>
  <c r="B14" i="2"/>
  <c r="B20" i="2"/>
  <c r="B17" i="2"/>
  <c r="B18" i="2"/>
  <c r="B5" i="2"/>
  <c r="B16" i="2"/>
  <c r="B8" i="2"/>
  <c r="B15" i="2"/>
  <c r="B23" i="2"/>
  <c r="B24" i="2"/>
  <c r="B6" i="2"/>
  <c r="B3" i="2"/>
  <c r="B10" i="2"/>
  <c r="B4" i="2"/>
  <c r="B21" i="2"/>
  <c r="B13" i="2"/>
  <c r="B9" i="2"/>
  <c r="B25" i="2"/>
  <c r="B7" i="2"/>
  <c r="B11" i="2"/>
  <c r="B12" i="2"/>
  <c r="AV48" i="33"/>
  <c r="AQ48" i="33"/>
  <c r="AQ4" i="33"/>
  <c r="AV4" i="33"/>
  <c r="AQ25" i="33"/>
  <c r="AV25" i="33"/>
  <c r="AV145" i="33"/>
  <c r="AQ145" i="33"/>
  <c r="AQ78" i="33"/>
  <c r="AV78" i="33"/>
  <c r="AQ144" i="33"/>
  <c r="AV144" i="33"/>
  <c r="AV11" i="33"/>
  <c r="AQ36" i="33"/>
  <c r="AV36" i="33"/>
  <c r="AQ40" i="33" l="1"/>
  <c r="AV147" i="33"/>
  <c r="AQ72" i="33"/>
  <c r="AQ64" i="33"/>
  <c r="X2" i="16"/>
  <c r="AE2" i="22" s="1"/>
  <c r="AF2" i="22" s="1"/>
  <c r="B75" i="2"/>
  <c r="B100" i="2"/>
  <c r="B78" i="2"/>
  <c r="B69" i="2"/>
  <c r="B97" i="2"/>
  <c r="B27" i="2"/>
  <c r="B81" i="2"/>
  <c r="B99" i="2"/>
  <c r="B101" i="2"/>
  <c r="B91" i="2"/>
  <c r="B102" i="2"/>
  <c r="B121" i="2"/>
  <c r="B64" i="2"/>
  <c r="B87" i="2"/>
  <c r="B40" i="2"/>
  <c r="B114" i="2"/>
  <c r="B93" i="2"/>
  <c r="B109" i="2"/>
  <c r="B88" i="2"/>
  <c r="B113" i="2"/>
  <c r="B108" i="2"/>
  <c r="B96" i="2"/>
  <c r="B58" i="2"/>
  <c r="B111" i="2"/>
  <c r="B127" i="2"/>
  <c r="B45" i="2"/>
  <c r="B53" i="2"/>
  <c r="B31" i="2"/>
  <c r="B32" i="2"/>
  <c r="B95" i="2"/>
  <c r="B106" i="2"/>
  <c r="B94" i="2"/>
  <c r="B73" i="2"/>
  <c r="B105" i="2"/>
  <c r="B103" i="2"/>
  <c r="B110" i="2"/>
  <c r="B62" i="2"/>
  <c r="B125" i="2"/>
  <c r="B98" i="2"/>
  <c r="B61" i="2"/>
  <c r="B37" i="2"/>
  <c r="B39" i="2"/>
  <c r="B51" i="2"/>
  <c r="B42" i="2"/>
  <c r="B77" i="2"/>
  <c r="B59" i="2"/>
  <c r="B82" i="2"/>
  <c r="B124" i="2"/>
  <c r="B92" i="2"/>
  <c r="B90" i="2"/>
  <c r="B33" i="2"/>
  <c r="B52" i="2"/>
  <c r="B60" i="2"/>
  <c r="B65" i="2"/>
  <c r="B86" i="2"/>
  <c r="B67" i="2"/>
  <c r="B104" i="2"/>
  <c r="B107" i="2"/>
  <c r="B47" i="2"/>
  <c r="B44" i="2"/>
  <c r="B89" i="2"/>
  <c r="B48" i="2"/>
  <c r="B66" i="2"/>
  <c r="B70" i="2"/>
  <c r="B79" i="2"/>
  <c r="B122" i="2"/>
  <c r="B72" i="2"/>
  <c r="B123" i="2"/>
  <c r="B119" i="2"/>
  <c r="B84" i="2"/>
  <c r="B36" i="2"/>
  <c r="B54" i="2"/>
  <c r="B112" i="2"/>
  <c r="B80" i="2"/>
  <c r="B57" i="2"/>
  <c r="B41" i="2"/>
  <c r="B116" i="2"/>
  <c r="B76" i="2"/>
  <c r="B26" i="2"/>
  <c r="B55" i="2"/>
  <c r="B35" i="2"/>
  <c r="B85" i="2"/>
  <c r="B56" i="2"/>
  <c r="B74" i="2"/>
  <c r="B43" i="2"/>
  <c r="B117" i="2"/>
  <c r="B63" i="2"/>
  <c r="B46" i="2"/>
  <c r="B126" i="2"/>
  <c r="B83" i="2"/>
  <c r="B115" i="2"/>
  <c r="B120" i="2"/>
  <c r="B28" i="2"/>
  <c r="B30" i="2"/>
  <c r="B34" i="2"/>
  <c r="B29" i="2"/>
  <c r="B49" i="2"/>
  <c r="B71" i="2"/>
  <c r="B38" i="2"/>
  <c r="B68" i="2"/>
  <c r="B118" i="2"/>
  <c r="B50" i="2"/>
  <c r="AV50" i="33"/>
  <c r="AQ43" i="33"/>
  <c r="AV132" i="33"/>
  <c r="AV8" i="33"/>
  <c r="AV17" i="33"/>
  <c r="AQ29" i="33"/>
  <c r="AV18" i="33"/>
  <c r="AV107" i="33"/>
  <c r="AV21" i="33"/>
  <c r="AQ41" i="33"/>
  <c r="AQ101" i="33"/>
  <c r="AV30" i="33"/>
  <c r="AQ97" i="33"/>
  <c r="AV3" i="33"/>
  <c r="AV5" i="33"/>
  <c r="AV27" i="33"/>
  <c r="AV88" i="33"/>
  <c r="AQ118" i="33"/>
  <c r="X5" i="16"/>
  <c r="AE5" i="22" s="1"/>
  <c r="AF5" i="22" s="1"/>
  <c r="AV54" i="33"/>
  <c r="AV6" i="33"/>
  <c r="AV140" i="33"/>
  <c r="AV61" i="33"/>
  <c r="AQ13" i="33"/>
  <c r="AQ53" i="33"/>
  <c r="AQ137" i="33"/>
  <c r="AV65" i="33"/>
  <c r="AV94" i="33"/>
  <c r="AQ80" i="33"/>
  <c r="AQ34" i="33"/>
  <c r="AV148" i="33"/>
  <c r="AV52" i="33"/>
  <c r="AV85" i="33"/>
  <c r="AQ7" i="33"/>
  <c r="AQ67" i="33"/>
  <c r="AV98" i="33"/>
  <c r="AQ39" i="33"/>
  <c r="AV128" i="33"/>
  <c r="AV31" i="33"/>
  <c r="AQ81" i="33"/>
  <c r="AV35" i="33"/>
  <c r="AV42" i="33"/>
  <c r="Z5" i="16"/>
  <c r="AI5" i="22" s="1"/>
  <c r="AJ5" i="22" s="1"/>
  <c r="AV125" i="33"/>
  <c r="AV38" i="33"/>
  <c r="AQ44" i="33"/>
  <c r="AQ74" i="33"/>
  <c r="AQ106" i="33"/>
  <c r="AQ151" i="33"/>
  <c r="AQ141" i="33"/>
  <c r="X4" i="16"/>
  <c r="AE4" i="22" s="1"/>
  <c r="AF4" i="22" s="1"/>
  <c r="AQ102" i="33"/>
  <c r="AV12" i="33"/>
  <c r="AQ20" i="33"/>
  <c r="AQ26" i="33"/>
  <c r="AV108" i="33"/>
  <c r="AV83" i="33"/>
  <c r="AQ66" i="33"/>
  <c r="AQ110" i="33"/>
  <c r="AV60" i="33"/>
  <c r="AV62" i="33"/>
  <c r="AV90" i="33"/>
  <c r="AQ23" i="33"/>
  <c r="AQ150" i="33"/>
  <c r="AQ69" i="33"/>
  <c r="AQ127" i="33"/>
  <c r="AQ120" i="33"/>
  <c r="AQ105" i="33"/>
  <c r="AV114" i="33"/>
  <c r="AQ126" i="33"/>
  <c r="AV71" i="33"/>
  <c r="AV49" i="33"/>
  <c r="AQ86" i="33"/>
  <c r="AQ32" i="33"/>
  <c r="AQ15" i="33"/>
  <c r="AV10" i="33"/>
  <c r="AQ121" i="33"/>
  <c r="AQ58" i="33"/>
  <c r="AQ109" i="33"/>
  <c r="AV33" i="33"/>
  <c r="AV133" i="33"/>
  <c r="AQ91" i="33"/>
  <c r="AQ70" i="33"/>
  <c r="AV24" i="33"/>
  <c r="AQ93" i="33"/>
  <c r="AV96" i="33"/>
  <c r="AQ76" i="33"/>
  <c r="AQ104" i="33"/>
  <c r="AV89" i="33"/>
  <c r="AV136" i="33"/>
  <c r="AV138" i="33"/>
  <c r="AV131" i="33"/>
  <c r="AV99" i="33"/>
  <c r="AV59" i="33"/>
  <c r="AQ113" i="33"/>
  <c r="AQ122" i="33"/>
  <c r="AQ146" i="33"/>
  <c r="AV14" i="33"/>
  <c r="AV134" i="33"/>
  <c r="AV143" i="33"/>
  <c r="AQ117" i="33"/>
  <c r="AQ130" i="33"/>
  <c r="AQ73" i="33"/>
  <c r="AV57" i="33"/>
  <c r="AQ28" i="33"/>
  <c r="AQ51" i="33"/>
  <c r="AV19" i="33"/>
  <c r="AQ115" i="33"/>
  <c r="AV115" i="33"/>
  <c r="AV82" i="33"/>
  <c r="AQ82" i="33"/>
  <c r="AV95" i="33"/>
  <c r="AQ95" i="33"/>
  <c r="AQ75" i="33"/>
  <c r="AV75" i="33"/>
  <c r="AQ139" i="33"/>
  <c r="AV139" i="33"/>
  <c r="AQ142" i="33"/>
  <c r="AV87" i="33"/>
  <c r="AQ87" i="33"/>
  <c r="AV9" i="33"/>
  <c r="AQ9" i="33"/>
  <c r="AV92" i="33"/>
  <c r="AQ92" i="33"/>
  <c r="AQ68" i="33"/>
  <c r="AQ111" i="33"/>
  <c r="AV111" i="33"/>
  <c r="AV46" i="33"/>
  <c r="AQ46" i="33"/>
  <c r="AQ100" i="33"/>
  <c r="AV100" i="33"/>
  <c r="AV37" i="33"/>
  <c r="AV77" i="33"/>
  <c r="AQ77" i="33"/>
  <c r="AV103" i="33"/>
  <c r="AQ103" i="33"/>
  <c r="AV119" i="33"/>
  <c r="AQ16" i="33"/>
  <c r="AV16" i="33"/>
  <c r="AV123" i="33"/>
  <c r="AQ123" i="33"/>
  <c r="AQ135" i="33"/>
  <c r="AV135" i="33"/>
  <c r="AV116" i="33"/>
  <c r="AQ116" i="33"/>
  <c r="AQ45" i="33"/>
  <c r="AV45" i="33"/>
  <c r="AV55" i="33"/>
  <c r="AQ55" i="33"/>
  <c r="AV47" i="33"/>
  <c r="AQ112" i="33"/>
  <c r="AV112" i="33"/>
  <c r="AV129" i="33"/>
  <c r="AQ129" i="33"/>
  <c r="AV56" i="33"/>
  <c r="AQ56" i="33"/>
  <c r="AV124" i="33"/>
  <c r="AQ124" i="33"/>
  <c r="AV84" i="33"/>
  <c r="AQ84"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<sst xmlns="http://schemas.openxmlformats.org/spreadsheetml/2006/main" count="2441" uniqueCount="533">
  <si>
    <t>Title:</t>
  </si>
  <si>
    <t xml:space="preserve">Der angehängte Datensatz beinhalten Informationen über Materialflüsse, Prozesse sowie Lager in der Region Brandenburg. Der Datensatz bezieht sich dabei auf verschiedene Quellen und Dokumente. </t>
  </si>
  <si>
    <t xml:space="preserve">Definition der Systemgrenzen: </t>
  </si>
  <si>
    <t xml:space="preserve">Beobachtungszeitraum: </t>
  </si>
  <si>
    <t>2010 - 2020</t>
  </si>
  <si>
    <t xml:space="preserve">Beobachtungsgebiet: </t>
  </si>
  <si>
    <t>Berlin</t>
  </si>
  <si>
    <t>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</si>
  <si>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</si>
  <si>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</si>
  <si>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Flüsse:</t>
  </si>
  <si>
    <t>Flüsse müssen in Mg umgerechnet werden</t>
  </si>
  <si>
    <t>Prozesse:</t>
  </si>
  <si>
    <t>Lager</t>
  </si>
  <si>
    <t>Transferkoeffizienten</t>
  </si>
  <si>
    <t>Umrechnungsfaktoren:</t>
  </si>
  <si>
    <t>Codelisten:</t>
  </si>
  <si>
    <t xml:space="preserve">Autoren: </t>
  </si>
  <si>
    <t>Johannes Roland Scholz</t>
  </si>
  <si>
    <t>Lukas Hoppe</t>
  </si>
  <si>
    <t>Complete?</t>
  </si>
  <si>
    <t>ID</t>
  </si>
  <si>
    <t>Flow_ID</t>
  </si>
  <si>
    <t>Name(EN)</t>
  </si>
  <si>
    <t>Region</t>
  </si>
  <si>
    <t>Type_Biomass</t>
  </si>
  <si>
    <t>Comment</t>
  </si>
  <si>
    <t>Output_Process</t>
  </si>
  <si>
    <t>Process_ID_O</t>
  </si>
  <si>
    <t>Input_Process</t>
  </si>
  <si>
    <t>Process_ID_I</t>
  </si>
  <si>
    <t>Value_Source</t>
  </si>
  <si>
    <t>WC?</t>
  </si>
  <si>
    <t>DM?</t>
  </si>
  <si>
    <t>CC?</t>
  </si>
  <si>
    <t>WC</t>
  </si>
  <si>
    <t>WC_source</t>
  </si>
  <si>
    <t>DM</t>
  </si>
  <si>
    <t>DM_source</t>
  </si>
  <si>
    <t>CC_DM[%]</t>
  </si>
  <si>
    <t>CC_DM_source</t>
  </si>
  <si>
    <t>CC</t>
  </si>
  <si>
    <t>CC_FM_source</t>
  </si>
  <si>
    <t>Atmosphere</t>
  </si>
  <si>
    <t>Yes</t>
  </si>
  <si>
    <t>Assumption</t>
  </si>
  <si>
    <t>Caclualtion</t>
  </si>
  <si>
    <t>01</t>
  </si>
  <si>
    <t>02</t>
  </si>
  <si>
    <t>03</t>
  </si>
  <si>
    <t>04</t>
  </si>
  <si>
    <t>05</t>
  </si>
  <si>
    <t>06</t>
  </si>
  <si>
    <t>07</t>
  </si>
  <si>
    <t>08</t>
  </si>
  <si>
    <t>N.A.</t>
  </si>
  <si>
    <t>TC?</t>
  </si>
  <si>
    <t>Year_Flow</t>
  </si>
  <si>
    <t>Region_Flow</t>
  </si>
  <si>
    <t>Flow_Source</t>
  </si>
  <si>
    <t>UoM_Source</t>
  </si>
  <si>
    <t>Name_Source</t>
  </si>
  <si>
    <t>AVV</t>
  </si>
  <si>
    <t>Titel_Source</t>
  </si>
  <si>
    <t>Year_Source</t>
  </si>
  <si>
    <t>Author_Source</t>
  </si>
  <si>
    <t>Type_Source</t>
  </si>
  <si>
    <t>URL</t>
  </si>
  <si>
    <t>CF_required?</t>
  </si>
  <si>
    <t>CF</t>
  </si>
  <si>
    <t>Name_CF</t>
  </si>
  <si>
    <t>Flow_Py</t>
  </si>
  <si>
    <t>UoM_Flow_Py</t>
  </si>
  <si>
    <t>WC_[%]</t>
  </si>
  <si>
    <t>WC_Flow_Py</t>
  </si>
  <si>
    <t>UoM_WC_Flow_Py</t>
  </si>
  <si>
    <t>DM_[%]</t>
  </si>
  <si>
    <t>DM_Flow_Py2</t>
  </si>
  <si>
    <t>UoM_DM_Flow_Py</t>
  </si>
  <si>
    <t>CC_[%]</t>
  </si>
  <si>
    <t>CC_Flow_Py</t>
  </si>
  <si>
    <t>UoM_CC_Flow_Py</t>
  </si>
  <si>
    <t>BB</t>
  </si>
  <si>
    <t>Stramento</t>
  </si>
  <si>
    <t>No</t>
  </si>
  <si>
    <t>Mg</t>
  </si>
  <si>
    <t>Process_ID</t>
  </si>
  <si>
    <t>Carbon_Stock</t>
  </si>
  <si>
    <t>Life_Phase</t>
  </si>
  <si>
    <t>Description</t>
  </si>
  <si>
    <t>Process_Type</t>
  </si>
  <si>
    <t>Stock?</t>
  </si>
  <si>
    <t>Input_Flow_I_1</t>
  </si>
  <si>
    <t>Flow_ID_I_1</t>
  </si>
  <si>
    <t>Input_Flow_I_2</t>
  </si>
  <si>
    <t>Flow_ID_I_2</t>
  </si>
  <si>
    <t>Output_Flow_O_1</t>
  </si>
  <si>
    <t>Flow_ID_O_1</t>
  </si>
  <si>
    <t>Output_Flow_O_2</t>
  </si>
  <si>
    <t>Flow_ID_O_2</t>
  </si>
  <si>
    <t>Output_Flow_O_3</t>
  </si>
  <si>
    <t>Flow_ID_O_3</t>
  </si>
  <si>
    <t>00</t>
  </si>
  <si>
    <t>Raw Material Extraction</t>
  </si>
  <si>
    <t>Biosphere</t>
  </si>
  <si>
    <t>Raw material production (processing)</t>
  </si>
  <si>
    <t>Process</t>
  </si>
  <si>
    <t>Wood</t>
  </si>
  <si>
    <t>Processing</t>
  </si>
  <si>
    <t>Anthroposphere</t>
  </si>
  <si>
    <t>Product manufacturing</t>
  </si>
  <si>
    <t>Timber Truss</t>
  </si>
  <si>
    <t>Use</t>
  </si>
  <si>
    <t>Use (Re-use)</t>
  </si>
  <si>
    <t>Wood Beam for Reuse</t>
  </si>
  <si>
    <t>Refurbishment</t>
  </si>
  <si>
    <t>Recycling/disposal</t>
  </si>
  <si>
    <t>Incineration</t>
  </si>
  <si>
    <t>Athmosphere</t>
  </si>
  <si>
    <t>Degredation</t>
  </si>
  <si>
    <t>Dyn_TC?</t>
  </si>
  <si>
    <t>Input_Flow_I_3</t>
  </si>
  <si>
    <t>Flow_ID_I_3</t>
  </si>
  <si>
    <t>Input_Flow_I_4</t>
  </si>
  <si>
    <t>Flow_ID_I_4</t>
  </si>
  <si>
    <t>Input_Flow_I_5</t>
  </si>
  <si>
    <t>Flow_ID_I_5</t>
  </si>
  <si>
    <t>Output_Flow_O_4</t>
  </si>
  <si>
    <t>Flow_ID_O_4</t>
  </si>
  <si>
    <t>Output_Flow_O_5</t>
  </si>
  <si>
    <t>Flow_ID_O_5</t>
  </si>
  <si>
    <t>Output_Flow_O_6</t>
  </si>
  <si>
    <t>Flow_ID_O_6</t>
  </si>
  <si>
    <t>Input</t>
  </si>
  <si>
    <t>Spalte1</t>
  </si>
  <si>
    <t>TC_ID</t>
  </si>
  <si>
    <t>Data?</t>
  </si>
  <si>
    <t>Flow_TC_I_1_[%]</t>
  </si>
  <si>
    <t>Flow_TC_I_2_[%]</t>
  </si>
  <si>
    <t>Flow ID I_3</t>
  </si>
  <si>
    <t>Flow_TC_I_3_[%]</t>
  </si>
  <si>
    <t>Flow ID I_4</t>
  </si>
  <si>
    <t>Flow_TC_I_4_[%]</t>
  </si>
  <si>
    <t>Flow ID I_5</t>
  </si>
  <si>
    <t>Flow_TC_I_5_[%]</t>
  </si>
  <si>
    <t>Sum_TC_I</t>
  </si>
  <si>
    <t>TC_ID_O_1</t>
  </si>
  <si>
    <t>TC_O_1_[%]</t>
  </si>
  <si>
    <t>TC_ID_O_2</t>
  </si>
  <si>
    <t>TC_O_2_[%]</t>
  </si>
  <si>
    <t>TC_ID_O_3</t>
  </si>
  <si>
    <t>TC_O_3_[%]</t>
  </si>
  <si>
    <t>TC_ID_O_4</t>
  </si>
  <si>
    <t>TC_O_4_[%]</t>
  </si>
  <si>
    <t>TC_ID_O_5</t>
  </si>
  <si>
    <t>TC O_5_[%]</t>
  </si>
  <si>
    <t>TC_ID_O_6</t>
  </si>
  <si>
    <t>Sum_TC_O</t>
  </si>
  <si>
    <t>Titel</t>
  </si>
  <si>
    <t>Year publication</t>
  </si>
  <si>
    <t>Author</t>
  </si>
  <si>
    <t>Type of the Study</t>
  </si>
  <si>
    <t>Output_Flow</t>
  </si>
  <si>
    <t>DynTC?</t>
  </si>
  <si>
    <t>Year</t>
  </si>
  <si>
    <t>Value</t>
  </si>
  <si>
    <t>Column1</t>
  </si>
  <si>
    <t>TC_ID_O_1_Year</t>
  </si>
  <si>
    <t>TC_ID_O_2_Year</t>
  </si>
  <si>
    <t>TC_ID_O_3_Year</t>
  </si>
  <si>
    <t>TC_ID_O_4_Year</t>
  </si>
  <si>
    <t>TC_ID_O_5_Year</t>
  </si>
  <si>
    <t>TC_ID_O_6_Year</t>
  </si>
  <si>
    <t>TC O_6_[%]</t>
  </si>
  <si>
    <t>Process Titel:</t>
  </si>
  <si>
    <t>Process Number:</t>
  </si>
  <si>
    <t>02_Foo_</t>
  </si>
  <si>
    <t>Process Description and Assumptions</t>
  </si>
  <si>
    <t>Process Input:</t>
  </si>
  <si>
    <t>Process Output:</t>
  </si>
  <si>
    <t>1.</t>
  </si>
  <si>
    <t>2.</t>
  </si>
  <si>
    <t>3.</t>
  </si>
  <si>
    <t>4.</t>
  </si>
  <si>
    <t>5.</t>
  </si>
  <si>
    <t>6.</t>
  </si>
  <si>
    <t>Troughput</t>
  </si>
  <si>
    <t>Mg/h</t>
  </si>
  <si>
    <t>Process Input</t>
  </si>
  <si>
    <t>Substance</t>
  </si>
  <si>
    <t>Fresh mass</t>
  </si>
  <si>
    <t>Dry mass</t>
  </si>
  <si>
    <t>Water content</t>
  </si>
  <si>
    <t>FM [mass/ time]</t>
  </si>
  <si>
    <t>FM [%] (mass balance check)</t>
  </si>
  <si>
    <t>Source/ Explaination</t>
  </si>
  <si>
    <t>DM_FM [%]</t>
  </si>
  <si>
    <t>DM [Mg]</t>
  </si>
  <si>
    <t>DM [%] (mass balance check)</t>
  </si>
  <si>
    <t>WC_FM [%]</t>
  </si>
  <si>
    <t>WC [Mg]</t>
  </si>
  <si>
    <t>WC [%] (mass balance check)</t>
  </si>
  <si>
    <t>[1]</t>
  </si>
  <si>
    <t>Summe</t>
  </si>
  <si>
    <t>Carbon Content</t>
  </si>
  <si>
    <t>Flow Parameter</t>
  </si>
  <si>
    <t>TC [%_DM] (Enter Values)</t>
  </si>
  <si>
    <t>TC [Mg]</t>
  </si>
  <si>
    <t>TC [%] (mass balance check)</t>
  </si>
  <si>
    <t>TC Source/ Explaination</t>
  </si>
  <si>
    <t>TC_FM [%_FM]</t>
  </si>
  <si>
    <t>TC-Flow_FM [mass]</t>
  </si>
  <si>
    <t>TC_FM [%] (mass balance check)</t>
  </si>
  <si>
    <t>FM [mass]</t>
  </si>
  <si>
    <t>Dry mass [mass]</t>
  </si>
  <si>
    <t>Water [mass]</t>
  </si>
  <si>
    <t>WC+ DM [mass]</t>
  </si>
  <si>
    <t>Carbon [mass]</t>
  </si>
  <si>
    <t>Process Output</t>
  </si>
  <si>
    <t>Input vs Output (Mass balance check)</t>
  </si>
  <si>
    <t>Process - Description</t>
  </si>
  <si>
    <t>Parameter</t>
  </si>
  <si>
    <t>FM []</t>
  </si>
  <si>
    <t>TC</t>
  </si>
  <si>
    <t>Output</t>
  </si>
  <si>
    <t>DIfference</t>
  </si>
  <si>
    <t>Difference</t>
  </si>
  <si>
    <t>Transfer coefficients</t>
  </si>
  <si>
    <t>Sources</t>
  </si>
  <si>
    <t>Laboratory Research</t>
  </si>
  <si>
    <t>[8]</t>
  </si>
  <si>
    <t>[2]</t>
  </si>
  <si>
    <t>[9]</t>
  </si>
  <si>
    <t>[3]</t>
  </si>
  <si>
    <t>[10]</t>
  </si>
  <si>
    <t>[4]</t>
  </si>
  <si>
    <t>[11]</t>
  </si>
  <si>
    <t>[5]</t>
  </si>
  <si>
    <t>[12]</t>
  </si>
  <si>
    <t>[6]</t>
  </si>
  <si>
    <t>[13]</t>
  </si>
  <si>
    <t>[7]</t>
  </si>
  <si>
    <t>[14]</t>
  </si>
  <si>
    <t>Spalte2</t>
  </si>
  <si>
    <t>Stock_ID</t>
  </si>
  <si>
    <t>Region2</t>
  </si>
  <si>
    <t>Stock2</t>
  </si>
  <si>
    <t>UoM</t>
  </si>
  <si>
    <t>Period of change in Stock</t>
  </si>
  <si>
    <t xml:space="preserve">Change in Stock </t>
  </si>
  <si>
    <t>UoM3</t>
  </si>
  <si>
    <t>Name4</t>
  </si>
  <si>
    <t>Year5</t>
  </si>
  <si>
    <t>Waste composition MSW Berlin</t>
  </si>
  <si>
    <t>Year: 2019</t>
  </si>
  <si>
    <t>Bulkey Waste Wood Masshare</t>
  </si>
  <si>
    <t>Abfallfraktion</t>
  </si>
  <si>
    <t>Waste fraction</t>
  </si>
  <si>
    <t>Massenanteil</t>
  </si>
  <si>
    <t>%</t>
  </si>
  <si>
    <t>Papier/ Pappe</t>
  </si>
  <si>
    <t>Glas</t>
  </si>
  <si>
    <t>Kunststoffe</t>
  </si>
  <si>
    <t>Metalle</t>
  </si>
  <si>
    <t>Nativ Organik</t>
  </si>
  <si>
    <t>sonstige Organik</t>
  </si>
  <si>
    <t>Holz</t>
  </si>
  <si>
    <t>Textilien</t>
  </si>
  <si>
    <t>Inertes</t>
  </si>
  <si>
    <t>Verbunde</t>
  </si>
  <si>
    <t>Problemabfälle</t>
  </si>
  <si>
    <t>sonstige Stoffe</t>
  </si>
  <si>
    <t>Feinmüll &lt;10mm</t>
  </si>
  <si>
    <t>Ergebnis</t>
  </si>
  <si>
    <t>Source</t>
  </si>
  <si>
    <t>SKU Bilanz Berlin 2022</t>
  </si>
  <si>
    <t>https://www.berlin.de/sen/uvk/umwelt/kreislaufwirtschaft/abfallbehoerde/abfallbilanzen/</t>
  </si>
  <si>
    <t>Source:</t>
  </si>
  <si>
    <t>Abfallbilanz Berlin 2021</t>
  </si>
  <si>
    <t xml:space="preserve"> </t>
  </si>
  <si>
    <t>Abfallbilanz Berlin 2019</t>
  </si>
  <si>
    <t>Year: 2017</t>
  </si>
  <si>
    <t>Abfallbilanz Berlin 2017</t>
  </si>
  <si>
    <t>Mantau, U.; Döring, P.; Weimar, Holger; Glasenapp, Sebastian; Jochem, Dominik; Zimmermann, Klaus (2018): Rohstoffmonitoring Holz: Erwartungen und Möglichkeiten</t>
  </si>
  <si>
    <t>S. 20</t>
  </si>
  <si>
    <t>erf. Einheit</t>
  </si>
  <si>
    <t>in tatro</t>
  </si>
  <si>
    <t>in m³</t>
  </si>
  <si>
    <t>tatro in m³</t>
  </si>
  <si>
    <t>m³ in tatro</t>
  </si>
  <si>
    <t>Stammholz</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</si>
  <si>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</si>
  <si>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</si>
  <si>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</si>
  <si>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</si>
  <si>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</si>
  <si>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</si>
  <si>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</si>
  <si>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</si>
  <si>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</si>
  <si>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</si>
  <si>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</si>
  <si>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</si>
  <si>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</si>
  <si>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</si>
  <si>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</si>
  <si>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</si>
  <si>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</si>
  <si>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</si>
  <si>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Fm / t 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</si>
  <si>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</si>
  <si>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</si>
  <si>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</si>
  <si>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</si>
  <si>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</si>
  <si>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</si>
  <si>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</si>
  <si>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</si>
  <si>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</si>
  <si>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</si>
  <si>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</si>
  <si>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</si>
  <si>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</si>
  <si>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</si>
  <si>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</si>
  <si>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</si>
  <si>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</si>
  <si>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C</t>
  </si>
  <si>
    <t>Process types</t>
  </si>
  <si>
    <t>Short</t>
  </si>
  <si>
    <t>Logisch</t>
  </si>
  <si>
    <t>Agriculture</t>
  </si>
  <si>
    <t>Forestry</t>
  </si>
  <si>
    <t>Lithosphere</t>
  </si>
  <si>
    <t>Hydrosphere</t>
  </si>
  <si>
    <t>Waste treatment</t>
  </si>
  <si>
    <t>Process Type</t>
  </si>
  <si>
    <t>Data_Literature</t>
  </si>
  <si>
    <t>The value is based on literature</t>
  </si>
  <si>
    <t>Data_experiment</t>
  </si>
  <si>
    <t>The value is based on experiments</t>
  </si>
  <si>
    <t>Data_assumption</t>
  </si>
  <si>
    <t>The value is based on assumptions</t>
  </si>
  <si>
    <t>Calculation_TC</t>
  </si>
  <si>
    <t>The value is based on the calculation with transfer coefficients</t>
  </si>
  <si>
    <t>Was</t>
  </si>
  <si>
    <t>Data_ID</t>
  </si>
  <si>
    <t>Type</t>
  </si>
  <si>
    <t>Descriptive Parameters</t>
  </si>
  <si>
    <t>Id</t>
  </si>
  <si>
    <t>Process Id</t>
  </si>
  <si>
    <t>Name</t>
  </si>
  <si>
    <t>Area</t>
  </si>
  <si>
    <t>Type Biomass</t>
  </si>
  <si>
    <t>Life phase</t>
  </si>
  <si>
    <t>Input Flow I_1</t>
  </si>
  <si>
    <t>Flow ID I_1</t>
  </si>
  <si>
    <t>Input Flow I_2</t>
  </si>
  <si>
    <t>Flow ID I_2</t>
  </si>
  <si>
    <t>Input Flow I_3</t>
  </si>
  <si>
    <t>Input Flow I_4</t>
  </si>
  <si>
    <t>Input Flow I_5</t>
  </si>
  <si>
    <t>Output Flow O_1</t>
  </si>
  <si>
    <t>Flow ID O_2</t>
  </si>
  <si>
    <t>Output Flow O_2</t>
  </si>
  <si>
    <t>Flow ID O_3</t>
  </si>
  <si>
    <t>Output Flow O_3</t>
  </si>
  <si>
    <t>Flow ID O_4</t>
  </si>
  <si>
    <t>Output Flow O_4</t>
  </si>
  <si>
    <t>Flow ID O_5</t>
  </si>
  <si>
    <t>Output Flow O_5</t>
  </si>
  <si>
    <t>Flow ID O_6</t>
  </si>
  <si>
    <t>Output Flow O_6</t>
  </si>
  <si>
    <t>Flow ID O_62</t>
  </si>
  <si>
    <t>Stock (Yes/No)</t>
  </si>
  <si>
    <t>Transfercoefficient (Yes/No)</t>
  </si>
  <si>
    <t>Forest</t>
  </si>
  <si>
    <t xml:space="preserve">Atmosphere </t>
  </si>
  <si>
    <t>unused Wood</t>
  </si>
  <si>
    <t>n.a.</t>
  </si>
  <si>
    <t>Brandenburg + Berlin</t>
  </si>
  <si>
    <t>Raw material production</t>
  </si>
  <si>
    <t>Stemwood</t>
  </si>
  <si>
    <t>Industry Wood</t>
  </si>
  <si>
    <t>Energy wood</t>
  </si>
  <si>
    <t>Sawmill industry</t>
  </si>
  <si>
    <t>Roundwood</t>
  </si>
  <si>
    <t>Sawn timber</t>
  </si>
  <si>
    <t>Wood chips</t>
  </si>
  <si>
    <t>Sawdust</t>
  </si>
  <si>
    <t>Bark</t>
  </si>
  <si>
    <t>Wood shavings</t>
  </si>
  <si>
    <t>Residues</t>
  </si>
  <si>
    <t>Wood-based materials industry</t>
  </si>
  <si>
    <t>Industry wood</t>
  </si>
  <si>
    <t>Sägespäne aus SI in BB</t>
  </si>
  <si>
    <t>Hackschnitzel aus SI in BB</t>
  </si>
  <si>
    <t>Sägenebenprodukte aus NBB</t>
  </si>
  <si>
    <t>Holzwerkstoffe (BB)</t>
  </si>
  <si>
    <t>Holzwerkstoffe (Export)</t>
  </si>
  <si>
    <t>Pellet and briquette industry</t>
  </si>
  <si>
    <t>Use-Phase -industry wood</t>
  </si>
  <si>
    <t>Industrial wood</t>
  </si>
  <si>
    <t>Waste Wood</t>
  </si>
  <si>
    <t>Use-Phase -Construction wood</t>
  </si>
  <si>
    <t>Construction wood</t>
  </si>
  <si>
    <t>Waste wood processing plant</t>
  </si>
  <si>
    <t>Recycl﻿ing / disposal</t>
  </si>
  <si>
    <t>Garten und Strauch</t>
  </si>
  <si>
    <t>energetische Verwertung</t>
  </si>
  <si>
    <t>Kompostierung</t>
  </si>
  <si>
    <t>stoffliche Verwertung</t>
  </si>
  <si>
    <t>n.b.</t>
  </si>
  <si>
    <t>Biomass power plant</t>
  </si>
  <si>
    <t>Waste Wood A1</t>
  </si>
  <si>
    <t>Waste Wood A2</t>
  </si>
  <si>
    <t>Waste Wood A3</t>
  </si>
  <si>
    <t>Waste Wood A4</t>
  </si>
  <si>
    <t>CO2</t>
  </si>
  <si>
    <t>Ash</t>
  </si>
  <si>
    <t>Data_Source</t>
  </si>
  <si>
    <t>CC_source</t>
  </si>
  <si>
    <t>Rye</t>
  </si>
  <si>
    <t>Rye grain</t>
  </si>
  <si>
    <t>Technical usable rye straw</t>
  </si>
  <si>
    <t>Non technical usable Rye straw</t>
  </si>
  <si>
    <t>Cow Manure</t>
  </si>
  <si>
    <t>Biogas</t>
  </si>
  <si>
    <t>Rye straw digestate</t>
  </si>
  <si>
    <t>MBC (new)</t>
  </si>
  <si>
    <t>MBC (used)</t>
  </si>
  <si>
    <t>MBC production waste</t>
  </si>
  <si>
    <t>Millet grain</t>
  </si>
  <si>
    <t>EoL-MBC</t>
  </si>
  <si>
    <t>Water Input MBC Production</t>
  </si>
  <si>
    <t>Water Output MBC Production</t>
  </si>
  <si>
    <t>Mass Delta MBC production</t>
  </si>
  <si>
    <t>EoL-MBC (Pyro)</t>
  </si>
  <si>
    <t>EoL-MBC (Inci)</t>
  </si>
  <si>
    <t>Pyrolisis Char</t>
  </si>
  <si>
    <t>A review of pyrolysis technologies and feedstock: A blending approach for plastic and biomass towards optimum biochar yield</t>
  </si>
  <si>
    <t>Flue Gas</t>
  </si>
  <si>
    <t xml:space="preserve">Transfer coefficients </t>
  </si>
  <si>
    <t>Input Flow 1</t>
  </si>
  <si>
    <t>Flow ID 1</t>
  </si>
  <si>
    <t>Input Flow 2</t>
  </si>
  <si>
    <t>Flow ID 2</t>
  </si>
  <si>
    <t>Input Flow 3</t>
  </si>
  <si>
    <t>Flow ID 3</t>
  </si>
  <si>
    <t>Input Flow 4</t>
  </si>
  <si>
    <t>Flow ID 4</t>
  </si>
  <si>
    <t>Input Flow 5</t>
  </si>
  <si>
    <t>Flow ID 5</t>
  </si>
  <si>
    <t>Output Flow 1</t>
  </si>
  <si>
    <t>Flow ID 12</t>
  </si>
  <si>
    <t>Output Flow 2</t>
  </si>
  <si>
    <t>Flow ID 23</t>
  </si>
  <si>
    <t>Output Flow 3</t>
  </si>
  <si>
    <t>Flow ID 34</t>
  </si>
  <si>
    <t>Output Flow 4</t>
  </si>
  <si>
    <t>Flow ID 45</t>
  </si>
  <si>
    <t>Output Flow 5</t>
  </si>
  <si>
    <t>Flow ID 56</t>
  </si>
  <si>
    <t>Output Flow 6</t>
  </si>
  <si>
    <t>Flow ID 6</t>
  </si>
  <si>
    <t>Output 1</t>
  </si>
  <si>
    <t>TC 1</t>
  </si>
  <si>
    <t>Output 2</t>
  </si>
  <si>
    <t>TC 2</t>
  </si>
  <si>
    <t>Output 3</t>
  </si>
  <si>
    <t>TC 3</t>
  </si>
  <si>
    <t>Output 4</t>
  </si>
  <si>
    <t>TC 4</t>
  </si>
  <si>
    <t>Output 5</t>
  </si>
  <si>
    <t>TC 5</t>
  </si>
  <si>
    <t>Output 6</t>
  </si>
  <si>
    <t>TC 6</t>
  </si>
  <si>
    <t>Sum TCs</t>
  </si>
  <si>
    <t>Name7</t>
  </si>
  <si>
    <t>Year8</t>
  </si>
  <si>
    <t>Anfertigung einer Materialflussanalyse über Hauptprodukte, Ne-benprodukte und Reststoffe in der holzverarbeitenden Industrie: Eine interviewgestützte Untersuchung in Brandenburg</t>
  </si>
  <si>
    <t>Irina Wähning</t>
  </si>
  <si>
    <t>Mastherthesis</t>
  </si>
  <si>
    <t>Stocks</t>
  </si>
  <si>
    <t>Description Stock</t>
  </si>
  <si>
    <t>Stock</t>
  </si>
  <si>
    <t>1000 m³</t>
  </si>
  <si>
    <t>2012 - 2022</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</si>
  <si>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</si>
  <si>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</si>
  <si>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</si>
  <si>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</si>
  <si>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</si>
  <si>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2002-2012</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</si>
  <si>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</si>
  <si>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</si>
  <si>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Year2</t>
  </si>
  <si>
    <t>Bestimmung des Potenzials von Biomasse in Berlin Ein Projekt der Senatsverwaltung für Mobilität, Verkehr, Klimaschutz und Umwelt Berlin (SenMVKU)</t>
  </si>
  <si>
    <t>Vogt, Jeremias, Buschow</t>
  </si>
  <si>
    <t>Project Report</t>
  </si>
  <si>
    <t>https://www.berlin.de/sen/uvk/klimaschutz/waermewende/gesamtstaedtische-waermeplanung/potenzialanalysen/biomasse/</t>
  </si>
  <si>
    <t>Python Description</t>
  </si>
  <si>
    <t>Input Flow</t>
  </si>
  <si>
    <t>Flow ID</t>
  </si>
  <si>
    <t>Output Flow</t>
  </si>
  <si>
    <t>Flow ID2</t>
  </si>
  <si>
    <t>Flow</t>
  </si>
  <si>
    <t>Uncertain</t>
  </si>
  <si>
    <t>Refurbished wood</t>
  </si>
  <si>
    <t>Logs</t>
  </si>
  <si>
    <t>10</t>
  </si>
  <si>
    <t>11</t>
  </si>
  <si>
    <t>12</t>
  </si>
  <si>
    <t>13</t>
  </si>
  <si>
    <t>14</t>
  </si>
  <si>
    <t>0</t>
  </si>
  <si>
    <t>1</t>
  </si>
  <si>
    <t>2</t>
  </si>
  <si>
    <t>3</t>
  </si>
  <si>
    <t>4</t>
  </si>
  <si>
    <t>5</t>
  </si>
  <si>
    <t>6</t>
  </si>
  <si>
    <t>7</t>
  </si>
  <si>
    <t>8</t>
  </si>
  <si>
    <t>9</t>
  </si>
  <si>
    <t>Forestry Resiudes</t>
  </si>
  <si>
    <t>Deg_Atm_Carbon</t>
  </si>
  <si>
    <t>Deg_Bio</t>
  </si>
  <si>
    <t>Inc_Carbon_Atm</t>
  </si>
  <si>
    <t>Inc_Ash_Ant</t>
  </si>
  <si>
    <t>Proc_Wood Cuttings</t>
  </si>
  <si>
    <t>Atm_Bio</t>
  </si>
  <si>
    <t>SecMaterial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</si>
</sst>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8">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solid">
        <fgColor rgb="FFFFFF00"/>
        <bgColor indexed="64"/>
      </patternFill>
    </fill>
  </fills>
  <borders count="57">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
      <left/>
      <right/>
      <top style="dotted">
        <color auto="1"/>
      </top>
      <bottom/>
      <diagonal/>
    </border>
    <border>
      <left style="medium">
        <color indexed="64"/>
      </left>
      <right/>
      <top style="dotted">
        <color auto="1"/>
      </top>
      <bottom/>
      <diagonal/>
    </border>
    <border>
      <left/>
      <right style="medium">
        <color indexed="64"/>
      </right>
      <top style="dotted">
        <color auto="1"/>
      </top>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27">
    <xf numFmtId="0" fontId="0" fillId="0" borderId="0" xfId="0"/>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4" fillId="0" borderId="2" xfId="0" applyFont="1" applyBorder="1"/>
    <xf numFmtId="0" fontId="4" fillId="0" borderId="28" xfId="0" applyFont="1" applyBorder="1"/>
    <xf numFmtId="0" fontId="8" fillId="7" borderId="21" xfId="7" applyAlignment="1">
      <alignment wrapText="1"/>
    </xf>
    <xf numFmtId="0" fontId="4" fillId="9" borderId="29" xfId="0" applyFont="1" applyFill="1" applyBorder="1"/>
    <xf numFmtId="0" fontId="4" fillId="5" borderId="29" xfId="6" applyFont="1" applyFill="1" applyBorder="1"/>
    <xf numFmtId="0" fontId="4" fillId="8" borderId="29" xfId="0" applyFont="1" applyFill="1" applyBorder="1"/>
    <xf numFmtId="0" fontId="4" fillId="9" borderId="30" xfId="0" applyFont="1" applyFill="1" applyBorder="1"/>
    <xf numFmtId="0" fontId="4" fillId="9" borderId="31" xfId="0" applyFont="1" applyFill="1" applyBorder="1"/>
    <xf numFmtId="0" fontId="4" fillId="9" borderId="32" xfId="0" applyFont="1" applyFill="1" applyBorder="1"/>
    <xf numFmtId="0" fontId="8" fillId="6" borderId="33" xfId="6" applyBorder="1"/>
    <xf numFmtId="0" fontId="8" fillId="6" borderId="34" xfId="6" applyBorder="1"/>
    <xf numFmtId="0" fontId="4" fillId="5" borderId="31" xfId="6" applyFont="1" applyFill="1" applyBorder="1"/>
    <xf numFmtId="9" fontId="8" fillId="6" borderId="23"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5"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6"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6"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29" xfId="0" applyNumberFormat="1" applyFont="1" applyFill="1" applyBorder="1"/>
    <xf numFmtId="164" fontId="4" fillId="8" borderId="30" xfId="0" applyNumberFormat="1" applyFont="1" applyFill="1" applyBorder="1"/>
    <xf numFmtId="164" fontId="8" fillId="6" borderId="23" xfId="3" applyNumberFormat="1" applyFont="1" applyFill="1" applyBorder="1"/>
    <xf numFmtId="164" fontId="8" fillId="6" borderId="21" xfId="6" applyNumberFormat="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7" xfId="3" applyFont="1" applyFill="1" applyBorder="1" applyAlignment="1">
      <alignment vertical="center" wrapText="1"/>
    </xf>
    <xf numFmtId="9" fontId="13" fillId="14" borderId="38" xfId="3" applyFont="1" applyFill="1" applyBorder="1" applyAlignment="1">
      <alignment vertical="center" wrapText="1"/>
    </xf>
    <xf numFmtId="9" fontId="13" fillId="15" borderId="38" xfId="3" applyFont="1" applyFill="1" applyBorder="1" applyAlignment="1">
      <alignment vertical="center" wrapText="1"/>
    </xf>
    <xf numFmtId="9" fontId="13" fillId="16" borderId="38" xfId="3" applyFont="1" applyFill="1" applyBorder="1" applyAlignment="1">
      <alignment vertical="center" wrapText="1"/>
    </xf>
    <xf numFmtId="0" fontId="0" fillId="0" borderId="39"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8"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1" borderId="39" xfId="0" applyFont="1" applyFill="1" applyBorder="1" applyAlignment="1">
      <alignment vertical="center" wrapText="1"/>
    </xf>
    <xf numFmtId="165" fontId="0" fillId="22" borderId="37" xfId="0" applyNumberFormat="1" applyFill="1" applyBorder="1" applyAlignment="1">
      <alignment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9" fontId="13" fillId="23" borderId="37" xfId="3" applyFont="1" applyFill="1" applyBorder="1" applyAlignment="1">
      <alignment vertical="center" wrapText="1"/>
    </xf>
    <xf numFmtId="165" fontId="13" fillId="24" borderId="38" xfId="0" applyNumberFormat="1" applyFont="1" applyFill="1" applyBorder="1" applyAlignment="1">
      <alignment vertical="center" wrapText="1"/>
    </xf>
    <xf numFmtId="164" fontId="0" fillId="13" borderId="39" xfId="3" applyNumberFormat="1" applyFont="1" applyFill="1" applyBorder="1" applyAlignment="1">
      <alignment wrapText="1"/>
    </xf>
    <xf numFmtId="0" fontId="13" fillId="13" borderId="38" xfId="0" applyFont="1" applyFill="1" applyBorder="1" applyAlignment="1">
      <alignment vertical="center" wrapText="1"/>
    </xf>
    <xf numFmtId="9" fontId="13" fillId="23" borderId="38" xfId="3" applyFont="1" applyFill="1" applyBorder="1" applyAlignment="1">
      <alignment vertical="center" wrapText="1"/>
    </xf>
    <xf numFmtId="9" fontId="13" fillId="13" borderId="39" xfId="3" applyFont="1" applyFill="1" applyBorder="1" applyAlignment="1">
      <alignment vertical="center" wrapText="1"/>
    </xf>
    <xf numFmtId="0" fontId="13" fillId="25" borderId="39"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7" xfId="0" applyFont="1" applyFill="1" applyBorder="1" applyAlignment="1">
      <alignment vertical="center" wrapText="1"/>
    </xf>
    <xf numFmtId="9" fontId="13" fillId="14" borderId="38" xfId="0" applyNumberFormat="1" applyFont="1" applyFill="1" applyBorder="1" applyAlignment="1">
      <alignment vertical="center" wrapText="1"/>
    </xf>
    <xf numFmtId="9" fontId="13" fillId="29" borderId="38" xfId="0" applyNumberFormat="1" applyFont="1" applyFill="1" applyBorder="1" applyAlignment="1">
      <alignment vertical="center" wrapText="1"/>
    </xf>
    <xf numFmtId="0" fontId="13" fillId="14" borderId="38" xfId="0" applyFont="1" applyFill="1" applyBorder="1" applyAlignment="1">
      <alignment vertical="center" wrapText="1"/>
    </xf>
    <xf numFmtId="9" fontId="13" fillId="14" borderId="39" xfId="3" applyFont="1" applyFill="1" applyBorder="1" applyAlignment="1">
      <alignment vertical="center" wrapText="1"/>
    </xf>
    <xf numFmtId="0" fontId="13" fillId="15" borderId="37" xfId="0" applyFont="1" applyFill="1" applyBorder="1" applyAlignment="1">
      <alignment vertical="center" wrapText="1"/>
    </xf>
    <xf numFmtId="9" fontId="13" fillId="30" borderId="38" xfId="3" applyFont="1" applyFill="1" applyBorder="1" applyAlignment="1">
      <alignment vertical="center" wrapText="1"/>
    </xf>
    <xf numFmtId="0" fontId="13" fillId="15" borderId="38" xfId="0" applyFont="1" applyFill="1" applyBorder="1" applyAlignment="1">
      <alignment vertical="center" wrapText="1"/>
    </xf>
    <xf numFmtId="9" fontId="13" fillId="15" borderId="39" xfId="3" applyFont="1" applyFill="1" applyBorder="1" applyAlignment="1">
      <alignment vertical="center" wrapText="1"/>
    </xf>
    <xf numFmtId="0" fontId="13" fillId="16" borderId="37" xfId="0" applyFont="1" applyFill="1" applyBorder="1" applyAlignment="1">
      <alignment vertical="center" wrapText="1"/>
    </xf>
    <xf numFmtId="9" fontId="13" fillId="31" borderId="38" xfId="0" applyNumberFormat="1" applyFont="1" applyFill="1" applyBorder="1" applyAlignment="1">
      <alignment vertical="center" wrapText="1"/>
    </xf>
    <xf numFmtId="0" fontId="13" fillId="16" borderId="39"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7" xfId="0" applyNumberFormat="1"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7" xfId="0" applyFont="1" applyFill="1" applyBorder="1" applyAlignment="1">
      <alignment vertical="center" wrapText="1"/>
    </xf>
    <xf numFmtId="0" fontId="13" fillId="20" borderId="39" xfId="0" applyFont="1" applyFill="1" applyBorder="1" applyAlignment="1">
      <alignment vertical="center" wrapText="1"/>
    </xf>
    <xf numFmtId="0" fontId="13" fillId="21" borderId="37" xfId="0" applyFont="1" applyFill="1" applyBorder="1" applyAlignment="1">
      <alignment vertical="center" wrapText="1"/>
    </xf>
    <xf numFmtId="0" fontId="13" fillId="21" borderId="38" xfId="0" applyFont="1" applyFill="1" applyBorder="1" applyAlignment="1">
      <alignment vertical="center" wrapText="1"/>
    </xf>
    <xf numFmtId="9" fontId="0" fillId="13" borderId="39" xfId="3" applyFont="1" applyFill="1" applyBorder="1" applyAlignment="1">
      <alignment wrapText="1"/>
    </xf>
    <xf numFmtId="0" fontId="13" fillId="23" borderId="38"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8" xfId="0" applyNumberFormat="1" applyFont="1" applyFill="1" applyBorder="1" applyAlignment="1">
      <alignment vertical="center" wrapText="1"/>
    </xf>
    <xf numFmtId="0" fontId="13" fillId="30" borderId="38" xfId="0" applyFont="1" applyFill="1" applyBorder="1" applyAlignment="1">
      <alignment vertical="center" wrapText="1"/>
    </xf>
    <xf numFmtId="0" fontId="13" fillId="16" borderId="38"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0" borderId="40" xfId="0" applyFont="1" applyBorder="1" applyAlignment="1">
      <alignment horizontal="left"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0" fillId="0" borderId="41" xfId="0" applyBorder="1" applyAlignment="1">
      <alignment horizontal="left" wrapText="1"/>
    </xf>
    <xf numFmtId="0" fontId="13" fillId="12" borderId="7" xfId="0" applyFont="1" applyFill="1" applyBorder="1" applyAlignment="1">
      <alignment vertical="center" wrapText="1"/>
    </xf>
    <xf numFmtId="0" fontId="12" fillId="12" borderId="46" xfId="0" applyFont="1" applyFill="1" applyBorder="1" applyAlignment="1">
      <alignment vertical="center" wrapText="1"/>
    </xf>
    <xf numFmtId="0" fontId="13" fillId="0" borderId="47" xfId="0" applyFont="1" applyBorder="1" applyAlignment="1">
      <alignment vertical="center" wrapText="1"/>
    </xf>
    <xf numFmtId="0" fontId="15" fillId="0" borderId="42" xfId="0" applyFont="1" applyBorder="1" applyAlignment="1">
      <alignment horizontal="left"/>
    </xf>
    <xf numFmtId="0" fontId="0" fillId="0" borderId="48" xfId="0" applyBorder="1" applyAlignment="1">
      <alignment horizontal="left" wrapText="1"/>
    </xf>
    <xf numFmtId="0" fontId="13" fillId="0" borderId="48" xfId="0" applyFont="1" applyBorder="1" applyAlignment="1">
      <alignment horizontal="left" vertical="center" wrapText="1"/>
    </xf>
    <xf numFmtId="0" fontId="12" fillId="12" borderId="5" xfId="0" applyFont="1" applyFill="1" applyBorder="1" applyAlignment="1">
      <alignment vertical="center" wrapText="1"/>
    </xf>
    <xf numFmtId="0" fontId="13" fillId="0" borderId="49"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39" xfId="0" applyFont="1" applyFill="1" applyBorder="1" applyAlignment="1">
      <alignment vertical="center" wrapText="1"/>
    </xf>
    <xf numFmtId="164" fontId="8" fillId="7" borderId="52" xfId="3" applyNumberFormat="1" applyFont="1" applyFill="1" applyBorder="1"/>
    <xf numFmtId="164" fontId="8" fillId="7" borderId="23" xfId="3" applyNumberFormat="1" applyFont="1" applyFill="1" applyBorder="1"/>
    <xf numFmtId="164" fontId="8" fillId="6" borderId="50" xfId="6" applyNumberFormat="1" applyBorder="1"/>
    <xf numFmtId="164" fontId="8" fillId="6" borderId="51" xfId="6" applyNumberFormat="1" applyBorder="1"/>
    <xf numFmtId="164" fontId="8" fillId="6" borderId="22" xfId="6" applyNumberFormat="1" applyBorder="1"/>
    <xf numFmtId="164" fontId="8" fillId="7" borderId="0" xfId="3" applyNumberFormat="1" applyFont="1" applyFill="1" applyBorder="1"/>
    <xf numFmtId="0" fontId="4" fillId="10" borderId="29" xfId="0" applyFont="1" applyFill="1" applyBorder="1"/>
    <xf numFmtId="0" fontId="4" fillId="10" borderId="53" xfId="7" applyFont="1" applyFill="1" applyBorder="1"/>
    <xf numFmtId="164" fontId="8" fillId="7" borderId="9" xfId="3" applyNumberFormat="1" applyFont="1" applyFill="1" applyBorder="1"/>
    <xf numFmtId="164" fontId="8" fillId="7" borderId="26" xfId="3" applyNumberFormat="1" applyFont="1" applyFill="1" applyBorder="1"/>
    <xf numFmtId="0" fontId="8" fillId="6" borderId="35" xfId="6" applyBorder="1"/>
    <xf numFmtId="164" fontId="8" fillId="7" borderId="36" xfId="3" applyNumberFormat="1" applyFont="1" applyFill="1" applyBorder="1"/>
    <xf numFmtId="164" fontId="8" fillId="7" borderId="27" xfId="3" applyNumberFormat="1" applyFont="1" applyFill="1" applyBorder="1"/>
    <xf numFmtId="0" fontId="4" fillId="8" borderId="0" xfId="0" applyFont="1" applyFill="1"/>
    <xf numFmtId="164" fontId="4" fillId="8" borderId="0" xfId="3" applyNumberFormat="1" applyFont="1" applyFill="1" applyBorder="1"/>
    <xf numFmtId="164" fontId="4" fillId="8" borderId="0" xfId="0" applyNumberFormat="1" applyFont="1" applyFill="1"/>
    <xf numFmtId="0" fontId="4" fillId="9" borderId="0" xfId="0" applyFont="1" applyFill="1"/>
    <xf numFmtId="0" fontId="4" fillId="5" borderId="0" xfId="6" applyFont="1" applyFill="1" applyBorder="1"/>
    <xf numFmtId="0" fontId="4" fillId="9" borderId="23" xfId="0" applyFont="1" applyFill="1" applyBorder="1"/>
    <xf numFmtId="9" fontId="0" fillId="0" borderId="21" xfId="3" applyFont="1" applyBorder="1"/>
    <xf numFmtId="9" fontId="8" fillId="7" borderId="0" xfId="3" applyFont="1" applyFill="1" applyBorder="1"/>
    <xf numFmtId="9" fontId="0" fillId="0" borderId="26" xfId="3" applyFont="1" applyBorder="1"/>
    <xf numFmtId="10" fontId="8" fillId="7" borderId="21" xfId="7" applyNumberFormat="1"/>
    <xf numFmtId="0" fontId="13" fillId="36" borderId="39" xfId="0" applyFont="1" applyFill="1" applyBorder="1" applyAlignment="1">
      <alignment horizontal="center" vertical="center" wrapText="1"/>
    </xf>
    <xf numFmtId="0" fontId="13" fillId="36" borderId="37" xfId="0" applyFont="1" applyFill="1" applyBorder="1" applyAlignment="1">
      <alignment horizontal="center" vertical="center" wrapText="1"/>
    </xf>
    <xf numFmtId="0" fontId="0" fillId="0" borderId="0" xfId="0" applyAlignment="1">
      <alignment horizontal="center"/>
    </xf>
    <xf numFmtId="0" fontId="4" fillId="37" borderId="13" xfId="0" applyFont="1" applyFill="1" applyBorder="1"/>
    <xf numFmtId="0" fontId="4" fillId="37" borderId="12" xfId="0" applyFont="1" applyFill="1" applyBorder="1"/>
    <xf numFmtId="10" fontId="8" fillId="37" borderId="21" xfId="7" applyNumberFormat="1" applyFill="1"/>
    <xf numFmtId="0" fontId="8" fillId="6" borderId="54" xfId="6" applyBorder="1">
      <extLst>
        <ext xmlns:xfpb="http://schemas.microsoft.com/office/spreadsheetml/2022/featurepropertybag" uri="{C7286773-470A-42A8-94C5-96B5CB345126}">
          <xfpb:xfComplement i="0"/>
        </ext>
      </extLst>
    </xf>
    <xf numFmtId="0" fontId="8" fillId="6" borderId="54" xfId="6" applyBorder="1"/>
    <xf numFmtId="0" fontId="8" fillId="7" borderId="54" xfId="7" applyBorder="1"/>
    <xf numFmtId="0" fontId="9" fillId="9" borderId="54" xfId="8" applyBorder="1"/>
    <xf numFmtId="0" fontId="8" fillId="7" borderId="55" xfId="7" applyBorder="1"/>
    <xf numFmtId="0" fontId="8" fillId="6" borderId="56" xfId="6"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37" xfId="0" applyFont="1" applyFill="1" applyBorder="1" applyAlignment="1">
      <alignment horizontal="center"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3" fillId="36" borderId="37" xfId="0" applyFont="1" applyFill="1" applyBorder="1" applyAlignment="1">
      <alignment horizontal="left"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4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12" fillId="12" borderId="37"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8" borderId="37"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13" fillId="27" borderId="37" xfId="0" applyFont="1" applyFill="1" applyBorder="1" applyAlignment="1">
      <alignment horizontal="center" vertical="top" wrapText="1"/>
    </xf>
    <xf numFmtId="0" fontId="0" fillId="17" borderId="39" xfId="0" applyFill="1" applyBorder="1" applyAlignment="1">
      <alignment horizontal="center"/>
    </xf>
    <xf numFmtId="0" fontId="0" fillId="17" borderId="38" xfId="0" applyFill="1" applyBorder="1" applyAlignment="1">
      <alignment horizontal="center"/>
    </xf>
    <xf numFmtId="0" fontId="0" fillId="17" borderId="37"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15">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16" totalsRowShown="0" headerRowDxfId="214">
  <autoFilter ref="A1:W16" xr:uid="{DA5E02B4-C3D5-4EC6-A468-E6098B9805CF}"/>
  <tableColumns count="23">
    <tableColumn id="13" xr3:uid="{660990D7-F8E8-451E-A19A-9F23873E1903}" name="Complete?" dataDxfId="213" dataCellStyle="Automatisch"/>
    <tableColumn id="1" xr3:uid="{23E8F131-81B2-4705-927A-A42C393BEDCE}" name="ID" dataDxfId="212" dataCellStyle="Automatisch">
      <calculatedColumnFormula>ROW()-1</calculatedColumnFormula>
    </tableColumn>
    <tableColumn id="2" xr3:uid="{D694ED25-71D4-4BD1-B627-FBE0FAE9FC8B}" name="Flow_ID" dataDxfId="211" dataCellStyle="Automatisch">
      <calculatedColumnFormula>"F_"&amp;LEFT(I2,2)&amp;"_"&amp;LEFT(K2,2)</calculatedColumnFormula>
    </tableColumn>
    <tableColumn id="3" xr3:uid="{CA1C6FA9-65CA-47E1-94EA-BBB750256C84}" name="Name(EN)" dataDxfId="210"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09"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08"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07" dataCellStyle="Ausfüllen"/>
    <tableColumn id="15" xr3:uid="{6E0C6841-1496-4DDD-9174-61F6DC51267E}" name="DM?" dataCellStyle="Ausfüllen"/>
    <tableColumn id="16" xr3:uid="{D89EDA50-0A29-4075-BBFF-DF622660740A}" name="CC?" dataCellStyle="Ausfüllen"/>
    <tableColumn id="18" xr3:uid="{AFBC221B-4B6A-49DF-8BB0-8E40EB019E1C}" name="WC" dataDxfId="206" dataCellStyle="Ausfüllen"/>
    <tableColumn id="22" xr3:uid="{ABA27704-56CF-4C30-88CB-BB6E944F7F08}" name="WC_source" dataDxfId="205" dataCellStyle="Ausfüllen"/>
    <tableColumn id="23" xr3:uid="{5CA0D08F-32C9-451C-A223-78F9E163EE87}" name="DM" dataDxfId="204" dataCellStyle="Ausfüllen"/>
    <tableColumn id="19" xr3:uid="{B3649430-F3A4-4F10-84D0-61D5F3B7C06D}" name="DM_source" dataCellStyle="Ausfüllen"/>
    <tableColumn id="20" xr3:uid="{826B197D-7E74-49DB-8367-DD0E48B963C3}" name="CC_DM[%]" dataDxfId="203" dataCellStyle="Ausfüllen"/>
    <tableColumn id="21" xr3:uid="{D903DE25-FD16-43E6-ADC2-67C346513E4D}" name="CC_DM_source" dataCellStyle="Ausfüllen"/>
    <tableColumn id="24" xr3:uid="{97A60092-8CFB-4931-B347-B7F41423089C}" name="CC" dataDxfId="202"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127" totalsRowShown="0">
  <autoFilter ref="A1:AK127" xr:uid="{323CB71B-2A7B-4CEF-9473-A7F5A1E6FAAA}"/>
  <tableColumns count="37">
    <tableColumn id="1" xr3:uid="{4E4AA63C-992A-498F-9D6C-B8B8E27D6E01}" name="ID" dataDxfId="201"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00" dataCellStyle="Automatisch">
      <calculatedColumnFormula>_xlfn.XLOOKUP(C2,Tab_Def_Flows[Name(EN)],Tab_Def_Flows[Process_ID_I],,0,)</calculatedColumnFormula>
    </tableColumn>
    <tableColumn id="34" xr3:uid="{1EF5EFE9-B149-4960-A691-8F1B8725DE37}" name="TC?" dataDxfId="199" dataCellStyle="Automatisch">
      <calculatedColumnFormula>_xlfn.XLOOKUP(C2,Tab_Def_Flows[Name(EN)],Tab_Def_Flows[Value_Source],,0,)</calculatedColumnFormula>
    </tableColumn>
    <tableColumn id="30" xr3:uid="{F13B49C3-7111-4C57-A913-01AB03549B56}" name="WC?" dataDxfId="198" dataCellStyle="Automatisch">
      <calculatedColumnFormula>_xlfn.XLOOKUP(C2,Tab_Def_Flows[Name(EN)],Tab_Def_Flows[WC?],,0,)</calculatedColumnFormula>
    </tableColumn>
    <tableColumn id="31" xr3:uid="{24B36152-385D-4D3C-A274-72EA56B6819A}" name="DM?" dataDxfId="197" dataCellStyle="Automatisch">
      <calculatedColumnFormula>_xlfn.XLOOKUP(C2,Tab_Def_Flows[Name(EN)],Tab_Def_Flows[DM?],,0,)</calculatedColumnFormula>
    </tableColumn>
    <tableColumn id="32" xr3:uid="{A086924B-597B-4B7A-B9B2-8397025FD97B}" name="CC?" dataDxfId="196"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95"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94" dataCellStyle="Ausfüllen">
      <calculatedColumnFormula>INDEX(Tab_WC_DM_CC[[Flow_ID]:[CC_source]],MATCH(Tab_Data_Flows[[#This Row],[Name(EN)]],Tab_WC_DM_CC[Name(EN)],0),12)</calculatedColumnFormula>
    </tableColumn>
    <tableColumn id="27" xr3:uid="{0FD99FBB-FEDB-4B73-A541-FB8A676D64E7}" name="Titel_Source" dataDxfId="193"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92" dataCellStyle="Ausfüllen"/>
    <tableColumn id="25" xr3:uid="{94996270-9A62-4B8C-B04B-D56A7F9FDE30}" name="Name_CF" dataDxfId="191" dataCellStyle="Ausfüllen">
      <calculatedColumnFormula>'3_1_Calculation_factors (Wood)'!$A$14</calculatedColumnFormula>
    </tableColumn>
    <tableColumn id="17" xr3:uid="{E761CF85-B508-4386-AFDF-6ABE121824EE}" name="Flow_Py" dataDxfId="190" dataCellStyle="Automatisch"/>
    <tableColumn id="18" xr3:uid="{9637D90E-56CA-40AA-A989-2B3406B7446B}" name="UoM_Flow_Py" dataCellStyle="Ausfüllen"/>
    <tableColumn id="35" xr3:uid="{D533411F-8317-4C7A-82C5-6CC35DCA0045}" name="WC_[%]" dataDxfId="189">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88" dataCellStyle="Automatisch">
      <calculatedColumnFormula>Tab_Data_Flows[[#This Row],[UoM_Flow_Py]]</calculatedColumnFormula>
    </tableColumn>
    <tableColumn id="36" xr3:uid="{B0BEC211-F9B4-42EF-AC89-C039D617733A}" name="DM_[%]" dataDxfId="187">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86" dataCellStyle="Automatisch">
      <calculatedColumnFormula>Tab_Data_Flows[[#This Row],[UoM_Flow_Py]]</calculatedColumnFormula>
    </tableColumn>
    <tableColumn id="37" xr3:uid="{7058A0AA-4684-4D9A-936D-EC68E6F28D3A}" name="CC_[%]" dataDxfId="185">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84"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B10" totalsRowShown="0" headerRowDxfId="183">
  <autoFilter ref="A1:AB10" xr:uid="{CEDB6F7C-CFD3-4534-80A6-FB20E3898B22}"/>
  <tableColumns count="28">
    <tableColumn id="39" xr3:uid="{488AB972-9613-4DA9-9600-5BFBE3896251}" name="Complete?" dataDxfId="182" dataCellStyle="Ausfüllen"/>
    <tableColumn id="1" xr3:uid="{A63F92FA-2376-4B5A-A2DF-588878E604E1}" name="ID" dataDxfId="181" dataCellStyle="Automatisch">
      <calculatedColumnFormula>ROW()-1</calculatedColumnFormula>
    </tableColumn>
    <tableColumn id="2" xr3:uid="{6D346BEA-29CA-401C-8ABB-6C62791A731A}" name="Process_ID" dataDxfId="180"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79" dataCellStyle="Ausfüllen"/>
    <tableColumn id="36" xr3:uid="{0AFFEA74-933D-4970-BF8A-28076123C1C8}" name="TC?" dataCellStyle="Ausfüllen"/>
    <tableColumn id="4" xr3:uid="{205F98D5-C655-4D0C-945F-288EE31DD8D8}" name="Dyn_TC?" dataCellStyle="Ausfüllen"/>
    <tableColumn id="37" xr3:uid="{891365CA-9AE8-450C-981B-51AB3AAC0B42}" name="Stock?" dataDxfId="178" dataCellStyle="Ausfüllen"/>
    <tableColumn id="14" xr3:uid="{334FD543-CE98-4427-87D5-A79F68872B3C}" name="Input_Flow_I_1" dataDxfId="177"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76"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75" headerRowBorderDxfId="174" tableBorderDxfId="173">
  <autoFilter ref="A1:M63" xr:uid="{7602A998-85E6-499A-B1A3-C584F22BB41F}"/>
  <tableColumns count="13">
    <tableColumn id="11" xr3:uid="{E17133D8-BCD0-4262-A9A3-E1A6A3CE59CB}" name="Spalte1" dataDxfId="172" dataCellStyle="Ausfüllen"/>
    <tableColumn id="1" xr3:uid="{AA6B88AC-CE31-4D38-A4D4-836CD0229002}" name="ID" dataDxfId="171" dataCellStyle="Automatisch">
      <calculatedColumnFormula>ROW()-1</calculatedColumnFormula>
    </tableColumn>
    <tableColumn id="13" xr3:uid="{39E45E7F-D8FF-4AC5-AC0A-E69207429159}" name="Data_ID" dataDxfId="170"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U10" totalsRowShown="0" headerRowDxfId="169" headerRowBorderDxfId="168" tableBorderDxfId="167">
  <autoFilter ref="A1:AU10" xr:uid="{7602A998-85E6-499A-B1A3-C584F22BB41F}">
    <filterColumn colId="10">
      <filters>
        <filter val="Yes"/>
      </filters>
    </filterColumn>
  </autoFilter>
  <tableColumns count="47">
    <tableColumn id="33" xr3:uid="{2E42D0C1-7FF5-458C-AABB-EC4821727C76}" name="Spalte1" dataDxfId="166" dataCellStyle="Ausfüllen"/>
    <tableColumn id="1" xr3:uid="{50777A4F-600F-43DA-AECB-19F4017C77C8}" name="ID" dataDxfId="165" dataCellStyle="Automatisch">
      <calculatedColumnFormula>ROW()-1</calculatedColumnFormula>
    </tableColumn>
    <tableColumn id="53" xr3:uid="{461E9AFE-A4B9-41F4-A2C5-D26B0479899D}" name="TC_ID" dataDxfId="164" dataCellStyle="Automatisch">
      <calculatedColumnFormula>"TC"&amp;LEFT(B2,2)&amp;"_"&amp;LEFT(D2,3)&amp;"_"&amp;LEFT(E2,3)</calculatedColumnFormula>
    </tableColumn>
    <tableColumn id="2" xr3:uid="{B009CEDB-A0BA-4BFE-9656-4F45ABD775FF}" name="Process_ID" dataDxfId="16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62" dataCellStyle="Automatisch">
      <calculatedColumnFormula>_xlfn.XLOOKUP($E2,Tab_Def_Processes[Name(EN)],Tab_Def_Processes[Input_Flow_I_1],,0,)</calculatedColumnFormula>
    </tableColumn>
    <tableColumn id="12" xr3:uid="{90818226-A0A4-4F57-9BA1-6A637D778FA7}" name="Flow_ID_I_1" dataDxfId="16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60" dataCellStyle="Automatisch">
      <calculatedColumnFormula>_xlfn.XLOOKUP($E2,Tab_Def_Processes[Name(EN)],Tab_Def_Processes[Input_Flow_I_2],,0,)</calculatedColumnFormula>
    </tableColumn>
    <tableColumn id="14" xr3:uid="{79B6519E-CED2-4996-8413-8ED818FBA67B}" name="Flow_ID_I_3" dataDxfId="15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58" dataCellStyle="Automatisch">
      <calculatedColumnFormula>_xlfn.XLOOKUP($E2,Tab_Def_Processes[Name(EN)],Tab_Def_Processes[Input_Flow_I_3],,0,)</calculatedColumnFormula>
    </tableColumn>
    <tableColumn id="16" xr3:uid="{A81E0966-45DB-4BF2-8519-54AB06D35821}" name="Flow ID I_3" dataDxfId="15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56" dataCellStyle="Automatisch">
      <calculatedColumnFormula>_xlfn.XLOOKUP($E2,Tab_Def_Processes[Name(EN)],Tab_Def_Processes[Input_Flow_I_4],,0,)</calculatedColumnFormula>
    </tableColumn>
    <tableColumn id="18" xr3:uid="{8462671B-87DF-487F-932D-125BE07DD6C5}" name="Flow ID I_4" dataDxfId="15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54" dataCellStyle="Automatisch">
      <calculatedColumnFormula>_xlfn.XLOOKUP($E2,Tab_Def_Processes[Name(EN)],Tab_Def_Processes[Input_Flow_I_5],,0,)</calculatedColumnFormula>
    </tableColumn>
    <tableColumn id="20" xr3:uid="{CF2F8133-A62C-4899-B489-92524730DAD8}" name="Flow ID I_5" dataDxfId="15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5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51" dataCellStyle="Automatisch">
      <calculatedColumnFormula>_xlfn.XLOOKUP($E2,Tab_Def_Processes[Name(EN)],Tab_Def_Processes[Output_Flow_O_1],,0,)</calculatedColumnFormula>
    </tableColumn>
    <tableColumn id="22" xr3:uid="{858063F1-EC66-43D6-9A80-961AA2AEACA8}" name="Flow_ID_O_1" dataDxfId="150"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149"/>
    <tableColumn id="23" xr3:uid="{8F186982-6AEE-48FE-A3E8-23DE9BA9203B}" name="Output_Flow_O_2" dataDxfId="148" dataCellStyle="Automatisch">
      <calculatedColumnFormula>_xlfn.XLOOKUP($E2,Tab_Def_Processes[Name(EN)],Tab_Def_Processes[Output_Flow_O_2],,0,)</calculatedColumnFormula>
    </tableColumn>
    <tableColumn id="24" xr3:uid="{A690522C-9F92-493F-BD4E-C5851A505DC4}" name="Flow_ID_O_2" dataDxfId="147" dataCellStyle="Automatisch">
      <calculatedColumnFormula>_xlfn.XLOOKUP($E2,Tab_Def_Processes[Name(EN)],Tab_Def_Processes[Flow_ID_O_2],,0,)</calculatedColumnFormula>
    </tableColumn>
    <tableColumn id="54" xr3:uid="{BA849848-5D65-4A75-806A-2B78AD9690F7}" name="TC_ID_O_2" dataDxfId="146" dataCellStyle="Automatisch">
      <calculatedColumnFormula>"TC"&amp;"_"&amp;RIGHT(AI2,5)</calculatedColumnFormula>
    </tableColumn>
    <tableColumn id="41" xr3:uid="{BBDD1124-B4C9-48C4-95C4-ED06DAD4697D}" name="TC_O_2_[%]" dataDxfId="145"/>
    <tableColumn id="25" xr3:uid="{46987B53-D7D9-4621-B8D7-B8DC7F6BB65B}" name="Output_Flow_O_3" dataDxfId="144" dataCellStyle="Automatisch">
      <calculatedColumnFormula>_xlfn.XLOOKUP($E2,Tab_Def_Processes[Name(EN)],Tab_Def_Processes[Output_Flow_O_3],,0,)</calculatedColumnFormula>
    </tableColumn>
    <tableColumn id="26" xr3:uid="{B1F55BB4-B5DF-4809-9841-CE667A275BBB}" name="Flow_ID_O_3" dataDxfId="143" dataCellStyle="Automatisch">
      <calculatedColumnFormula>_xlfn.XLOOKUP($E2,Tab_Def_Processes[Name(EN)],Tab_Def_Processes[Flow_ID_O_3],,0,)</calculatedColumnFormula>
    </tableColumn>
    <tableColumn id="56" xr3:uid="{77439361-9107-465F-B6A6-6BDB4E4EEC92}" name="TC_ID_O_3" dataDxfId="142" dataCellStyle="Automatisch">
      <calculatedColumnFormula>"TC"&amp;"_"&amp;RIGHT(AM2,5)</calculatedColumnFormula>
    </tableColumn>
    <tableColumn id="42" xr3:uid="{837386A2-5F76-437C-AB05-32F4D8FD5400}" name="TC_O_3_[%]" dataDxfId="141"/>
    <tableColumn id="32" xr3:uid="{CE273725-6F44-4E0B-BE1F-68D405E37E69}" name="Sum_TC_O" dataDxfId="140">
      <calculatedColumnFormula>SUM(#REF!,#REF!,#REF!,Tab_Process_TCs[[#This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10" totalsRowShown="0" headerRowDxfId="139" headerRowBorderDxfId="138" tableBorderDxfId="137">
  <autoFilter ref="A1:X10" xr:uid="{7602A998-85E6-499A-B1A3-C584F22BB41F}"/>
  <tableColumns count="24">
    <tableColumn id="24" xr3:uid="{799CF049-9A74-47E4-BCE6-68EB92DFEDD4}" name="Spalte2" dataDxfId="136" dataCellStyle="Ausfüllen"/>
    <tableColumn id="1" xr3:uid="{75AB9428-C675-46D8-B904-74A952E29611}" name="ID" dataDxfId="135" dataCellStyle="Automatisch">
      <calculatedColumnFormula>ROW()-1</calculatedColumnFormula>
    </tableColumn>
    <tableColumn id="22" xr3:uid="{055CB3E4-C1DF-486D-9F8E-E65039E95278}" name="Stock_ID" dataDxfId="134"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33"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132" headerRowBorderDxfId="131" tableBorderDxfId="130">
  <autoFilter ref="A1:BM151" xr:uid="{7602A998-85E6-499A-B1A3-C584F22BB41F}"/>
  <sortState xmlns:xlrd2="http://schemas.microsoft.com/office/spreadsheetml/2017/richdata2" ref="A2:BM151">
    <sortCondition ref="D1:D151"/>
  </sortState>
  <tableColumns count="65">
    <tableColumn id="33" xr3:uid="{8D32234C-9537-417C-B55D-065038402726}" name="Spalte1" dataDxfId="129" dataCellStyle="Ausfüllen"/>
    <tableColumn id="1" xr3:uid="{CE7CE076-C32F-4791-85A9-C6321A66E672}" name="ID" dataDxfId="128" dataCellStyle="Automatisch">
      <calculatedColumnFormula>ROW()-1</calculatedColumnFormula>
    </tableColumn>
    <tableColumn id="2" xr3:uid="{F7259AFD-9D16-4ACC-BDB2-8D0DCC203B92}" name="Process_ID" dataDxfId="127"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sfüllen">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126"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125" dataCellStyle="Automatisch">
      <calculatedColumnFormula>_xlfn.XLOOKUP($D2,Tab_Def_Processes[Name(EN)],Tab_Def_Processes[Input_Flow_I_1],,0,)</calculatedColumnFormula>
    </tableColumn>
    <tableColumn id="12" xr3:uid="{5D9673E4-4F5C-4A02-8FE3-DAF7E360A271}" name="Flow_ID_I_1" dataDxfId="124"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123" dataCellStyle="Automatisch">
      <calculatedColumnFormula>_xlfn.XLOOKUP($D2,Tab_Def_Processes[Name(EN)],Tab_Def_Processes[Input_Flow_I_2],,0,)</calculatedColumnFormula>
    </tableColumn>
    <tableColumn id="14" xr3:uid="{39DCAF4C-C94E-4F6B-9473-486EB368D1A4}" name="Flow_ID_I_3" dataDxfId="122"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121" dataCellStyle="Automatisch">
      <calculatedColumnFormula>_xlfn.XLOOKUP($D2,Tab_Def_Processes[Name(EN)],Tab_Def_Processes[Input_Flow_I_3],,0,)</calculatedColumnFormula>
    </tableColumn>
    <tableColumn id="16" xr3:uid="{59EB2AB7-4406-48E2-A12E-175CA457D434}" name="Flow ID I_3" dataDxfId="120"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119" dataCellStyle="Automatisch">
      <calculatedColumnFormula>_xlfn.XLOOKUP($D2,Tab_Def_Processes[Name(EN)],Tab_Def_Processes[Input_Flow_I_4],,0,)</calculatedColumnFormula>
    </tableColumn>
    <tableColumn id="18" xr3:uid="{6B6A8FB7-CFFD-4E02-B4C2-DA33227D2D15}" name="Flow ID I_4" dataDxfId="118"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117" dataCellStyle="Automatisch">
      <calculatedColumnFormula>_xlfn.XLOOKUP($D2,Tab_Def_Processes[Name(EN)],Tab_Def_Processes[Input_Flow_I_5],,0,)</calculatedColumnFormula>
    </tableColumn>
    <tableColumn id="20" xr3:uid="{4DEF4D28-396A-452E-A2BA-F6E3F074F47C}" name="Flow ID I_5" dataDxfId="116"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115">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114" dataCellStyle="Automatisch">
      <calculatedColumnFormula>_xlfn.XLOOKUP($D2,Tab_Process_TCs[TC_ID],Tab_Process_TCs[Output_Flow_O_1],,0,)</calculatedColumnFormula>
    </tableColumn>
    <tableColumn id="22" xr3:uid="{B381C1D4-C8F7-4BE4-A024-4BBD1B417D36}" name="Flow_ID_O_1" dataDxfId="113" dataCellStyle="Automatisch">
      <calculatedColumnFormula>_xlfn.XLOOKUP($D2,Tab_Process_TCs[TC_ID],Tab_Process_TCs[Flow_ID_O_1],,0,)</calculatedColumnFormula>
    </tableColumn>
    <tableColumn id="63" xr3:uid="{C44CA027-9688-45B0-88EB-F14F3A7BECB8}" name="TC_ID_O_1_Year" dataDxfId="112"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111"/>
    <tableColumn id="23" xr3:uid="{B25FB2F6-238F-410A-AF2E-782A213D011A}" name="Output_Flow_O_2" dataDxfId="110" dataCellStyle="Automatisch">
      <calculatedColumnFormula>_xlfn.XLOOKUP($D2,Tab_Process_TCs[TC_ID],Tab_Process_TCs[Output_Flow_O_2],,0,)</calculatedColumnFormula>
    </tableColumn>
    <tableColumn id="24" xr3:uid="{97798FE5-868B-45C0-AE3B-C29AF4C86E8E}" name="Flow_ID_O_2" dataDxfId="109" dataCellStyle="Automatisch">
      <calculatedColumnFormula>_xlfn.XLOOKUP($D2,Tab_Process_TCs[TC_ID],Tab_Process_TCs[Flow_ID_O_2],,0,)</calculatedColumnFormula>
    </tableColumn>
    <tableColumn id="64" xr3:uid="{3679F173-262B-4D42-9125-71B27049FF31}" name="TC_ID_O_2_Year" dataDxfId="108" dataCellStyle="Automatisch">
      <calculatedColumnFormula>Tab_Process_TCs2527[[#This Row],[Flow_ID]]</calculatedColumnFormula>
    </tableColumn>
    <tableColumn id="54" xr3:uid="{59052527-1CA5-4A17-978F-E10A4CF13AAE}" name="TC_ID_O_2" dataDxfId="107" dataCellStyle="Automatisch">
      <calculatedColumnFormula>"TC"&amp;"_"&amp;RIGHT(AJ2,5)</calculatedColumnFormula>
    </tableColumn>
    <tableColumn id="41" xr3:uid="{7F915D49-034F-4E82-9BAA-B8ED5CA4F335}" name="TC_O_2_[%]" dataDxfId="106"/>
    <tableColumn id="25" xr3:uid="{5714904F-F57E-48CA-BFAA-826C1CEFD309}" name="Output_Flow_O_3" dataDxfId="105" dataCellStyle="Automatisch">
      <calculatedColumnFormula>_xlfn.XLOOKUP($D2,Tab_Process_TCs[TC_ID],Tab_Process_TCs[Output_Flow_O_3],,0,)</calculatedColumnFormula>
    </tableColumn>
    <tableColumn id="26" xr3:uid="{BF841E8C-9EB2-40B0-BD1F-8C768DE188AD}" name="Flow_ID_O_3" dataDxfId="104" dataCellStyle="Automatisch">
      <calculatedColumnFormula>_xlfn.XLOOKUP($D2,Tab_Process_TCs[TC_ID],Tab_Process_TCs[Flow_ID_O_3],,0,)</calculatedColumnFormula>
    </tableColumn>
    <tableColumn id="65" xr3:uid="{40F24D12-78F3-4E2A-85F5-F634958096FD}" name="TC_ID_O_3_Year" dataDxfId="103" dataCellStyle="Automatisch">
      <calculatedColumnFormula>Tab_Process_TCs2527[[#This Row],[Flow_ID]]</calculatedColumnFormula>
    </tableColumn>
    <tableColumn id="42" xr3:uid="{231A0501-9932-43B0-A3F9-EB8BB036203D}" name="TC_ID_O_3" dataDxfId="102" dataCellStyle="Automatisch">
      <calculatedColumnFormula>"TC"&amp;"_"&amp;RIGHT(AO2,5)</calculatedColumnFormula>
    </tableColumn>
    <tableColumn id="27" xr3:uid="{25A11679-9BF9-4DEC-B798-B8A275D3B8AC}" name="TC_O_3_[%]" dataDxfId="101"/>
    <tableColumn id="28" xr3:uid="{67E45B1E-4E5D-4D83-A664-45983FD6F9D1}" name="Output_Flow_O_4" dataDxfId="100" dataCellStyle="Automatisch">
      <calculatedColumnFormula>_xlfn.XLOOKUP($D2,Tab_Process_TCs[TC_ID],#REF!,,0,)</calculatedColumnFormula>
    </tableColumn>
    <tableColumn id="43" xr3:uid="{C5680328-8545-431B-B943-966088B5B85B}" name="Flow_ID_O_4" dataDxfId="99" dataCellStyle="Automatisch">
      <calculatedColumnFormula>_xlfn.XLOOKUP($D2,Tab_Process_TCs[TC_ID],#REF!,,0,)</calculatedColumnFormula>
    </tableColumn>
    <tableColumn id="66" xr3:uid="{3C939FEA-060E-42BF-AC8F-37677818A9F4}" name="TC_ID_O_4_Year" dataDxfId="98" dataCellStyle="Automatisch">
      <calculatedColumnFormula>Tab_Process_TCs2527[[#This Row],[Flow_ID]]</calculatedColumnFormula>
    </tableColumn>
    <tableColumn id="29" xr3:uid="{5B8610D8-109C-4CC7-9DE9-5EF61CC39BD7}" name="TC_ID_O_4" dataDxfId="97" dataCellStyle="Automatisch">
      <calculatedColumnFormula>"TC"&amp;"_"&amp;RIGHT(AO2,5)</calculatedColumnFormula>
    </tableColumn>
    <tableColumn id="30" xr3:uid="{8DFBA5BB-ECEC-455D-9C69-3FF71622F2AC}" name="TC_O_4_[%]" dataDxfId="96"/>
    <tableColumn id="44" xr3:uid="{5785B5EE-01FF-44CB-9D74-9D2780652646}" name="Output_Flow_O_5" dataDxfId="95" dataCellStyle="Automatisch">
      <calculatedColumnFormula>_xlfn.XLOOKUP($D2,Tab_Process_TCs[TC_ID],#REF!,,0,)</calculatedColumnFormula>
    </tableColumn>
    <tableColumn id="31" xr3:uid="{54C02504-99D3-419C-9253-1DA532111E60}" name="Flow_ID_O_5" dataDxfId="94" dataCellStyle="Automatisch">
      <calculatedColumnFormula>_xlfn.XLOOKUP($D2,Tab_Process_TCs[TC_ID],#REF!,,0,)</calculatedColumnFormula>
    </tableColumn>
    <tableColumn id="67" xr3:uid="{770D2E29-F077-423A-9DDE-B86470FADA38}" name="TC_ID_O_5_Year" dataDxfId="93" dataCellStyle="Automatisch">
      <calculatedColumnFormula>Tab_Process_TCs2527[[#This Row],[Flow_ID]]</calculatedColumnFormula>
    </tableColumn>
    <tableColumn id="46" xr3:uid="{CBB535D2-9A64-4C2F-AF19-4CF0A79C6798}" name="TC_ID_O_5" dataDxfId="92" dataCellStyle="Automatisch">
      <calculatedColumnFormula>"TC"&amp;"_"&amp;RIGHT(AY2,5)</calculatedColumnFormula>
    </tableColumn>
    <tableColumn id="45" xr3:uid="{43E42E8C-202D-4522-9E50-CB3B80F8EE29}" name="TC O_5_[%]" dataDxfId="91"/>
    <tableColumn id="32" xr3:uid="{FD3810B5-3F37-4777-8ACB-D2CAAFA5C5EB}" name="Output_Flow_O_6" dataDxfId="90" dataCellStyle="Automatisch">
      <calculatedColumnFormula>_xlfn.XLOOKUP($D2,Tab_Process_TCs[TC_ID],#REF!,,0,)</calculatedColumnFormula>
    </tableColumn>
    <tableColumn id="48" xr3:uid="{EF811571-9CC9-41DC-BFA4-320CD8D9C0C6}" name="Flow_ID_O_6" dataDxfId="89" dataCellStyle="Automatisch">
      <calculatedColumnFormula>_xlfn.XLOOKUP($D2,Tab_Process_TCs[TC_ID],#REF!,,0,)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88" dataCellStyle="Automatisch">
      <calculatedColumnFormula>"TC"&amp;"_"&amp;RIGHT(BD2,5)</calculatedColumnFormula>
    </tableColumn>
    <tableColumn id="50" xr3:uid="{5AF5E9BC-3B3E-4244-A22E-AC3284E0E97C}" name="TC O_6_[%]" dataDxfId="87"/>
    <tableColumn id="51" xr3:uid="{B76A3DEE-BBAC-4CE1-BE1D-2941B928DB78}" name="Sum_TC_O" dataDxfId="86">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85" totalsRowDxfId="8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3"/>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2"/>
    <tableColumn id="3" xr3:uid="{07EB5A7F-8E53-4B91-8FFE-03ADCC7BBCF0}" name="Spalte1"/>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1"/>
    <tableColumn id="2" xr3:uid="{125253E5-1E3C-43B9-807B-7FEAC0D1326B}" name="Waste fraction" totalsRowDxfId="80">
      <calculatedColumnFormula>_xlfn.TRANSLATE(B42,"DE","EN")</calculatedColumnFormula>
    </tableColumn>
    <tableColumn id="3" xr3:uid="{2608A7DF-F112-4041-A198-C9942CFF9C38}" name="Massenanteil" totalsRowFunction="sum" dataDxfId="79" totalsRowDxfId="78"/>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77" headerRowBorderDxfId="76" tableBorderDxfId="75">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74" headerRowBorderDxfId="73" tableBorderDxfId="72">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10.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hyperlink" Target="https://www.berlin.de/sen/uvk/umwelt/kreislaufwirtschaft/abfallbehoerde/abfallbilanzen/" TargetMode="External"/></Relationships>
</file>

<file path=xl/worksheets/_rels/sheet1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0</v>
      </c>
    </row>
    <row r="4" spans="2:20" x14ac:dyDescent="0.25">
      <c r="B4" t="s">
        <v>1</v>
      </c>
    </row>
    <row r="6" spans="2:20" x14ac:dyDescent="0.25">
      <c r="B6" t="s">
        <v>2</v>
      </c>
      <c r="T6" cm="1">
        <f t="array" ref="T6:T31">_xlfn.SEQUENCE(I7-H7+1,1,H7,1)</f>
        <v>2025</v>
      </c>
    </row>
    <row r="7" spans="2:20" x14ac:dyDescent="0.25">
      <c r="C7" t="s">
        <v>3</v>
      </c>
      <c r="F7" t="s">
        <v>4</v>
      </c>
      <c r="H7">
        <v>2025</v>
      </c>
      <c r="I7">
        <v>2050</v>
      </c>
      <c r="T7">
        <v>2026</v>
      </c>
    </row>
    <row r="8" spans="2:20" x14ac:dyDescent="0.25">
      <c r="C8" t="s">
        <v>5</v>
      </c>
      <c r="F8" t="s">
        <v>6</v>
      </c>
      <c r="T8">
        <v>2027</v>
      </c>
    </row>
    <row r="9" spans="2:20" x14ac:dyDescent="0.25">
      <c r="F9" t="s">
        <v>7</v>
      </c>
      <c r="T9">
        <v>2028</v>
      </c>
    </row>
    <row r="10" spans="2:20" x14ac:dyDescent="0.25">
      <c r="T10">
        <v>2029</v>
      </c>
    </row>
    <row r="11" spans="2:20" x14ac:dyDescent="0.25">
      <c r="T11">
        <v>2030</v>
      </c>
    </row>
    <row r="12" spans="2:20" x14ac:dyDescent="0.25">
      <c r="B12" s="262" t="s">
        <v>8</v>
      </c>
      <c r="C12" s="262"/>
      <c r="D12" s="262"/>
      <c r="E12" s="262"/>
      <c r="F12" s="262"/>
      <c r="G12" s="262"/>
      <c r="H12" s="262"/>
      <c r="I12" s="262"/>
      <c r="J12" s="262"/>
      <c r="K12" s="262"/>
      <c r="L12" s="262"/>
      <c r="M12" s="262"/>
      <c r="T12">
        <v>2031</v>
      </c>
    </row>
    <row r="13" spans="2:20" x14ac:dyDescent="0.25">
      <c r="B13" s="262"/>
      <c r="C13" s="262"/>
      <c r="D13" s="262"/>
      <c r="E13" s="262"/>
      <c r="F13" s="262"/>
      <c r="G13" s="262"/>
      <c r="H13" s="262"/>
      <c r="I13" s="262"/>
      <c r="J13" s="262"/>
      <c r="K13" s="262"/>
      <c r="L13" s="262"/>
      <c r="M13" s="262"/>
      <c r="T13">
        <v>2032</v>
      </c>
    </row>
    <row r="14" spans="2:20" x14ac:dyDescent="0.25">
      <c r="B14" s="262"/>
      <c r="C14" s="262"/>
      <c r="D14" s="262"/>
      <c r="E14" s="262"/>
      <c r="F14" s="262"/>
      <c r="G14" s="262"/>
      <c r="H14" s="262"/>
      <c r="I14" s="262"/>
      <c r="J14" s="262"/>
      <c r="K14" s="262"/>
      <c r="L14" s="262"/>
      <c r="M14" s="262"/>
      <c r="T14">
        <v>2033</v>
      </c>
    </row>
    <row r="15" spans="2:20" x14ac:dyDescent="0.25">
      <c r="B15" s="263" t="s">
        <v>9</v>
      </c>
      <c r="C15" s="263"/>
      <c r="D15" s="263"/>
      <c r="E15" s="263"/>
      <c r="F15" s="263"/>
      <c r="G15" s="263"/>
      <c r="H15" s="263"/>
      <c r="I15" s="263"/>
      <c r="J15" s="263"/>
      <c r="K15" s="263"/>
      <c r="L15" s="263"/>
      <c r="T15">
        <v>2034</v>
      </c>
    </row>
    <row r="16" spans="2:20" x14ac:dyDescent="0.25">
      <c r="B16" s="263"/>
      <c r="C16" s="263"/>
      <c r="D16" s="263"/>
      <c r="E16" s="263"/>
      <c r="F16" s="263"/>
      <c r="G16" s="263"/>
      <c r="H16" s="263"/>
      <c r="I16" s="263"/>
      <c r="J16" s="263"/>
      <c r="K16" s="263"/>
      <c r="L16" s="263"/>
      <c r="T16">
        <v>2035</v>
      </c>
    </row>
    <row r="17" spans="2:20" x14ac:dyDescent="0.25">
      <c r="B17" s="263"/>
      <c r="C17" s="263"/>
      <c r="D17" s="263"/>
      <c r="E17" s="263"/>
      <c r="F17" s="263"/>
      <c r="G17" s="263"/>
      <c r="H17" s="263"/>
      <c r="I17" s="263"/>
      <c r="J17" s="263"/>
      <c r="K17" s="263"/>
      <c r="L17" s="263"/>
      <c r="T17">
        <v>2036</v>
      </c>
    </row>
    <row r="18" spans="2:20" x14ac:dyDescent="0.25">
      <c r="B18" s="263"/>
      <c r="C18" s="263"/>
      <c r="D18" s="263"/>
      <c r="E18" s="263"/>
      <c r="F18" s="263"/>
      <c r="G18" s="263"/>
      <c r="H18" s="263"/>
      <c r="I18" s="263"/>
      <c r="J18" s="263"/>
      <c r="K18" s="263"/>
      <c r="L18" s="263"/>
      <c r="T18">
        <v>2037</v>
      </c>
    </row>
    <row r="19" spans="2:20" x14ac:dyDescent="0.25">
      <c r="T19">
        <v>2038</v>
      </c>
    </row>
    <row r="20" spans="2:20" x14ac:dyDescent="0.25">
      <c r="T20">
        <v>2039</v>
      </c>
    </row>
    <row r="21" spans="2:20" x14ac:dyDescent="0.25">
      <c r="T21">
        <v>2040</v>
      </c>
    </row>
    <row r="22" spans="2:20" x14ac:dyDescent="0.25">
      <c r="B22" t="s">
        <v>10</v>
      </c>
      <c r="T22">
        <v>2041</v>
      </c>
    </row>
    <row r="23" spans="2:20" x14ac:dyDescent="0.25">
      <c r="T23">
        <v>2042</v>
      </c>
    </row>
    <row r="24" spans="2:20" x14ac:dyDescent="0.25">
      <c r="C24" t="s">
        <v>11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12</v>
      </c>
    </row>
    <row r="34" spans="2:3" x14ac:dyDescent="0.25">
      <c r="B34" t="s">
        <v>13</v>
      </c>
    </row>
    <row r="35" spans="2:3" x14ac:dyDescent="0.25">
      <c r="B35" t="s">
        <v>14</v>
      </c>
    </row>
    <row r="36" spans="2:3" x14ac:dyDescent="0.25">
      <c r="B36" t="s">
        <v>15</v>
      </c>
    </row>
    <row r="37" spans="2:3" x14ac:dyDescent="0.25">
      <c r="B37" t="s">
        <v>16</v>
      </c>
    </row>
    <row r="40" spans="2:3" x14ac:dyDescent="0.25">
      <c r="B40" t="s">
        <v>17</v>
      </c>
      <c r="C40" t="s">
        <v>18</v>
      </c>
    </row>
    <row r="41" spans="2:3" x14ac:dyDescent="0.25">
      <c r="C41" t="s">
        <v>19</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0" sqref="E40"/>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16"/>
  <sheetViews>
    <sheetView topLeftCell="J1" zoomScaleNormal="100" workbookViewId="0">
      <selection activeCell="U11" sqref="U11"/>
    </sheetView>
  </sheetViews>
  <sheetFormatPr defaultColWidth="10.85546875" defaultRowHeight="15" x14ac:dyDescent="0.25"/>
  <cols>
    <col min="1" max="1" width="14.42578125" customWidth="1"/>
    <col min="2" max="2" width="5.42578125" style="106" customWidth="1"/>
    <col min="3" max="3" width="10.85546875" customWidth="1"/>
    <col min="4" max="4" width="17.5703125" customWidth="1"/>
    <col min="5" max="6" width="16.42578125" hidden="1" customWidth="1"/>
    <col min="7" max="7" width="40.140625" hidden="1" customWidth="1"/>
    <col min="8" max="8" width="22.5703125" customWidth="1"/>
    <col min="9" max="9" width="32.42578125" customWidth="1"/>
    <col min="10" max="10" width="23.140625" customWidth="1"/>
    <col min="11" max="12" width="20.42578125" customWidth="1"/>
    <col min="20" max="21" width="15.42578125" customWidth="1"/>
    <col min="22" max="22" width="13" customWidth="1"/>
    <col min="23" max="23" width="15.5703125" customWidth="1"/>
  </cols>
  <sheetData>
    <row r="1" spans="1:23" x14ac:dyDescent="0.25">
      <c r="A1" s="47" t="s">
        <v>20</v>
      </c>
      <c r="B1" s="115" t="s">
        <v>21</v>
      </c>
      <c r="C1" t="s">
        <v>22</v>
      </c>
      <c r="D1" t="s">
        <v>23</v>
      </c>
      <c r="E1" t="s">
        <v>24</v>
      </c>
      <c r="F1" t="s">
        <v>25</v>
      </c>
      <c r="G1" t="s">
        <v>26</v>
      </c>
      <c r="H1" s="24" t="s">
        <v>27</v>
      </c>
      <c r="I1" s="25" t="s">
        <v>28</v>
      </c>
      <c r="J1" s="25" t="s">
        <v>29</v>
      </c>
      <c r="K1" s="31" t="s">
        <v>30</v>
      </c>
      <c r="L1" s="25" t="s">
        <v>31</v>
      </c>
      <c r="M1" s="24" t="s">
        <v>32</v>
      </c>
      <c r="N1" s="25" t="s">
        <v>33</v>
      </c>
      <c r="O1" s="31" t="s">
        <v>34</v>
      </c>
      <c r="P1" s="253" t="s">
        <v>35</v>
      </c>
      <c r="Q1" s="254" t="s">
        <v>36</v>
      </c>
      <c r="R1" s="255" t="s">
        <v>37</v>
      </c>
      <c r="S1" s="254" t="s">
        <v>38</v>
      </c>
      <c r="T1" s="253" t="s">
        <v>39</v>
      </c>
      <c r="U1" s="254" t="s">
        <v>40</v>
      </c>
      <c r="V1" s="253" t="s">
        <v>41</v>
      </c>
      <c r="W1" s="254" t="s">
        <v>42</v>
      </c>
    </row>
    <row r="2" spans="1:23" x14ac:dyDescent="0.25">
      <c r="A2" s="84" t="b">
        <v>1</v>
      </c>
      <c r="B2" s="103" t="s">
        <v>515</v>
      </c>
      <c r="C2" s="48" t="str">
        <f t="shared" ref="C2:C15" si="0">"F_"&amp;LEFT(I2,2)&amp;"_"&amp;LEFT(K2,2)</f>
        <v>F_00_01</v>
      </c>
      <c r="D2" s="50" t="s">
        <v>107</v>
      </c>
      <c r="E2" s="83"/>
      <c r="F2" s="83"/>
      <c r="G2" s="83"/>
      <c r="H2" s="86" t="s">
        <v>104</v>
      </c>
      <c r="I2" s="48" t="str">
        <f>_xlfn.XLOOKUP(H2,Tab_Def_Processes[Name(EN)],Tab_Def_Processes[Process_ID],,0,)</f>
        <v>00_Bio_</v>
      </c>
      <c r="J2" s="50" t="s">
        <v>103</v>
      </c>
      <c r="K2" s="58" t="str">
        <f>_xlfn.XLOOKUP(J2,Tab_Def_Processes[Name(EN)],Tab_Def_Processes[Process_ID],,0,)</f>
        <v>01_Raw_</v>
      </c>
      <c r="L2" s="50"/>
      <c r="M2" s="86" t="s">
        <v>44</v>
      </c>
      <c r="N2" s="50" t="s">
        <v>44</v>
      </c>
      <c r="O2" s="89" t="s">
        <v>44</v>
      </c>
      <c r="P2" s="249">
        <v>0</v>
      </c>
      <c r="Q2" s="116" t="s">
        <v>45</v>
      </c>
      <c r="R2" s="249">
        <v>1</v>
      </c>
      <c r="S2" s="116" t="s">
        <v>45</v>
      </c>
      <c r="T2" s="249">
        <v>0.5</v>
      </c>
      <c r="U2" s="116" t="s">
        <v>45</v>
      </c>
      <c r="V2" s="249">
        <f>Tab_Def_Flows[[#This Row],[CC_DM'[%']]]*Tab_Def_Flows[[#This Row],[DM]]</f>
        <v>0.5</v>
      </c>
      <c r="W2" s="50" t="s">
        <v>46</v>
      </c>
    </row>
    <row r="3" spans="1:23" x14ac:dyDescent="0.25">
      <c r="A3" s="84" t="b">
        <v>1</v>
      </c>
      <c r="B3" s="103" t="s">
        <v>516</v>
      </c>
      <c r="C3" s="48" t="str">
        <f t="shared" si="0"/>
        <v>F_01_02</v>
      </c>
      <c r="D3" s="50" t="s">
        <v>509</v>
      </c>
      <c r="E3" s="83"/>
      <c r="F3" s="83"/>
      <c r="G3" s="83"/>
      <c r="H3" s="86" t="s">
        <v>103</v>
      </c>
      <c r="I3" s="48" t="str">
        <f>_xlfn.XLOOKUP(H3,Tab_Def_Processes[Name(EN)],Tab_Def_Processes[Process_ID],,0,)</f>
        <v>01_Raw_</v>
      </c>
      <c r="J3" s="50" t="s">
        <v>108</v>
      </c>
      <c r="K3" s="58" t="str">
        <f>_xlfn.XLOOKUP(J3,Tab_Def_Processes[Name(EN)],Tab_Def_Processes[Process_ID],,0,)</f>
        <v>02_Pro_</v>
      </c>
      <c r="L3" s="50"/>
      <c r="M3" s="86" t="s">
        <v>44</v>
      </c>
      <c r="N3" s="50" t="s">
        <v>44</v>
      </c>
      <c r="O3" s="89" t="s">
        <v>44</v>
      </c>
      <c r="P3" s="249">
        <v>0</v>
      </c>
      <c r="Q3" s="116" t="s">
        <v>45</v>
      </c>
      <c r="R3" s="249">
        <v>1</v>
      </c>
      <c r="S3" s="116" t="s">
        <v>45</v>
      </c>
      <c r="T3" s="249">
        <v>0.5</v>
      </c>
      <c r="U3" s="116" t="s">
        <v>45</v>
      </c>
      <c r="V3" s="249">
        <f>Tab_Def_Flows[[#This Row],[CC_DM'[%']]]*Tab_Def_Flows[[#This Row],[DM]]</f>
        <v>0.5</v>
      </c>
      <c r="W3" s="50" t="s">
        <v>46</v>
      </c>
    </row>
    <row r="4" spans="1:23" x14ac:dyDescent="0.25">
      <c r="A4" s="84" t="b">
        <v>1</v>
      </c>
      <c r="B4" s="103" t="s">
        <v>517</v>
      </c>
      <c r="C4" s="48" t="str">
        <f>"F_"&amp;LEFT(I4,2)&amp;"_"&amp;LEFT(K4,2)</f>
        <v>F_01_00</v>
      </c>
      <c r="D4" s="50" t="s">
        <v>525</v>
      </c>
      <c r="E4" s="83"/>
      <c r="F4" s="83"/>
      <c r="G4" s="83"/>
      <c r="H4" s="86" t="s">
        <v>103</v>
      </c>
      <c r="I4" s="48" t="str">
        <f>_xlfn.XLOOKUP(H4,Tab_Def_Processes[Name(EN)],Tab_Def_Processes[Process_ID],,0,)</f>
        <v>01_Raw_</v>
      </c>
      <c r="J4" s="50" t="s">
        <v>104</v>
      </c>
      <c r="K4" s="58" t="str">
        <f>_xlfn.XLOOKUP(J4,Tab_Def_Processes[Name(EN)],Tab_Def_Processes[Process_ID],,0,)</f>
        <v>00_Bio_</v>
      </c>
      <c r="L4" s="50"/>
      <c r="M4" s="86" t="s">
        <v>44</v>
      </c>
      <c r="N4" s="50" t="s">
        <v>44</v>
      </c>
      <c r="O4" s="89" t="s">
        <v>44</v>
      </c>
      <c r="P4" s="249">
        <v>0</v>
      </c>
      <c r="Q4" s="50" t="s">
        <v>45</v>
      </c>
      <c r="R4" s="249">
        <v>1</v>
      </c>
      <c r="S4" s="50" t="s">
        <v>45</v>
      </c>
      <c r="T4" s="249">
        <v>0.5</v>
      </c>
      <c r="U4" s="50" t="s">
        <v>45</v>
      </c>
      <c r="V4" s="249">
        <v>0.5</v>
      </c>
      <c r="W4" s="50" t="s">
        <v>46</v>
      </c>
    </row>
    <row r="5" spans="1:23" x14ac:dyDescent="0.25">
      <c r="A5" s="84" t="b">
        <v>1</v>
      </c>
      <c r="B5" s="103" t="s">
        <v>518</v>
      </c>
      <c r="C5" s="48" t="str">
        <f t="shared" si="0"/>
        <v>F_02_03</v>
      </c>
      <c r="D5" s="50" t="s">
        <v>111</v>
      </c>
      <c r="E5" s="83"/>
      <c r="F5" s="83"/>
      <c r="G5" s="83"/>
      <c r="H5" s="86" t="s">
        <v>108</v>
      </c>
      <c r="I5" s="48" t="str">
        <f>_xlfn.XLOOKUP(H5,Tab_Def_Processes[Name(EN)],Tab_Def_Processes[Process_ID],,0,)</f>
        <v>02_Pro_</v>
      </c>
      <c r="J5" s="50" t="s">
        <v>112</v>
      </c>
      <c r="K5" s="58" t="str">
        <f>_xlfn.XLOOKUP(J5,Tab_Def_Processes[Name(EN)],Tab_Def_Processes[Process_ID],,0,)</f>
        <v>03_Use_</v>
      </c>
      <c r="L5" s="50"/>
      <c r="M5" s="86" t="s">
        <v>44</v>
      </c>
      <c r="N5" s="50" t="s">
        <v>44</v>
      </c>
      <c r="O5" s="89" t="s">
        <v>44</v>
      </c>
      <c r="P5" s="249">
        <v>0</v>
      </c>
      <c r="Q5" s="116" t="s">
        <v>45</v>
      </c>
      <c r="R5" s="249">
        <v>1</v>
      </c>
      <c r="S5" s="116" t="s">
        <v>45</v>
      </c>
      <c r="T5" s="249">
        <v>0.5</v>
      </c>
      <c r="U5" s="116" t="s">
        <v>45</v>
      </c>
      <c r="V5" s="249">
        <f>Tab_Def_Flows[[#This Row],[CC_DM'[%']]]*Tab_Def_Flows[[#This Row],[DM]]</f>
        <v>0.5</v>
      </c>
      <c r="W5" s="50" t="s">
        <v>46</v>
      </c>
    </row>
    <row r="6" spans="1:23" x14ac:dyDescent="0.25">
      <c r="A6" s="84" t="b">
        <v>1</v>
      </c>
      <c r="B6" s="103" t="s">
        <v>519</v>
      </c>
      <c r="C6" s="48" t="str">
        <f t="shared" si="0"/>
        <v>F_03_04</v>
      </c>
      <c r="D6" s="50" t="s">
        <v>114</v>
      </c>
      <c r="E6" s="83"/>
      <c r="F6" s="83"/>
      <c r="G6" s="83"/>
      <c r="H6" s="86" t="s">
        <v>112</v>
      </c>
      <c r="I6" s="48" t="str">
        <f>_xlfn.XLOOKUP(H6,Tab_Def_Processes[Name(EN)],Tab_Def_Processes[Process_ID],,0,)</f>
        <v>03_Use_</v>
      </c>
      <c r="J6" s="50" t="s">
        <v>115</v>
      </c>
      <c r="K6" s="58" t="str">
        <f>_xlfn.XLOOKUP(J6,Tab_Def_Processes[Name(EN)],Tab_Def_Processes[Process_ID],,0,)</f>
        <v>04_Ref_</v>
      </c>
      <c r="L6" s="50"/>
      <c r="M6" s="86" t="s">
        <v>44</v>
      </c>
      <c r="N6" s="50" t="s">
        <v>44</v>
      </c>
      <c r="O6" s="89" t="s">
        <v>44</v>
      </c>
      <c r="P6" s="249">
        <v>0</v>
      </c>
      <c r="Q6" s="116" t="s">
        <v>45</v>
      </c>
      <c r="R6" s="249">
        <v>1</v>
      </c>
      <c r="S6" s="116" t="s">
        <v>45</v>
      </c>
      <c r="T6" s="249">
        <v>0.5</v>
      </c>
      <c r="U6" s="116" t="s">
        <v>45</v>
      </c>
      <c r="V6" s="249">
        <f>Tab_Def_Flows[[#This Row],[CC_DM'[%']]]*Tab_Def_Flows[[#This Row],[DM]]</f>
        <v>0.5</v>
      </c>
      <c r="W6" s="50" t="s">
        <v>46</v>
      </c>
    </row>
    <row r="7" spans="1:23" x14ac:dyDescent="0.25">
      <c r="A7" s="84" t="b">
        <v>1</v>
      </c>
      <c r="B7" s="103" t="s">
        <v>520</v>
      </c>
      <c r="C7" s="48" t="str">
        <f t="shared" si="0"/>
        <v>F_04_03</v>
      </c>
      <c r="D7" s="50" t="s">
        <v>508</v>
      </c>
      <c r="E7" s="83"/>
      <c r="F7" s="83"/>
      <c r="G7" s="83"/>
      <c r="H7" s="86" t="s">
        <v>115</v>
      </c>
      <c r="I7" s="48" t="str">
        <f>_xlfn.XLOOKUP(H7,Tab_Def_Processes[Name(EN)],Tab_Def_Processes[Process_ID],,0,)</f>
        <v>04_Ref_</v>
      </c>
      <c r="J7" s="50" t="s">
        <v>112</v>
      </c>
      <c r="K7" s="58" t="str">
        <f>_xlfn.XLOOKUP(J7,Tab_Def_Processes[Name(EN)],Tab_Def_Processes[Process_ID],,0,)</f>
        <v>03_Use_</v>
      </c>
      <c r="L7" s="50"/>
      <c r="M7" s="86" t="s">
        <v>44</v>
      </c>
      <c r="N7" s="50" t="s">
        <v>44</v>
      </c>
      <c r="O7" s="89" t="s">
        <v>44</v>
      </c>
      <c r="P7" s="249">
        <v>0</v>
      </c>
      <c r="Q7" s="116" t="s">
        <v>45</v>
      </c>
      <c r="R7" s="249">
        <v>1</v>
      </c>
      <c r="S7" s="116" t="s">
        <v>45</v>
      </c>
      <c r="T7" s="249">
        <v>0.5</v>
      </c>
      <c r="U7" s="116" t="s">
        <v>45</v>
      </c>
      <c r="V7" s="249">
        <f>Tab_Def_Flows[[#This Row],[CC_DM'[%']]]*Tab_Def_Flows[[#This Row],[DM]]</f>
        <v>0.5</v>
      </c>
      <c r="W7" s="50" t="s">
        <v>46</v>
      </c>
    </row>
    <row r="8" spans="1:23" x14ac:dyDescent="0.25">
      <c r="A8" s="84" t="b">
        <v>1</v>
      </c>
      <c r="B8" s="103" t="s">
        <v>521</v>
      </c>
      <c r="C8" s="48" t="str">
        <f t="shared" si="0"/>
        <v>F_03_05</v>
      </c>
      <c r="D8" s="50" t="s">
        <v>403</v>
      </c>
      <c r="E8" s="83"/>
      <c r="F8" s="83"/>
      <c r="G8" s="83"/>
      <c r="H8" s="86" t="s">
        <v>112</v>
      </c>
      <c r="I8" s="48" t="str">
        <f>_xlfn.XLOOKUP(H8,Tab_Def_Processes[Name(EN)],Tab_Def_Processes[Process_ID],,0,)</f>
        <v>03_Use_</v>
      </c>
      <c r="J8" s="50" t="s">
        <v>119</v>
      </c>
      <c r="K8" s="58" t="str">
        <f>_xlfn.XLOOKUP(J8,Tab_Def_Processes[Name(EN)],Tab_Def_Processes[Process_ID],,0,)</f>
        <v>05_Deg_</v>
      </c>
      <c r="L8" s="50"/>
      <c r="M8" s="86" t="s">
        <v>44</v>
      </c>
      <c r="N8" s="50" t="s">
        <v>44</v>
      </c>
      <c r="O8" s="89" t="s">
        <v>44</v>
      </c>
      <c r="P8" s="249">
        <v>0</v>
      </c>
      <c r="Q8" s="116" t="s">
        <v>45</v>
      </c>
      <c r="R8" s="249">
        <v>1</v>
      </c>
      <c r="S8" s="116" t="s">
        <v>45</v>
      </c>
      <c r="T8" s="249">
        <v>0.5</v>
      </c>
      <c r="U8" s="116" t="s">
        <v>45</v>
      </c>
      <c r="V8" s="249">
        <f>Tab_Def_Flows[[#This Row],[CC_DM'[%']]]*Tab_Def_Flows[[#This Row],[DM]]</f>
        <v>0.5</v>
      </c>
      <c r="W8" s="50" t="s">
        <v>46</v>
      </c>
    </row>
    <row r="9" spans="1:23" x14ac:dyDescent="0.25">
      <c r="A9" s="84" t="b">
        <v>1</v>
      </c>
      <c r="B9" s="103" t="s">
        <v>522</v>
      </c>
      <c r="C9" s="48" t="str">
        <f t="shared" si="0"/>
        <v>F_03_06</v>
      </c>
      <c r="D9" s="50" t="s">
        <v>111</v>
      </c>
      <c r="E9" s="83"/>
      <c r="F9" s="83"/>
      <c r="G9" s="83"/>
      <c r="H9" s="86" t="s">
        <v>112</v>
      </c>
      <c r="I9" s="48" t="str">
        <f>_xlfn.XLOOKUP(H9,Tab_Def_Processes[Name(EN)],Tab_Def_Processes[Process_ID],,0,)</f>
        <v>03_Use_</v>
      </c>
      <c r="J9" s="50" t="s">
        <v>117</v>
      </c>
      <c r="K9" s="58" t="str">
        <f>_xlfn.XLOOKUP(J9,Tab_Def_Processes[Name(EN)],Tab_Def_Processes[Process_ID],,0,)</f>
        <v>06_Inc_</v>
      </c>
      <c r="L9" s="50"/>
      <c r="M9" s="86" t="s">
        <v>44</v>
      </c>
      <c r="N9" s="50" t="s">
        <v>44</v>
      </c>
      <c r="O9" s="89" t="s">
        <v>44</v>
      </c>
      <c r="P9" s="249">
        <v>0</v>
      </c>
      <c r="Q9" s="116" t="s">
        <v>45</v>
      </c>
      <c r="R9" s="249">
        <v>1</v>
      </c>
      <c r="S9" s="116" t="s">
        <v>45</v>
      </c>
      <c r="T9" s="249">
        <v>0.5</v>
      </c>
      <c r="U9" s="116" t="s">
        <v>45</v>
      </c>
      <c r="V9" s="249">
        <f>Tab_Def_Flows[[#This Row],[CC_DM'[%']]]*Tab_Def_Flows[[#This Row],[DM]]</f>
        <v>0.5</v>
      </c>
      <c r="W9" s="50" t="s">
        <v>46</v>
      </c>
    </row>
    <row r="10" spans="1:23" x14ac:dyDescent="0.25">
      <c r="A10" s="84" t="b">
        <v>1</v>
      </c>
      <c r="B10" s="103" t="s">
        <v>523</v>
      </c>
      <c r="C10" s="48" t="str">
        <f t="shared" si="0"/>
        <v>F_05_07</v>
      </c>
      <c r="D10" s="50" t="s">
        <v>526</v>
      </c>
      <c r="E10" s="83"/>
      <c r="F10" s="83"/>
      <c r="G10" s="83"/>
      <c r="H10" s="86" t="s">
        <v>119</v>
      </c>
      <c r="I10" s="48" t="str">
        <f>_xlfn.XLOOKUP(H10,Tab_Def_Processes[Name(EN)],Tab_Def_Processes[Process_ID],,0,)</f>
        <v>05_Deg_</v>
      </c>
      <c r="J10" s="50" t="s">
        <v>43</v>
      </c>
      <c r="K10" s="58" t="str">
        <f>_xlfn.XLOOKUP(J10,Tab_Def_Processes[Name(EN)],Tab_Def_Processes[Process_ID],,0,)</f>
        <v>07_Atm_</v>
      </c>
      <c r="L10" s="50"/>
      <c r="M10" s="86" t="s">
        <v>44</v>
      </c>
      <c r="N10" s="50" t="s">
        <v>44</v>
      </c>
      <c r="O10" s="89" t="s">
        <v>44</v>
      </c>
      <c r="P10" s="249">
        <v>0</v>
      </c>
      <c r="Q10" s="116" t="s">
        <v>45</v>
      </c>
      <c r="R10" s="249">
        <v>1</v>
      </c>
      <c r="S10" s="116" t="s">
        <v>45</v>
      </c>
      <c r="T10" s="249">
        <v>0.5</v>
      </c>
      <c r="U10" s="116" t="s">
        <v>45</v>
      </c>
      <c r="V10" s="249">
        <f>Tab_Def_Flows[[#This Row],[CC_DM'[%']]]*Tab_Def_Flows[[#This Row],[DM]]</f>
        <v>0.5</v>
      </c>
      <c r="W10" s="50" t="s">
        <v>46</v>
      </c>
    </row>
    <row r="11" spans="1:23" x14ac:dyDescent="0.25">
      <c r="A11" s="84" t="b">
        <v>1</v>
      </c>
      <c r="B11" s="103" t="s">
        <v>524</v>
      </c>
      <c r="C11" s="48" t="str">
        <f t="shared" si="0"/>
        <v>F_05_00</v>
      </c>
      <c r="D11" s="50" t="s">
        <v>527</v>
      </c>
      <c r="E11" s="83"/>
      <c r="F11" s="83"/>
      <c r="G11" s="83"/>
      <c r="H11" s="86" t="s">
        <v>119</v>
      </c>
      <c r="I11" s="48" t="str">
        <f>_xlfn.XLOOKUP(H11,Tab_Def_Processes[Name(EN)],Tab_Def_Processes[Process_ID],,0,)</f>
        <v>05_Deg_</v>
      </c>
      <c r="J11" s="50" t="s">
        <v>104</v>
      </c>
      <c r="K11" s="58" t="str">
        <f>_xlfn.XLOOKUP(J11,Tab_Def_Processes[Name(EN)],Tab_Def_Processes[Process_ID],,0,)</f>
        <v>00_Bio_</v>
      </c>
      <c r="L11" s="50"/>
      <c r="M11" s="86" t="s">
        <v>44</v>
      </c>
      <c r="N11" s="50" t="s">
        <v>44</v>
      </c>
      <c r="O11" s="89" t="s">
        <v>44</v>
      </c>
      <c r="P11" s="249">
        <v>0</v>
      </c>
      <c r="Q11" s="116" t="s">
        <v>45</v>
      </c>
      <c r="R11" s="249">
        <v>1</v>
      </c>
      <c r="S11" s="116" t="s">
        <v>45</v>
      </c>
      <c r="T11" s="249">
        <v>0.5</v>
      </c>
      <c r="U11" s="116" t="s">
        <v>45</v>
      </c>
      <c r="V11" s="249">
        <f>Tab_Def_Flows[[#This Row],[CC_DM'[%']]]*Tab_Def_Flows[[#This Row],[DM]]</f>
        <v>0.5</v>
      </c>
      <c r="W11" s="50" t="s">
        <v>46</v>
      </c>
    </row>
    <row r="12" spans="1:23" x14ac:dyDescent="0.25">
      <c r="A12" s="84" t="b">
        <v>1</v>
      </c>
      <c r="B12" s="103" t="s">
        <v>510</v>
      </c>
      <c r="C12" s="48" t="str">
        <f t="shared" si="0"/>
        <v>F_06_07</v>
      </c>
      <c r="D12" s="50" t="s">
        <v>528</v>
      </c>
      <c r="E12" s="83"/>
      <c r="F12" s="83"/>
      <c r="G12" s="83"/>
      <c r="H12" s="86" t="s">
        <v>117</v>
      </c>
      <c r="I12" s="48" t="str">
        <f>_xlfn.XLOOKUP(H12,Tab_Def_Processes[Name(EN)],Tab_Def_Processes[Process_ID],,0,)</f>
        <v>06_Inc_</v>
      </c>
      <c r="J12" s="50" t="s">
        <v>43</v>
      </c>
      <c r="K12" s="58" t="str">
        <f>_xlfn.XLOOKUP(J12,Tab_Def_Processes[Name(EN)],Tab_Def_Processes[Process_ID],,0,)</f>
        <v>07_Atm_</v>
      </c>
      <c r="L12" s="50"/>
      <c r="M12" s="86" t="s">
        <v>44</v>
      </c>
      <c r="N12" s="50" t="s">
        <v>44</v>
      </c>
      <c r="O12" s="89" t="s">
        <v>44</v>
      </c>
      <c r="P12" s="249">
        <v>0</v>
      </c>
      <c r="Q12" s="116" t="s">
        <v>45</v>
      </c>
      <c r="R12" s="249">
        <v>1</v>
      </c>
      <c r="S12" s="116" t="s">
        <v>45</v>
      </c>
      <c r="T12" s="249">
        <v>0.5</v>
      </c>
      <c r="U12" s="116" t="s">
        <v>45</v>
      </c>
      <c r="V12" s="249">
        <f>Tab_Def_Flows[[#This Row],[CC_DM'[%']]]*Tab_Def_Flows[[#This Row],[DM]]</f>
        <v>0.5</v>
      </c>
      <c r="W12" s="50" t="s">
        <v>46</v>
      </c>
    </row>
    <row r="13" spans="1:23" x14ac:dyDescent="0.25">
      <c r="A13" s="84" t="b">
        <v>1</v>
      </c>
      <c r="B13" s="103" t="s">
        <v>511</v>
      </c>
      <c r="C13" s="48" t="str">
        <f t="shared" si="0"/>
        <v>F_06_08</v>
      </c>
      <c r="D13" s="50" t="s">
        <v>529</v>
      </c>
      <c r="E13" s="83"/>
      <c r="F13" s="83"/>
      <c r="G13" s="83"/>
      <c r="H13" s="86" t="s">
        <v>117</v>
      </c>
      <c r="I13" s="48" t="str">
        <f>_xlfn.XLOOKUP(H13,Tab_Def_Processes[Name(EN)],Tab_Def_Processes[Process_ID],,0,)</f>
        <v>06_Inc_</v>
      </c>
      <c r="J13" s="50" t="s">
        <v>109</v>
      </c>
      <c r="K13" s="58" t="str">
        <f>_xlfn.XLOOKUP(J13,Tab_Def_Processes[Name(EN)],Tab_Def_Processes[Process_ID],,0,)</f>
        <v>08_Ant_</v>
      </c>
      <c r="L13" s="50"/>
      <c r="M13" s="86" t="s">
        <v>44</v>
      </c>
      <c r="N13" s="50" t="s">
        <v>44</v>
      </c>
      <c r="O13" s="89" t="s">
        <v>44</v>
      </c>
      <c r="P13" s="249">
        <v>0</v>
      </c>
      <c r="Q13" s="116" t="s">
        <v>45</v>
      </c>
      <c r="R13" s="249">
        <v>1</v>
      </c>
      <c r="S13" s="116" t="s">
        <v>45</v>
      </c>
      <c r="T13" s="249">
        <v>0.5</v>
      </c>
      <c r="U13" s="116" t="s">
        <v>45</v>
      </c>
      <c r="V13" s="249">
        <f>Tab_Def_Flows[[#This Row],[CC_DM'[%']]]*Tab_Def_Flows[[#This Row],[DM]]</f>
        <v>0.5</v>
      </c>
      <c r="W13" s="50" t="s">
        <v>46</v>
      </c>
    </row>
    <row r="14" spans="1:23" x14ac:dyDescent="0.25">
      <c r="A14" s="84" t="b">
        <v>1</v>
      </c>
      <c r="B14" s="103" t="s">
        <v>512</v>
      </c>
      <c r="C14" s="48" t="str">
        <f>"F_"&amp;LEFT(I14,2)&amp;"_"&amp;LEFT(K14,2)</f>
        <v>F_02_08</v>
      </c>
      <c r="D14" s="50" t="s">
        <v>530</v>
      </c>
      <c r="E14" s="83"/>
      <c r="F14" s="83"/>
      <c r="G14" s="83"/>
      <c r="H14" s="86" t="s">
        <v>108</v>
      </c>
      <c r="I14" s="48" t="str">
        <f>_xlfn.XLOOKUP(H14,Tab_Def_Processes[Name(EN)],Tab_Def_Processes[Process_ID],,0,)</f>
        <v>02_Pro_</v>
      </c>
      <c r="J14" s="50" t="s">
        <v>109</v>
      </c>
      <c r="K14" s="58" t="str">
        <f>_xlfn.XLOOKUP(J14,Tab_Def_Processes[Name(EN)],Tab_Def_Processes[Process_ID],,0,)</f>
        <v>08_Ant_</v>
      </c>
      <c r="L14" s="50"/>
      <c r="M14" s="86" t="s">
        <v>44</v>
      </c>
      <c r="N14" s="50" t="s">
        <v>44</v>
      </c>
      <c r="O14" s="89" t="s">
        <v>44</v>
      </c>
      <c r="P14" s="249">
        <v>0</v>
      </c>
      <c r="Q14" s="116" t="s">
        <v>45</v>
      </c>
      <c r="R14" s="249">
        <v>1</v>
      </c>
      <c r="S14" s="116" t="s">
        <v>45</v>
      </c>
      <c r="T14" s="249">
        <v>0.5</v>
      </c>
      <c r="U14" s="116" t="s">
        <v>45</v>
      </c>
      <c r="V14" s="249">
        <f>Tab_Def_Flows[[#This Row],[CC_DM'[%']]]*Tab_Def_Flows[[#This Row],[DM]]</f>
        <v>0.5</v>
      </c>
      <c r="W14" s="50" t="s">
        <v>46</v>
      </c>
    </row>
    <row r="15" spans="1:23" x14ac:dyDescent="0.25">
      <c r="A15" s="84" t="b">
        <v>1</v>
      </c>
      <c r="B15" s="103" t="s">
        <v>513</v>
      </c>
      <c r="C15" s="48" t="str">
        <f t="shared" si="0"/>
        <v>F_04_08</v>
      </c>
      <c r="D15" s="50" t="s">
        <v>532</v>
      </c>
      <c r="E15" s="83"/>
      <c r="F15" s="83"/>
      <c r="G15" s="83"/>
      <c r="H15" s="86" t="s">
        <v>115</v>
      </c>
      <c r="I15" s="48" t="str">
        <f>_xlfn.XLOOKUP(H15,Tab_Def_Processes[Name(EN)],Tab_Def_Processes[Process_ID],,0,)</f>
        <v>04_Ref_</v>
      </c>
      <c r="J15" s="50" t="s">
        <v>109</v>
      </c>
      <c r="K15" s="58" t="str">
        <f>_xlfn.XLOOKUP(J15,Tab_Def_Processes[Name(EN)],Tab_Def_Processes[Process_ID],,0,)</f>
        <v>08_Ant_</v>
      </c>
      <c r="L15" s="50"/>
      <c r="M15" s="86" t="s">
        <v>44</v>
      </c>
      <c r="N15" s="50" t="s">
        <v>44</v>
      </c>
      <c r="O15" s="89" t="s">
        <v>44</v>
      </c>
      <c r="P15" s="249">
        <v>0</v>
      </c>
      <c r="Q15" s="116" t="s">
        <v>45</v>
      </c>
      <c r="R15" s="249">
        <v>1</v>
      </c>
      <c r="S15" s="116" t="s">
        <v>45</v>
      </c>
      <c r="T15" s="249">
        <v>0.5</v>
      </c>
      <c r="U15" s="116" t="s">
        <v>45</v>
      </c>
      <c r="V15" s="249">
        <f>Tab_Def_Flows[[#This Row],[CC_DM'[%']]]*Tab_Def_Flows[[#This Row],[DM]]</f>
        <v>0.5</v>
      </c>
      <c r="W15" s="50" t="s">
        <v>46</v>
      </c>
    </row>
    <row r="16" spans="1:23" x14ac:dyDescent="0.25">
      <c r="A16" s="256" t="b">
        <v>1</v>
      </c>
      <c r="B16" s="103" t="s">
        <v>514</v>
      </c>
      <c r="C16" s="257" t="str">
        <f>"F_"&amp;LEFT(I16,2)&amp;"_"&amp;LEFT(K16,2)</f>
        <v>F_07_00</v>
      </c>
      <c r="D16" s="258" t="s">
        <v>531</v>
      </c>
      <c r="E16" s="259"/>
      <c r="F16" s="259"/>
      <c r="G16" s="259"/>
      <c r="H16" s="260" t="s">
        <v>43</v>
      </c>
      <c r="I16" s="257" t="str">
        <f>_xlfn.XLOOKUP(H16,Tab_Def_Processes[Name(EN)],Tab_Def_Processes[Process_ID],,0,)</f>
        <v>07_Atm_</v>
      </c>
      <c r="J16" s="258" t="s">
        <v>104</v>
      </c>
      <c r="K16" s="261" t="str">
        <f>_xlfn.XLOOKUP(J16,Tab_Def_Processes[Name(EN)],Tab_Def_Processes[Process_ID],,0,)</f>
        <v>00_Bio_</v>
      </c>
      <c r="L16" s="258"/>
      <c r="M16" s="260" t="s">
        <v>44</v>
      </c>
      <c r="N16" s="258" t="s">
        <v>44</v>
      </c>
      <c r="O16" s="258" t="s">
        <v>44</v>
      </c>
      <c r="P16" s="249">
        <v>0</v>
      </c>
      <c r="Q16" s="116" t="s">
        <v>45</v>
      </c>
      <c r="R16" s="249">
        <v>1</v>
      </c>
      <c r="S16" s="116" t="s">
        <v>45</v>
      </c>
      <c r="T16" s="249">
        <v>0.5</v>
      </c>
      <c r="U16" s="116" t="s">
        <v>45</v>
      </c>
      <c r="V16" s="249">
        <f>Tab_Def_Flows[[#This Row],[CC_DM'[%']]]*Tab_Def_Flows[[#This Row],[DM]]</f>
        <v>0.5</v>
      </c>
      <c r="W16" s="50" t="s">
        <v>46</v>
      </c>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M2:O16</xm:sqref>
        </x14:dataValidation>
        <x14:dataValidation type="list" allowBlank="1" showInputMessage="1" showErrorMessage="1" xr:uid="{8E2A383A-BFF3-42AA-912B-482C6C1A2DAB}">
          <x14:formula1>
            <xm:f>'4_1 Codelists'!$G$16:$G$19</xm:f>
          </x14:formula1>
          <xm:sqref>L12:L15</xm:sqref>
        </x14:dataValidation>
        <x14:dataValidation type="list" allowBlank="1" showInputMessage="1" showErrorMessage="1" xr:uid="{4802C009-D5CD-4ED0-AC7A-55F162A86DD7}">
          <x14:formula1>
            <xm:f>'2_1_Definition_Processes'!$D$2:$D$10</xm:f>
          </x14:formula1>
          <xm:sqref>H2:H16 J2:J16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128"/>
  <sheetViews>
    <sheetView topLeftCell="A118" zoomScaleNormal="100" workbookViewId="0">
      <selection activeCell="O132" sqref="O132"/>
    </sheetView>
  </sheetViews>
  <sheetFormatPr defaultColWidth="10.85546875" defaultRowHeight="15" x14ac:dyDescent="0.25"/>
  <cols>
    <col min="2" max="2" width="9.85546875" bestFit="1" customWidth="1"/>
    <col min="3" max="3" width="11.140625" bestFit="1" customWidth="1"/>
    <col min="4" max="4" width="15.42578125" hidden="1" customWidth="1"/>
    <col min="5" max="5" width="14.42578125" hidden="1" customWidth="1"/>
    <col min="6" max="6" width="16" hidden="1" customWidth="1"/>
    <col min="7" max="7" width="26.5703125" hidden="1" customWidth="1"/>
    <col min="8" max="9" width="18.140625" hidden="1" customWidth="1"/>
    <col min="10" max="12" width="6.5703125" hidden="1" customWidth="1"/>
    <col min="13" max="13" width="11.5703125" bestFit="1" customWidth="1"/>
    <col min="14" max="14" width="17" hidden="1" customWidth="1"/>
    <col min="15" max="15" width="16.42578125" customWidth="1"/>
    <col min="16" max="16" width="17.5703125" customWidth="1"/>
    <col min="17" max="17" width="28.140625" hidden="1" customWidth="1"/>
    <col min="18" max="18" width="0" hidden="1" customWidth="1"/>
    <col min="19" max="19" width="50.5703125" hidden="1" customWidth="1"/>
    <col min="20" max="20" width="22.85546875" hidden="1" customWidth="1"/>
    <col min="21" max="21" width="16.570312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05" customWidth="1"/>
    <col min="33" max="33" width="16.42578125" customWidth="1"/>
    <col min="34" max="35" width="19.85546875" customWidth="1"/>
    <col min="36" max="36" width="15.42578125" customWidth="1"/>
    <col min="37" max="37" width="19" style="48" customWidth="1"/>
  </cols>
  <sheetData>
    <row r="1" spans="1:37" x14ac:dyDescent="0.25">
      <c r="A1" s="11" t="s">
        <v>21</v>
      </c>
      <c r="B1" s="12" t="s">
        <v>22</v>
      </c>
      <c r="C1" t="s">
        <v>23</v>
      </c>
      <c r="D1" s="12" t="s">
        <v>25</v>
      </c>
      <c r="E1" s="47" t="s">
        <v>27</v>
      </c>
      <c r="F1" s="47" t="s">
        <v>28</v>
      </c>
      <c r="G1" s="47" t="s">
        <v>29</v>
      </c>
      <c r="H1" s="47" t="s">
        <v>30</v>
      </c>
      <c r="I1" s="47" t="s">
        <v>56</v>
      </c>
      <c r="J1" s="20" t="s">
        <v>32</v>
      </c>
      <c r="K1" s="21" t="s">
        <v>33</v>
      </c>
      <c r="L1" s="22" t="s">
        <v>34</v>
      </c>
      <c r="M1" t="s">
        <v>57</v>
      </c>
      <c r="N1" t="s">
        <v>58</v>
      </c>
      <c r="O1" t="s">
        <v>59</v>
      </c>
      <c r="P1" t="s">
        <v>60</v>
      </c>
      <c r="Q1" t="s">
        <v>61</v>
      </c>
      <c r="R1" t="s">
        <v>62</v>
      </c>
      <c r="S1" t="s">
        <v>63</v>
      </c>
      <c r="T1" t="s">
        <v>64</v>
      </c>
      <c r="U1" t="s">
        <v>65</v>
      </c>
      <c r="V1" t="s">
        <v>66</v>
      </c>
      <c r="W1" t="s">
        <v>67</v>
      </c>
      <c r="X1" t="s">
        <v>68</v>
      </c>
      <c r="Y1" t="s">
        <v>69</v>
      </c>
      <c r="Z1" t="s">
        <v>70</v>
      </c>
      <c r="AA1" t="s">
        <v>71</v>
      </c>
      <c r="AB1" t="s">
        <v>72</v>
      </c>
      <c r="AC1" t="s">
        <v>73</v>
      </c>
      <c r="AD1" t="s">
        <v>74</v>
      </c>
      <c r="AE1" t="s">
        <v>75</v>
      </c>
      <c r="AF1" s="76" t="s">
        <v>76</v>
      </c>
      <c r="AG1" t="s">
        <v>77</v>
      </c>
      <c r="AH1" t="s">
        <v>78</v>
      </c>
      <c r="AI1" t="s">
        <v>79</v>
      </c>
      <c r="AJ1" t="s">
        <v>80</v>
      </c>
      <c r="AK1" t="s">
        <v>81</v>
      </c>
    </row>
    <row r="2" spans="1:37" x14ac:dyDescent="0.25">
      <c r="A2" s="57">
        <f t="shared" ref="A2:A64" si="0">ROW()-1</f>
        <v>1</v>
      </c>
      <c r="B2" s="48" t="str">
        <f>_xlfn.XLOOKUP(C2,Tab_Def_Flows[Name(EN)],Tab_Def_Flows[Flow_ID],,0,)</f>
        <v>F_00_01</v>
      </c>
      <c r="C2" s="50" t="s">
        <v>107</v>
      </c>
      <c r="D2" s="48">
        <f>_xlfn.XLOOKUP(C2,Tab_Def_Flows[Name(EN)],Tab_Def_Flows[Type_Biomass],,0,)</f>
        <v>0</v>
      </c>
      <c r="E2" s="48" t="str">
        <f>_xlfn.XLOOKUP(C2,Tab_Def_Flows[Name(EN)],Tab_Def_Flows[Output_Process],,0,)</f>
        <v>Biosphere</v>
      </c>
      <c r="F2" s="48" t="str">
        <f>_xlfn.XLOOKUP(C2,Tab_Def_Flows[Name(EN)],Tab_Def_Flows[Process_ID_O],,0,)</f>
        <v>00_Bio_</v>
      </c>
      <c r="G2" s="48" t="str">
        <f>_xlfn.XLOOKUP(C2,Tab_Def_Flows[Name(EN)],Tab_Def_Flows[Input_Process],,0,)</f>
        <v>Raw Material Extraction</v>
      </c>
      <c r="H2" s="58" t="str">
        <f>_xlfn.XLOOKUP(C2,Tab_Def_Flows[Name(EN)],Tab_Def_Flows[Process_ID_I],,0,)</f>
        <v>01_Raw_</v>
      </c>
      <c r="I2" s="58">
        <f>_xlfn.XLOOKUP(C2,Tab_Def_Flows[Name(EN)],Tab_Def_Flows[Value_Source],,0,)</f>
        <v>0</v>
      </c>
      <c r="J2" s="58" t="str">
        <f>_xlfn.XLOOKUP(C2,Tab_Def_Flows[Name(EN)],Tab_Def_Flows[WC?],,0,)</f>
        <v>Yes</v>
      </c>
      <c r="K2" s="58" t="str">
        <f>_xlfn.XLOOKUP(C2,Tab_Def_Flows[Name(EN)],Tab_Def_Flows[DM?],,0,)</f>
        <v>Yes</v>
      </c>
      <c r="L2" s="58" t="str">
        <f>_xlfn.XLOOKUP(C2,Tab_Def_Flows[Name(EN)],Tab_Def_Flows[CC?],,0,)</f>
        <v>Yes</v>
      </c>
      <c r="M2" s="50">
        <v>1920</v>
      </c>
      <c r="N2" s="50" t="s">
        <v>82</v>
      </c>
      <c r="O2" s="108">
        <v>1857.6</v>
      </c>
      <c r="P2" s="50" t="s">
        <v>85</v>
      </c>
      <c r="Q2" s="50" t="s">
        <v>83</v>
      </c>
      <c r="R2" s="50"/>
      <c r="S2" s="50"/>
      <c r="T2" s="50"/>
      <c r="U2" s="50"/>
      <c r="V2" s="50"/>
      <c r="W2" s="50"/>
      <c r="X2" s="50" t="s">
        <v>84</v>
      </c>
      <c r="Y2" s="98"/>
      <c r="Z2" s="50"/>
      <c r="AA2" s="80">
        <f t="shared" ref="AA2:AA25" si="1">IF(X2="no",O2,O2*Y2)</f>
        <v>1857.6</v>
      </c>
      <c r="AB2" s="50" t="s">
        <v>85</v>
      </c>
      <c r="AC2" s="101">
        <f>INDEX(Tab_Def_Flows[[Flow_ID]:[CC_DM_source]],MATCH(Tab_Data_Flows[[#This Row],[Name(EN)]],Tab_Def_Flows[Name(EN)],0),14)</f>
        <v>0</v>
      </c>
      <c r="AD2" s="102">
        <f>IF(J2="Yes",AA2*Tab_Data_Flows[[#This Row],[WC_'[%']]],"N.A.")</f>
        <v>0</v>
      </c>
      <c r="AE2" s="58" t="str">
        <f>Tab_Data_Flows[[#This Row],[UoM_Flow_Py]]</f>
        <v>Mg</v>
      </c>
      <c r="AF2" s="101">
        <f>INDEX(Tab_Def_Flows[[Flow_ID]:[CC_DM_source]],MATCH(Tab_Data_Flows[[#This Row],[Name(EN)]],Tab_Def_Flows[Name(EN)],0),16)</f>
        <v>1</v>
      </c>
      <c r="AG2" s="102">
        <f>IF(K2="Yes",AF2*Tab_Data_Flows[[#This Row],[Flow_Py]],"N.A.")</f>
        <v>1857.6</v>
      </c>
      <c r="AH2" s="58" t="str">
        <f>Tab_Data_Flows[[#This Row],[UoM_Flow_Py]]</f>
        <v>Mg</v>
      </c>
      <c r="AI2" s="101">
        <f>INDEX(Tab_Def_Flows[[Flow_ID]:[CC_DM_source]],MATCH(Tab_Data_Flows[[#This Row],[Name(EN)]],Tab_Def_Flows[Name(EN)],0),18)</f>
        <v>0.5</v>
      </c>
      <c r="AJ2" s="102">
        <f>IF(L2="Yes",AI2*Tab_Data_Flows[[#This Row],[Flow_Py]]*Tab_Data_Flows[[#This Row],[DM_'[%']]],"N.A.")</f>
        <v>928.8</v>
      </c>
      <c r="AK2" s="58" t="str">
        <f>Tab_Data_Flows[[#This Row],[UoM_Flow_Py]]</f>
        <v>Mg</v>
      </c>
    </row>
    <row r="3" spans="1:37" x14ac:dyDescent="0.25">
      <c r="A3" s="57">
        <f t="shared" si="0"/>
        <v>2</v>
      </c>
      <c r="B3" s="48" t="str">
        <f>_xlfn.XLOOKUP(C3,Tab_Def_Flows[Name(EN)],Tab_Def_Flows[Flow_ID],,0,)</f>
        <v>F_00_01</v>
      </c>
      <c r="C3" s="50" t="s">
        <v>107</v>
      </c>
      <c r="D3" s="48">
        <f>_xlfn.XLOOKUP(C3,Tab_Def_Flows[Name(EN)],Tab_Def_Flows[Type_Biomass],,0,)</f>
        <v>0</v>
      </c>
      <c r="E3" s="48" t="str">
        <f>_xlfn.XLOOKUP(C3,Tab_Def_Flows[Name(EN)],Tab_Def_Flows[Output_Process],,0,)</f>
        <v>Biosphere</v>
      </c>
      <c r="F3" s="48" t="str">
        <f>_xlfn.XLOOKUP(C3,Tab_Def_Flows[Name(EN)],Tab_Def_Flows[Process_ID_O],,0,)</f>
        <v>00_Bio_</v>
      </c>
      <c r="G3" s="48" t="str">
        <f>_xlfn.XLOOKUP(C3,Tab_Def_Flows[Name(EN)],Tab_Def_Flows[Input_Process],,0,)</f>
        <v>Raw Material Extraction</v>
      </c>
      <c r="H3" s="58" t="str">
        <f>_xlfn.XLOOKUP(C3,Tab_Def_Flows[Name(EN)],Tab_Def_Flows[Process_ID_I],,0,)</f>
        <v>01_Raw_</v>
      </c>
      <c r="I3" s="58">
        <f>_xlfn.XLOOKUP(C3,Tab_Def_Flows[Name(EN)],Tab_Def_Flows[Value_Source],,0,)</f>
        <v>0</v>
      </c>
      <c r="J3" s="58" t="str">
        <f>_xlfn.XLOOKUP(C3,Tab_Def_Flows[Name(EN)],Tab_Def_Flows[WC?],,0,)</f>
        <v>Yes</v>
      </c>
      <c r="K3" s="58" t="str">
        <f>_xlfn.XLOOKUP(C3,Tab_Def_Flows[Name(EN)],Tab_Def_Flows[DM?],,0,)</f>
        <v>Yes</v>
      </c>
      <c r="L3" s="58" t="str">
        <f>_xlfn.XLOOKUP(C3,Tab_Def_Flows[Name(EN)],Tab_Def_Flows[CC?],,0,)</f>
        <v>Yes</v>
      </c>
      <c r="M3" s="50">
        <v>1921</v>
      </c>
      <c r="N3" s="50"/>
      <c r="O3" s="108">
        <v>173.6</v>
      </c>
      <c r="P3" s="50" t="s">
        <v>85</v>
      </c>
      <c r="Q3" s="50" t="s">
        <v>83</v>
      </c>
      <c r="R3" s="50"/>
      <c r="S3" s="50"/>
      <c r="T3" s="50"/>
      <c r="U3" s="50"/>
      <c r="V3" s="50"/>
      <c r="W3" s="50"/>
      <c r="X3" s="50" t="s">
        <v>84</v>
      </c>
      <c r="Y3" s="98"/>
      <c r="Z3" s="50"/>
      <c r="AA3" s="80">
        <f t="shared" si="1"/>
        <v>173.6</v>
      </c>
      <c r="AB3" s="50" t="s">
        <v>85</v>
      </c>
      <c r="AC3" s="101">
        <f>INDEX(Tab_Def_Flows[[Flow_ID]:[CC_DM_source]],MATCH(Tab_Data_Flows[[#This Row],[Name(EN)]],Tab_Def_Flows[Name(EN)],0),14)</f>
        <v>0</v>
      </c>
      <c r="AD3" s="102">
        <f>IF(J3="Yes",AA3*Tab_Data_Flows[[#This Row],[WC_'[%']]],"N.A.")</f>
        <v>0</v>
      </c>
      <c r="AE3" s="58" t="str">
        <f>Tab_Data_Flows[[#This Row],[UoM_Flow_Py]]</f>
        <v>Mg</v>
      </c>
      <c r="AF3" s="101">
        <f>INDEX(Tab_Def_Flows[[Flow_ID]:[CC_DM_source]],MATCH(Tab_Data_Flows[[#This Row],[Name(EN)]],Tab_Def_Flows[Name(EN)],0),16)</f>
        <v>1</v>
      </c>
      <c r="AG3" s="102">
        <f>IF(K3="Yes",AF3*Tab_Data_Flows[[#This Row],[Flow_Py]],"N.A.")</f>
        <v>173.6</v>
      </c>
      <c r="AH3" s="58" t="str">
        <f>Tab_Data_Flows[[#This Row],[UoM_Flow_Py]]</f>
        <v>Mg</v>
      </c>
      <c r="AI3" s="101">
        <f>INDEX(Tab_Def_Flows[[Flow_ID]:[CC_DM_source]],MATCH(Tab_Data_Flows[[#This Row],[Name(EN)]],Tab_Def_Flows[Name(EN)],0),18)</f>
        <v>0.5</v>
      </c>
      <c r="AJ3" s="102">
        <f>IF(L3="Yes",AI3*Tab_Data_Flows[[#This Row],[Flow_Py]]*Tab_Data_Flows[[#This Row],[DM_'[%']]],"N.A.")</f>
        <v>86.8</v>
      </c>
      <c r="AK3" s="58" t="str">
        <f>Tab_Data_Flows[[#This Row],[UoM_Flow_Py]]</f>
        <v>Mg</v>
      </c>
    </row>
    <row r="4" spans="1:37" x14ac:dyDescent="0.25">
      <c r="A4" s="57">
        <f t="shared" si="0"/>
        <v>3</v>
      </c>
      <c r="B4" s="48" t="str">
        <f>_xlfn.XLOOKUP(C4,Tab_Def_Flows[Name(EN)],Tab_Def_Flows[Flow_ID],,0,)</f>
        <v>F_00_01</v>
      </c>
      <c r="C4" s="50" t="s">
        <v>107</v>
      </c>
      <c r="D4" s="48">
        <f>_xlfn.XLOOKUP(C4,Tab_Def_Flows[Name(EN)],Tab_Def_Flows[Type_Biomass],,0,)</f>
        <v>0</v>
      </c>
      <c r="E4" s="48" t="str">
        <f>_xlfn.XLOOKUP(C4,Tab_Def_Flows[Name(EN)],Tab_Def_Flows[Output_Process],,0,)</f>
        <v>Biosphere</v>
      </c>
      <c r="F4" s="48" t="str">
        <f>_xlfn.XLOOKUP(C4,Tab_Def_Flows[Name(EN)],Tab_Def_Flows[Process_ID_O],,0,)</f>
        <v>00_Bio_</v>
      </c>
      <c r="G4" s="48" t="str">
        <f>_xlfn.XLOOKUP(C4,Tab_Def_Flows[Name(EN)],Tab_Def_Flows[Input_Process],,0,)</f>
        <v>Raw Material Extraction</v>
      </c>
      <c r="H4" s="58" t="str">
        <f>_xlfn.XLOOKUP(C4,Tab_Def_Flows[Name(EN)],Tab_Def_Flows[Process_ID_I],,0,)</f>
        <v>01_Raw_</v>
      </c>
      <c r="I4" s="58">
        <f>_xlfn.XLOOKUP(C4,Tab_Def_Flows[Name(EN)],Tab_Def_Flows[Value_Source],,0,)</f>
        <v>0</v>
      </c>
      <c r="J4" s="58" t="str">
        <f>_xlfn.XLOOKUP(C4,Tab_Def_Flows[Name(EN)],Tab_Def_Flows[WC?],,0,)</f>
        <v>Yes</v>
      </c>
      <c r="K4" s="58" t="str">
        <f>_xlfn.XLOOKUP(C4,Tab_Def_Flows[Name(EN)],Tab_Def_Flows[DM?],,0,)</f>
        <v>Yes</v>
      </c>
      <c r="L4" s="58" t="str">
        <f>_xlfn.XLOOKUP(C4,Tab_Def_Flows[Name(EN)],Tab_Def_Flows[CC?],,0,)</f>
        <v>Yes</v>
      </c>
      <c r="M4" s="50">
        <v>1922</v>
      </c>
      <c r="N4" s="50"/>
      <c r="O4" s="108">
        <v>186.4</v>
      </c>
      <c r="P4" s="50" t="s">
        <v>85</v>
      </c>
      <c r="Q4" s="50" t="s">
        <v>83</v>
      </c>
      <c r="R4" s="50"/>
      <c r="S4" s="50"/>
      <c r="T4" s="50"/>
      <c r="U4" s="50"/>
      <c r="V4" s="50"/>
      <c r="W4" s="50"/>
      <c r="X4" s="50" t="s">
        <v>84</v>
      </c>
      <c r="Y4" s="98"/>
      <c r="Z4" s="50"/>
      <c r="AA4" s="80">
        <f t="shared" si="1"/>
        <v>186.4</v>
      </c>
      <c r="AB4" s="50" t="s">
        <v>85</v>
      </c>
      <c r="AC4" s="101">
        <f>INDEX(Tab_Def_Flows[[Flow_ID]:[CC_DM_source]],MATCH(Tab_Data_Flows[[#This Row],[Name(EN)]],Tab_Def_Flows[Name(EN)],0),14)</f>
        <v>0</v>
      </c>
      <c r="AD4" s="102">
        <f>IF(J4="Yes",AA4*Tab_Data_Flows[[#This Row],[WC_'[%']]],"N.A.")</f>
        <v>0</v>
      </c>
      <c r="AE4" s="58" t="str">
        <f>Tab_Data_Flows[[#This Row],[UoM_Flow_Py]]</f>
        <v>Mg</v>
      </c>
      <c r="AF4" s="101">
        <f>INDEX(Tab_Def_Flows[[Flow_ID]:[CC_DM_source]],MATCH(Tab_Data_Flows[[#This Row],[Name(EN)]],Tab_Def_Flows[Name(EN)],0),16)</f>
        <v>1</v>
      </c>
      <c r="AG4" s="102">
        <f>IF(K4="Yes",AF4*Tab_Data_Flows[[#This Row],[Flow_Py]],"N.A.")</f>
        <v>186.4</v>
      </c>
      <c r="AH4" s="58" t="str">
        <f>Tab_Data_Flows[[#This Row],[UoM_Flow_Py]]</f>
        <v>Mg</v>
      </c>
      <c r="AI4" s="101">
        <f>INDEX(Tab_Def_Flows[[Flow_ID]:[CC_DM_source]],MATCH(Tab_Data_Flows[[#This Row],[Name(EN)]],Tab_Def_Flows[Name(EN)],0),18)</f>
        <v>0.5</v>
      </c>
      <c r="AJ4" s="102">
        <f>IF(L4="Yes",AI4*Tab_Data_Flows[[#This Row],[Flow_Py]]*Tab_Data_Flows[[#This Row],[DM_'[%']]],"N.A.")</f>
        <v>93.2</v>
      </c>
      <c r="AK4" s="58" t="str">
        <f>Tab_Data_Flows[[#This Row],[UoM_Flow_Py]]</f>
        <v>Mg</v>
      </c>
    </row>
    <row r="5" spans="1:37" x14ac:dyDescent="0.25">
      <c r="A5" s="57">
        <f t="shared" si="0"/>
        <v>4</v>
      </c>
      <c r="B5" s="48" t="str">
        <f>_xlfn.XLOOKUP(C5,Tab_Def_Flows[Name(EN)],Tab_Def_Flows[Flow_ID],,0,)</f>
        <v>F_00_01</v>
      </c>
      <c r="C5" s="50" t="s">
        <v>107</v>
      </c>
      <c r="D5" s="48">
        <f>_xlfn.XLOOKUP(C5,Tab_Def_Flows[Name(EN)],Tab_Def_Flows[Type_Biomass],,0,)</f>
        <v>0</v>
      </c>
      <c r="E5" s="48" t="str">
        <f>_xlfn.XLOOKUP(C5,Tab_Def_Flows[Name(EN)],Tab_Def_Flows[Output_Process],,0,)</f>
        <v>Biosphere</v>
      </c>
      <c r="F5" s="48" t="str">
        <f>_xlfn.XLOOKUP(C5,Tab_Def_Flows[Name(EN)],Tab_Def_Flows[Process_ID_O],,0,)</f>
        <v>00_Bio_</v>
      </c>
      <c r="G5" s="48" t="str">
        <f>_xlfn.XLOOKUP(C5,Tab_Def_Flows[Name(EN)],Tab_Def_Flows[Input_Process],,0,)</f>
        <v>Raw Material Extraction</v>
      </c>
      <c r="H5" s="58" t="str">
        <f>_xlfn.XLOOKUP(C5,Tab_Def_Flows[Name(EN)],Tab_Def_Flows[Process_ID_I],,0,)</f>
        <v>01_Raw_</v>
      </c>
      <c r="I5" s="58">
        <f>_xlfn.XLOOKUP(C5,Tab_Def_Flows[Name(EN)],Tab_Def_Flows[Value_Source],,0,)</f>
        <v>0</v>
      </c>
      <c r="J5" s="58" t="str">
        <f>_xlfn.XLOOKUP(C5,Tab_Def_Flows[Name(EN)],Tab_Def_Flows[WC?],,0,)</f>
        <v>Yes</v>
      </c>
      <c r="K5" s="58" t="str">
        <f>_xlfn.XLOOKUP(C5,Tab_Def_Flows[Name(EN)],Tab_Def_Flows[DM?],,0,)</f>
        <v>Yes</v>
      </c>
      <c r="L5" s="58" t="str">
        <f>_xlfn.XLOOKUP(C5,Tab_Def_Flows[Name(EN)],Tab_Def_Flows[CC?],,0,)</f>
        <v>Yes</v>
      </c>
      <c r="M5" s="50">
        <v>1923</v>
      </c>
      <c r="N5" s="50"/>
      <c r="O5" s="108">
        <v>173.6</v>
      </c>
      <c r="P5" s="50" t="s">
        <v>85</v>
      </c>
      <c r="Q5" s="50" t="s">
        <v>83</v>
      </c>
      <c r="R5" s="50"/>
      <c r="S5" s="50"/>
      <c r="T5" s="50"/>
      <c r="U5" s="50"/>
      <c r="V5" s="50"/>
      <c r="W5" s="50"/>
      <c r="X5" s="50" t="s">
        <v>84</v>
      </c>
      <c r="Y5" s="98"/>
      <c r="Z5" s="50"/>
      <c r="AA5" s="80">
        <f t="shared" si="1"/>
        <v>173.6</v>
      </c>
      <c r="AB5" s="50" t="s">
        <v>85</v>
      </c>
      <c r="AC5" s="101">
        <f>INDEX(Tab_Def_Flows[[Flow_ID]:[CC_DM_source]],MATCH(Tab_Data_Flows[[#This Row],[Name(EN)]],Tab_Def_Flows[Name(EN)],0),14)</f>
        <v>0</v>
      </c>
      <c r="AD5" s="102">
        <f>IF(J5="Yes",AA5*Tab_Data_Flows[[#This Row],[WC_'[%']]],"N.A.")</f>
        <v>0</v>
      </c>
      <c r="AE5" s="58" t="str">
        <f>Tab_Data_Flows[[#This Row],[UoM_Flow_Py]]</f>
        <v>Mg</v>
      </c>
      <c r="AF5" s="101">
        <f>INDEX(Tab_Def_Flows[[Flow_ID]:[CC_DM_source]],MATCH(Tab_Data_Flows[[#This Row],[Name(EN)]],Tab_Def_Flows[Name(EN)],0),16)</f>
        <v>1</v>
      </c>
      <c r="AG5" s="102">
        <f>IF(K5="Yes",AF5*Tab_Data_Flows[[#This Row],[Flow_Py]],"N.A.")</f>
        <v>173.6</v>
      </c>
      <c r="AH5" s="58" t="str">
        <f>Tab_Data_Flows[[#This Row],[UoM_Flow_Py]]</f>
        <v>Mg</v>
      </c>
      <c r="AI5" s="101">
        <f>INDEX(Tab_Def_Flows[[Flow_ID]:[CC_DM_source]],MATCH(Tab_Data_Flows[[#This Row],[Name(EN)]],Tab_Def_Flows[Name(EN)],0),18)</f>
        <v>0.5</v>
      </c>
      <c r="AJ5" s="102">
        <f>IF(L5="Yes",AI5*Tab_Data_Flows[[#This Row],[Flow_Py]]*Tab_Data_Flows[[#This Row],[DM_'[%']]],"N.A.")</f>
        <v>86.8</v>
      </c>
      <c r="AK5" s="58" t="str">
        <f>Tab_Data_Flows[[#This Row],[UoM_Flow_Py]]</f>
        <v>Mg</v>
      </c>
    </row>
    <row r="6" spans="1:37" x14ac:dyDescent="0.25">
      <c r="A6" s="57">
        <f t="shared" si="0"/>
        <v>5</v>
      </c>
      <c r="B6" s="48" t="str">
        <f>_xlfn.XLOOKUP(C6,Tab_Def_Flows[Name(EN)],Tab_Def_Flows[Flow_ID],,0,)</f>
        <v>F_00_01</v>
      </c>
      <c r="C6" s="50" t="s">
        <v>107</v>
      </c>
      <c r="D6" s="48">
        <f>_xlfn.XLOOKUP(C6,Tab_Def_Flows[Name(EN)],Tab_Def_Flows[Type_Biomass],,0,)</f>
        <v>0</v>
      </c>
      <c r="E6" s="48" t="str">
        <f>_xlfn.XLOOKUP(C6,Tab_Def_Flows[Name(EN)],Tab_Def_Flows[Output_Process],,0,)</f>
        <v>Biosphere</v>
      </c>
      <c r="F6" s="48" t="str">
        <f>_xlfn.XLOOKUP(C6,Tab_Def_Flows[Name(EN)],Tab_Def_Flows[Process_ID_O],,0,)</f>
        <v>00_Bio_</v>
      </c>
      <c r="G6" s="48" t="str">
        <f>_xlfn.XLOOKUP(C6,Tab_Def_Flows[Name(EN)],Tab_Def_Flows[Input_Process],,0,)</f>
        <v>Raw Material Extraction</v>
      </c>
      <c r="H6" s="58" t="str">
        <f>_xlfn.XLOOKUP(C6,Tab_Def_Flows[Name(EN)],Tab_Def_Flows[Process_ID_I],,0,)</f>
        <v>01_Raw_</v>
      </c>
      <c r="I6" s="58">
        <f>_xlfn.XLOOKUP(C6,Tab_Def_Flows[Name(EN)],Tab_Def_Flows[Value_Source],,0,)</f>
        <v>0</v>
      </c>
      <c r="J6" s="58" t="str">
        <f>_xlfn.XLOOKUP(C6,Tab_Def_Flows[Name(EN)],Tab_Def_Flows[WC?],,0,)</f>
        <v>Yes</v>
      </c>
      <c r="K6" s="58" t="str">
        <f>_xlfn.XLOOKUP(C6,Tab_Def_Flows[Name(EN)],Tab_Def_Flows[DM?],,0,)</f>
        <v>Yes</v>
      </c>
      <c r="L6" s="58" t="str">
        <f>_xlfn.XLOOKUP(C6,Tab_Def_Flows[Name(EN)],Tab_Def_Flows[CC?],,0,)</f>
        <v>Yes</v>
      </c>
      <c r="M6" s="50">
        <v>1924</v>
      </c>
      <c r="N6" s="50"/>
      <c r="O6" s="108">
        <v>115.8</v>
      </c>
      <c r="P6" s="50" t="s">
        <v>85</v>
      </c>
      <c r="Q6" s="50" t="s">
        <v>83</v>
      </c>
      <c r="R6" s="50"/>
      <c r="S6" s="50"/>
      <c r="T6" s="50"/>
      <c r="U6" s="50"/>
      <c r="V6" s="50"/>
      <c r="W6" s="50"/>
      <c r="X6" s="50" t="s">
        <v>84</v>
      </c>
      <c r="Y6" s="98"/>
      <c r="Z6" s="50"/>
      <c r="AA6" s="80">
        <f t="shared" si="1"/>
        <v>115.8</v>
      </c>
      <c r="AB6" s="50" t="s">
        <v>85</v>
      </c>
      <c r="AC6" s="101">
        <f>INDEX(Tab_Def_Flows[[Flow_ID]:[CC_DM_source]],MATCH(Tab_Data_Flows[[#This Row],[Name(EN)]],Tab_Def_Flows[Name(EN)],0),14)</f>
        <v>0</v>
      </c>
      <c r="AD6" s="102">
        <f>IF(J6="Yes",AA6*Tab_Data_Flows[[#This Row],[WC_'[%']]],"N.A.")</f>
        <v>0</v>
      </c>
      <c r="AE6" s="58" t="str">
        <f>Tab_Data_Flows[[#This Row],[UoM_Flow_Py]]</f>
        <v>Mg</v>
      </c>
      <c r="AF6" s="101">
        <f>INDEX(Tab_Def_Flows[[Flow_ID]:[CC_DM_source]],MATCH(Tab_Data_Flows[[#This Row],[Name(EN)]],Tab_Def_Flows[Name(EN)],0),16)</f>
        <v>1</v>
      </c>
      <c r="AG6" s="102">
        <f>IF(K6="Yes",AF6*Tab_Data_Flows[[#This Row],[Flow_Py]],"N.A.")</f>
        <v>115.8</v>
      </c>
      <c r="AH6" s="58" t="str">
        <f>Tab_Data_Flows[[#This Row],[UoM_Flow_Py]]</f>
        <v>Mg</v>
      </c>
      <c r="AI6" s="101">
        <f>INDEX(Tab_Def_Flows[[Flow_ID]:[CC_DM_source]],MATCH(Tab_Data_Flows[[#This Row],[Name(EN)]],Tab_Def_Flows[Name(EN)],0),18)</f>
        <v>0.5</v>
      </c>
      <c r="AJ6" s="102">
        <f>IF(L6="Yes",AI6*Tab_Data_Flows[[#This Row],[Flow_Py]]*Tab_Data_Flows[[#This Row],[DM_'[%']]],"N.A.")</f>
        <v>57.9</v>
      </c>
      <c r="AK6" s="58" t="str">
        <f>Tab_Data_Flows[[#This Row],[UoM_Flow_Py]]</f>
        <v>Mg</v>
      </c>
    </row>
    <row r="7" spans="1:37" x14ac:dyDescent="0.25">
      <c r="A7" s="57">
        <f t="shared" si="0"/>
        <v>6</v>
      </c>
      <c r="B7" s="48" t="str">
        <f>_xlfn.XLOOKUP(C7,Tab_Def_Flows[Name(EN)],Tab_Def_Flows[Flow_ID],,0,)</f>
        <v>F_00_01</v>
      </c>
      <c r="C7" s="50" t="s">
        <v>107</v>
      </c>
      <c r="D7" s="48">
        <f>_xlfn.XLOOKUP(C7,Tab_Def_Flows[Name(EN)],Tab_Def_Flows[Type_Biomass],,0,)</f>
        <v>0</v>
      </c>
      <c r="E7" s="48" t="str">
        <f>_xlfn.XLOOKUP(C7,Tab_Def_Flows[Name(EN)],Tab_Def_Flows[Output_Process],,0,)</f>
        <v>Biosphere</v>
      </c>
      <c r="F7" s="48" t="str">
        <f>_xlfn.XLOOKUP(C7,Tab_Def_Flows[Name(EN)],Tab_Def_Flows[Process_ID_O],,0,)</f>
        <v>00_Bio_</v>
      </c>
      <c r="G7" s="48" t="str">
        <f>_xlfn.XLOOKUP(C7,Tab_Def_Flows[Name(EN)],Tab_Def_Flows[Input_Process],,0,)</f>
        <v>Raw Material Extraction</v>
      </c>
      <c r="H7" s="58" t="str">
        <f>_xlfn.XLOOKUP(C7,Tab_Def_Flows[Name(EN)],Tab_Def_Flows[Process_ID_I],,0,)</f>
        <v>01_Raw_</v>
      </c>
      <c r="I7" s="48">
        <f>_xlfn.XLOOKUP(C7,Tab_Def_Flows[Name(EN)],Tab_Def_Flows[Value_Source],,0,)</f>
        <v>0</v>
      </c>
      <c r="J7" s="48" t="str">
        <f>_xlfn.XLOOKUP(C7,Tab_Def_Flows[Name(EN)],Tab_Def_Flows[WC?],,0,)</f>
        <v>Yes</v>
      </c>
      <c r="K7" s="48" t="str">
        <f>_xlfn.XLOOKUP(C7,Tab_Def_Flows[Name(EN)],Tab_Def_Flows[DM?],,0,)</f>
        <v>Yes</v>
      </c>
      <c r="L7" s="48" t="str">
        <f>_xlfn.XLOOKUP(C7,Tab_Def_Flows[Name(EN)],Tab_Def_Flows[CC?],,0,)</f>
        <v>Yes</v>
      </c>
      <c r="M7" s="50">
        <v>1925</v>
      </c>
      <c r="N7" s="50"/>
      <c r="O7" s="108">
        <v>147.80000000000001</v>
      </c>
      <c r="P7" s="50" t="s">
        <v>85</v>
      </c>
      <c r="Q7" s="50"/>
      <c r="R7" s="50" t="e">
        <f>INDEX(Tab_WC_DM_CC[[Flow_ID]:[CC_source]],MATCH(Tab_Data_Flows[[#This Row],[Name(EN)]],Tab_WC_DM_CC[Name(EN)],0),12)</f>
        <v>#N/A</v>
      </c>
      <c r="S7" s="50" t="e">
        <f>MATCH(Tab_Data_Flows[[#This Row],[Name(EN)]],Tab_WC_DM_CC[Name(EN)],0)</f>
        <v>#N/A</v>
      </c>
      <c r="T7" s="50"/>
      <c r="U7" s="50"/>
      <c r="V7" s="50"/>
      <c r="W7" s="50"/>
      <c r="X7" s="50" t="s">
        <v>84</v>
      </c>
      <c r="Y7" s="50"/>
      <c r="Z7" s="50"/>
      <c r="AA7" s="80">
        <f t="shared" si="1"/>
        <v>147.80000000000001</v>
      </c>
      <c r="AB7" s="50" t="s">
        <v>85</v>
      </c>
      <c r="AC7" s="101">
        <f>INDEX(Tab_Def_Flows[[Flow_ID]:[CC_DM_source]],MATCH(Tab_Data_Flows[[#This Row],[Name(EN)]],Tab_Def_Flows[Name(EN)],0),14)</f>
        <v>0</v>
      </c>
      <c r="AD7" s="102">
        <f>IF(J7="Yes",AA7*Tab_Data_Flows[[#This Row],[WC_'[%']]],"N.A.")</f>
        <v>0</v>
      </c>
      <c r="AE7" s="58" t="str">
        <f>Tab_Data_Flows[[#This Row],[UoM_Flow_Py]]</f>
        <v>Mg</v>
      </c>
      <c r="AF7" s="101">
        <f>INDEX(Tab_Def_Flows[[Flow_ID]:[CC_DM_source]],MATCH(Tab_Data_Flows[[#This Row],[Name(EN)]],Tab_Def_Flows[Name(EN)],0),16)</f>
        <v>1</v>
      </c>
      <c r="AG7" s="102">
        <f>IF(K7="Yes",AF7*Tab_Data_Flows[[#This Row],[Flow_Py]],"N.A.")</f>
        <v>147.80000000000001</v>
      </c>
      <c r="AH7" s="58" t="str">
        <f>Tab_Data_Flows[[#This Row],[UoM_Flow_Py]]</f>
        <v>Mg</v>
      </c>
      <c r="AI7" s="101">
        <f>INDEX(Tab_Def_Flows[[Flow_ID]:[CC_DM_source]],MATCH(Tab_Data_Flows[[#This Row],[Name(EN)]],Tab_Def_Flows[Name(EN)],0),18)</f>
        <v>0.5</v>
      </c>
      <c r="AJ7" s="102">
        <f>IF(L7="Yes",AI7*Tab_Data_Flows[[#This Row],[Flow_Py]]*Tab_Data_Flows[[#This Row],[DM_'[%']]],"N.A.")</f>
        <v>73.900000000000006</v>
      </c>
      <c r="AK7" s="58" t="str">
        <f>Tab_Data_Flows[[#This Row],[UoM_Flow_Py]]</f>
        <v>Mg</v>
      </c>
    </row>
    <row r="8" spans="1:37" x14ac:dyDescent="0.25">
      <c r="A8" s="57">
        <f t="shared" si="0"/>
        <v>7</v>
      </c>
      <c r="B8" s="48" t="str">
        <f>_xlfn.XLOOKUP(C8,Tab_Def_Flows[Name(EN)],Tab_Def_Flows[Flow_ID],,0,)</f>
        <v>F_00_01</v>
      </c>
      <c r="C8" s="50" t="s">
        <v>107</v>
      </c>
      <c r="D8" s="48">
        <f>_xlfn.XLOOKUP(C8,Tab_Def_Flows[Name(EN)],Tab_Def_Flows[Type_Biomass],,0,)</f>
        <v>0</v>
      </c>
      <c r="E8" s="48" t="str">
        <f>_xlfn.XLOOKUP(C8,Tab_Def_Flows[Name(EN)],Tab_Def_Flows[Output_Process],,0,)</f>
        <v>Biosphere</v>
      </c>
      <c r="F8" s="48" t="str">
        <f>_xlfn.XLOOKUP(C8,Tab_Def_Flows[Name(EN)],Tab_Def_Flows[Process_ID_O],,0,)</f>
        <v>00_Bio_</v>
      </c>
      <c r="G8" s="48" t="str">
        <f>_xlfn.XLOOKUP(C8,Tab_Def_Flows[Name(EN)],Tab_Def_Flows[Input_Process],,0,)</f>
        <v>Raw Material Extraction</v>
      </c>
      <c r="H8" s="58" t="str">
        <f>_xlfn.XLOOKUP(C8,Tab_Def_Flows[Name(EN)],Tab_Def_Flows[Process_ID_I],,0,)</f>
        <v>01_Raw_</v>
      </c>
      <c r="I8" s="48">
        <f>_xlfn.XLOOKUP(C8,Tab_Def_Flows[Name(EN)],Tab_Def_Flows[Value_Source],,0,)</f>
        <v>0</v>
      </c>
      <c r="J8" s="48" t="str">
        <f>_xlfn.XLOOKUP(C8,Tab_Def_Flows[Name(EN)],Tab_Def_Flows[WC?],,0,)</f>
        <v>Yes</v>
      </c>
      <c r="K8" s="48" t="str">
        <f>_xlfn.XLOOKUP(C8,Tab_Def_Flows[Name(EN)],Tab_Def_Flows[DM?],,0,)</f>
        <v>Yes</v>
      </c>
      <c r="L8" s="48" t="str">
        <f>_xlfn.XLOOKUP(C8,Tab_Def_Flows[Name(EN)],Tab_Def_Flows[CC?],,0,)</f>
        <v>Yes</v>
      </c>
      <c r="M8" s="50">
        <v>1926</v>
      </c>
      <c r="N8" s="50"/>
      <c r="O8" s="108">
        <v>103</v>
      </c>
      <c r="P8" s="50" t="s">
        <v>85</v>
      </c>
      <c r="Q8" s="50"/>
      <c r="R8" s="50" t="e">
        <f>INDEX(Tab_WC_DM_CC[[Flow_ID]:[CC_source]],MATCH(Tab_Data_Flows[[#This Row],[Name(EN)]],Tab_WC_DM_CC[Name(EN)],0),12)</f>
        <v>#N/A</v>
      </c>
      <c r="S8" s="50" t="e">
        <f>MATCH(Tab_Data_Flows[[#This Row],[Name(EN)]],Tab_WC_DM_CC[Name(EN)],0)</f>
        <v>#N/A</v>
      </c>
      <c r="T8" s="50"/>
      <c r="U8" s="50"/>
      <c r="V8" s="50"/>
      <c r="W8" s="50"/>
      <c r="X8" s="50" t="s">
        <v>84</v>
      </c>
      <c r="Y8" s="50"/>
      <c r="Z8" s="50"/>
      <c r="AA8" s="80">
        <f t="shared" si="1"/>
        <v>103</v>
      </c>
      <c r="AB8" s="50" t="s">
        <v>85</v>
      </c>
      <c r="AC8" s="101">
        <f>INDEX(Tab_Def_Flows[[Flow_ID]:[CC_DM_source]],MATCH(Tab_Data_Flows[[#This Row],[Name(EN)]],Tab_Def_Flows[Name(EN)],0),14)</f>
        <v>0</v>
      </c>
      <c r="AD8" s="102">
        <f>IF(J8="Yes",AA8*Tab_Data_Flows[[#This Row],[WC_'[%']]],"N.A.")</f>
        <v>0</v>
      </c>
      <c r="AE8" s="58" t="str">
        <f>Tab_Data_Flows[[#This Row],[UoM_Flow_Py]]</f>
        <v>Mg</v>
      </c>
      <c r="AF8" s="101">
        <f>INDEX(Tab_Def_Flows[[Flow_ID]:[CC_DM_source]],MATCH(Tab_Data_Flows[[#This Row],[Name(EN)]],Tab_Def_Flows[Name(EN)],0),16)</f>
        <v>1</v>
      </c>
      <c r="AG8" s="102">
        <f>IF(K8="Yes",AF8*Tab_Data_Flows[[#This Row],[Flow_Py]],"N.A.")</f>
        <v>103</v>
      </c>
      <c r="AH8" s="58" t="str">
        <f>Tab_Data_Flows[[#This Row],[UoM_Flow_Py]]</f>
        <v>Mg</v>
      </c>
      <c r="AI8" s="101">
        <f>INDEX(Tab_Def_Flows[[Flow_ID]:[CC_DM_source]],MATCH(Tab_Data_Flows[[#This Row],[Name(EN)]],Tab_Def_Flows[Name(EN)],0),18)</f>
        <v>0.5</v>
      </c>
      <c r="AJ8" s="102">
        <f>IF(L8="Yes",AI8*Tab_Data_Flows[[#This Row],[Flow_Py]]*Tab_Data_Flows[[#This Row],[DM_'[%']]],"N.A.")</f>
        <v>51.5</v>
      </c>
      <c r="AK8" s="58" t="str">
        <f>Tab_Data_Flows[[#This Row],[UoM_Flow_Py]]</f>
        <v>Mg</v>
      </c>
    </row>
    <row r="9" spans="1:37" x14ac:dyDescent="0.25">
      <c r="A9" s="57">
        <f t="shared" si="0"/>
        <v>8</v>
      </c>
      <c r="B9" s="48" t="str">
        <f>_xlfn.XLOOKUP(C9,Tab_Def_Flows[Name(EN)],Tab_Def_Flows[Flow_ID],,0,)</f>
        <v>F_00_01</v>
      </c>
      <c r="C9" s="50" t="s">
        <v>107</v>
      </c>
      <c r="D9" s="48">
        <f>_xlfn.XLOOKUP(C9,Tab_Def_Flows[Name(EN)],Tab_Def_Flows[Type_Biomass],,0,)</f>
        <v>0</v>
      </c>
      <c r="E9" s="48" t="str">
        <f>_xlfn.XLOOKUP(C9,Tab_Def_Flows[Name(EN)],Tab_Def_Flows[Output_Process],,0,)</f>
        <v>Biosphere</v>
      </c>
      <c r="F9" s="48" t="str">
        <f>_xlfn.XLOOKUP(C9,Tab_Def_Flows[Name(EN)],Tab_Def_Flows[Process_ID_O],,0,)</f>
        <v>00_Bio_</v>
      </c>
      <c r="G9" s="48" t="str">
        <f>_xlfn.XLOOKUP(C9,Tab_Def_Flows[Name(EN)],Tab_Def_Flows[Input_Process],,0,)</f>
        <v>Raw Material Extraction</v>
      </c>
      <c r="H9" s="58" t="str">
        <f>_xlfn.XLOOKUP(C9,Tab_Def_Flows[Name(EN)],Tab_Def_Flows[Process_ID_I],,0,)</f>
        <v>01_Raw_</v>
      </c>
      <c r="I9" s="48">
        <f>_xlfn.XLOOKUP(C9,Tab_Def_Flows[Name(EN)],Tab_Def_Flows[Value_Source],,0,)</f>
        <v>0</v>
      </c>
      <c r="J9" s="48" t="str">
        <f>_xlfn.XLOOKUP(C9,Tab_Def_Flows[Name(EN)],Tab_Def_Flows[WC?],,0,)</f>
        <v>Yes</v>
      </c>
      <c r="K9" s="48" t="str">
        <f>_xlfn.XLOOKUP(C9,Tab_Def_Flows[Name(EN)],Tab_Def_Flows[DM?],,0,)</f>
        <v>Yes</v>
      </c>
      <c r="L9" s="48" t="str">
        <f>_xlfn.XLOOKUP(C9,Tab_Def_Flows[Name(EN)],Tab_Def_Flows[CC?],,0,)</f>
        <v>Yes</v>
      </c>
      <c r="M9" s="50">
        <v>1927</v>
      </c>
      <c r="N9" s="50"/>
      <c r="O9" s="108">
        <v>109.2</v>
      </c>
      <c r="P9" s="50" t="s">
        <v>85</v>
      </c>
      <c r="Q9" s="50"/>
      <c r="R9" s="50" t="e">
        <f>INDEX(Tab_WC_DM_CC[[Flow_ID]:[CC_source]],MATCH(Tab_Data_Flows[[#This Row],[Name(EN)]],Tab_WC_DM_CC[Name(EN)],0),12)</f>
        <v>#N/A</v>
      </c>
      <c r="S9" s="50" t="e">
        <f>MATCH(Tab_Data_Flows[[#This Row],[Name(EN)]],Tab_WC_DM_CC[Name(EN)],0)</f>
        <v>#N/A</v>
      </c>
      <c r="T9" s="50"/>
      <c r="U9" s="50"/>
      <c r="V9" s="50"/>
      <c r="W9" s="50"/>
      <c r="X9" s="50" t="s">
        <v>84</v>
      </c>
      <c r="Y9" s="50"/>
      <c r="Z9" s="50"/>
      <c r="AA9" s="80">
        <f t="shared" si="1"/>
        <v>109.2</v>
      </c>
      <c r="AB9" s="50" t="s">
        <v>85</v>
      </c>
      <c r="AC9" s="101">
        <f>INDEX(Tab_Def_Flows[[Flow_ID]:[CC_DM_source]],MATCH(Tab_Data_Flows[[#This Row],[Name(EN)]],Tab_Def_Flows[Name(EN)],0),14)</f>
        <v>0</v>
      </c>
      <c r="AD9" s="102">
        <f>IF(J9="Yes",AA9*Tab_Data_Flows[[#This Row],[WC_'[%']]],"N.A.")</f>
        <v>0</v>
      </c>
      <c r="AE9" s="58" t="str">
        <f>Tab_Data_Flows[[#This Row],[UoM_Flow_Py]]</f>
        <v>Mg</v>
      </c>
      <c r="AF9" s="101">
        <f>INDEX(Tab_Def_Flows[[Flow_ID]:[CC_DM_source]],MATCH(Tab_Data_Flows[[#This Row],[Name(EN)]],Tab_Def_Flows[Name(EN)],0),16)</f>
        <v>1</v>
      </c>
      <c r="AG9" s="102">
        <f>IF(K9="Yes",AF9*Tab_Data_Flows[[#This Row],[Flow_Py]],"N.A.")</f>
        <v>109.2</v>
      </c>
      <c r="AH9" s="58" t="str">
        <f>Tab_Data_Flows[[#This Row],[UoM_Flow_Py]]</f>
        <v>Mg</v>
      </c>
      <c r="AI9" s="101">
        <f>INDEX(Tab_Def_Flows[[Flow_ID]:[CC_DM_source]],MATCH(Tab_Data_Flows[[#This Row],[Name(EN)]],Tab_Def_Flows[Name(EN)],0),18)</f>
        <v>0.5</v>
      </c>
      <c r="AJ9" s="102">
        <f>IF(L9="Yes",AI9*Tab_Data_Flows[[#This Row],[Flow_Py]]*Tab_Data_Flows[[#This Row],[DM_'[%']]],"N.A.")</f>
        <v>54.6</v>
      </c>
      <c r="AK9" s="58" t="str">
        <f>Tab_Data_Flows[[#This Row],[UoM_Flow_Py]]</f>
        <v>Mg</v>
      </c>
    </row>
    <row r="10" spans="1:37" x14ac:dyDescent="0.25">
      <c r="A10" s="57">
        <f t="shared" si="0"/>
        <v>9</v>
      </c>
      <c r="B10" s="48" t="str">
        <f>_xlfn.XLOOKUP(C10,Tab_Def_Flows[Name(EN)],Tab_Def_Flows[Flow_ID],,0,)</f>
        <v>F_00_01</v>
      </c>
      <c r="C10" s="50" t="s">
        <v>107</v>
      </c>
      <c r="D10" s="48">
        <f>_xlfn.XLOOKUP(C10,Tab_Def_Flows[Name(EN)],Tab_Def_Flows[Type_Biomass],,0,)</f>
        <v>0</v>
      </c>
      <c r="E10" s="48" t="str">
        <f>_xlfn.XLOOKUP(C10,Tab_Def_Flows[Name(EN)],Tab_Def_Flows[Output_Process],,0,)</f>
        <v>Biosphere</v>
      </c>
      <c r="F10" s="48" t="str">
        <f>_xlfn.XLOOKUP(C10,Tab_Def_Flows[Name(EN)],Tab_Def_Flows[Process_ID_O],,0,)</f>
        <v>00_Bio_</v>
      </c>
      <c r="G10" s="48" t="str">
        <f>_xlfn.XLOOKUP(C10,Tab_Def_Flows[Name(EN)],Tab_Def_Flows[Input_Process],,0,)</f>
        <v>Raw Material Extraction</v>
      </c>
      <c r="H10" s="58" t="str">
        <f>_xlfn.XLOOKUP(C10,Tab_Def_Flows[Name(EN)],Tab_Def_Flows[Process_ID_I],,0,)</f>
        <v>01_Raw_</v>
      </c>
      <c r="I10" s="48">
        <f>_xlfn.XLOOKUP(C10,Tab_Def_Flows[Name(EN)],Tab_Def_Flows[Value_Source],,0,)</f>
        <v>0</v>
      </c>
      <c r="J10" s="48" t="str">
        <f>_xlfn.XLOOKUP(C10,Tab_Def_Flows[Name(EN)],Tab_Def_Flows[WC?],,0,)</f>
        <v>Yes</v>
      </c>
      <c r="K10" s="48" t="str">
        <f>_xlfn.XLOOKUP(C10,Tab_Def_Flows[Name(EN)],Tab_Def_Flows[DM?],,0,)</f>
        <v>Yes</v>
      </c>
      <c r="L10" s="48" t="str">
        <f>_xlfn.XLOOKUP(C10,Tab_Def_Flows[Name(EN)],Tab_Def_Flows[CC?],,0,)</f>
        <v>Yes</v>
      </c>
      <c r="M10" s="50">
        <v>1928</v>
      </c>
      <c r="N10" s="50"/>
      <c r="O10" s="108">
        <v>77.2</v>
      </c>
      <c r="P10" s="50" t="s">
        <v>85</v>
      </c>
      <c r="Q10" s="50"/>
      <c r="R10" s="50" t="e">
        <f>INDEX(Tab_WC_DM_CC[[Flow_ID]:[CC_source]],MATCH(Tab_Data_Flows[[#This Row],[Name(EN)]],Tab_WC_DM_CC[Name(EN)],0),12)</f>
        <v>#N/A</v>
      </c>
      <c r="S10" s="50" t="e">
        <f>MATCH(Tab_Data_Flows[[#This Row],[Name(EN)]],Tab_WC_DM_CC[Name(EN)],0)</f>
        <v>#N/A</v>
      </c>
      <c r="T10" s="50"/>
      <c r="U10" s="50"/>
      <c r="V10" s="50"/>
      <c r="W10" s="50"/>
      <c r="X10" s="50" t="s">
        <v>84</v>
      </c>
      <c r="Y10" s="50"/>
      <c r="Z10" s="50"/>
      <c r="AA10" s="80">
        <f t="shared" si="1"/>
        <v>77.2</v>
      </c>
      <c r="AB10" s="50" t="s">
        <v>85</v>
      </c>
      <c r="AC10" s="101">
        <f>INDEX(Tab_Def_Flows[[Flow_ID]:[CC_DM_source]],MATCH(Tab_Data_Flows[[#This Row],[Name(EN)]],Tab_Def_Flows[Name(EN)],0),14)</f>
        <v>0</v>
      </c>
      <c r="AD10" s="102">
        <f>IF(J10="Yes",AA10*Tab_Data_Flows[[#This Row],[WC_'[%']]],"N.A.")</f>
        <v>0</v>
      </c>
      <c r="AE10" s="58" t="str">
        <f>Tab_Data_Flows[[#This Row],[UoM_Flow_Py]]</f>
        <v>Mg</v>
      </c>
      <c r="AF10" s="101">
        <f>INDEX(Tab_Def_Flows[[Flow_ID]:[CC_DM_source]],MATCH(Tab_Data_Flows[[#This Row],[Name(EN)]],Tab_Def_Flows[Name(EN)],0),16)</f>
        <v>1</v>
      </c>
      <c r="AG10" s="102">
        <f>IF(K10="Yes",AF10*Tab_Data_Flows[[#This Row],[Flow_Py]],"N.A.")</f>
        <v>77.2</v>
      </c>
      <c r="AH10" s="58" t="str">
        <f>Tab_Data_Flows[[#This Row],[UoM_Flow_Py]]</f>
        <v>Mg</v>
      </c>
      <c r="AI10" s="101">
        <f>INDEX(Tab_Def_Flows[[Flow_ID]:[CC_DM_source]],MATCH(Tab_Data_Flows[[#This Row],[Name(EN)]],Tab_Def_Flows[Name(EN)],0),18)</f>
        <v>0.5</v>
      </c>
      <c r="AJ10" s="102">
        <f>IF(L10="Yes",AI10*Tab_Data_Flows[[#This Row],[Flow_Py]]*Tab_Data_Flows[[#This Row],[DM_'[%']]],"N.A.")</f>
        <v>38.6</v>
      </c>
      <c r="AK10" s="58" t="str">
        <f>Tab_Data_Flows[[#This Row],[UoM_Flow_Py]]</f>
        <v>Mg</v>
      </c>
    </row>
    <row r="11" spans="1:37" x14ac:dyDescent="0.25">
      <c r="A11" s="57">
        <f t="shared" si="0"/>
        <v>10</v>
      </c>
      <c r="B11" s="48" t="str">
        <f>_xlfn.XLOOKUP(C11,Tab_Def_Flows[Name(EN)],Tab_Def_Flows[Flow_ID],,0,)</f>
        <v>F_00_01</v>
      </c>
      <c r="C11" s="50" t="s">
        <v>107</v>
      </c>
      <c r="D11" s="48">
        <f>_xlfn.XLOOKUP(C11,Tab_Def_Flows[Name(EN)],Tab_Def_Flows[Type_Biomass],,0,)</f>
        <v>0</v>
      </c>
      <c r="E11" s="48" t="str">
        <f>_xlfn.XLOOKUP(C11,Tab_Def_Flows[Name(EN)],Tab_Def_Flows[Output_Process],,0,)</f>
        <v>Biosphere</v>
      </c>
      <c r="F11" s="48" t="str">
        <f>_xlfn.XLOOKUP(C11,Tab_Def_Flows[Name(EN)],Tab_Def_Flows[Process_ID_O],,0,)</f>
        <v>00_Bio_</v>
      </c>
      <c r="G11" s="48" t="str">
        <f>_xlfn.XLOOKUP(C11,Tab_Def_Flows[Name(EN)],Tab_Def_Flows[Input_Process],,0,)</f>
        <v>Raw Material Extraction</v>
      </c>
      <c r="H11" s="58" t="str">
        <f>_xlfn.XLOOKUP(C11,Tab_Def_Flows[Name(EN)],Tab_Def_Flows[Process_ID_I],,0,)</f>
        <v>01_Raw_</v>
      </c>
      <c r="I11" s="48">
        <f>_xlfn.XLOOKUP(C11,Tab_Def_Flows[Name(EN)],Tab_Def_Flows[Value_Source],,0,)</f>
        <v>0</v>
      </c>
      <c r="J11" s="48" t="str">
        <f>_xlfn.XLOOKUP(C11,Tab_Def_Flows[Name(EN)],Tab_Def_Flows[WC?],,0,)</f>
        <v>Yes</v>
      </c>
      <c r="K11" s="48" t="str">
        <f>_xlfn.XLOOKUP(C11,Tab_Def_Flows[Name(EN)],Tab_Def_Flows[DM?],,0,)</f>
        <v>Yes</v>
      </c>
      <c r="L11" s="48" t="str">
        <f>_xlfn.XLOOKUP(C11,Tab_Def_Flows[Name(EN)],Tab_Def_Flows[CC?],,0,)</f>
        <v>Yes</v>
      </c>
      <c r="M11" s="50">
        <v>1929</v>
      </c>
      <c r="N11" s="50"/>
      <c r="O11" s="108">
        <v>83.6</v>
      </c>
      <c r="P11" s="50" t="s">
        <v>85</v>
      </c>
      <c r="Q11" s="50"/>
      <c r="R11" s="50" t="e">
        <f>INDEX(Tab_WC_DM_CC[[Flow_ID]:[CC_source]],MATCH(Tab_Data_Flows[[#This Row],[Name(EN)]],Tab_WC_DM_CC[Name(EN)],0),12)</f>
        <v>#N/A</v>
      </c>
      <c r="S11" s="50" t="e">
        <f>MATCH(Tab_Data_Flows[[#This Row],[Name(EN)]],Tab_WC_DM_CC[Name(EN)],0)</f>
        <v>#N/A</v>
      </c>
      <c r="T11" s="50"/>
      <c r="U11" s="50"/>
      <c r="V11" s="50"/>
      <c r="W11" s="50"/>
      <c r="X11" s="50" t="s">
        <v>84</v>
      </c>
      <c r="Y11" s="50"/>
      <c r="Z11" s="50"/>
      <c r="AA11" s="80">
        <f t="shared" si="1"/>
        <v>83.6</v>
      </c>
      <c r="AB11" s="50" t="s">
        <v>85</v>
      </c>
      <c r="AC11" s="101">
        <f>INDEX(Tab_Def_Flows[[Flow_ID]:[CC_DM_source]],MATCH(Tab_Data_Flows[[#This Row],[Name(EN)]],Tab_Def_Flows[Name(EN)],0),14)</f>
        <v>0</v>
      </c>
      <c r="AD11" s="102">
        <f>IF(J11="Yes",AA11*Tab_Data_Flows[[#This Row],[WC_'[%']]],"N.A.")</f>
        <v>0</v>
      </c>
      <c r="AE11" s="58" t="str">
        <f>Tab_Data_Flows[[#This Row],[UoM_Flow_Py]]</f>
        <v>Mg</v>
      </c>
      <c r="AF11" s="101">
        <f>INDEX(Tab_Def_Flows[[Flow_ID]:[CC_DM_source]],MATCH(Tab_Data_Flows[[#This Row],[Name(EN)]],Tab_Def_Flows[Name(EN)],0),16)</f>
        <v>1</v>
      </c>
      <c r="AG11" s="102">
        <f>IF(K11="Yes",AF11*Tab_Data_Flows[[#This Row],[Flow_Py]],"N.A.")</f>
        <v>83.6</v>
      </c>
      <c r="AH11" s="58" t="str">
        <f>Tab_Data_Flows[[#This Row],[UoM_Flow_Py]]</f>
        <v>Mg</v>
      </c>
      <c r="AI11" s="101">
        <f>INDEX(Tab_Def_Flows[[Flow_ID]:[CC_DM_source]],MATCH(Tab_Data_Flows[[#This Row],[Name(EN)]],Tab_Def_Flows[Name(EN)],0),18)</f>
        <v>0.5</v>
      </c>
      <c r="AJ11" s="102">
        <f>IF(L11="Yes",AI11*Tab_Data_Flows[[#This Row],[Flow_Py]]*Tab_Data_Flows[[#This Row],[DM_'[%']]],"N.A.")</f>
        <v>41.8</v>
      </c>
      <c r="AK11" s="58" t="str">
        <f>Tab_Data_Flows[[#This Row],[UoM_Flow_Py]]</f>
        <v>Mg</v>
      </c>
    </row>
    <row r="12" spans="1:37" x14ac:dyDescent="0.25">
      <c r="A12" s="57">
        <f t="shared" si="0"/>
        <v>11</v>
      </c>
      <c r="B12" s="48" t="str">
        <f>_xlfn.XLOOKUP(C12,Tab_Def_Flows[Name(EN)],Tab_Def_Flows[Flow_ID],,0,)</f>
        <v>F_00_01</v>
      </c>
      <c r="C12" s="50" t="s">
        <v>107</v>
      </c>
      <c r="D12" s="48">
        <f>_xlfn.XLOOKUP(C12,Tab_Def_Flows[Name(EN)],Tab_Def_Flows[Type_Biomass],,0,)</f>
        <v>0</v>
      </c>
      <c r="E12" s="48" t="str">
        <f>_xlfn.XLOOKUP(C12,Tab_Def_Flows[Name(EN)],Tab_Def_Flows[Output_Process],,0,)</f>
        <v>Biosphere</v>
      </c>
      <c r="F12" s="48" t="str">
        <f>_xlfn.XLOOKUP(C12,Tab_Def_Flows[Name(EN)],Tab_Def_Flows[Process_ID_O],,0,)</f>
        <v>00_Bio_</v>
      </c>
      <c r="G12" s="48" t="str">
        <f>_xlfn.XLOOKUP(C12,Tab_Def_Flows[Name(EN)],Tab_Def_Flows[Input_Process],,0,)</f>
        <v>Raw Material Extraction</v>
      </c>
      <c r="H12" s="58" t="str">
        <f>_xlfn.XLOOKUP(C12,Tab_Def_Flows[Name(EN)],Tab_Def_Flows[Process_ID_I],,0,)</f>
        <v>01_Raw_</v>
      </c>
      <c r="I12" s="48">
        <f>_xlfn.XLOOKUP(C12,Tab_Def_Flows[Name(EN)],Tab_Def_Flows[Value_Source],,0,)</f>
        <v>0</v>
      </c>
      <c r="J12" s="48" t="str">
        <f>_xlfn.XLOOKUP(C12,Tab_Def_Flows[Name(EN)],Tab_Def_Flows[WC?],,0,)</f>
        <v>Yes</v>
      </c>
      <c r="K12" s="48" t="str">
        <f>_xlfn.XLOOKUP(C12,Tab_Def_Flows[Name(EN)],Tab_Def_Flows[DM?],,0,)</f>
        <v>Yes</v>
      </c>
      <c r="L12" s="48" t="str">
        <f>_xlfn.XLOOKUP(C12,Tab_Def_Flows[Name(EN)],Tab_Def_Flows[CC?],,0,)</f>
        <v>Yes</v>
      </c>
      <c r="M12" s="50">
        <v>1930</v>
      </c>
      <c r="N12" s="50"/>
      <c r="O12" s="108">
        <v>64.400000000000006</v>
      </c>
      <c r="P12" s="50" t="s">
        <v>85</v>
      </c>
      <c r="Q12" s="50"/>
      <c r="R12" s="50" t="e">
        <f>INDEX(Tab_WC_DM_CC[[Flow_ID]:[CC_source]],MATCH(Tab_Data_Flows[[#This Row],[Name(EN)]],Tab_WC_DM_CC[Name(EN)],0),12)</f>
        <v>#N/A</v>
      </c>
      <c r="S12" s="50" t="e">
        <f>MATCH(Tab_Data_Flows[[#This Row],[Name(EN)]],Tab_WC_DM_CC[Name(EN)],0)</f>
        <v>#N/A</v>
      </c>
      <c r="T12" s="50"/>
      <c r="U12" s="50"/>
      <c r="V12" s="50"/>
      <c r="W12" s="50"/>
      <c r="X12" s="50" t="s">
        <v>84</v>
      </c>
      <c r="Y12" s="50"/>
      <c r="Z12" s="50"/>
      <c r="AA12" s="80">
        <f t="shared" si="1"/>
        <v>64.400000000000006</v>
      </c>
      <c r="AB12" s="50" t="s">
        <v>85</v>
      </c>
      <c r="AC12" s="101">
        <f>INDEX(Tab_Def_Flows[[Flow_ID]:[CC_DM_source]],MATCH(Tab_Data_Flows[[#This Row],[Name(EN)]],Tab_Def_Flows[Name(EN)],0),14)</f>
        <v>0</v>
      </c>
      <c r="AD12" s="102">
        <f>IF(J12="Yes",AA12*Tab_Data_Flows[[#This Row],[WC_'[%']]],"N.A.")</f>
        <v>0</v>
      </c>
      <c r="AE12" s="58" t="str">
        <f>Tab_Data_Flows[[#This Row],[UoM_Flow_Py]]</f>
        <v>Mg</v>
      </c>
      <c r="AF12" s="101">
        <f>INDEX(Tab_Def_Flows[[Flow_ID]:[CC_DM_source]],MATCH(Tab_Data_Flows[[#This Row],[Name(EN)]],Tab_Def_Flows[Name(EN)],0),16)</f>
        <v>1</v>
      </c>
      <c r="AG12" s="102">
        <f>IF(K12="Yes",AF12*Tab_Data_Flows[[#This Row],[Flow_Py]],"N.A.")</f>
        <v>64.400000000000006</v>
      </c>
      <c r="AH12" s="58" t="str">
        <f>Tab_Data_Flows[[#This Row],[UoM_Flow_Py]]</f>
        <v>Mg</v>
      </c>
      <c r="AI12" s="101">
        <f>INDEX(Tab_Def_Flows[[Flow_ID]:[CC_DM_source]],MATCH(Tab_Data_Flows[[#This Row],[Name(EN)]],Tab_Def_Flows[Name(EN)],0),18)</f>
        <v>0.5</v>
      </c>
      <c r="AJ12" s="102">
        <f>IF(L12="Yes",AI12*Tab_Data_Flows[[#This Row],[Flow_Py]]*Tab_Data_Flows[[#This Row],[DM_'[%']]],"N.A.")</f>
        <v>32.200000000000003</v>
      </c>
      <c r="AK12" s="58" t="str">
        <f>Tab_Data_Flows[[#This Row],[UoM_Flow_Py]]</f>
        <v>Mg</v>
      </c>
    </row>
    <row r="13" spans="1:37" x14ac:dyDescent="0.25">
      <c r="A13" s="57">
        <f t="shared" si="0"/>
        <v>12</v>
      </c>
      <c r="B13" s="48" t="str">
        <f>_xlfn.XLOOKUP(C13,Tab_Def_Flows[Name(EN)],Tab_Def_Flows[Flow_ID],,0,)</f>
        <v>F_00_01</v>
      </c>
      <c r="C13" s="50" t="s">
        <v>107</v>
      </c>
      <c r="D13" s="48">
        <f>_xlfn.XLOOKUP(C13,Tab_Def_Flows[Name(EN)],Tab_Def_Flows[Type_Biomass],,0,)</f>
        <v>0</v>
      </c>
      <c r="E13" s="48" t="str">
        <f>_xlfn.XLOOKUP(C13,Tab_Def_Flows[Name(EN)],Tab_Def_Flows[Output_Process],,0,)</f>
        <v>Biosphere</v>
      </c>
      <c r="F13" s="48" t="str">
        <f>_xlfn.XLOOKUP(C13,Tab_Def_Flows[Name(EN)],Tab_Def_Flows[Process_ID_O],,0,)</f>
        <v>00_Bio_</v>
      </c>
      <c r="G13" s="48" t="str">
        <f>_xlfn.XLOOKUP(C13,Tab_Def_Flows[Name(EN)],Tab_Def_Flows[Input_Process],,0,)</f>
        <v>Raw Material Extraction</v>
      </c>
      <c r="H13" s="58" t="str">
        <f>_xlfn.XLOOKUP(C13,Tab_Def_Flows[Name(EN)],Tab_Def_Flows[Process_ID_I],,0,)</f>
        <v>01_Raw_</v>
      </c>
      <c r="I13" s="48">
        <f>_xlfn.XLOOKUP(C13,Tab_Def_Flows[Name(EN)],Tab_Def_Flows[Value_Source],,0,)</f>
        <v>0</v>
      </c>
      <c r="J13" s="48" t="str">
        <f>_xlfn.XLOOKUP(C13,Tab_Def_Flows[Name(EN)],Tab_Def_Flows[WC?],,0,)</f>
        <v>Yes</v>
      </c>
      <c r="K13" s="48" t="str">
        <f>_xlfn.XLOOKUP(C13,Tab_Def_Flows[Name(EN)],Tab_Def_Flows[DM?],,0,)</f>
        <v>Yes</v>
      </c>
      <c r="L13" s="48" t="str">
        <f>_xlfn.XLOOKUP(C13,Tab_Def_Flows[Name(EN)],Tab_Def_Flows[CC?],,0,)</f>
        <v>Yes</v>
      </c>
      <c r="M13" s="50">
        <v>1931</v>
      </c>
      <c r="N13" s="50"/>
      <c r="O13" s="108">
        <v>83.6</v>
      </c>
      <c r="P13" s="50" t="s">
        <v>85</v>
      </c>
      <c r="Q13" s="50"/>
      <c r="R13" s="50" t="e">
        <f>INDEX(Tab_WC_DM_CC[[Flow_ID]:[CC_source]],MATCH(Tab_Data_Flows[[#This Row],[Name(EN)]],Tab_WC_DM_CC[Name(EN)],0),12)</f>
        <v>#N/A</v>
      </c>
      <c r="S13" s="50" t="e">
        <f>MATCH(Tab_Data_Flows[[#This Row],[Name(EN)]],Tab_WC_DM_CC[Name(EN)],0)</f>
        <v>#N/A</v>
      </c>
      <c r="T13" s="50"/>
      <c r="U13" s="50"/>
      <c r="V13" s="50"/>
      <c r="W13" s="50"/>
      <c r="X13" s="50" t="s">
        <v>84</v>
      </c>
      <c r="Y13" s="50"/>
      <c r="Z13" s="50"/>
      <c r="AA13" s="80">
        <f t="shared" si="1"/>
        <v>83.6</v>
      </c>
      <c r="AB13" s="50" t="s">
        <v>85</v>
      </c>
      <c r="AC13" s="101">
        <f>INDEX(Tab_Def_Flows[[Flow_ID]:[CC_DM_source]],MATCH(Tab_Data_Flows[[#This Row],[Name(EN)]],Tab_Def_Flows[Name(EN)],0),14)</f>
        <v>0</v>
      </c>
      <c r="AD13" s="102">
        <f>IF(J13="Yes",AA13*Tab_Data_Flows[[#This Row],[WC_'[%']]],"N.A.")</f>
        <v>0</v>
      </c>
      <c r="AE13" s="58" t="str">
        <f>Tab_Data_Flows[[#This Row],[UoM_Flow_Py]]</f>
        <v>Mg</v>
      </c>
      <c r="AF13" s="101">
        <f>INDEX(Tab_Def_Flows[[Flow_ID]:[CC_DM_source]],MATCH(Tab_Data_Flows[[#This Row],[Name(EN)]],Tab_Def_Flows[Name(EN)],0),16)</f>
        <v>1</v>
      </c>
      <c r="AG13" s="102">
        <f>IF(K13="Yes",AF13*Tab_Data_Flows[[#This Row],[Flow_Py]],"N.A.")</f>
        <v>83.6</v>
      </c>
      <c r="AH13" s="58" t="str">
        <f>Tab_Data_Flows[[#This Row],[UoM_Flow_Py]]</f>
        <v>Mg</v>
      </c>
      <c r="AI13" s="101">
        <f>INDEX(Tab_Def_Flows[[Flow_ID]:[CC_DM_source]],MATCH(Tab_Data_Flows[[#This Row],[Name(EN)]],Tab_Def_Flows[Name(EN)],0),18)</f>
        <v>0.5</v>
      </c>
      <c r="AJ13" s="102">
        <f>IF(L13="Yes",AI13*Tab_Data_Flows[[#This Row],[Flow_Py]]*Tab_Data_Flows[[#This Row],[DM_'[%']]],"N.A.")</f>
        <v>41.8</v>
      </c>
      <c r="AK13" s="58" t="str">
        <f>Tab_Data_Flows[[#This Row],[UoM_Flow_Py]]</f>
        <v>Mg</v>
      </c>
    </row>
    <row r="14" spans="1:37" x14ac:dyDescent="0.25">
      <c r="A14" s="57">
        <f t="shared" si="0"/>
        <v>13</v>
      </c>
      <c r="B14" s="48" t="str">
        <f>_xlfn.XLOOKUP(C14,Tab_Def_Flows[Name(EN)],Tab_Def_Flows[Flow_ID],,0,)</f>
        <v>F_00_01</v>
      </c>
      <c r="C14" s="50" t="s">
        <v>107</v>
      </c>
      <c r="D14" s="48">
        <f>_xlfn.XLOOKUP(C14,Tab_Def_Flows[Name(EN)],Tab_Def_Flows[Type_Biomass],,0,)</f>
        <v>0</v>
      </c>
      <c r="E14" s="48" t="str">
        <f>_xlfn.XLOOKUP(C14,Tab_Def_Flows[Name(EN)],Tab_Def_Flows[Output_Process],,0,)</f>
        <v>Biosphere</v>
      </c>
      <c r="F14" s="48" t="str">
        <f>_xlfn.XLOOKUP(C14,Tab_Def_Flows[Name(EN)],Tab_Def_Flows[Process_ID_O],,0,)</f>
        <v>00_Bio_</v>
      </c>
      <c r="G14" s="48" t="str">
        <f>_xlfn.XLOOKUP(C14,Tab_Def_Flows[Name(EN)],Tab_Def_Flows[Input_Process],,0,)</f>
        <v>Raw Material Extraction</v>
      </c>
      <c r="H14" s="58" t="str">
        <f>_xlfn.XLOOKUP(C14,Tab_Def_Flows[Name(EN)],Tab_Def_Flows[Process_ID_I],,0,)</f>
        <v>01_Raw_</v>
      </c>
      <c r="I14" s="48">
        <f>_xlfn.XLOOKUP(C14,Tab_Def_Flows[Name(EN)],Tab_Def_Flows[Value_Source],,0,)</f>
        <v>0</v>
      </c>
      <c r="J14" s="48" t="str">
        <f>_xlfn.XLOOKUP(C14,Tab_Def_Flows[Name(EN)],Tab_Def_Flows[WC?],,0,)</f>
        <v>Yes</v>
      </c>
      <c r="K14" s="48" t="str">
        <f>_xlfn.XLOOKUP(C14,Tab_Def_Flows[Name(EN)],Tab_Def_Flows[DM?],,0,)</f>
        <v>Yes</v>
      </c>
      <c r="L14" s="48" t="str">
        <f>_xlfn.XLOOKUP(C14,Tab_Def_Flows[Name(EN)],Tab_Def_Flows[CC?],,0,)</f>
        <v>Yes</v>
      </c>
      <c r="M14" s="50">
        <v>1932</v>
      </c>
      <c r="N14" s="50"/>
      <c r="O14" s="108">
        <v>70.8</v>
      </c>
      <c r="P14" s="50" t="s">
        <v>85</v>
      </c>
      <c r="Q14" s="50"/>
      <c r="R14" s="50" t="e">
        <f>INDEX(Tab_WC_DM_CC[[Flow_ID]:[CC_source]],MATCH(Tab_Data_Flows[[#This Row],[Name(EN)]],Tab_WC_DM_CC[Name(EN)],0),12)</f>
        <v>#N/A</v>
      </c>
      <c r="S14" s="50" t="e">
        <f>MATCH(Tab_Data_Flows[[#This Row],[Name(EN)]],Tab_WC_DM_CC[Name(EN)],0)</f>
        <v>#N/A</v>
      </c>
      <c r="T14" s="50"/>
      <c r="U14" s="50"/>
      <c r="V14" s="50"/>
      <c r="W14" s="50"/>
      <c r="X14" s="50" t="s">
        <v>84</v>
      </c>
      <c r="Y14" s="50"/>
      <c r="Z14" s="50"/>
      <c r="AA14" s="80">
        <f t="shared" si="1"/>
        <v>70.8</v>
      </c>
      <c r="AB14" s="50" t="s">
        <v>85</v>
      </c>
      <c r="AC14" s="101">
        <f>INDEX(Tab_Def_Flows[[Flow_ID]:[CC_DM_source]],MATCH(Tab_Data_Flows[[#This Row],[Name(EN)]],Tab_Def_Flows[Name(EN)],0),14)</f>
        <v>0</v>
      </c>
      <c r="AD14" s="102">
        <f>IF(J14="Yes",AA14*Tab_Data_Flows[[#This Row],[WC_'[%']]],"N.A.")</f>
        <v>0</v>
      </c>
      <c r="AE14" s="58" t="str">
        <f>Tab_Data_Flows[[#This Row],[UoM_Flow_Py]]</f>
        <v>Mg</v>
      </c>
      <c r="AF14" s="101">
        <f>INDEX(Tab_Def_Flows[[Flow_ID]:[CC_DM_source]],MATCH(Tab_Data_Flows[[#This Row],[Name(EN)]],Tab_Def_Flows[Name(EN)],0),16)</f>
        <v>1</v>
      </c>
      <c r="AG14" s="102">
        <f>IF(K14="Yes",AF14*Tab_Data_Flows[[#This Row],[Flow_Py]],"N.A.")</f>
        <v>70.8</v>
      </c>
      <c r="AH14" s="58" t="str">
        <f>Tab_Data_Flows[[#This Row],[UoM_Flow_Py]]</f>
        <v>Mg</v>
      </c>
      <c r="AI14" s="101">
        <f>INDEX(Tab_Def_Flows[[Flow_ID]:[CC_DM_source]],MATCH(Tab_Data_Flows[[#This Row],[Name(EN)]],Tab_Def_Flows[Name(EN)],0),18)</f>
        <v>0.5</v>
      </c>
      <c r="AJ14" s="102">
        <f>IF(L14="Yes",AI14*Tab_Data_Flows[[#This Row],[Flow_Py]]*Tab_Data_Flows[[#This Row],[DM_'[%']]],"N.A.")</f>
        <v>35.4</v>
      </c>
      <c r="AK14" s="58" t="str">
        <f>Tab_Data_Flows[[#This Row],[UoM_Flow_Py]]</f>
        <v>Mg</v>
      </c>
    </row>
    <row r="15" spans="1:37" x14ac:dyDescent="0.25">
      <c r="A15" s="57">
        <f t="shared" si="0"/>
        <v>14</v>
      </c>
      <c r="B15" s="48" t="str">
        <f>_xlfn.XLOOKUP(C15,Tab_Def_Flows[Name(EN)],Tab_Def_Flows[Flow_ID],,0,)</f>
        <v>F_00_01</v>
      </c>
      <c r="C15" s="50" t="s">
        <v>107</v>
      </c>
      <c r="D15" s="48">
        <f>_xlfn.XLOOKUP(C15,Tab_Def_Flows[Name(EN)],Tab_Def_Flows[Type_Biomass],,0,)</f>
        <v>0</v>
      </c>
      <c r="E15" s="48" t="str">
        <f>_xlfn.XLOOKUP(C15,Tab_Def_Flows[Name(EN)],Tab_Def_Flows[Output_Process],,0,)</f>
        <v>Biosphere</v>
      </c>
      <c r="F15" s="48" t="str">
        <f>_xlfn.XLOOKUP(C15,Tab_Def_Flows[Name(EN)],Tab_Def_Flows[Process_ID_O],,0,)</f>
        <v>00_Bio_</v>
      </c>
      <c r="G15" s="48" t="str">
        <f>_xlfn.XLOOKUP(C15,Tab_Def_Flows[Name(EN)],Tab_Def_Flows[Input_Process],,0,)</f>
        <v>Raw Material Extraction</v>
      </c>
      <c r="H15" s="58" t="str">
        <f>_xlfn.XLOOKUP(C15,Tab_Def_Flows[Name(EN)],Tab_Def_Flows[Process_ID_I],,0,)</f>
        <v>01_Raw_</v>
      </c>
      <c r="I15" s="48">
        <f>_xlfn.XLOOKUP(C15,Tab_Def_Flows[Name(EN)],Tab_Def_Flows[Value_Source],,0,)</f>
        <v>0</v>
      </c>
      <c r="J15" s="48" t="str">
        <f>_xlfn.XLOOKUP(C15,Tab_Def_Flows[Name(EN)],Tab_Def_Flows[WC?],,0,)</f>
        <v>Yes</v>
      </c>
      <c r="K15" s="48" t="str">
        <f>_xlfn.XLOOKUP(C15,Tab_Def_Flows[Name(EN)],Tab_Def_Flows[DM?],,0,)</f>
        <v>Yes</v>
      </c>
      <c r="L15" s="48" t="str">
        <f>_xlfn.XLOOKUP(C15,Tab_Def_Flows[Name(EN)],Tab_Def_Flows[CC?],,0,)</f>
        <v>Yes</v>
      </c>
      <c r="M15" s="50">
        <v>1933</v>
      </c>
      <c r="N15" s="50"/>
      <c r="O15" s="108">
        <v>51.4</v>
      </c>
      <c r="P15" s="50" t="s">
        <v>85</v>
      </c>
      <c r="Q15" s="50"/>
      <c r="R15" s="50" t="e">
        <f>INDEX(Tab_WC_DM_CC[[Flow_ID]:[CC_source]],MATCH(Tab_Data_Flows[[#This Row],[Name(EN)]],Tab_WC_DM_CC[Name(EN)],0),12)</f>
        <v>#N/A</v>
      </c>
      <c r="S15" s="50" t="e">
        <f>MATCH(Tab_Data_Flows[[#This Row],[Name(EN)]],Tab_WC_DM_CC[Name(EN)],0)</f>
        <v>#N/A</v>
      </c>
      <c r="T15" s="50"/>
      <c r="U15" s="50"/>
      <c r="V15" s="50"/>
      <c r="W15" s="50"/>
      <c r="X15" s="50" t="s">
        <v>84</v>
      </c>
      <c r="Y15" s="50"/>
      <c r="Z15" s="50"/>
      <c r="AA15" s="80">
        <f t="shared" si="1"/>
        <v>51.4</v>
      </c>
      <c r="AB15" s="50" t="s">
        <v>85</v>
      </c>
      <c r="AC15" s="101">
        <f>INDEX(Tab_Def_Flows[[Flow_ID]:[CC_DM_source]],MATCH(Tab_Data_Flows[[#This Row],[Name(EN)]],Tab_Def_Flows[Name(EN)],0),14)</f>
        <v>0</v>
      </c>
      <c r="AD15" s="102">
        <f>IF(J15="Yes",AA15*Tab_Data_Flows[[#This Row],[WC_'[%']]],"N.A.")</f>
        <v>0</v>
      </c>
      <c r="AE15" s="58" t="str">
        <f>Tab_Data_Flows[[#This Row],[UoM_Flow_Py]]</f>
        <v>Mg</v>
      </c>
      <c r="AF15" s="101">
        <f>INDEX(Tab_Def_Flows[[Flow_ID]:[CC_DM_source]],MATCH(Tab_Data_Flows[[#This Row],[Name(EN)]],Tab_Def_Flows[Name(EN)],0),16)</f>
        <v>1</v>
      </c>
      <c r="AG15" s="102">
        <f>IF(K15="Yes",AF15*Tab_Data_Flows[[#This Row],[Flow_Py]],"N.A.")</f>
        <v>51.4</v>
      </c>
      <c r="AH15" s="58" t="str">
        <f>Tab_Data_Flows[[#This Row],[UoM_Flow_Py]]</f>
        <v>Mg</v>
      </c>
      <c r="AI15" s="101">
        <f>INDEX(Tab_Def_Flows[[Flow_ID]:[CC_DM_source]],MATCH(Tab_Data_Flows[[#This Row],[Name(EN)]],Tab_Def_Flows[Name(EN)],0),18)</f>
        <v>0.5</v>
      </c>
      <c r="AJ15" s="102">
        <f>IF(L15="Yes",AI15*Tab_Data_Flows[[#This Row],[Flow_Py]]*Tab_Data_Flows[[#This Row],[DM_'[%']]],"N.A.")</f>
        <v>25.7</v>
      </c>
      <c r="AK15" s="58" t="str">
        <f>Tab_Data_Flows[[#This Row],[UoM_Flow_Py]]</f>
        <v>Mg</v>
      </c>
    </row>
    <row r="16" spans="1:37" x14ac:dyDescent="0.25">
      <c r="A16" s="57">
        <f t="shared" si="0"/>
        <v>15</v>
      </c>
      <c r="B16" s="48" t="str">
        <f>_xlfn.XLOOKUP(C16,Tab_Def_Flows[Name(EN)],Tab_Def_Flows[Flow_ID],,0,)</f>
        <v>F_00_01</v>
      </c>
      <c r="C16" s="50" t="s">
        <v>107</v>
      </c>
      <c r="D16" s="48">
        <f>_xlfn.XLOOKUP(C16,Tab_Def_Flows[Name(EN)],Tab_Def_Flows[Type_Biomass],,0,)</f>
        <v>0</v>
      </c>
      <c r="E16" s="48" t="str">
        <f>_xlfn.XLOOKUP(C16,Tab_Def_Flows[Name(EN)],Tab_Def_Flows[Output_Process],,0,)</f>
        <v>Biosphere</v>
      </c>
      <c r="F16" s="48" t="str">
        <f>_xlfn.XLOOKUP(C16,Tab_Def_Flows[Name(EN)],Tab_Def_Flows[Process_ID_O],,0,)</f>
        <v>00_Bio_</v>
      </c>
      <c r="G16" s="48" t="str">
        <f>_xlfn.XLOOKUP(C16,Tab_Def_Flows[Name(EN)],Tab_Def_Flows[Input_Process],,0,)</f>
        <v>Raw Material Extraction</v>
      </c>
      <c r="H16" s="58" t="str">
        <f>_xlfn.XLOOKUP(C16,Tab_Def_Flows[Name(EN)],Tab_Def_Flows[Process_ID_I],,0,)</f>
        <v>01_Raw_</v>
      </c>
      <c r="I16" s="48">
        <f>_xlfn.XLOOKUP(C16,Tab_Def_Flows[Name(EN)],Tab_Def_Flows[Value_Source],,0,)</f>
        <v>0</v>
      </c>
      <c r="J16" s="48" t="str">
        <f>_xlfn.XLOOKUP(C16,Tab_Def_Flows[Name(EN)],Tab_Def_Flows[WC?],,0,)</f>
        <v>Yes</v>
      </c>
      <c r="K16" s="48" t="str">
        <f>_xlfn.XLOOKUP(C16,Tab_Def_Flows[Name(EN)],Tab_Def_Flows[DM?],,0,)</f>
        <v>Yes</v>
      </c>
      <c r="L16" s="48" t="str">
        <f>_xlfn.XLOOKUP(C16,Tab_Def_Flows[Name(EN)],Tab_Def_Flows[CC?],,0,)</f>
        <v>Yes</v>
      </c>
      <c r="M16" s="50">
        <v>1934</v>
      </c>
      <c r="N16" s="50"/>
      <c r="O16" s="108">
        <v>32.200000000000003</v>
      </c>
      <c r="P16" s="50" t="s">
        <v>85</v>
      </c>
      <c r="Q16" s="50"/>
      <c r="R16" s="50" t="e">
        <f>INDEX(Tab_WC_DM_CC[[Flow_ID]:[CC_source]],MATCH(Tab_Data_Flows[[#This Row],[Name(EN)]],Tab_WC_DM_CC[Name(EN)],0),12)</f>
        <v>#N/A</v>
      </c>
      <c r="S16" s="50" t="e">
        <f>MATCH(Tab_Data_Flows[[#This Row],[Name(EN)]],Tab_WC_DM_CC[Name(EN)],0)</f>
        <v>#N/A</v>
      </c>
      <c r="T16" s="50"/>
      <c r="U16" s="50"/>
      <c r="V16" s="50"/>
      <c r="W16" s="50"/>
      <c r="X16" s="50" t="s">
        <v>84</v>
      </c>
      <c r="Y16" s="50"/>
      <c r="Z16" s="50"/>
      <c r="AA16" s="80">
        <f t="shared" si="1"/>
        <v>32.200000000000003</v>
      </c>
      <c r="AB16" s="50" t="s">
        <v>85</v>
      </c>
      <c r="AC16" s="101">
        <f>INDEX(Tab_Def_Flows[[Flow_ID]:[CC_DM_source]],MATCH(Tab_Data_Flows[[#This Row],[Name(EN)]],Tab_Def_Flows[Name(EN)],0),14)</f>
        <v>0</v>
      </c>
      <c r="AD16" s="102">
        <f>IF(J16="Yes",AA16*Tab_Data_Flows[[#This Row],[WC_'[%']]],"N.A.")</f>
        <v>0</v>
      </c>
      <c r="AE16" s="58" t="str">
        <f>Tab_Data_Flows[[#This Row],[UoM_Flow_Py]]</f>
        <v>Mg</v>
      </c>
      <c r="AF16" s="101">
        <f>INDEX(Tab_Def_Flows[[Flow_ID]:[CC_DM_source]],MATCH(Tab_Data_Flows[[#This Row],[Name(EN)]],Tab_Def_Flows[Name(EN)],0),16)</f>
        <v>1</v>
      </c>
      <c r="AG16" s="102">
        <f>IF(K16="Yes",AF16*Tab_Data_Flows[[#This Row],[Flow_Py]],"N.A.")</f>
        <v>32.200000000000003</v>
      </c>
      <c r="AH16" s="58" t="str">
        <f>Tab_Data_Flows[[#This Row],[UoM_Flow_Py]]</f>
        <v>Mg</v>
      </c>
      <c r="AI16" s="101">
        <f>INDEX(Tab_Def_Flows[[Flow_ID]:[CC_DM_source]],MATCH(Tab_Data_Flows[[#This Row],[Name(EN)]],Tab_Def_Flows[Name(EN)],0),18)</f>
        <v>0.5</v>
      </c>
      <c r="AJ16" s="102">
        <f>IF(L16="Yes",AI16*Tab_Data_Flows[[#This Row],[Flow_Py]]*Tab_Data_Flows[[#This Row],[DM_'[%']]],"N.A.")</f>
        <v>16.100000000000001</v>
      </c>
      <c r="AK16" s="58" t="str">
        <f>Tab_Data_Flows[[#This Row],[UoM_Flow_Py]]</f>
        <v>Mg</v>
      </c>
    </row>
    <row r="17" spans="1:37" x14ac:dyDescent="0.25">
      <c r="A17" s="57">
        <f t="shared" si="0"/>
        <v>16</v>
      </c>
      <c r="B17" s="48" t="str">
        <f>_xlfn.XLOOKUP(C17,Tab_Def_Flows[Name(EN)],Tab_Def_Flows[Flow_ID],,0,)</f>
        <v>F_00_01</v>
      </c>
      <c r="C17" s="50" t="s">
        <v>107</v>
      </c>
      <c r="D17" s="48">
        <f>_xlfn.XLOOKUP(C17,Tab_Def_Flows[Name(EN)],Tab_Def_Flows[Type_Biomass],,0,)</f>
        <v>0</v>
      </c>
      <c r="E17" s="48" t="str">
        <f>_xlfn.XLOOKUP(C17,Tab_Def_Flows[Name(EN)],Tab_Def_Flows[Output_Process],,0,)</f>
        <v>Biosphere</v>
      </c>
      <c r="F17" s="48" t="str">
        <f>_xlfn.XLOOKUP(C17,Tab_Def_Flows[Name(EN)],Tab_Def_Flows[Process_ID_O],,0,)</f>
        <v>00_Bio_</v>
      </c>
      <c r="G17" s="48" t="str">
        <f>_xlfn.XLOOKUP(C17,Tab_Def_Flows[Name(EN)],Tab_Def_Flows[Input_Process],,0,)</f>
        <v>Raw Material Extraction</v>
      </c>
      <c r="H17" s="58" t="str">
        <f>_xlfn.XLOOKUP(C17,Tab_Def_Flows[Name(EN)],Tab_Def_Flows[Process_ID_I],,0,)</f>
        <v>01_Raw_</v>
      </c>
      <c r="I17" s="48">
        <f>_xlfn.XLOOKUP(C17,Tab_Def_Flows[Name(EN)],Tab_Def_Flows[Value_Source],,0,)</f>
        <v>0</v>
      </c>
      <c r="J17" s="48" t="str">
        <f>_xlfn.XLOOKUP(C17,Tab_Def_Flows[Name(EN)],Tab_Def_Flows[WC?],,0,)</f>
        <v>Yes</v>
      </c>
      <c r="K17" s="48" t="str">
        <f>_xlfn.XLOOKUP(C17,Tab_Def_Flows[Name(EN)],Tab_Def_Flows[DM?],,0,)</f>
        <v>Yes</v>
      </c>
      <c r="L17" s="48" t="str">
        <f>_xlfn.XLOOKUP(C17,Tab_Def_Flows[Name(EN)],Tab_Def_Flows[CC?],,0,)</f>
        <v>Yes</v>
      </c>
      <c r="M17" s="50">
        <v>1935</v>
      </c>
      <c r="N17" s="50"/>
      <c r="O17" s="108">
        <v>70.8</v>
      </c>
      <c r="P17" s="50" t="s">
        <v>85</v>
      </c>
      <c r="Q17" s="50"/>
      <c r="R17" s="50" t="e">
        <f>INDEX(Tab_WC_DM_CC[[Flow_ID]:[CC_source]],MATCH(Tab_Data_Flows[[#This Row],[Name(EN)]],Tab_WC_DM_CC[Name(EN)],0),12)</f>
        <v>#N/A</v>
      </c>
      <c r="S17" s="50" t="e">
        <f>MATCH(Tab_Data_Flows[[#This Row],[Name(EN)]],Tab_WC_DM_CC[Name(EN)],0)</f>
        <v>#N/A</v>
      </c>
      <c r="T17" s="50"/>
      <c r="U17" s="50"/>
      <c r="V17" s="50"/>
      <c r="W17" s="50"/>
      <c r="X17" s="50" t="s">
        <v>84</v>
      </c>
      <c r="Y17" s="50"/>
      <c r="Z17" s="50"/>
      <c r="AA17" s="80">
        <f t="shared" si="1"/>
        <v>70.8</v>
      </c>
      <c r="AB17" s="50" t="s">
        <v>85</v>
      </c>
      <c r="AC17" s="101">
        <f>INDEX(Tab_Def_Flows[[Flow_ID]:[CC_DM_source]],MATCH(Tab_Data_Flows[[#This Row],[Name(EN)]],Tab_Def_Flows[Name(EN)],0),14)</f>
        <v>0</v>
      </c>
      <c r="AD17" s="102">
        <f>IF(J17="Yes",AA17*Tab_Data_Flows[[#This Row],[WC_'[%']]],"N.A.")</f>
        <v>0</v>
      </c>
      <c r="AE17" s="58" t="str">
        <f>Tab_Data_Flows[[#This Row],[UoM_Flow_Py]]</f>
        <v>Mg</v>
      </c>
      <c r="AF17" s="101">
        <f>INDEX(Tab_Def_Flows[[Flow_ID]:[CC_DM_source]],MATCH(Tab_Data_Flows[[#This Row],[Name(EN)]],Tab_Def_Flows[Name(EN)],0),16)</f>
        <v>1</v>
      </c>
      <c r="AG17" s="102">
        <f>IF(K17="Yes",AF17*Tab_Data_Flows[[#This Row],[Flow_Py]],"N.A.")</f>
        <v>70.8</v>
      </c>
      <c r="AH17" s="58" t="str">
        <f>Tab_Data_Flows[[#This Row],[UoM_Flow_Py]]</f>
        <v>Mg</v>
      </c>
      <c r="AI17" s="101">
        <f>INDEX(Tab_Def_Flows[[Flow_ID]:[CC_DM_source]],MATCH(Tab_Data_Flows[[#This Row],[Name(EN)]],Tab_Def_Flows[Name(EN)],0),18)</f>
        <v>0.5</v>
      </c>
      <c r="AJ17" s="102">
        <f>IF(L17="Yes",AI17*Tab_Data_Flows[[#This Row],[Flow_Py]]*Tab_Data_Flows[[#This Row],[DM_'[%']]],"N.A.")</f>
        <v>35.4</v>
      </c>
      <c r="AK17" s="58" t="str">
        <f>Tab_Data_Flows[[#This Row],[UoM_Flow_Py]]</f>
        <v>Mg</v>
      </c>
    </row>
    <row r="18" spans="1:37" x14ac:dyDescent="0.25">
      <c r="A18" s="57">
        <f t="shared" si="0"/>
        <v>17</v>
      </c>
      <c r="B18" s="48" t="str">
        <f>_xlfn.XLOOKUP(C18,Tab_Def_Flows[Name(EN)],Tab_Def_Flows[Flow_ID],,0,)</f>
        <v>F_00_01</v>
      </c>
      <c r="C18" s="50" t="s">
        <v>107</v>
      </c>
      <c r="D18" s="48">
        <f>_xlfn.XLOOKUP(C18,Tab_Def_Flows[Name(EN)],Tab_Def_Flows[Type_Biomass],,0,)</f>
        <v>0</v>
      </c>
      <c r="E18" s="48" t="str">
        <f>_xlfn.XLOOKUP(C18,Tab_Def_Flows[Name(EN)],Tab_Def_Flows[Output_Process],,0,)</f>
        <v>Biosphere</v>
      </c>
      <c r="F18" s="48" t="str">
        <f>_xlfn.XLOOKUP(C18,Tab_Def_Flows[Name(EN)],Tab_Def_Flows[Process_ID_O],,0,)</f>
        <v>00_Bio_</v>
      </c>
      <c r="G18" s="48" t="str">
        <f>_xlfn.XLOOKUP(C18,Tab_Def_Flows[Name(EN)],Tab_Def_Flows[Input_Process],,0,)</f>
        <v>Raw Material Extraction</v>
      </c>
      <c r="H18" s="58" t="str">
        <f>_xlfn.XLOOKUP(C18,Tab_Def_Flows[Name(EN)],Tab_Def_Flows[Process_ID_I],,0,)</f>
        <v>01_Raw_</v>
      </c>
      <c r="I18" s="48">
        <f>_xlfn.XLOOKUP(C18,Tab_Def_Flows[Name(EN)],Tab_Def_Flows[Value_Source],,0,)</f>
        <v>0</v>
      </c>
      <c r="J18" s="48" t="str">
        <f>_xlfn.XLOOKUP(C18,Tab_Def_Flows[Name(EN)],Tab_Def_Flows[WC?],,0,)</f>
        <v>Yes</v>
      </c>
      <c r="K18" s="48" t="str">
        <f>_xlfn.XLOOKUP(C18,Tab_Def_Flows[Name(EN)],Tab_Def_Flows[DM?],,0,)</f>
        <v>Yes</v>
      </c>
      <c r="L18" s="48" t="str">
        <f>_xlfn.XLOOKUP(C18,Tab_Def_Flows[Name(EN)],Tab_Def_Flows[CC?],,0,)</f>
        <v>Yes</v>
      </c>
      <c r="M18" s="50">
        <v>1936</v>
      </c>
      <c r="N18" s="50"/>
      <c r="O18" s="108">
        <v>25.8</v>
      </c>
      <c r="P18" s="50" t="s">
        <v>85</v>
      </c>
      <c r="Q18" s="50"/>
      <c r="R18" s="50" t="e">
        <f>INDEX(Tab_WC_DM_CC[[Flow_ID]:[CC_source]],MATCH(Tab_Data_Flows[[#This Row],[Name(EN)]],Tab_WC_DM_CC[Name(EN)],0),12)</f>
        <v>#N/A</v>
      </c>
      <c r="S18" s="50" t="e">
        <f>MATCH(Tab_Data_Flows[[#This Row],[Name(EN)]],Tab_WC_DM_CC[Name(EN)],0)</f>
        <v>#N/A</v>
      </c>
      <c r="T18" s="50"/>
      <c r="U18" s="50"/>
      <c r="V18" s="50"/>
      <c r="W18" s="50"/>
      <c r="X18" s="50" t="s">
        <v>84</v>
      </c>
      <c r="Y18" s="50"/>
      <c r="Z18" s="50"/>
      <c r="AA18" s="80">
        <f t="shared" si="1"/>
        <v>25.8</v>
      </c>
      <c r="AB18" s="50" t="s">
        <v>85</v>
      </c>
      <c r="AC18" s="101">
        <f>INDEX(Tab_Def_Flows[[Flow_ID]:[CC_DM_source]],MATCH(Tab_Data_Flows[[#This Row],[Name(EN)]],Tab_Def_Flows[Name(EN)],0),14)</f>
        <v>0</v>
      </c>
      <c r="AD18" s="102">
        <f>IF(J18="Yes",AA18*Tab_Data_Flows[[#This Row],[WC_'[%']]],"N.A.")</f>
        <v>0</v>
      </c>
      <c r="AE18" s="58" t="str">
        <f>Tab_Data_Flows[[#This Row],[UoM_Flow_Py]]</f>
        <v>Mg</v>
      </c>
      <c r="AF18" s="101">
        <f>INDEX(Tab_Def_Flows[[Flow_ID]:[CC_DM_source]],MATCH(Tab_Data_Flows[[#This Row],[Name(EN)]],Tab_Def_Flows[Name(EN)],0),16)</f>
        <v>1</v>
      </c>
      <c r="AG18" s="102">
        <f>IF(K18="Yes",AF18*Tab_Data_Flows[[#This Row],[Flow_Py]],"N.A.")</f>
        <v>25.8</v>
      </c>
      <c r="AH18" s="58" t="str">
        <f>Tab_Data_Flows[[#This Row],[UoM_Flow_Py]]</f>
        <v>Mg</v>
      </c>
      <c r="AI18" s="101">
        <f>INDEX(Tab_Def_Flows[[Flow_ID]:[CC_DM_source]],MATCH(Tab_Data_Flows[[#This Row],[Name(EN)]],Tab_Def_Flows[Name(EN)],0),18)</f>
        <v>0.5</v>
      </c>
      <c r="AJ18" s="102">
        <f>IF(L18="Yes",AI18*Tab_Data_Flows[[#This Row],[Flow_Py]]*Tab_Data_Flows[[#This Row],[DM_'[%']]],"N.A.")</f>
        <v>12.9</v>
      </c>
      <c r="AK18" s="58" t="str">
        <f>Tab_Data_Flows[[#This Row],[UoM_Flow_Py]]</f>
        <v>Mg</v>
      </c>
    </row>
    <row r="19" spans="1:37" x14ac:dyDescent="0.25">
      <c r="A19" s="57">
        <f t="shared" si="0"/>
        <v>18</v>
      </c>
      <c r="B19" s="48" t="str">
        <f>_xlfn.XLOOKUP(C19,Tab_Def_Flows[Name(EN)],Tab_Def_Flows[Flow_ID],,0,)</f>
        <v>F_00_01</v>
      </c>
      <c r="C19" s="50" t="s">
        <v>107</v>
      </c>
      <c r="D19" s="48">
        <f>_xlfn.XLOOKUP(C19,Tab_Def_Flows[Name(EN)],Tab_Def_Flows[Type_Biomass],,0,)</f>
        <v>0</v>
      </c>
      <c r="E19" s="48" t="str">
        <f>_xlfn.XLOOKUP(C19,Tab_Def_Flows[Name(EN)],Tab_Def_Flows[Output_Process],,0,)</f>
        <v>Biosphere</v>
      </c>
      <c r="F19" s="48" t="str">
        <f>_xlfn.XLOOKUP(C19,Tab_Def_Flows[Name(EN)],Tab_Def_Flows[Process_ID_O],,0,)</f>
        <v>00_Bio_</v>
      </c>
      <c r="G19" s="48" t="str">
        <f>_xlfn.XLOOKUP(C19,Tab_Def_Flows[Name(EN)],Tab_Def_Flows[Input_Process],,0,)</f>
        <v>Raw Material Extraction</v>
      </c>
      <c r="H19" s="58" t="str">
        <f>_xlfn.XLOOKUP(C19,Tab_Def_Flows[Name(EN)],Tab_Def_Flows[Process_ID_I],,0,)</f>
        <v>01_Raw_</v>
      </c>
      <c r="I19" s="48">
        <f>_xlfn.XLOOKUP(C19,Tab_Def_Flows[Name(EN)],Tab_Def_Flows[Value_Source],,0,)</f>
        <v>0</v>
      </c>
      <c r="J19" s="48" t="str">
        <f>_xlfn.XLOOKUP(C19,Tab_Def_Flows[Name(EN)],Tab_Def_Flows[WC?],,0,)</f>
        <v>Yes</v>
      </c>
      <c r="K19" s="48" t="str">
        <f>_xlfn.XLOOKUP(C19,Tab_Def_Flows[Name(EN)],Tab_Def_Flows[DM?],,0,)</f>
        <v>Yes</v>
      </c>
      <c r="L19" s="48" t="str">
        <f>_xlfn.XLOOKUP(C19,Tab_Def_Flows[Name(EN)],Tab_Def_Flows[CC?],,0,)</f>
        <v>Yes</v>
      </c>
      <c r="M19" s="50">
        <v>1937</v>
      </c>
      <c r="N19" s="50"/>
      <c r="O19" s="108">
        <v>64.400000000000006</v>
      </c>
      <c r="P19" s="50" t="s">
        <v>85</v>
      </c>
      <c r="Q19" s="50"/>
      <c r="R19" s="50" t="e">
        <f>INDEX(Tab_WC_DM_CC[[Flow_ID]:[CC_source]],MATCH(Tab_Data_Flows[[#This Row],[Name(EN)]],Tab_WC_DM_CC[Name(EN)],0),12)</f>
        <v>#N/A</v>
      </c>
      <c r="S19" s="50" t="e">
        <f>MATCH(Tab_Data_Flows[[#This Row],[Name(EN)]],Tab_WC_DM_CC[Name(EN)],0)</f>
        <v>#N/A</v>
      </c>
      <c r="T19" s="50"/>
      <c r="U19" s="50"/>
      <c r="V19" s="50"/>
      <c r="W19" s="50"/>
      <c r="X19" s="50" t="s">
        <v>84</v>
      </c>
      <c r="Y19" s="50"/>
      <c r="Z19" s="50"/>
      <c r="AA19" s="80">
        <f t="shared" si="1"/>
        <v>64.400000000000006</v>
      </c>
      <c r="AB19" s="50" t="s">
        <v>85</v>
      </c>
      <c r="AC19" s="101">
        <f>INDEX(Tab_Def_Flows[[Flow_ID]:[CC_DM_source]],MATCH(Tab_Data_Flows[[#This Row],[Name(EN)]],Tab_Def_Flows[Name(EN)],0),14)</f>
        <v>0</v>
      </c>
      <c r="AD19" s="102">
        <f>IF(J19="Yes",AA19*Tab_Data_Flows[[#This Row],[WC_'[%']]],"N.A.")</f>
        <v>0</v>
      </c>
      <c r="AE19" s="58" t="str">
        <f>Tab_Data_Flows[[#This Row],[UoM_Flow_Py]]</f>
        <v>Mg</v>
      </c>
      <c r="AF19" s="101">
        <f>INDEX(Tab_Def_Flows[[Flow_ID]:[CC_DM_source]],MATCH(Tab_Data_Flows[[#This Row],[Name(EN)]],Tab_Def_Flows[Name(EN)],0),16)</f>
        <v>1</v>
      </c>
      <c r="AG19" s="102">
        <f>IF(K19="Yes",AF19*Tab_Data_Flows[[#This Row],[Flow_Py]],"N.A.")</f>
        <v>64.400000000000006</v>
      </c>
      <c r="AH19" s="58" t="str">
        <f>Tab_Data_Flows[[#This Row],[UoM_Flow_Py]]</f>
        <v>Mg</v>
      </c>
      <c r="AI19" s="101">
        <f>INDEX(Tab_Def_Flows[[Flow_ID]:[CC_DM_source]],MATCH(Tab_Data_Flows[[#This Row],[Name(EN)]],Tab_Def_Flows[Name(EN)],0),18)</f>
        <v>0.5</v>
      </c>
      <c r="AJ19" s="102">
        <f>IF(L19="Yes",AI19*Tab_Data_Flows[[#This Row],[Flow_Py]]*Tab_Data_Flows[[#This Row],[DM_'[%']]],"N.A.")</f>
        <v>32.200000000000003</v>
      </c>
      <c r="AK19" s="58" t="str">
        <f>Tab_Data_Flows[[#This Row],[UoM_Flow_Py]]</f>
        <v>Mg</v>
      </c>
    </row>
    <row r="20" spans="1:37" x14ac:dyDescent="0.25">
      <c r="A20" s="57">
        <f t="shared" si="0"/>
        <v>19</v>
      </c>
      <c r="B20" s="48" t="str">
        <f>_xlfn.XLOOKUP(C20,Tab_Def_Flows[Name(EN)],Tab_Def_Flows[Flow_ID],,0,)</f>
        <v>F_00_01</v>
      </c>
      <c r="C20" s="50" t="s">
        <v>107</v>
      </c>
      <c r="D20" s="48">
        <f>_xlfn.XLOOKUP(C20,Tab_Def_Flows[Name(EN)],Tab_Def_Flows[Type_Biomass],,0,)</f>
        <v>0</v>
      </c>
      <c r="E20" s="48" t="str">
        <f>_xlfn.XLOOKUP(C20,Tab_Def_Flows[Name(EN)],Tab_Def_Flows[Output_Process],,0,)</f>
        <v>Biosphere</v>
      </c>
      <c r="F20" s="48" t="str">
        <f>_xlfn.XLOOKUP(C20,Tab_Def_Flows[Name(EN)],Tab_Def_Flows[Process_ID_O],,0,)</f>
        <v>00_Bio_</v>
      </c>
      <c r="G20" s="48" t="str">
        <f>_xlfn.XLOOKUP(C20,Tab_Def_Flows[Name(EN)],Tab_Def_Flows[Input_Process],,0,)</f>
        <v>Raw Material Extraction</v>
      </c>
      <c r="H20" s="58" t="str">
        <f>_xlfn.XLOOKUP(C20,Tab_Def_Flows[Name(EN)],Tab_Def_Flows[Process_ID_I],,0,)</f>
        <v>01_Raw_</v>
      </c>
      <c r="I20" s="48">
        <f>_xlfn.XLOOKUP(C20,Tab_Def_Flows[Name(EN)],Tab_Def_Flows[Value_Source],,0,)</f>
        <v>0</v>
      </c>
      <c r="J20" s="48" t="str">
        <f>_xlfn.XLOOKUP(C20,Tab_Def_Flows[Name(EN)],Tab_Def_Flows[WC?],,0,)</f>
        <v>Yes</v>
      </c>
      <c r="K20" s="48" t="str">
        <f>_xlfn.XLOOKUP(C20,Tab_Def_Flows[Name(EN)],Tab_Def_Flows[DM?],,0,)</f>
        <v>Yes</v>
      </c>
      <c r="L20" s="48" t="str">
        <f>_xlfn.XLOOKUP(C20,Tab_Def_Flows[Name(EN)],Tab_Def_Flows[CC?],,0,)</f>
        <v>Yes</v>
      </c>
      <c r="M20" s="50">
        <v>1938</v>
      </c>
      <c r="N20" s="50"/>
      <c r="O20" s="108">
        <v>83.6</v>
      </c>
      <c r="P20" s="50" t="s">
        <v>85</v>
      </c>
      <c r="Q20" s="50"/>
      <c r="R20" s="50" t="e">
        <f>INDEX(Tab_WC_DM_CC[[Flow_ID]:[CC_source]],MATCH(Tab_Data_Flows[[#This Row],[Name(EN)]],Tab_WC_DM_CC[Name(EN)],0),12)</f>
        <v>#N/A</v>
      </c>
      <c r="S20" s="50" t="e">
        <f>MATCH(Tab_Data_Flows[[#This Row],[Name(EN)]],Tab_WC_DM_CC[Name(EN)],0)</f>
        <v>#N/A</v>
      </c>
      <c r="T20" s="50"/>
      <c r="U20" s="50"/>
      <c r="V20" s="50"/>
      <c r="W20" s="50"/>
      <c r="X20" s="50" t="s">
        <v>84</v>
      </c>
      <c r="Y20" s="50"/>
      <c r="Z20" s="50"/>
      <c r="AA20" s="80">
        <f t="shared" si="1"/>
        <v>83.6</v>
      </c>
      <c r="AB20" s="50" t="s">
        <v>85</v>
      </c>
      <c r="AC20" s="101">
        <f>INDEX(Tab_Def_Flows[[Flow_ID]:[CC_DM_source]],MATCH(Tab_Data_Flows[[#This Row],[Name(EN)]],Tab_Def_Flows[Name(EN)],0),14)</f>
        <v>0</v>
      </c>
      <c r="AD20" s="102">
        <f>IF(J20="Yes",AA20*Tab_Data_Flows[[#This Row],[WC_'[%']]],"N.A.")</f>
        <v>0</v>
      </c>
      <c r="AE20" s="58" t="str">
        <f>Tab_Data_Flows[[#This Row],[UoM_Flow_Py]]</f>
        <v>Mg</v>
      </c>
      <c r="AF20" s="101">
        <f>INDEX(Tab_Def_Flows[[Flow_ID]:[CC_DM_source]],MATCH(Tab_Data_Flows[[#This Row],[Name(EN)]],Tab_Def_Flows[Name(EN)],0),16)</f>
        <v>1</v>
      </c>
      <c r="AG20" s="102">
        <f>IF(K20="Yes",AF20*Tab_Data_Flows[[#This Row],[Flow_Py]],"N.A.")</f>
        <v>83.6</v>
      </c>
      <c r="AH20" s="58" t="str">
        <f>Tab_Data_Flows[[#This Row],[UoM_Flow_Py]]</f>
        <v>Mg</v>
      </c>
      <c r="AI20" s="101">
        <f>INDEX(Tab_Def_Flows[[Flow_ID]:[CC_DM_source]],MATCH(Tab_Data_Flows[[#This Row],[Name(EN)]],Tab_Def_Flows[Name(EN)],0),18)</f>
        <v>0.5</v>
      </c>
      <c r="AJ20" s="102">
        <f>IF(L20="Yes",AI20*Tab_Data_Flows[[#This Row],[Flow_Py]]*Tab_Data_Flows[[#This Row],[DM_'[%']]],"N.A.")</f>
        <v>41.8</v>
      </c>
      <c r="AK20" s="58" t="str">
        <f>Tab_Data_Flows[[#This Row],[UoM_Flow_Py]]</f>
        <v>Mg</v>
      </c>
    </row>
    <row r="21" spans="1:37" x14ac:dyDescent="0.25">
      <c r="A21" s="57">
        <f t="shared" si="0"/>
        <v>20</v>
      </c>
      <c r="B21" s="48" t="str">
        <f>_xlfn.XLOOKUP(C21,Tab_Def_Flows[Name(EN)],Tab_Def_Flows[Flow_ID],,0,)</f>
        <v>F_00_01</v>
      </c>
      <c r="C21" s="50" t="s">
        <v>107</v>
      </c>
      <c r="D21" s="48">
        <f>_xlfn.XLOOKUP(C21,Tab_Def_Flows[Name(EN)],Tab_Def_Flows[Type_Biomass],,0,)</f>
        <v>0</v>
      </c>
      <c r="E21" s="48" t="str">
        <f>_xlfn.XLOOKUP(C21,Tab_Def_Flows[Name(EN)],Tab_Def_Flows[Output_Process],,0,)</f>
        <v>Biosphere</v>
      </c>
      <c r="F21" s="48" t="str">
        <f>_xlfn.XLOOKUP(C21,Tab_Def_Flows[Name(EN)],Tab_Def_Flows[Process_ID_O],,0,)</f>
        <v>00_Bio_</v>
      </c>
      <c r="G21" s="48" t="str">
        <f>_xlfn.XLOOKUP(C21,Tab_Def_Flows[Name(EN)],Tab_Def_Flows[Input_Process],,0,)</f>
        <v>Raw Material Extraction</v>
      </c>
      <c r="H21" s="58" t="str">
        <f>_xlfn.XLOOKUP(C21,Tab_Def_Flows[Name(EN)],Tab_Def_Flows[Process_ID_I],,0,)</f>
        <v>01_Raw_</v>
      </c>
      <c r="I21" s="48">
        <f>_xlfn.XLOOKUP(C21,Tab_Def_Flows[Name(EN)],Tab_Def_Flows[Value_Source],,0,)</f>
        <v>0</v>
      </c>
      <c r="J21" s="48" t="str">
        <f>_xlfn.XLOOKUP(C21,Tab_Def_Flows[Name(EN)],Tab_Def_Flows[WC?],,0,)</f>
        <v>Yes</v>
      </c>
      <c r="K21" s="48" t="str">
        <f>_xlfn.XLOOKUP(C21,Tab_Def_Flows[Name(EN)],Tab_Def_Flows[DM?],,0,)</f>
        <v>Yes</v>
      </c>
      <c r="L21" s="48" t="str">
        <f>_xlfn.XLOOKUP(C21,Tab_Def_Flows[Name(EN)],Tab_Def_Flows[CC?],,0,)</f>
        <v>Yes</v>
      </c>
      <c r="M21" s="50">
        <v>1939</v>
      </c>
      <c r="N21" s="50"/>
      <c r="O21" s="108">
        <v>19.2</v>
      </c>
      <c r="P21" s="50" t="s">
        <v>85</v>
      </c>
      <c r="Q21" s="50"/>
      <c r="R21" s="50" t="e">
        <f>INDEX(Tab_WC_DM_CC[[Flow_ID]:[CC_source]],MATCH(Tab_Data_Flows[[#This Row],[Name(EN)]],Tab_WC_DM_CC[Name(EN)],0),12)</f>
        <v>#N/A</v>
      </c>
      <c r="S21" s="50" t="e">
        <f>MATCH(Tab_Data_Flows[[#This Row],[Name(EN)]],Tab_WC_DM_CC[Name(EN)],0)</f>
        <v>#N/A</v>
      </c>
      <c r="T21" s="50"/>
      <c r="U21" s="50"/>
      <c r="V21" s="50"/>
      <c r="W21" s="50"/>
      <c r="X21" s="50" t="s">
        <v>84</v>
      </c>
      <c r="Y21" s="50"/>
      <c r="Z21" s="50"/>
      <c r="AA21" s="80">
        <f t="shared" si="1"/>
        <v>19.2</v>
      </c>
      <c r="AB21" s="50" t="s">
        <v>85</v>
      </c>
      <c r="AC21" s="101">
        <f>INDEX(Tab_Def_Flows[[Flow_ID]:[CC_DM_source]],MATCH(Tab_Data_Flows[[#This Row],[Name(EN)]],Tab_Def_Flows[Name(EN)],0),14)</f>
        <v>0</v>
      </c>
      <c r="AD21" s="102">
        <f>IF(J21="Yes",AA21*Tab_Data_Flows[[#This Row],[WC_'[%']]],"N.A.")</f>
        <v>0</v>
      </c>
      <c r="AE21" s="58" t="str">
        <f>Tab_Data_Flows[[#This Row],[UoM_Flow_Py]]</f>
        <v>Mg</v>
      </c>
      <c r="AF21" s="101">
        <f>INDEX(Tab_Def_Flows[[Flow_ID]:[CC_DM_source]],MATCH(Tab_Data_Flows[[#This Row],[Name(EN)]],Tab_Def_Flows[Name(EN)],0),16)</f>
        <v>1</v>
      </c>
      <c r="AG21" s="102">
        <f>IF(K21="Yes",AF21*Tab_Data_Flows[[#This Row],[Flow_Py]],"N.A.")</f>
        <v>19.2</v>
      </c>
      <c r="AH21" s="58" t="str">
        <f>Tab_Data_Flows[[#This Row],[UoM_Flow_Py]]</f>
        <v>Mg</v>
      </c>
      <c r="AI21" s="101">
        <f>INDEX(Tab_Def_Flows[[Flow_ID]:[CC_DM_source]],MATCH(Tab_Data_Flows[[#This Row],[Name(EN)]],Tab_Def_Flows[Name(EN)],0),18)</f>
        <v>0.5</v>
      </c>
      <c r="AJ21" s="102">
        <f>IF(L21="Yes",AI21*Tab_Data_Flows[[#This Row],[Flow_Py]]*Tab_Data_Flows[[#This Row],[DM_'[%']]],"N.A.")</f>
        <v>9.6</v>
      </c>
      <c r="AK21" s="58" t="str">
        <f>Tab_Data_Flows[[#This Row],[UoM_Flow_Py]]</f>
        <v>Mg</v>
      </c>
    </row>
    <row r="22" spans="1:37" x14ac:dyDescent="0.25">
      <c r="A22" s="57">
        <f t="shared" si="0"/>
        <v>21</v>
      </c>
      <c r="B22" s="48" t="str">
        <f>_xlfn.XLOOKUP(C22,Tab_Def_Flows[Name(EN)],Tab_Def_Flows[Flow_ID],,0,)</f>
        <v>F_00_01</v>
      </c>
      <c r="C22" s="50" t="s">
        <v>107</v>
      </c>
      <c r="D22" s="48">
        <f>_xlfn.XLOOKUP(C22,Tab_Def_Flows[Name(EN)],Tab_Def_Flows[Type_Biomass],,0,)</f>
        <v>0</v>
      </c>
      <c r="E22" s="48" t="str">
        <f>_xlfn.XLOOKUP(C22,Tab_Def_Flows[Name(EN)],Tab_Def_Flows[Output_Process],,0,)</f>
        <v>Biosphere</v>
      </c>
      <c r="F22" s="48" t="str">
        <f>_xlfn.XLOOKUP(C22,Tab_Def_Flows[Name(EN)],Tab_Def_Flows[Process_ID_O],,0,)</f>
        <v>00_Bio_</v>
      </c>
      <c r="G22" s="48" t="str">
        <f>_xlfn.XLOOKUP(C22,Tab_Def_Flows[Name(EN)],Tab_Def_Flows[Input_Process],,0,)</f>
        <v>Raw Material Extraction</v>
      </c>
      <c r="H22" s="58" t="str">
        <f>_xlfn.XLOOKUP(C22,Tab_Def_Flows[Name(EN)],Tab_Def_Flows[Process_ID_I],,0,)</f>
        <v>01_Raw_</v>
      </c>
      <c r="I22" s="48">
        <f>_xlfn.XLOOKUP(C22,Tab_Def_Flows[Name(EN)],Tab_Def_Flows[Value_Source],,0,)</f>
        <v>0</v>
      </c>
      <c r="J22" s="48" t="str">
        <f>_xlfn.XLOOKUP(C22,Tab_Def_Flows[Name(EN)],Tab_Def_Flows[WC?],,0,)</f>
        <v>Yes</v>
      </c>
      <c r="K22" s="48" t="str">
        <f>_xlfn.XLOOKUP(C22,Tab_Def_Flows[Name(EN)],Tab_Def_Flows[DM?],,0,)</f>
        <v>Yes</v>
      </c>
      <c r="L22" s="48" t="str">
        <f>_xlfn.XLOOKUP(C22,Tab_Def_Flows[Name(EN)],Tab_Def_Flows[CC?],,0,)</f>
        <v>Yes</v>
      </c>
      <c r="M22" s="50">
        <v>1940</v>
      </c>
      <c r="N22" s="50"/>
      <c r="O22" s="108">
        <v>45</v>
      </c>
      <c r="P22" s="50" t="s">
        <v>85</v>
      </c>
      <c r="Q22" s="50"/>
      <c r="R22" s="50" t="e">
        <f>INDEX(Tab_WC_DM_CC[[Flow_ID]:[CC_source]],MATCH(Tab_Data_Flows[[#This Row],[Name(EN)]],Tab_WC_DM_CC[Name(EN)],0),12)</f>
        <v>#N/A</v>
      </c>
      <c r="S22" s="50" t="e">
        <f>MATCH(Tab_Data_Flows[[#This Row],[Name(EN)]],Tab_WC_DM_CC[Name(EN)],0)</f>
        <v>#N/A</v>
      </c>
      <c r="T22" s="50"/>
      <c r="U22" s="50"/>
      <c r="V22" s="50"/>
      <c r="W22" s="50"/>
      <c r="X22" s="50" t="s">
        <v>84</v>
      </c>
      <c r="Y22" s="50"/>
      <c r="Z22" s="50"/>
      <c r="AA22" s="80">
        <f t="shared" si="1"/>
        <v>45</v>
      </c>
      <c r="AB22" s="50" t="s">
        <v>85</v>
      </c>
      <c r="AC22" s="101">
        <f>INDEX(Tab_Def_Flows[[Flow_ID]:[CC_DM_source]],MATCH(Tab_Data_Flows[[#This Row],[Name(EN)]],Tab_Def_Flows[Name(EN)],0),14)</f>
        <v>0</v>
      </c>
      <c r="AD22" s="102">
        <f>IF(J22="Yes",AA22*Tab_Data_Flows[[#This Row],[WC_'[%']]],"N.A.")</f>
        <v>0</v>
      </c>
      <c r="AE22" s="58" t="str">
        <f>Tab_Data_Flows[[#This Row],[UoM_Flow_Py]]</f>
        <v>Mg</v>
      </c>
      <c r="AF22" s="101">
        <f>INDEX(Tab_Def_Flows[[Flow_ID]:[CC_DM_source]],MATCH(Tab_Data_Flows[[#This Row],[Name(EN)]],Tab_Def_Flows[Name(EN)],0),16)</f>
        <v>1</v>
      </c>
      <c r="AG22" s="102">
        <f>IF(K22="Yes",AF22*Tab_Data_Flows[[#This Row],[Flow_Py]],"N.A.")</f>
        <v>45</v>
      </c>
      <c r="AH22" s="58" t="str">
        <f>Tab_Data_Flows[[#This Row],[UoM_Flow_Py]]</f>
        <v>Mg</v>
      </c>
      <c r="AI22" s="101">
        <f>INDEX(Tab_Def_Flows[[Flow_ID]:[CC_DM_source]],MATCH(Tab_Data_Flows[[#This Row],[Name(EN)]],Tab_Def_Flows[Name(EN)],0),18)</f>
        <v>0.5</v>
      </c>
      <c r="AJ22" s="102">
        <f>IF(L22="Yes",AI22*Tab_Data_Flows[[#This Row],[Flow_Py]]*Tab_Data_Flows[[#This Row],[DM_'[%']]],"N.A.")</f>
        <v>22.5</v>
      </c>
      <c r="AK22" s="58" t="str">
        <f>Tab_Data_Flows[[#This Row],[UoM_Flow_Py]]</f>
        <v>Mg</v>
      </c>
    </row>
    <row r="23" spans="1:37" x14ac:dyDescent="0.25">
      <c r="A23" s="57">
        <f t="shared" si="0"/>
        <v>22</v>
      </c>
      <c r="B23" s="48" t="str">
        <f>_xlfn.XLOOKUP(C23,Tab_Def_Flows[Name(EN)],Tab_Def_Flows[Flow_ID],,0,)</f>
        <v>F_00_01</v>
      </c>
      <c r="C23" s="50" t="s">
        <v>107</v>
      </c>
      <c r="D23" s="48">
        <f>_xlfn.XLOOKUP(C23,Tab_Def_Flows[Name(EN)],Tab_Def_Flows[Type_Biomass],,0,)</f>
        <v>0</v>
      </c>
      <c r="E23" s="48" t="str">
        <f>_xlfn.XLOOKUP(C23,Tab_Def_Flows[Name(EN)],Tab_Def_Flows[Output_Process],,0,)</f>
        <v>Biosphere</v>
      </c>
      <c r="F23" s="48" t="str">
        <f>_xlfn.XLOOKUP(C23,Tab_Def_Flows[Name(EN)],Tab_Def_Flows[Process_ID_O],,0,)</f>
        <v>00_Bio_</v>
      </c>
      <c r="G23" s="48" t="str">
        <f>_xlfn.XLOOKUP(C23,Tab_Def_Flows[Name(EN)],Tab_Def_Flows[Input_Process],,0,)</f>
        <v>Raw Material Extraction</v>
      </c>
      <c r="H23" s="58" t="str">
        <f>_xlfn.XLOOKUP(C23,Tab_Def_Flows[Name(EN)],Tab_Def_Flows[Process_ID_I],,0,)</f>
        <v>01_Raw_</v>
      </c>
      <c r="I23" s="48">
        <f>_xlfn.XLOOKUP(C23,Tab_Def_Flows[Name(EN)],Tab_Def_Flows[Value_Source],,0,)</f>
        <v>0</v>
      </c>
      <c r="J23" s="48" t="str">
        <f>_xlfn.XLOOKUP(C23,Tab_Def_Flows[Name(EN)],Tab_Def_Flows[WC?],,0,)</f>
        <v>Yes</v>
      </c>
      <c r="K23" s="48" t="str">
        <f>_xlfn.XLOOKUP(C23,Tab_Def_Flows[Name(EN)],Tab_Def_Flows[DM?],,0,)</f>
        <v>Yes</v>
      </c>
      <c r="L23" s="48" t="str">
        <f>_xlfn.XLOOKUP(C23,Tab_Def_Flows[Name(EN)],Tab_Def_Flows[CC?],,0,)</f>
        <v>Yes</v>
      </c>
      <c r="M23" s="50">
        <v>1941</v>
      </c>
      <c r="N23" s="50"/>
      <c r="O23" s="108">
        <v>32.200000000000003</v>
      </c>
      <c r="P23" s="50" t="s">
        <v>85</v>
      </c>
      <c r="Q23" s="50"/>
      <c r="R23" s="50" t="e">
        <f>INDEX(Tab_WC_DM_CC[[Flow_ID]:[CC_source]],MATCH(Tab_Data_Flows[[#This Row],[Name(EN)]],Tab_WC_DM_CC[Name(EN)],0),12)</f>
        <v>#N/A</v>
      </c>
      <c r="S23" s="50" t="e">
        <f>MATCH(Tab_Data_Flows[[#This Row],[Name(EN)]],Tab_WC_DM_CC[Name(EN)],0)</f>
        <v>#N/A</v>
      </c>
      <c r="T23" s="50"/>
      <c r="U23" s="50"/>
      <c r="V23" s="50"/>
      <c r="W23" s="50"/>
      <c r="X23" s="50" t="s">
        <v>84</v>
      </c>
      <c r="Y23" s="50"/>
      <c r="Z23" s="50"/>
      <c r="AA23" s="80">
        <f t="shared" si="1"/>
        <v>32.200000000000003</v>
      </c>
      <c r="AB23" s="50" t="s">
        <v>85</v>
      </c>
      <c r="AC23" s="101">
        <f>INDEX(Tab_Def_Flows[[Flow_ID]:[CC_DM_source]],MATCH(Tab_Data_Flows[[#This Row],[Name(EN)]],Tab_Def_Flows[Name(EN)],0),14)</f>
        <v>0</v>
      </c>
      <c r="AD23" s="102">
        <f>IF(J23="Yes",AA23*Tab_Data_Flows[[#This Row],[WC_'[%']]],"N.A.")</f>
        <v>0</v>
      </c>
      <c r="AE23" s="58" t="str">
        <f>Tab_Data_Flows[[#This Row],[UoM_Flow_Py]]</f>
        <v>Mg</v>
      </c>
      <c r="AF23" s="101">
        <f>INDEX(Tab_Def_Flows[[Flow_ID]:[CC_DM_source]],MATCH(Tab_Data_Flows[[#This Row],[Name(EN)]],Tab_Def_Flows[Name(EN)],0),16)</f>
        <v>1</v>
      </c>
      <c r="AG23" s="102">
        <f>IF(K23="Yes",AF23*Tab_Data_Flows[[#This Row],[Flow_Py]],"N.A.")</f>
        <v>32.200000000000003</v>
      </c>
      <c r="AH23" s="58" t="str">
        <f>Tab_Data_Flows[[#This Row],[UoM_Flow_Py]]</f>
        <v>Mg</v>
      </c>
      <c r="AI23" s="101">
        <f>INDEX(Tab_Def_Flows[[Flow_ID]:[CC_DM_source]],MATCH(Tab_Data_Flows[[#This Row],[Name(EN)]],Tab_Def_Flows[Name(EN)],0),18)</f>
        <v>0.5</v>
      </c>
      <c r="AJ23" s="102">
        <f>IF(L23="Yes",AI23*Tab_Data_Flows[[#This Row],[Flow_Py]]*Tab_Data_Flows[[#This Row],[DM_'[%']]],"N.A.")</f>
        <v>16.100000000000001</v>
      </c>
      <c r="AK23" s="58" t="str">
        <f>Tab_Data_Flows[[#This Row],[UoM_Flow_Py]]</f>
        <v>Mg</v>
      </c>
    </row>
    <row r="24" spans="1:37" x14ac:dyDescent="0.25">
      <c r="A24" s="57">
        <f t="shared" si="0"/>
        <v>23</v>
      </c>
      <c r="B24" s="48" t="str">
        <f>_xlfn.XLOOKUP(C24,Tab_Def_Flows[Name(EN)],Tab_Def_Flows[Flow_ID],,0,)</f>
        <v>F_00_01</v>
      </c>
      <c r="C24" s="50" t="s">
        <v>107</v>
      </c>
      <c r="D24" s="48">
        <f>_xlfn.XLOOKUP(C24,Tab_Def_Flows[Name(EN)],Tab_Def_Flows[Type_Biomass],,0,)</f>
        <v>0</v>
      </c>
      <c r="E24" s="48" t="str">
        <f>_xlfn.XLOOKUP(C24,Tab_Def_Flows[Name(EN)],Tab_Def_Flows[Output_Process],,0,)</f>
        <v>Biosphere</v>
      </c>
      <c r="F24" s="48" t="str">
        <f>_xlfn.XLOOKUP(C24,Tab_Def_Flows[Name(EN)],Tab_Def_Flows[Process_ID_O],,0,)</f>
        <v>00_Bio_</v>
      </c>
      <c r="G24" s="48" t="str">
        <f>_xlfn.XLOOKUP(C24,Tab_Def_Flows[Name(EN)],Tab_Def_Flows[Input_Process],,0,)</f>
        <v>Raw Material Extraction</v>
      </c>
      <c r="H24" s="58" t="str">
        <f>_xlfn.XLOOKUP(C24,Tab_Def_Flows[Name(EN)],Tab_Def_Flows[Process_ID_I],,0,)</f>
        <v>01_Raw_</v>
      </c>
      <c r="I24" s="48">
        <f>_xlfn.XLOOKUP(C24,Tab_Def_Flows[Name(EN)],Tab_Def_Flows[Value_Source],,0,)</f>
        <v>0</v>
      </c>
      <c r="J24" s="48" t="str">
        <f>_xlfn.XLOOKUP(C24,Tab_Def_Flows[Name(EN)],Tab_Def_Flows[WC?],,0,)</f>
        <v>Yes</v>
      </c>
      <c r="K24" s="48" t="str">
        <f>_xlfn.XLOOKUP(C24,Tab_Def_Flows[Name(EN)],Tab_Def_Flows[DM?],,0,)</f>
        <v>Yes</v>
      </c>
      <c r="L24" s="48" t="str">
        <f>_xlfn.XLOOKUP(C24,Tab_Def_Flows[Name(EN)],Tab_Def_Flows[CC?],,0,)</f>
        <v>Yes</v>
      </c>
      <c r="M24" s="50">
        <v>1942</v>
      </c>
      <c r="N24" s="50"/>
      <c r="O24" s="108">
        <v>0</v>
      </c>
      <c r="P24" s="50" t="s">
        <v>85</v>
      </c>
      <c r="Q24" s="50"/>
      <c r="R24" s="50" t="e">
        <f>INDEX(Tab_WC_DM_CC[[Flow_ID]:[CC_source]],MATCH(Tab_Data_Flows[[#This Row],[Name(EN)]],Tab_WC_DM_CC[Name(EN)],0),12)</f>
        <v>#N/A</v>
      </c>
      <c r="S24" s="50" t="e">
        <f>MATCH(Tab_Data_Flows[[#This Row],[Name(EN)]],Tab_WC_DM_CC[Name(EN)],0)</f>
        <v>#N/A</v>
      </c>
      <c r="T24" s="50"/>
      <c r="U24" s="50"/>
      <c r="V24" s="50"/>
      <c r="W24" s="50"/>
      <c r="X24" s="50" t="s">
        <v>84</v>
      </c>
      <c r="Y24" s="50"/>
      <c r="Z24" s="50"/>
      <c r="AA24" s="80">
        <f t="shared" si="1"/>
        <v>0</v>
      </c>
      <c r="AB24" s="50" t="s">
        <v>85</v>
      </c>
      <c r="AC24" s="101">
        <f>INDEX(Tab_Def_Flows[[Flow_ID]:[CC_DM_source]],MATCH(Tab_Data_Flows[[#This Row],[Name(EN)]],Tab_Def_Flows[Name(EN)],0),14)</f>
        <v>0</v>
      </c>
      <c r="AD24" s="102">
        <f>IF(J24="Yes",AA24*Tab_Data_Flows[[#This Row],[WC_'[%']]],"N.A.")</f>
        <v>0</v>
      </c>
      <c r="AE24" s="58" t="str">
        <f>Tab_Data_Flows[[#This Row],[UoM_Flow_Py]]</f>
        <v>Mg</v>
      </c>
      <c r="AF24" s="101">
        <f>INDEX(Tab_Def_Flows[[Flow_ID]:[CC_DM_source]],MATCH(Tab_Data_Flows[[#This Row],[Name(EN)]],Tab_Def_Flows[Name(EN)],0),16)</f>
        <v>1</v>
      </c>
      <c r="AG24" s="102">
        <f>IF(K24="Yes",AF24*Tab_Data_Flows[[#This Row],[Flow_Py]],"N.A.")</f>
        <v>0</v>
      </c>
      <c r="AH24" s="58" t="str">
        <f>Tab_Data_Flows[[#This Row],[UoM_Flow_Py]]</f>
        <v>Mg</v>
      </c>
      <c r="AI24" s="101">
        <f>INDEX(Tab_Def_Flows[[Flow_ID]:[CC_DM_source]],MATCH(Tab_Data_Flows[[#This Row],[Name(EN)]],Tab_Def_Flows[Name(EN)],0),18)</f>
        <v>0.5</v>
      </c>
      <c r="AJ24" s="102">
        <f>IF(L24="Yes",AI24*Tab_Data_Flows[[#This Row],[Flow_Py]]*Tab_Data_Flows[[#This Row],[DM_'[%']]],"N.A.")</f>
        <v>0</v>
      </c>
      <c r="AK24" s="58" t="str">
        <f>Tab_Data_Flows[[#This Row],[UoM_Flow_Py]]</f>
        <v>Mg</v>
      </c>
    </row>
    <row r="25" spans="1:37" x14ac:dyDescent="0.25">
      <c r="A25" s="57">
        <f t="shared" si="0"/>
        <v>24</v>
      </c>
      <c r="B25" s="48" t="str">
        <f>_xlfn.XLOOKUP(C25,Tab_Def_Flows[Name(EN)],Tab_Def_Flows[Flow_ID],,0,)</f>
        <v>F_00_01</v>
      </c>
      <c r="C25" s="50" t="s">
        <v>107</v>
      </c>
      <c r="D25" s="48">
        <f>_xlfn.XLOOKUP(C25,Tab_Def_Flows[Name(EN)],Tab_Def_Flows[Type_Biomass],,0,)</f>
        <v>0</v>
      </c>
      <c r="E25" s="48" t="str">
        <f>_xlfn.XLOOKUP(C25,Tab_Def_Flows[Name(EN)],Tab_Def_Flows[Output_Process],,0,)</f>
        <v>Biosphere</v>
      </c>
      <c r="F25" s="48" t="str">
        <f>_xlfn.XLOOKUP(C25,Tab_Def_Flows[Name(EN)],Tab_Def_Flows[Process_ID_O],,0,)</f>
        <v>00_Bio_</v>
      </c>
      <c r="G25" s="48" t="str">
        <f>_xlfn.XLOOKUP(C25,Tab_Def_Flows[Name(EN)],Tab_Def_Flows[Input_Process],,0,)</f>
        <v>Raw Material Extraction</v>
      </c>
      <c r="H25" s="58" t="str">
        <f>_xlfn.XLOOKUP(C25,Tab_Def_Flows[Name(EN)],Tab_Def_Flows[Process_ID_I],,0,)</f>
        <v>01_Raw_</v>
      </c>
      <c r="I25" s="48">
        <f>_xlfn.XLOOKUP(C25,Tab_Def_Flows[Name(EN)],Tab_Def_Flows[Value_Source],,0,)</f>
        <v>0</v>
      </c>
      <c r="J25" s="48" t="str">
        <f>_xlfn.XLOOKUP(C25,Tab_Def_Flows[Name(EN)],Tab_Def_Flows[WC?],,0,)</f>
        <v>Yes</v>
      </c>
      <c r="K25" s="48" t="str">
        <f>_xlfn.XLOOKUP(C25,Tab_Def_Flows[Name(EN)],Tab_Def_Flows[DM?],,0,)</f>
        <v>Yes</v>
      </c>
      <c r="L25" s="48" t="str">
        <f>_xlfn.XLOOKUP(C25,Tab_Def_Flows[Name(EN)],Tab_Def_Flows[CC?],,0,)</f>
        <v>Yes</v>
      </c>
      <c r="M25" s="50">
        <v>1943</v>
      </c>
      <c r="N25" s="50"/>
      <c r="O25" s="108">
        <v>0</v>
      </c>
      <c r="P25" s="50" t="s">
        <v>85</v>
      </c>
      <c r="Q25" s="50"/>
      <c r="R25" s="50" t="e">
        <f>INDEX(Tab_WC_DM_CC[[Flow_ID]:[CC_source]],MATCH(Tab_Data_Flows[[#This Row],[Name(EN)]],Tab_WC_DM_CC[Name(EN)],0),12)</f>
        <v>#N/A</v>
      </c>
      <c r="S25" s="50" t="e">
        <f>MATCH(Tab_Data_Flows[[#This Row],[Name(EN)]],Tab_WC_DM_CC[Name(EN)],0)</f>
        <v>#N/A</v>
      </c>
      <c r="T25" s="50"/>
      <c r="U25" s="50"/>
      <c r="V25" s="50"/>
      <c r="W25" s="50"/>
      <c r="X25" s="50" t="s">
        <v>84</v>
      </c>
      <c r="Y25" s="50"/>
      <c r="Z25" s="50"/>
      <c r="AA25" s="80">
        <f t="shared" si="1"/>
        <v>0</v>
      </c>
      <c r="AB25" s="50" t="s">
        <v>85</v>
      </c>
      <c r="AC25" s="101">
        <f>INDEX(Tab_Def_Flows[[Flow_ID]:[CC_DM_source]],MATCH(Tab_Data_Flows[[#This Row],[Name(EN)]],Tab_Def_Flows[Name(EN)],0),14)</f>
        <v>0</v>
      </c>
      <c r="AD25" s="102">
        <f>IF(J25="Yes",AA25*Tab_Data_Flows[[#This Row],[WC_'[%']]],"N.A.")</f>
        <v>0</v>
      </c>
      <c r="AE25" s="58" t="str">
        <f>Tab_Data_Flows[[#This Row],[UoM_Flow_Py]]</f>
        <v>Mg</v>
      </c>
      <c r="AF25" s="101">
        <f>INDEX(Tab_Def_Flows[[Flow_ID]:[CC_DM_source]],MATCH(Tab_Data_Flows[[#This Row],[Name(EN)]],Tab_Def_Flows[Name(EN)],0),16)</f>
        <v>1</v>
      </c>
      <c r="AG25" s="102">
        <f>IF(K25="Yes",AF25*Tab_Data_Flows[[#This Row],[Flow_Py]],"N.A.")</f>
        <v>0</v>
      </c>
      <c r="AH25" s="58" t="str">
        <f>Tab_Data_Flows[[#This Row],[UoM_Flow_Py]]</f>
        <v>Mg</v>
      </c>
      <c r="AI25" s="101">
        <f>INDEX(Tab_Def_Flows[[Flow_ID]:[CC_DM_source]],MATCH(Tab_Data_Flows[[#This Row],[Name(EN)]],Tab_Def_Flows[Name(EN)],0),18)</f>
        <v>0.5</v>
      </c>
      <c r="AJ25" s="102">
        <f>IF(L25="Yes",AI25*Tab_Data_Flows[[#This Row],[Flow_Py]]*Tab_Data_Flows[[#This Row],[DM_'[%']]],"N.A.")</f>
        <v>0</v>
      </c>
      <c r="AK25" s="58" t="str">
        <f>Tab_Data_Flows[[#This Row],[UoM_Flow_Py]]</f>
        <v>Mg</v>
      </c>
    </row>
    <row r="26" spans="1:37" x14ac:dyDescent="0.25">
      <c r="A26" s="57">
        <f t="shared" si="0"/>
        <v>25</v>
      </c>
      <c r="B26" s="48" t="str">
        <f>_xlfn.XLOOKUP(C26,Tab_Def_Flows[Name(EN)],Tab_Def_Flows[Flow_ID],,0,)</f>
        <v>F_00_01</v>
      </c>
      <c r="C26" s="50" t="s">
        <v>107</v>
      </c>
      <c r="D26" s="48">
        <f>_xlfn.XLOOKUP(C26,Tab_Def_Flows[Name(EN)],Tab_Def_Flows[Type_Biomass],,0,)</f>
        <v>0</v>
      </c>
      <c r="E26" s="48" t="str">
        <f>_xlfn.XLOOKUP(C26,Tab_Def_Flows[Name(EN)],Tab_Def_Flows[Output_Process],,0,)</f>
        <v>Biosphere</v>
      </c>
      <c r="F26" s="48" t="str">
        <f>_xlfn.XLOOKUP(C26,Tab_Def_Flows[Name(EN)],Tab_Def_Flows[Process_ID_O],,0,)</f>
        <v>00_Bio_</v>
      </c>
      <c r="G26" s="48" t="str">
        <f>_xlfn.XLOOKUP(C26,Tab_Def_Flows[Name(EN)],Tab_Def_Flows[Input_Process],,0,)</f>
        <v>Raw Material Extraction</v>
      </c>
      <c r="H26" s="58" t="str">
        <f>_xlfn.XLOOKUP(C26,Tab_Def_Flows[Name(EN)],Tab_Def_Flows[Process_ID_I],,0,)</f>
        <v>01_Raw_</v>
      </c>
      <c r="I26" s="48">
        <f>_xlfn.XLOOKUP(C26,Tab_Def_Flows[Name(EN)],Tab_Def_Flows[Value_Source],,0,)</f>
        <v>0</v>
      </c>
      <c r="J26" s="48" t="str">
        <f>_xlfn.XLOOKUP(C26,Tab_Def_Flows[Name(EN)],Tab_Def_Flows[WC?],,0,)</f>
        <v>Yes</v>
      </c>
      <c r="K26" s="48" t="str">
        <f>_xlfn.XLOOKUP(C26,Tab_Def_Flows[Name(EN)],Tab_Def_Flows[DM?],,0,)</f>
        <v>Yes</v>
      </c>
      <c r="L26" s="48" t="str">
        <f>_xlfn.XLOOKUP(C26,Tab_Def_Flows[Name(EN)],Tab_Def_Flows[CC?],,0,)</f>
        <v>Yes</v>
      </c>
      <c r="M26" s="50">
        <v>1944</v>
      </c>
      <c r="N26" s="50"/>
      <c r="O26" s="108">
        <v>0</v>
      </c>
      <c r="P26" s="50" t="s">
        <v>85</v>
      </c>
      <c r="Q26" s="50"/>
      <c r="R26" s="50" t="e">
        <f>INDEX(Tab_WC_DM_CC[[Flow_ID]:[CC_source]],MATCH(Tab_Data_Flows[[#This Row],[Name(EN)]],Tab_WC_DM_CC[Name(EN)],0),12)</f>
        <v>#N/A</v>
      </c>
      <c r="S26" s="50" t="e">
        <f>MATCH(Tab_Data_Flows[[#This Row],[Name(EN)]],Tab_WC_DM_CC[Name(EN)],0)</f>
        <v>#N/A</v>
      </c>
      <c r="T26" s="50"/>
      <c r="U26" s="50"/>
      <c r="V26" s="50"/>
      <c r="W26" s="50"/>
      <c r="X26" s="50" t="s">
        <v>84</v>
      </c>
      <c r="Y26" s="50"/>
      <c r="Z26" s="50"/>
      <c r="AA26" s="80">
        <f t="shared" ref="AA26:AA64" si="2">IF(X26="no",O26,O26*Y26)</f>
        <v>0</v>
      </c>
      <c r="AB26" s="50" t="s">
        <v>85</v>
      </c>
      <c r="AC26" s="101">
        <f>INDEX(Tab_Def_Flows[[Flow_ID]:[CC_DM_source]],MATCH(Tab_Data_Flows[[#This Row],[Name(EN)]],Tab_Def_Flows[Name(EN)],0),14)</f>
        <v>0</v>
      </c>
      <c r="AD26" s="102">
        <f>IF(J26="Yes",AA26*Tab_Data_Flows[[#This Row],[WC_'[%']]],"N.A.")</f>
        <v>0</v>
      </c>
      <c r="AE26" s="58" t="str">
        <f>Tab_Data_Flows[[#This Row],[UoM_Flow_Py]]</f>
        <v>Mg</v>
      </c>
      <c r="AF26" s="101">
        <f>INDEX(Tab_Def_Flows[[Flow_ID]:[CC_DM_source]],MATCH(Tab_Data_Flows[[#This Row],[Name(EN)]],Tab_Def_Flows[Name(EN)],0),16)</f>
        <v>1</v>
      </c>
      <c r="AG26" s="102">
        <f>IF(K26="Yes",AF26*Tab_Data_Flows[[#This Row],[Flow_Py]],"N.A.")</f>
        <v>0</v>
      </c>
      <c r="AH26" s="58" t="str">
        <f>Tab_Data_Flows[[#This Row],[UoM_Flow_Py]]</f>
        <v>Mg</v>
      </c>
      <c r="AI26" s="101">
        <f>INDEX(Tab_Def_Flows[[Flow_ID]:[CC_DM_source]],MATCH(Tab_Data_Flows[[#This Row],[Name(EN)]],Tab_Def_Flows[Name(EN)],0),18)</f>
        <v>0.5</v>
      </c>
      <c r="AJ26" s="102">
        <f>IF(L26="Yes",AI26*Tab_Data_Flows[[#This Row],[Flow_Py]]*Tab_Data_Flows[[#This Row],[DM_'[%']]],"N.A.")</f>
        <v>0</v>
      </c>
      <c r="AK26" s="58" t="str">
        <f>Tab_Data_Flows[[#This Row],[UoM_Flow_Py]]</f>
        <v>Mg</v>
      </c>
    </row>
    <row r="27" spans="1:37" x14ac:dyDescent="0.25">
      <c r="A27" s="57">
        <f t="shared" si="0"/>
        <v>26</v>
      </c>
      <c r="B27" s="48" t="str">
        <f>_xlfn.XLOOKUP(C27,Tab_Def_Flows[Name(EN)],Tab_Def_Flows[Flow_ID],,0,)</f>
        <v>F_00_01</v>
      </c>
      <c r="C27" s="50" t="s">
        <v>107</v>
      </c>
      <c r="D27" s="48">
        <f>_xlfn.XLOOKUP(C27,Tab_Def_Flows[Name(EN)],Tab_Def_Flows[Type_Biomass],,0,)</f>
        <v>0</v>
      </c>
      <c r="E27" s="48" t="str">
        <f>_xlfn.XLOOKUP(C27,Tab_Def_Flows[Name(EN)],Tab_Def_Flows[Output_Process],,0,)</f>
        <v>Biosphere</v>
      </c>
      <c r="F27" s="48" t="str">
        <f>_xlfn.XLOOKUP(C27,Tab_Def_Flows[Name(EN)],Tab_Def_Flows[Process_ID_O],,0,)</f>
        <v>00_Bio_</v>
      </c>
      <c r="G27" s="48" t="str">
        <f>_xlfn.XLOOKUP(C27,Tab_Def_Flows[Name(EN)],Tab_Def_Flows[Input_Process],,0,)</f>
        <v>Raw Material Extraction</v>
      </c>
      <c r="H27" s="58" t="str">
        <f>_xlfn.XLOOKUP(C27,Tab_Def_Flows[Name(EN)],Tab_Def_Flows[Process_ID_I],,0,)</f>
        <v>01_Raw_</v>
      </c>
      <c r="I27" s="48">
        <f>_xlfn.XLOOKUP(C27,Tab_Def_Flows[Name(EN)],Tab_Def_Flows[Value_Source],,0,)</f>
        <v>0</v>
      </c>
      <c r="J27" s="48" t="str">
        <f>_xlfn.XLOOKUP(C27,Tab_Def_Flows[Name(EN)],Tab_Def_Flows[WC?],,0,)</f>
        <v>Yes</v>
      </c>
      <c r="K27" s="48" t="str">
        <f>_xlfn.XLOOKUP(C27,Tab_Def_Flows[Name(EN)],Tab_Def_Flows[DM?],,0,)</f>
        <v>Yes</v>
      </c>
      <c r="L27" s="48" t="str">
        <f>_xlfn.XLOOKUP(C27,Tab_Def_Flows[Name(EN)],Tab_Def_Flows[CC?],,0,)</f>
        <v>Yes</v>
      </c>
      <c r="M27" s="50">
        <v>1945</v>
      </c>
      <c r="N27" s="50"/>
      <c r="O27" s="108">
        <v>0</v>
      </c>
      <c r="P27" s="50" t="s">
        <v>85</v>
      </c>
      <c r="Q27" s="50"/>
      <c r="R27" s="50" t="e">
        <f>INDEX(Tab_WC_DM_CC[[Flow_ID]:[CC_source]],MATCH(Tab_Data_Flows[[#This Row],[Name(EN)]],Tab_WC_DM_CC[Name(EN)],0),12)</f>
        <v>#N/A</v>
      </c>
      <c r="S27" s="50" t="e">
        <f>MATCH(Tab_Data_Flows[[#This Row],[Name(EN)]],Tab_WC_DM_CC[Name(EN)],0)</f>
        <v>#N/A</v>
      </c>
      <c r="T27" s="50"/>
      <c r="U27" s="50"/>
      <c r="V27" s="50"/>
      <c r="W27" s="50"/>
      <c r="X27" s="50" t="s">
        <v>84</v>
      </c>
      <c r="Y27" s="50"/>
      <c r="Z27" s="50"/>
      <c r="AA27" s="80">
        <f t="shared" ref="AA27:AA52" si="3">IF(X27="no",O27,O27*Y27)</f>
        <v>0</v>
      </c>
      <c r="AB27" s="50" t="s">
        <v>85</v>
      </c>
      <c r="AC27" s="101">
        <f>INDEX(Tab_Def_Flows[[Flow_ID]:[CC_DM_source]],MATCH(Tab_Data_Flows[[#This Row],[Name(EN)]],Tab_Def_Flows[Name(EN)],0),14)</f>
        <v>0</v>
      </c>
      <c r="AD27" s="102">
        <f>IF(J27="Yes",AA27*Tab_Data_Flows[[#This Row],[WC_'[%']]],"N.A.")</f>
        <v>0</v>
      </c>
      <c r="AE27" s="58" t="str">
        <f>Tab_Data_Flows[[#This Row],[UoM_Flow_Py]]</f>
        <v>Mg</v>
      </c>
      <c r="AF27" s="101">
        <f>INDEX(Tab_Def_Flows[[Flow_ID]:[CC_DM_source]],MATCH(Tab_Data_Flows[[#This Row],[Name(EN)]],Tab_Def_Flows[Name(EN)],0),16)</f>
        <v>1</v>
      </c>
      <c r="AG27" s="102">
        <f>IF(K27="Yes",AF27*Tab_Data_Flows[[#This Row],[Flow_Py]],"N.A.")</f>
        <v>0</v>
      </c>
      <c r="AH27" s="58" t="str">
        <f>Tab_Data_Flows[[#This Row],[UoM_Flow_Py]]</f>
        <v>Mg</v>
      </c>
      <c r="AI27" s="101">
        <f>INDEX(Tab_Def_Flows[[Flow_ID]:[CC_DM_source]],MATCH(Tab_Data_Flows[[#This Row],[Name(EN)]],Tab_Def_Flows[Name(EN)],0),18)</f>
        <v>0.5</v>
      </c>
      <c r="AJ27" s="102">
        <f>IF(L27="Yes",AI27*Tab_Data_Flows[[#This Row],[Flow_Py]]*Tab_Data_Flows[[#This Row],[DM_'[%']]],"N.A.")</f>
        <v>0</v>
      </c>
      <c r="AK27" s="58" t="str">
        <f>Tab_Data_Flows[[#This Row],[UoM_Flow_Py]]</f>
        <v>Mg</v>
      </c>
    </row>
    <row r="28" spans="1:37" x14ac:dyDescent="0.25">
      <c r="A28" s="57">
        <f t="shared" si="0"/>
        <v>27</v>
      </c>
      <c r="B28" s="48" t="str">
        <f>_xlfn.XLOOKUP(C28,Tab_Def_Flows[Name(EN)],Tab_Def_Flows[Flow_ID],,0,)</f>
        <v>F_00_01</v>
      </c>
      <c r="C28" s="50" t="s">
        <v>107</v>
      </c>
      <c r="D28" s="48">
        <f>_xlfn.XLOOKUP(C28,Tab_Def_Flows[Name(EN)],Tab_Def_Flows[Type_Biomass],,0,)</f>
        <v>0</v>
      </c>
      <c r="E28" s="48" t="str">
        <f>_xlfn.XLOOKUP(C28,Tab_Def_Flows[Name(EN)],Tab_Def_Flows[Output_Process],,0,)</f>
        <v>Biosphere</v>
      </c>
      <c r="F28" s="48" t="str">
        <f>_xlfn.XLOOKUP(C28,Tab_Def_Flows[Name(EN)],Tab_Def_Flows[Process_ID_O],,0,)</f>
        <v>00_Bio_</v>
      </c>
      <c r="G28" s="48" t="str">
        <f>_xlfn.XLOOKUP(C28,Tab_Def_Flows[Name(EN)],Tab_Def_Flows[Input_Process],,0,)</f>
        <v>Raw Material Extraction</v>
      </c>
      <c r="H28" s="58" t="str">
        <f>_xlfn.XLOOKUP(C28,Tab_Def_Flows[Name(EN)],Tab_Def_Flows[Process_ID_I],,0,)</f>
        <v>01_Raw_</v>
      </c>
      <c r="I28" s="48">
        <f>_xlfn.XLOOKUP(C28,Tab_Def_Flows[Name(EN)],Tab_Def_Flows[Value_Source],,0,)</f>
        <v>0</v>
      </c>
      <c r="J28" s="48" t="str">
        <f>_xlfn.XLOOKUP(C28,Tab_Def_Flows[Name(EN)],Tab_Def_Flows[WC?],,0,)</f>
        <v>Yes</v>
      </c>
      <c r="K28" s="48" t="str">
        <f>_xlfn.XLOOKUP(C28,Tab_Def_Flows[Name(EN)],Tab_Def_Flows[DM?],,0,)</f>
        <v>Yes</v>
      </c>
      <c r="L28" s="48" t="str">
        <f>_xlfn.XLOOKUP(C28,Tab_Def_Flows[Name(EN)],Tab_Def_Flows[CC?],,0,)</f>
        <v>Yes</v>
      </c>
      <c r="M28" s="50">
        <v>1946</v>
      </c>
      <c r="N28" s="50"/>
      <c r="O28" s="108">
        <v>90</v>
      </c>
      <c r="P28" s="50" t="s">
        <v>85</v>
      </c>
      <c r="Q28" s="50"/>
      <c r="R28" s="50" t="e">
        <f>INDEX(Tab_WC_DM_CC[[Flow_ID]:[CC_source]],MATCH(Tab_Data_Flows[[#This Row],[Name(EN)]],Tab_WC_DM_CC[Name(EN)],0),12)</f>
        <v>#N/A</v>
      </c>
      <c r="S28" s="50" t="e">
        <f>MATCH(Tab_Data_Flows[[#This Row],[Name(EN)]],Tab_WC_DM_CC[Name(EN)],0)</f>
        <v>#N/A</v>
      </c>
      <c r="T28" s="50"/>
      <c r="U28" s="50"/>
      <c r="V28" s="50"/>
      <c r="W28" s="50"/>
      <c r="X28" s="50" t="s">
        <v>84</v>
      </c>
      <c r="Y28" s="50"/>
      <c r="Z28" s="50"/>
      <c r="AA28" s="80">
        <f t="shared" si="3"/>
        <v>90</v>
      </c>
      <c r="AB28" s="50" t="s">
        <v>85</v>
      </c>
      <c r="AC28" s="101">
        <f>INDEX(Tab_Def_Flows[[Flow_ID]:[CC_DM_source]],MATCH(Tab_Data_Flows[[#This Row],[Name(EN)]],Tab_Def_Flows[Name(EN)],0),14)</f>
        <v>0</v>
      </c>
      <c r="AD28" s="102">
        <f>IF(J28="Yes",AA28*Tab_Data_Flows[[#This Row],[WC_'[%']]],"N.A.")</f>
        <v>0</v>
      </c>
      <c r="AE28" s="58" t="str">
        <f>Tab_Data_Flows[[#This Row],[UoM_Flow_Py]]</f>
        <v>Mg</v>
      </c>
      <c r="AF28" s="101">
        <f>INDEX(Tab_Def_Flows[[Flow_ID]:[CC_DM_source]],MATCH(Tab_Data_Flows[[#This Row],[Name(EN)]],Tab_Def_Flows[Name(EN)],0),16)</f>
        <v>1</v>
      </c>
      <c r="AG28" s="102">
        <f>IF(K28="Yes",AF28*Tab_Data_Flows[[#This Row],[Flow_Py]],"N.A.")</f>
        <v>90</v>
      </c>
      <c r="AH28" s="58" t="str">
        <f>Tab_Data_Flows[[#This Row],[UoM_Flow_Py]]</f>
        <v>Mg</v>
      </c>
      <c r="AI28" s="101">
        <f>INDEX(Tab_Def_Flows[[Flow_ID]:[CC_DM_source]],MATCH(Tab_Data_Flows[[#This Row],[Name(EN)]],Tab_Def_Flows[Name(EN)],0),18)</f>
        <v>0.5</v>
      </c>
      <c r="AJ28" s="102">
        <f>IF(L28="Yes",AI28*Tab_Data_Flows[[#This Row],[Flow_Py]]*Tab_Data_Flows[[#This Row],[DM_'[%']]],"N.A.")</f>
        <v>45</v>
      </c>
      <c r="AK28" s="58" t="str">
        <f>Tab_Data_Flows[[#This Row],[UoM_Flow_Py]]</f>
        <v>Mg</v>
      </c>
    </row>
    <row r="29" spans="1:37" x14ac:dyDescent="0.25">
      <c r="A29" s="57">
        <f t="shared" si="0"/>
        <v>28</v>
      </c>
      <c r="B29" s="48" t="str">
        <f>_xlfn.XLOOKUP(C29,Tab_Def_Flows[Name(EN)],Tab_Def_Flows[Flow_ID],,0,)</f>
        <v>F_00_01</v>
      </c>
      <c r="C29" s="50" t="s">
        <v>107</v>
      </c>
      <c r="D29" s="48">
        <f>_xlfn.XLOOKUP(C29,Tab_Def_Flows[Name(EN)],Tab_Def_Flows[Type_Biomass],,0,)</f>
        <v>0</v>
      </c>
      <c r="E29" s="48" t="str">
        <f>_xlfn.XLOOKUP(C29,Tab_Def_Flows[Name(EN)],Tab_Def_Flows[Output_Process],,0,)</f>
        <v>Biosphere</v>
      </c>
      <c r="F29" s="48" t="str">
        <f>_xlfn.XLOOKUP(C29,Tab_Def_Flows[Name(EN)],Tab_Def_Flows[Process_ID_O],,0,)</f>
        <v>00_Bio_</v>
      </c>
      <c r="G29" s="48" t="str">
        <f>_xlfn.XLOOKUP(C29,Tab_Def_Flows[Name(EN)],Tab_Def_Flows[Input_Process],,0,)</f>
        <v>Raw Material Extraction</v>
      </c>
      <c r="H29" s="58" t="str">
        <f>_xlfn.XLOOKUP(C29,Tab_Def_Flows[Name(EN)],Tab_Def_Flows[Process_ID_I],,0,)</f>
        <v>01_Raw_</v>
      </c>
      <c r="I29" s="58">
        <f>_xlfn.XLOOKUP(C29,Tab_Def_Flows[Name(EN)],Tab_Def_Flows[Value_Source],,0,)</f>
        <v>0</v>
      </c>
      <c r="J29" s="58" t="str">
        <f>_xlfn.XLOOKUP(C29,Tab_Def_Flows[Name(EN)],Tab_Def_Flows[WC?],,0,)</f>
        <v>Yes</v>
      </c>
      <c r="K29" s="58" t="str">
        <f>_xlfn.XLOOKUP(C29,Tab_Def_Flows[Name(EN)],Tab_Def_Flows[DM?],,0,)</f>
        <v>Yes</v>
      </c>
      <c r="L29" s="58" t="str">
        <f>_xlfn.XLOOKUP(C29,Tab_Def_Flows[Name(EN)],Tab_Def_Flows[CC?],,0,)</f>
        <v>Yes</v>
      </c>
      <c r="M29" s="50">
        <v>1947</v>
      </c>
      <c r="N29" s="50"/>
      <c r="O29" s="108">
        <v>109.2</v>
      </c>
      <c r="P29" s="50" t="s">
        <v>85</v>
      </c>
      <c r="Q29" s="50"/>
      <c r="R29" s="50"/>
      <c r="S29" s="50"/>
      <c r="T29" s="50"/>
      <c r="U29" s="50"/>
      <c r="V29" s="50"/>
      <c r="W29" s="50"/>
      <c r="X29" s="50" t="s">
        <v>84</v>
      </c>
      <c r="Y29" s="98"/>
      <c r="Z29" s="50"/>
      <c r="AA29" s="80">
        <f t="shared" si="3"/>
        <v>109.2</v>
      </c>
      <c r="AB29" s="50" t="s">
        <v>85</v>
      </c>
      <c r="AC29" s="101">
        <f>INDEX(Tab_Def_Flows[[Flow_ID]:[CC_DM_source]],MATCH(Tab_Data_Flows[[#This Row],[Name(EN)]],Tab_Def_Flows[Name(EN)],0),14)</f>
        <v>0</v>
      </c>
      <c r="AD29" s="102">
        <f>IF(J29="Yes",AA29*Tab_Data_Flows[[#This Row],[WC_'[%']]],"N.A.")</f>
        <v>0</v>
      </c>
      <c r="AE29" s="58" t="str">
        <f>Tab_Data_Flows[[#This Row],[UoM_Flow_Py]]</f>
        <v>Mg</v>
      </c>
      <c r="AF29" s="101">
        <f>INDEX(Tab_Def_Flows[[Flow_ID]:[CC_DM_source]],MATCH(Tab_Data_Flows[[#This Row],[Name(EN)]],Tab_Def_Flows[Name(EN)],0),16)</f>
        <v>1</v>
      </c>
      <c r="AG29" s="102">
        <f>IF(K29="Yes",AF29*Tab_Data_Flows[[#This Row],[Flow_Py]],"N.A.")</f>
        <v>109.2</v>
      </c>
      <c r="AH29" s="58" t="str">
        <f>Tab_Data_Flows[[#This Row],[UoM_Flow_Py]]</f>
        <v>Mg</v>
      </c>
      <c r="AI29" s="101">
        <f>INDEX(Tab_Def_Flows[[Flow_ID]:[CC_DM_source]],MATCH(Tab_Data_Flows[[#This Row],[Name(EN)]],Tab_Def_Flows[Name(EN)],0),18)</f>
        <v>0.5</v>
      </c>
      <c r="AJ29" s="102">
        <f>IF(L29="Yes",AI29*Tab_Data_Flows[[#This Row],[Flow_Py]]*Tab_Data_Flows[[#This Row],[DM_'[%']]],"N.A.")</f>
        <v>54.6</v>
      </c>
      <c r="AK29" s="58" t="str">
        <f>Tab_Data_Flows[[#This Row],[UoM_Flow_Py]]</f>
        <v>Mg</v>
      </c>
    </row>
    <row r="30" spans="1:37" x14ac:dyDescent="0.25">
      <c r="A30" s="57">
        <f t="shared" si="0"/>
        <v>29</v>
      </c>
      <c r="B30" s="48" t="str">
        <f>_xlfn.XLOOKUP(C30,Tab_Def_Flows[Name(EN)],Tab_Def_Flows[Flow_ID],,0,)</f>
        <v>F_00_01</v>
      </c>
      <c r="C30" s="50" t="s">
        <v>107</v>
      </c>
      <c r="D30" s="48">
        <f>_xlfn.XLOOKUP(C30,Tab_Def_Flows[Name(EN)],Tab_Def_Flows[Type_Biomass],,0,)</f>
        <v>0</v>
      </c>
      <c r="E30" s="48" t="str">
        <f>_xlfn.XLOOKUP(C30,Tab_Def_Flows[Name(EN)],Tab_Def_Flows[Output_Process],,0,)</f>
        <v>Biosphere</v>
      </c>
      <c r="F30" s="48" t="str">
        <f>_xlfn.XLOOKUP(C30,Tab_Def_Flows[Name(EN)],Tab_Def_Flows[Process_ID_O],,0,)</f>
        <v>00_Bio_</v>
      </c>
      <c r="G30" s="48" t="str">
        <f>_xlfn.XLOOKUP(C30,Tab_Def_Flows[Name(EN)],Tab_Def_Flows[Input_Process],,0,)</f>
        <v>Raw Material Extraction</v>
      </c>
      <c r="H30" s="58" t="str">
        <f>_xlfn.XLOOKUP(C30,Tab_Def_Flows[Name(EN)],Tab_Def_Flows[Process_ID_I],,0,)</f>
        <v>01_Raw_</v>
      </c>
      <c r="I30" s="58">
        <f>_xlfn.XLOOKUP(C30,Tab_Def_Flows[Name(EN)],Tab_Def_Flows[Value_Source],,0,)</f>
        <v>0</v>
      </c>
      <c r="J30" s="58" t="str">
        <f>_xlfn.XLOOKUP(C30,Tab_Def_Flows[Name(EN)],Tab_Def_Flows[WC?],,0,)</f>
        <v>Yes</v>
      </c>
      <c r="K30" s="58" t="str">
        <f>_xlfn.XLOOKUP(C30,Tab_Def_Flows[Name(EN)],Tab_Def_Flows[DM?],,0,)</f>
        <v>Yes</v>
      </c>
      <c r="L30" s="58" t="str">
        <f>_xlfn.XLOOKUP(C30,Tab_Def_Flows[Name(EN)],Tab_Def_Flows[CC?],,0,)</f>
        <v>Yes</v>
      </c>
      <c r="M30" s="50">
        <v>1948</v>
      </c>
      <c r="N30" s="50"/>
      <c r="O30" s="108">
        <v>141.4</v>
      </c>
      <c r="P30" s="50" t="s">
        <v>85</v>
      </c>
      <c r="Q30" s="50"/>
      <c r="R30" s="50"/>
      <c r="S30" s="50"/>
      <c r="T30" s="50"/>
      <c r="U30" s="50"/>
      <c r="V30" s="50"/>
      <c r="W30" s="50"/>
      <c r="X30" s="50" t="s">
        <v>84</v>
      </c>
      <c r="Y30" s="98"/>
      <c r="Z30" s="50"/>
      <c r="AA30" s="80">
        <f t="shared" si="3"/>
        <v>141.4</v>
      </c>
      <c r="AB30" s="50" t="s">
        <v>85</v>
      </c>
      <c r="AC30" s="101">
        <f>INDEX(Tab_Def_Flows[[Flow_ID]:[CC_DM_source]],MATCH(Tab_Data_Flows[[#This Row],[Name(EN)]],Tab_Def_Flows[Name(EN)],0),14)</f>
        <v>0</v>
      </c>
      <c r="AD30" s="102">
        <f>IF(J30="Yes",AA30*Tab_Data_Flows[[#This Row],[WC_'[%']]],"N.A.")</f>
        <v>0</v>
      </c>
      <c r="AE30" s="58" t="str">
        <f>Tab_Data_Flows[[#This Row],[UoM_Flow_Py]]</f>
        <v>Mg</v>
      </c>
      <c r="AF30" s="101">
        <f>INDEX(Tab_Def_Flows[[Flow_ID]:[CC_DM_source]],MATCH(Tab_Data_Flows[[#This Row],[Name(EN)]],Tab_Def_Flows[Name(EN)],0),16)</f>
        <v>1</v>
      </c>
      <c r="AG30" s="102">
        <f>IF(K30="Yes",AF30*Tab_Data_Flows[[#This Row],[Flow_Py]],"N.A.")</f>
        <v>141.4</v>
      </c>
      <c r="AH30" s="58" t="str">
        <f>Tab_Data_Flows[[#This Row],[UoM_Flow_Py]]</f>
        <v>Mg</v>
      </c>
      <c r="AI30" s="101">
        <f>INDEX(Tab_Def_Flows[[Flow_ID]:[CC_DM_source]],MATCH(Tab_Data_Flows[[#This Row],[Name(EN)]],Tab_Def_Flows[Name(EN)],0),18)</f>
        <v>0.5</v>
      </c>
      <c r="AJ30" s="102">
        <f>IF(L30="Yes",AI30*Tab_Data_Flows[[#This Row],[Flow_Py]]*Tab_Data_Flows[[#This Row],[DM_'[%']]],"N.A.")</f>
        <v>70.7</v>
      </c>
      <c r="AK30" s="58" t="str">
        <f>Tab_Data_Flows[[#This Row],[UoM_Flow_Py]]</f>
        <v>Mg</v>
      </c>
    </row>
    <row r="31" spans="1:37" x14ac:dyDescent="0.25">
      <c r="A31" s="57">
        <f t="shared" si="0"/>
        <v>30</v>
      </c>
      <c r="B31" s="48" t="str">
        <f>_xlfn.XLOOKUP(C31,Tab_Def_Flows[Name(EN)],Tab_Def_Flows[Flow_ID],,0,)</f>
        <v>F_00_01</v>
      </c>
      <c r="C31" s="50" t="s">
        <v>107</v>
      </c>
      <c r="D31" s="48">
        <f>_xlfn.XLOOKUP(C31,Tab_Def_Flows[Name(EN)],Tab_Def_Flows[Type_Biomass],,0,)</f>
        <v>0</v>
      </c>
      <c r="E31" s="48" t="str">
        <f>_xlfn.XLOOKUP(C31,Tab_Def_Flows[Name(EN)],Tab_Def_Flows[Output_Process],,0,)</f>
        <v>Biosphere</v>
      </c>
      <c r="F31" s="48" t="str">
        <f>_xlfn.XLOOKUP(C31,Tab_Def_Flows[Name(EN)],Tab_Def_Flows[Process_ID_O],,0,)</f>
        <v>00_Bio_</v>
      </c>
      <c r="G31" s="48" t="str">
        <f>_xlfn.XLOOKUP(C31,Tab_Def_Flows[Name(EN)],Tab_Def_Flows[Input_Process],,0,)</f>
        <v>Raw Material Extraction</v>
      </c>
      <c r="H31" s="58" t="str">
        <f>_xlfn.XLOOKUP(C31,Tab_Def_Flows[Name(EN)],Tab_Def_Flows[Process_ID_I],,0,)</f>
        <v>01_Raw_</v>
      </c>
      <c r="I31" s="58">
        <f>_xlfn.XLOOKUP(C31,Tab_Def_Flows[Name(EN)],Tab_Def_Flows[Value_Source],,0,)</f>
        <v>0</v>
      </c>
      <c r="J31" s="58" t="str">
        <f>_xlfn.XLOOKUP(C31,Tab_Def_Flows[Name(EN)],Tab_Def_Flows[WC?],,0,)</f>
        <v>Yes</v>
      </c>
      <c r="K31" s="58" t="str">
        <f>_xlfn.XLOOKUP(C31,Tab_Def_Flows[Name(EN)],Tab_Def_Flows[DM?],,0,)</f>
        <v>Yes</v>
      </c>
      <c r="L31" s="58" t="str">
        <f>_xlfn.XLOOKUP(C31,Tab_Def_Flows[Name(EN)],Tab_Def_Flows[CC?],,0,)</f>
        <v>Yes</v>
      </c>
      <c r="M31" s="50">
        <v>1949</v>
      </c>
      <c r="N31" s="50"/>
      <c r="O31" s="108">
        <v>115.8</v>
      </c>
      <c r="P31" s="50" t="s">
        <v>85</v>
      </c>
      <c r="Q31" s="50"/>
      <c r="R31" s="50"/>
      <c r="S31" s="50"/>
      <c r="T31" s="50"/>
      <c r="U31" s="50"/>
      <c r="V31" s="50"/>
      <c r="W31" s="50"/>
      <c r="X31" s="50" t="s">
        <v>84</v>
      </c>
      <c r="Y31" s="98"/>
      <c r="Z31" s="50"/>
      <c r="AA31" s="80">
        <f t="shared" si="3"/>
        <v>115.8</v>
      </c>
      <c r="AB31" s="50" t="s">
        <v>85</v>
      </c>
      <c r="AC31" s="101">
        <f>INDEX(Tab_Def_Flows[[Flow_ID]:[CC_DM_source]],MATCH(Tab_Data_Flows[[#This Row],[Name(EN)]],Tab_Def_Flows[Name(EN)],0),14)</f>
        <v>0</v>
      </c>
      <c r="AD31" s="102">
        <f>IF(J31="Yes",AA31*Tab_Data_Flows[[#This Row],[WC_'[%']]],"N.A.")</f>
        <v>0</v>
      </c>
      <c r="AE31" s="58" t="str">
        <f>Tab_Data_Flows[[#This Row],[UoM_Flow_Py]]</f>
        <v>Mg</v>
      </c>
      <c r="AF31" s="101">
        <f>INDEX(Tab_Def_Flows[[Flow_ID]:[CC_DM_source]],MATCH(Tab_Data_Flows[[#This Row],[Name(EN)]],Tab_Def_Flows[Name(EN)],0),16)</f>
        <v>1</v>
      </c>
      <c r="AG31" s="102">
        <f>IF(K31="Yes",AF31*Tab_Data_Flows[[#This Row],[Flow_Py]],"N.A.")</f>
        <v>115.8</v>
      </c>
      <c r="AH31" s="58" t="str">
        <f>Tab_Data_Flows[[#This Row],[UoM_Flow_Py]]</f>
        <v>Mg</v>
      </c>
      <c r="AI31" s="101">
        <f>INDEX(Tab_Def_Flows[[Flow_ID]:[CC_DM_source]],MATCH(Tab_Data_Flows[[#This Row],[Name(EN)]],Tab_Def_Flows[Name(EN)],0),18)</f>
        <v>0.5</v>
      </c>
      <c r="AJ31" s="102">
        <f>IF(L31="Yes",AI31*Tab_Data_Flows[[#This Row],[Flow_Py]]*Tab_Data_Flows[[#This Row],[DM_'[%']]],"N.A.")</f>
        <v>57.9</v>
      </c>
      <c r="AK31" s="58" t="str">
        <f>Tab_Data_Flows[[#This Row],[UoM_Flow_Py]]</f>
        <v>Mg</v>
      </c>
    </row>
    <row r="32" spans="1:37" x14ac:dyDescent="0.25">
      <c r="A32" s="57">
        <f t="shared" si="0"/>
        <v>31</v>
      </c>
      <c r="B32" s="48" t="str">
        <f>_xlfn.XLOOKUP(C32,Tab_Def_Flows[Name(EN)],Tab_Def_Flows[Flow_ID],,0,)</f>
        <v>F_00_01</v>
      </c>
      <c r="C32" s="50" t="s">
        <v>107</v>
      </c>
      <c r="D32" s="48">
        <f>_xlfn.XLOOKUP(C32,Tab_Def_Flows[Name(EN)],Tab_Def_Flows[Type_Biomass],,0,)</f>
        <v>0</v>
      </c>
      <c r="E32" s="48" t="str">
        <f>_xlfn.XLOOKUP(C32,Tab_Def_Flows[Name(EN)],Tab_Def_Flows[Output_Process],,0,)</f>
        <v>Biosphere</v>
      </c>
      <c r="F32" s="48" t="str">
        <f>_xlfn.XLOOKUP(C32,Tab_Def_Flows[Name(EN)],Tab_Def_Flows[Process_ID_O],,0,)</f>
        <v>00_Bio_</v>
      </c>
      <c r="G32" s="48" t="str">
        <f>_xlfn.XLOOKUP(C32,Tab_Def_Flows[Name(EN)],Tab_Def_Flows[Input_Process],,0,)</f>
        <v>Raw Material Extraction</v>
      </c>
      <c r="H32" s="58" t="str">
        <f>_xlfn.XLOOKUP(C32,Tab_Def_Flows[Name(EN)],Tab_Def_Flows[Process_ID_I],,0,)</f>
        <v>01_Raw_</v>
      </c>
      <c r="I32" s="58">
        <f>_xlfn.XLOOKUP(C32,Tab_Def_Flows[Name(EN)],Tab_Def_Flows[Value_Source],,0,)</f>
        <v>0</v>
      </c>
      <c r="J32" s="58" t="str">
        <f>_xlfn.XLOOKUP(C32,Tab_Def_Flows[Name(EN)],Tab_Def_Flows[WC?],,0,)</f>
        <v>Yes</v>
      </c>
      <c r="K32" s="58" t="str">
        <f>_xlfn.XLOOKUP(C32,Tab_Def_Flows[Name(EN)],Tab_Def_Flows[DM?],,0,)</f>
        <v>Yes</v>
      </c>
      <c r="L32" s="58" t="str">
        <f>_xlfn.XLOOKUP(C32,Tab_Def_Flows[Name(EN)],Tab_Def_Flows[CC?],,0,)</f>
        <v>Yes</v>
      </c>
      <c r="M32" s="50">
        <v>1950</v>
      </c>
      <c r="N32" s="50"/>
      <c r="O32" s="108">
        <v>77.2</v>
      </c>
      <c r="P32" s="50" t="s">
        <v>85</v>
      </c>
      <c r="Q32" s="50"/>
      <c r="R32" s="50"/>
      <c r="S32" s="50"/>
      <c r="T32" s="50"/>
      <c r="U32" s="50"/>
      <c r="V32" s="50"/>
      <c r="W32" s="50"/>
      <c r="X32" s="50" t="s">
        <v>84</v>
      </c>
      <c r="Y32" s="98"/>
      <c r="Z32" s="50"/>
      <c r="AA32" s="80">
        <f t="shared" si="3"/>
        <v>77.2</v>
      </c>
      <c r="AB32" s="50" t="s">
        <v>85</v>
      </c>
      <c r="AC32" s="101">
        <f>INDEX(Tab_Def_Flows[[Flow_ID]:[CC_DM_source]],MATCH(Tab_Data_Flows[[#This Row],[Name(EN)]],Tab_Def_Flows[Name(EN)],0),14)</f>
        <v>0</v>
      </c>
      <c r="AD32" s="102">
        <f>IF(J32="Yes",AA32*Tab_Data_Flows[[#This Row],[WC_'[%']]],"N.A.")</f>
        <v>0</v>
      </c>
      <c r="AE32" s="58" t="str">
        <f>Tab_Data_Flows[[#This Row],[UoM_Flow_Py]]</f>
        <v>Mg</v>
      </c>
      <c r="AF32" s="101">
        <f>INDEX(Tab_Def_Flows[[Flow_ID]:[CC_DM_source]],MATCH(Tab_Data_Flows[[#This Row],[Name(EN)]],Tab_Def_Flows[Name(EN)],0),16)</f>
        <v>1</v>
      </c>
      <c r="AG32" s="102">
        <f>IF(K32="Yes",AF32*Tab_Data_Flows[[#This Row],[Flow_Py]],"N.A.")</f>
        <v>77.2</v>
      </c>
      <c r="AH32" s="58" t="str">
        <f>Tab_Data_Flows[[#This Row],[UoM_Flow_Py]]</f>
        <v>Mg</v>
      </c>
      <c r="AI32" s="101">
        <f>INDEX(Tab_Def_Flows[[Flow_ID]:[CC_DM_source]],MATCH(Tab_Data_Flows[[#This Row],[Name(EN)]],Tab_Def_Flows[Name(EN)],0),18)</f>
        <v>0.5</v>
      </c>
      <c r="AJ32" s="102">
        <f>IF(L32="Yes",AI32*Tab_Data_Flows[[#This Row],[Flow_Py]]*Tab_Data_Flows[[#This Row],[DM_'[%']]],"N.A.")</f>
        <v>38.6</v>
      </c>
      <c r="AK32" s="58" t="str">
        <f>Tab_Data_Flows[[#This Row],[UoM_Flow_Py]]</f>
        <v>Mg</v>
      </c>
    </row>
    <row r="33" spans="1:37" x14ac:dyDescent="0.25">
      <c r="A33" s="57">
        <f t="shared" si="0"/>
        <v>32</v>
      </c>
      <c r="B33" s="48" t="str">
        <f>_xlfn.XLOOKUP(C33,Tab_Def_Flows[Name(EN)],Tab_Def_Flows[Flow_ID],,0,)</f>
        <v>F_00_01</v>
      </c>
      <c r="C33" s="50" t="s">
        <v>107</v>
      </c>
      <c r="D33" s="48">
        <f>_xlfn.XLOOKUP(C33,Tab_Def_Flows[Name(EN)],Tab_Def_Flows[Type_Biomass],,0,)</f>
        <v>0</v>
      </c>
      <c r="E33" s="48" t="str">
        <f>_xlfn.XLOOKUP(C33,Tab_Def_Flows[Name(EN)],Tab_Def_Flows[Output_Process],,0,)</f>
        <v>Biosphere</v>
      </c>
      <c r="F33" s="48" t="str">
        <f>_xlfn.XLOOKUP(C33,Tab_Def_Flows[Name(EN)],Tab_Def_Flows[Process_ID_O],,0,)</f>
        <v>00_Bio_</v>
      </c>
      <c r="G33" s="48" t="str">
        <f>_xlfn.XLOOKUP(C33,Tab_Def_Flows[Name(EN)],Tab_Def_Flows[Input_Process],,0,)</f>
        <v>Raw Material Extraction</v>
      </c>
      <c r="H33" s="58" t="str">
        <f>_xlfn.XLOOKUP(C33,Tab_Def_Flows[Name(EN)],Tab_Def_Flows[Process_ID_I],,0,)</f>
        <v>01_Raw_</v>
      </c>
      <c r="I33" s="58">
        <f>_xlfn.XLOOKUP(C33,Tab_Def_Flows[Name(EN)],Tab_Def_Flows[Value_Source],,0,)</f>
        <v>0</v>
      </c>
      <c r="J33" s="58" t="str">
        <f>_xlfn.XLOOKUP(C33,Tab_Def_Flows[Name(EN)],Tab_Def_Flows[WC?],,0,)</f>
        <v>Yes</v>
      </c>
      <c r="K33" s="58" t="str">
        <f>_xlfn.XLOOKUP(C33,Tab_Def_Flows[Name(EN)],Tab_Def_Flows[DM?],,0,)</f>
        <v>Yes</v>
      </c>
      <c r="L33" s="58" t="str">
        <f>_xlfn.XLOOKUP(C33,Tab_Def_Flows[Name(EN)],Tab_Def_Flows[CC?],,0,)</f>
        <v>Yes</v>
      </c>
      <c r="M33" s="50">
        <v>1951</v>
      </c>
      <c r="N33" s="50"/>
      <c r="O33" s="108">
        <v>77.2</v>
      </c>
      <c r="P33" s="50" t="s">
        <v>85</v>
      </c>
      <c r="Q33" s="50"/>
      <c r="R33" s="50"/>
      <c r="S33" s="50"/>
      <c r="T33" s="50"/>
      <c r="U33" s="50"/>
      <c r="V33" s="50"/>
      <c r="W33" s="50"/>
      <c r="X33" s="50" t="s">
        <v>84</v>
      </c>
      <c r="Y33" s="98"/>
      <c r="Z33" s="50"/>
      <c r="AA33" s="80">
        <f t="shared" si="3"/>
        <v>77.2</v>
      </c>
      <c r="AB33" s="50" t="s">
        <v>85</v>
      </c>
      <c r="AC33" s="101">
        <f>INDEX(Tab_Def_Flows[[Flow_ID]:[CC_DM_source]],MATCH(Tab_Data_Flows[[#This Row],[Name(EN)]],Tab_Def_Flows[Name(EN)],0),14)</f>
        <v>0</v>
      </c>
      <c r="AD33" s="102">
        <f>IF(J33="Yes",AA33*Tab_Data_Flows[[#This Row],[WC_'[%']]],"N.A.")</f>
        <v>0</v>
      </c>
      <c r="AE33" s="58" t="str">
        <f>Tab_Data_Flows[[#This Row],[UoM_Flow_Py]]</f>
        <v>Mg</v>
      </c>
      <c r="AF33" s="101">
        <f>INDEX(Tab_Def_Flows[[Flow_ID]:[CC_DM_source]],MATCH(Tab_Data_Flows[[#This Row],[Name(EN)]],Tab_Def_Flows[Name(EN)],0),16)</f>
        <v>1</v>
      </c>
      <c r="AG33" s="102">
        <f>IF(K33="Yes",AF33*Tab_Data_Flows[[#This Row],[Flow_Py]],"N.A.")</f>
        <v>77.2</v>
      </c>
      <c r="AH33" s="58" t="str">
        <f>Tab_Data_Flows[[#This Row],[UoM_Flow_Py]]</f>
        <v>Mg</v>
      </c>
      <c r="AI33" s="101">
        <f>INDEX(Tab_Def_Flows[[Flow_ID]:[CC_DM_source]],MATCH(Tab_Data_Flows[[#This Row],[Name(EN)]],Tab_Def_Flows[Name(EN)],0),18)</f>
        <v>0.5</v>
      </c>
      <c r="AJ33" s="102">
        <f>IF(L33="Yes",AI33*Tab_Data_Flows[[#This Row],[Flow_Py]]*Tab_Data_Flows[[#This Row],[DM_'[%']]],"N.A.")</f>
        <v>38.6</v>
      </c>
      <c r="AK33" s="58" t="str">
        <f>Tab_Data_Flows[[#This Row],[UoM_Flow_Py]]</f>
        <v>Mg</v>
      </c>
    </row>
    <row r="34" spans="1:37" x14ac:dyDescent="0.25">
      <c r="A34" s="57">
        <f t="shared" si="0"/>
        <v>33</v>
      </c>
      <c r="B34" s="48" t="str">
        <f>_xlfn.XLOOKUP(C34,Tab_Def_Flows[Name(EN)],Tab_Def_Flows[Flow_ID],,0,)</f>
        <v>F_00_01</v>
      </c>
      <c r="C34" s="50" t="s">
        <v>107</v>
      </c>
      <c r="D34" s="48">
        <f>_xlfn.XLOOKUP(C34,Tab_Def_Flows[Name(EN)],Tab_Def_Flows[Type_Biomass],,0,)</f>
        <v>0</v>
      </c>
      <c r="E34" s="48" t="str">
        <f>_xlfn.XLOOKUP(C34,Tab_Def_Flows[Name(EN)],Tab_Def_Flows[Output_Process],,0,)</f>
        <v>Biosphere</v>
      </c>
      <c r="F34" s="48" t="str">
        <f>_xlfn.XLOOKUP(C34,Tab_Def_Flows[Name(EN)],Tab_Def_Flows[Process_ID_O],,0,)</f>
        <v>00_Bio_</v>
      </c>
      <c r="G34" s="48" t="str">
        <f>_xlfn.XLOOKUP(C34,Tab_Def_Flows[Name(EN)],Tab_Def_Flows[Input_Process],,0,)</f>
        <v>Raw Material Extraction</v>
      </c>
      <c r="H34" s="58" t="str">
        <f>_xlfn.XLOOKUP(C34,Tab_Def_Flows[Name(EN)],Tab_Def_Flows[Process_ID_I],,0,)</f>
        <v>01_Raw_</v>
      </c>
      <c r="I34" s="58">
        <f>_xlfn.XLOOKUP(C34,Tab_Def_Flows[Name(EN)],Tab_Def_Flows[Value_Source],,0,)</f>
        <v>0</v>
      </c>
      <c r="J34" s="58" t="str">
        <f>_xlfn.XLOOKUP(C34,Tab_Def_Flows[Name(EN)],Tab_Def_Flows[WC?],,0,)</f>
        <v>Yes</v>
      </c>
      <c r="K34" s="58" t="str">
        <f>_xlfn.XLOOKUP(C34,Tab_Def_Flows[Name(EN)],Tab_Def_Flows[DM?],,0,)</f>
        <v>Yes</v>
      </c>
      <c r="L34" s="58" t="str">
        <f>_xlfn.XLOOKUP(C34,Tab_Def_Flows[Name(EN)],Tab_Def_Flows[CC?],,0,)</f>
        <v>Yes</v>
      </c>
      <c r="M34" s="50">
        <v>1952</v>
      </c>
      <c r="N34" s="50"/>
      <c r="O34" s="108">
        <v>77.2</v>
      </c>
      <c r="P34" s="50" t="s">
        <v>85</v>
      </c>
      <c r="Q34" s="50"/>
      <c r="R34" s="50"/>
      <c r="S34" s="50"/>
      <c r="T34" s="50"/>
      <c r="U34" s="50"/>
      <c r="V34" s="50"/>
      <c r="W34" s="50"/>
      <c r="X34" s="50" t="s">
        <v>84</v>
      </c>
      <c r="Y34" s="98"/>
      <c r="Z34" s="50"/>
      <c r="AA34" s="80">
        <f t="shared" si="3"/>
        <v>77.2</v>
      </c>
      <c r="AB34" s="50" t="s">
        <v>85</v>
      </c>
      <c r="AC34" s="101">
        <f>INDEX(Tab_Def_Flows[[Flow_ID]:[CC_DM_source]],MATCH(Tab_Data_Flows[[#This Row],[Name(EN)]],Tab_Def_Flows[Name(EN)],0),14)</f>
        <v>0</v>
      </c>
      <c r="AD34" s="102">
        <f>IF(J34="Yes",AA34*Tab_Data_Flows[[#This Row],[WC_'[%']]],"N.A.")</f>
        <v>0</v>
      </c>
      <c r="AE34" s="58" t="str">
        <f>Tab_Data_Flows[[#This Row],[UoM_Flow_Py]]</f>
        <v>Mg</v>
      </c>
      <c r="AF34" s="101">
        <f>INDEX(Tab_Def_Flows[[Flow_ID]:[CC_DM_source]],MATCH(Tab_Data_Flows[[#This Row],[Name(EN)]],Tab_Def_Flows[Name(EN)],0),16)</f>
        <v>1</v>
      </c>
      <c r="AG34" s="102">
        <f>IF(K34="Yes",AF34*Tab_Data_Flows[[#This Row],[Flow_Py]],"N.A.")</f>
        <v>77.2</v>
      </c>
      <c r="AH34" s="58" t="str">
        <f>Tab_Data_Flows[[#This Row],[UoM_Flow_Py]]</f>
        <v>Mg</v>
      </c>
      <c r="AI34" s="101">
        <f>INDEX(Tab_Def_Flows[[Flow_ID]:[CC_DM_source]],MATCH(Tab_Data_Flows[[#This Row],[Name(EN)]],Tab_Def_Flows[Name(EN)],0),18)</f>
        <v>0.5</v>
      </c>
      <c r="AJ34" s="102">
        <f>IF(L34="Yes",AI34*Tab_Data_Flows[[#This Row],[Flow_Py]]*Tab_Data_Flows[[#This Row],[DM_'[%']]],"N.A.")</f>
        <v>38.6</v>
      </c>
      <c r="AK34" s="58" t="str">
        <f>Tab_Data_Flows[[#This Row],[UoM_Flow_Py]]</f>
        <v>Mg</v>
      </c>
    </row>
    <row r="35" spans="1:37" x14ac:dyDescent="0.25">
      <c r="A35" s="57">
        <f t="shared" si="0"/>
        <v>34</v>
      </c>
      <c r="B35" s="48" t="str">
        <f>_xlfn.XLOOKUP(C35,Tab_Def_Flows[Name(EN)],Tab_Def_Flows[Flow_ID],,0,)</f>
        <v>F_00_01</v>
      </c>
      <c r="C35" s="50" t="s">
        <v>107</v>
      </c>
      <c r="D35" s="48">
        <f>_xlfn.XLOOKUP(C35,Tab_Def_Flows[Name(EN)],Tab_Def_Flows[Type_Biomass],,0,)</f>
        <v>0</v>
      </c>
      <c r="E35" s="48" t="str">
        <f>_xlfn.XLOOKUP(C35,Tab_Def_Flows[Name(EN)],Tab_Def_Flows[Output_Process],,0,)</f>
        <v>Biosphere</v>
      </c>
      <c r="F35" s="48" t="str">
        <f>_xlfn.XLOOKUP(C35,Tab_Def_Flows[Name(EN)],Tab_Def_Flows[Process_ID_O],,0,)</f>
        <v>00_Bio_</v>
      </c>
      <c r="G35" s="48" t="str">
        <f>_xlfn.XLOOKUP(C35,Tab_Def_Flows[Name(EN)],Tab_Def_Flows[Input_Process],,0,)</f>
        <v>Raw Material Extraction</v>
      </c>
      <c r="H35" s="58" t="str">
        <f>_xlfn.XLOOKUP(C35,Tab_Def_Flows[Name(EN)],Tab_Def_Flows[Process_ID_I],,0,)</f>
        <v>01_Raw_</v>
      </c>
      <c r="I35" s="58">
        <f>_xlfn.XLOOKUP(C35,Tab_Def_Flows[Name(EN)],Tab_Def_Flows[Value_Source],,0,)</f>
        <v>0</v>
      </c>
      <c r="J35" s="58" t="str">
        <f>_xlfn.XLOOKUP(C35,Tab_Def_Flows[Name(EN)],Tab_Def_Flows[WC?],,0,)</f>
        <v>Yes</v>
      </c>
      <c r="K35" s="58" t="str">
        <f>_xlfn.XLOOKUP(C35,Tab_Def_Flows[Name(EN)],Tab_Def_Flows[DM?],,0,)</f>
        <v>Yes</v>
      </c>
      <c r="L35" s="58" t="str">
        <f>_xlfn.XLOOKUP(C35,Tab_Def_Flows[Name(EN)],Tab_Def_Flows[CC?],,0,)</f>
        <v>Yes</v>
      </c>
      <c r="M35" s="50">
        <v>1953</v>
      </c>
      <c r="N35" s="50"/>
      <c r="O35" s="108">
        <v>96.4</v>
      </c>
      <c r="P35" s="50" t="s">
        <v>85</v>
      </c>
      <c r="Q35" s="50"/>
      <c r="R35" s="50"/>
      <c r="S35" s="50"/>
      <c r="T35" s="50"/>
      <c r="U35" s="50"/>
      <c r="V35" s="50"/>
      <c r="W35" s="50"/>
      <c r="X35" s="50" t="s">
        <v>84</v>
      </c>
      <c r="Y35" s="98"/>
      <c r="Z35" s="50"/>
      <c r="AA35" s="80">
        <f t="shared" si="3"/>
        <v>96.4</v>
      </c>
      <c r="AB35" s="50" t="s">
        <v>85</v>
      </c>
      <c r="AC35" s="101">
        <f>INDEX(Tab_Def_Flows[[Flow_ID]:[CC_DM_source]],MATCH(Tab_Data_Flows[[#This Row],[Name(EN)]],Tab_Def_Flows[Name(EN)],0),14)</f>
        <v>0</v>
      </c>
      <c r="AD35" s="102">
        <f>IF(J35="Yes",AA35*Tab_Data_Flows[[#This Row],[WC_'[%']]],"N.A.")</f>
        <v>0</v>
      </c>
      <c r="AE35" s="58" t="str">
        <f>Tab_Data_Flows[[#This Row],[UoM_Flow_Py]]</f>
        <v>Mg</v>
      </c>
      <c r="AF35" s="101">
        <f>INDEX(Tab_Def_Flows[[Flow_ID]:[CC_DM_source]],MATCH(Tab_Data_Flows[[#This Row],[Name(EN)]],Tab_Def_Flows[Name(EN)],0),16)</f>
        <v>1</v>
      </c>
      <c r="AG35" s="102">
        <f>IF(K35="Yes",AF35*Tab_Data_Flows[[#This Row],[Flow_Py]],"N.A.")</f>
        <v>96.4</v>
      </c>
      <c r="AH35" s="58" t="str">
        <f>Tab_Data_Flows[[#This Row],[UoM_Flow_Py]]</f>
        <v>Mg</v>
      </c>
      <c r="AI35" s="101">
        <f>INDEX(Tab_Def_Flows[[Flow_ID]:[CC_DM_source]],MATCH(Tab_Data_Flows[[#This Row],[Name(EN)]],Tab_Def_Flows[Name(EN)],0),18)</f>
        <v>0.5</v>
      </c>
      <c r="AJ35" s="102">
        <f>IF(L35="Yes",AI35*Tab_Data_Flows[[#This Row],[Flow_Py]]*Tab_Data_Flows[[#This Row],[DM_'[%']]],"N.A.")</f>
        <v>48.2</v>
      </c>
      <c r="AK35" s="58" t="str">
        <f>Tab_Data_Flows[[#This Row],[UoM_Flow_Py]]</f>
        <v>Mg</v>
      </c>
    </row>
    <row r="36" spans="1:37" x14ac:dyDescent="0.25">
      <c r="A36" s="57">
        <f t="shared" si="0"/>
        <v>35</v>
      </c>
      <c r="B36" s="48" t="str">
        <f>_xlfn.XLOOKUP(C36,Tab_Def_Flows[Name(EN)],Tab_Def_Flows[Flow_ID],,0,)</f>
        <v>F_00_01</v>
      </c>
      <c r="C36" s="50" t="s">
        <v>107</v>
      </c>
      <c r="D36" s="48"/>
      <c r="E36" s="48" t="str">
        <f>_xlfn.XLOOKUP(C36,Tab_Def_Flows[Name(EN)],Tab_Def_Flows[Output_Process],,0,)</f>
        <v>Biosphere</v>
      </c>
      <c r="F36" s="48" t="str">
        <f>_xlfn.XLOOKUP(C36,Tab_Def_Flows[Name(EN)],Tab_Def_Flows[Process_ID_O],,0,)</f>
        <v>00_Bio_</v>
      </c>
      <c r="G36" s="48" t="str">
        <f>_xlfn.XLOOKUP(C36,Tab_Def_Flows[Name(EN)],Tab_Def_Flows[Input_Process],,0,)</f>
        <v>Raw Material Extraction</v>
      </c>
      <c r="H36" s="58" t="str">
        <f>_xlfn.XLOOKUP(C36,Tab_Def_Flows[Name(EN)],Tab_Def_Flows[Process_ID_I],,0,)</f>
        <v>01_Raw_</v>
      </c>
      <c r="I36" s="48">
        <f>_xlfn.XLOOKUP(C36,Tab_Def_Flows[Name(EN)],Tab_Def_Flows[Value_Source],,0,)</f>
        <v>0</v>
      </c>
      <c r="J36" s="48" t="str">
        <f>_xlfn.XLOOKUP(C36,Tab_Def_Flows[Name(EN)],Tab_Def_Flows[WC?],,0,)</f>
        <v>Yes</v>
      </c>
      <c r="K36" s="48" t="str">
        <f>_xlfn.XLOOKUP(C36,Tab_Def_Flows[Name(EN)],Tab_Def_Flows[DM?],,0,)</f>
        <v>Yes</v>
      </c>
      <c r="L36" s="48" t="str">
        <f>_xlfn.XLOOKUP(C36,Tab_Def_Flows[Name(EN)],Tab_Def_Flows[CC?],,0,)</f>
        <v>Yes</v>
      </c>
      <c r="M36" s="50">
        <v>1954</v>
      </c>
      <c r="N36" s="50"/>
      <c r="O36" s="108">
        <v>90</v>
      </c>
      <c r="P36" s="50" t="s">
        <v>85</v>
      </c>
      <c r="Q36" s="50"/>
      <c r="R36" s="50" t="e">
        <f>INDEX(Tab_WC_DM_CC[[Flow_ID]:[CC_source]],MATCH(Tab_Data_Flows[[#This Row],[Name(EN)]],Tab_WC_DM_CC[Name(EN)],0),12)</f>
        <v>#N/A</v>
      </c>
      <c r="S36" s="50" t="e">
        <f>MATCH(Tab_Data_Flows[[#This Row],[Name(EN)]],Tab_WC_DM_CC[Name(EN)],0)</f>
        <v>#N/A</v>
      </c>
      <c r="T36" s="50"/>
      <c r="U36" s="50"/>
      <c r="V36" s="50"/>
      <c r="W36" s="50"/>
      <c r="X36" s="50" t="s">
        <v>84</v>
      </c>
      <c r="Y36" s="50"/>
      <c r="Z36" s="50"/>
      <c r="AA36" s="80">
        <f t="shared" si="3"/>
        <v>90</v>
      </c>
      <c r="AB36" s="50" t="s">
        <v>85</v>
      </c>
      <c r="AC36" s="101">
        <f>INDEX(Tab_Def_Flows[[Flow_ID]:[CC_DM_source]],MATCH(Tab_Data_Flows[[#This Row],[Name(EN)]],Tab_Def_Flows[Name(EN)],0),14)</f>
        <v>0</v>
      </c>
      <c r="AD36" s="102">
        <f>IF(J36="Yes",AA36*Tab_Data_Flows[[#This Row],[WC_'[%']]],"N.A.")</f>
        <v>0</v>
      </c>
      <c r="AE36" s="58" t="str">
        <f>Tab_Data_Flows[[#This Row],[UoM_Flow_Py]]</f>
        <v>Mg</v>
      </c>
      <c r="AF36" s="101">
        <f>INDEX(Tab_Def_Flows[[Flow_ID]:[CC_DM_source]],MATCH(Tab_Data_Flows[[#This Row],[Name(EN)]],Tab_Def_Flows[Name(EN)],0),16)</f>
        <v>1</v>
      </c>
      <c r="AG36" s="102">
        <f>IF(K36="Yes",AF36*Tab_Data_Flows[[#This Row],[Flow_Py]],"N.A.")</f>
        <v>90</v>
      </c>
      <c r="AH36" s="58" t="str">
        <f>Tab_Data_Flows[[#This Row],[UoM_Flow_Py]]</f>
        <v>Mg</v>
      </c>
      <c r="AI36" s="101">
        <f>INDEX(Tab_Def_Flows[[Flow_ID]:[CC_DM_source]],MATCH(Tab_Data_Flows[[#This Row],[Name(EN)]],Tab_Def_Flows[Name(EN)],0),18)</f>
        <v>0.5</v>
      </c>
      <c r="AJ36" s="102">
        <f>IF(L36="Yes",AI36*Tab_Data_Flows[[#This Row],[Flow_Py]]*Tab_Data_Flows[[#This Row],[DM_'[%']]],"N.A.")</f>
        <v>45</v>
      </c>
      <c r="AK36" s="58" t="str">
        <f>Tab_Data_Flows[[#This Row],[UoM_Flow_Py]]</f>
        <v>Mg</v>
      </c>
    </row>
    <row r="37" spans="1:37" x14ac:dyDescent="0.25">
      <c r="A37" s="57">
        <f t="shared" si="0"/>
        <v>36</v>
      </c>
      <c r="B37" s="48" t="str">
        <f>_xlfn.XLOOKUP(C37,Tab_Def_Flows[Name(EN)],Tab_Def_Flows[Flow_ID],,0,)</f>
        <v>F_00_01</v>
      </c>
      <c r="C37" s="50" t="s">
        <v>107</v>
      </c>
      <c r="D37" s="48"/>
      <c r="E37" s="48" t="str">
        <f>_xlfn.XLOOKUP(C37,Tab_Def_Flows[Name(EN)],Tab_Def_Flows[Output_Process],,0,)</f>
        <v>Biosphere</v>
      </c>
      <c r="F37" s="48" t="str">
        <f>_xlfn.XLOOKUP(C37,Tab_Def_Flows[Name(EN)],Tab_Def_Flows[Process_ID_O],,0,)</f>
        <v>00_Bio_</v>
      </c>
      <c r="G37" s="48" t="str">
        <f>_xlfn.XLOOKUP(C37,Tab_Def_Flows[Name(EN)],Tab_Def_Flows[Input_Process],,0,)</f>
        <v>Raw Material Extraction</v>
      </c>
      <c r="H37" s="58" t="str">
        <f>_xlfn.XLOOKUP(C37,Tab_Def_Flows[Name(EN)],Tab_Def_Flows[Process_ID_I],,0,)</f>
        <v>01_Raw_</v>
      </c>
      <c r="I37" s="48">
        <f>_xlfn.XLOOKUP(C37,Tab_Def_Flows[Name(EN)],Tab_Def_Flows[Value_Source],,0,)</f>
        <v>0</v>
      </c>
      <c r="J37" s="48" t="str">
        <f>_xlfn.XLOOKUP(C37,Tab_Def_Flows[Name(EN)],Tab_Def_Flows[WC?],,0,)</f>
        <v>Yes</v>
      </c>
      <c r="K37" s="48" t="str">
        <f>_xlfn.XLOOKUP(C37,Tab_Def_Flows[Name(EN)],Tab_Def_Flows[DM?],,0,)</f>
        <v>Yes</v>
      </c>
      <c r="L37" s="48" t="str">
        <f>_xlfn.XLOOKUP(C37,Tab_Def_Flows[Name(EN)],Tab_Def_Flows[CC?],,0,)</f>
        <v>Yes</v>
      </c>
      <c r="M37" s="50">
        <v>1955</v>
      </c>
      <c r="N37" s="50"/>
      <c r="O37" s="108">
        <v>96.4</v>
      </c>
      <c r="P37" s="50" t="s">
        <v>85</v>
      </c>
      <c r="Q37" s="50"/>
      <c r="R37" s="50" t="e">
        <f>INDEX(Tab_WC_DM_CC[[Flow_ID]:[CC_source]],MATCH(Tab_Data_Flows[[#This Row],[Name(EN)]],Tab_WC_DM_CC[Name(EN)],0),12)</f>
        <v>#N/A</v>
      </c>
      <c r="S37" s="50" t="e">
        <f>MATCH(Tab_Data_Flows[[#This Row],[Name(EN)]],Tab_WC_DM_CC[Name(EN)],0)</f>
        <v>#N/A</v>
      </c>
      <c r="T37" s="50"/>
      <c r="U37" s="50"/>
      <c r="V37" s="50"/>
      <c r="W37" s="50"/>
      <c r="X37" s="50" t="s">
        <v>84</v>
      </c>
      <c r="Y37" s="50"/>
      <c r="Z37" s="50"/>
      <c r="AA37" s="80">
        <f t="shared" si="3"/>
        <v>96.4</v>
      </c>
      <c r="AB37" s="50" t="s">
        <v>85</v>
      </c>
      <c r="AC37" s="101">
        <f>INDEX(Tab_Def_Flows[[Flow_ID]:[CC_DM_source]],MATCH(Tab_Data_Flows[[#This Row],[Name(EN)]],Tab_Def_Flows[Name(EN)],0),14)</f>
        <v>0</v>
      </c>
      <c r="AD37" s="102">
        <f>IF(J37="Yes",AA37*Tab_Data_Flows[[#This Row],[WC_'[%']]],"N.A.")</f>
        <v>0</v>
      </c>
      <c r="AE37" s="58" t="str">
        <f>Tab_Data_Flows[[#This Row],[UoM_Flow_Py]]</f>
        <v>Mg</v>
      </c>
      <c r="AF37" s="101">
        <f>INDEX(Tab_Def_Flows[[Flow_ID]:[CC_DM_source]],MATCH(Tab_Data_Flows[[#This Row],[Name(EN)]],Tab_Def_Flows[Name(EN)],0),16)</f>
        <v>1</v>
      </c>
      <c r="AG37" s="102">
        <f>IF(K37="Yes",AF37*Tab_Data_Flows[[#This Row],[Flow_Py]],"N.A.")</f>
        <v>96.4</v>
      </c>
      <c r="AH37" s="58" t="str">
        <f>Tab_Data_Flows[[#This Row],[UoM_Flow_Py]]</f>
        <v>Mg</v>
      </c>
      <c r="AI37" s="101">
        <f>INDEX(Tab_Def_Flows[[Flow_ID]:[CC_DM_source]],MATCH(Tab_Data_Flows[[#This Row],[Name(EN)]],Tab_Def_Flows[Name(EN)],0),18)</f>
        <v>0.5</v>
      </c>
      <c r="AJ37" s="102">
        <f>IF(L37="Yes",AI37*Tab_Data_Flows[[#This Row],[Flow_Py]]*Tab_Data_Flows[[#This Row],[DM_'[%']]],"N.A.")</f>
        <v>48.2</v>
      </c>
      <c r="AK37" s="58" t="str">
        <f>Tab_Data_Flows[[#This Row],[UoM_Flow_Py]]</f>
        <v>Mg</v>
      </c>
    </row>
    <row r="38" spans="1:37" x14ac:dyDescent="0.25">
      <c r="A38" s="57">
        <f t="shared" si="0"/>
        <v>37</v>
      </c>
      <c r="B38" s="48" t="str">
        <f>_xlfn.XLOOKUP(C38,Tab_Def_Flows[Name(EN)],Tab_Def_Flows[Flow_ID],,0,)</f>
        <v>F_00_01</v>
      </c>
      <c r="C38" s="50" t="s">
        <v>107</v>
      </c>
      <c r="D38" s="48"/>
      <c r="E38" s="48" t="str">
        <f>_xlfn.XLOOKUP(C38,Tab_Def_Flows[Name(EN)],Tab_Def_Flows[Output_Process],,0,)</f>
        <v>Biosphere</v>
      </c>
      <c r="F38" s="48" t="str">
        <f>_xlfn.XLOOKUP(C38,Tab_Def_Flows[Name(EN)],Tab_Def_Flows[Process_ID_O],,0,)</f>
        <v>00_Bio_</v>
      </c>
      <c r="G38" s="48" t="str">
        <f>_xlfn.XLOOKUP(C38,Tab_Def_Flows[Name(EN)],Tab_Def_Flows[Input_Process],,0,)</f>
        <v>Raw Material Extraction</v>
      </c>
      <c r="H38" s="58" t="str">
        <f>_xlfn.XLOOKUP(C38,Tab_Def_Flows[Name(EN)],Tab_Def_Flows[Process_ID_I],,0,)</f>
        <v>01_Raw_</v>
      </c>
      <c r="I38" s="48">
        <f>_xlfn.XLOOKUP(C38,Tab_Def_Flows[Name(EN)],Tab_Def_Flows[Value_Source],,0,)</f>
        <v>0</v>
      </c>
      <c r="J38" s="48" t="str">
        <f>_xlfn.XLOOKUP(C38,Tab_Def_Flows[Name(EN)],Tab_Def_Flows[WC?],,0,)</f>
        <v>Yes</v>
      </c>
      <c r="K38" s="48" t="str">
        <f>_xlfn.XLOOKUP(C38,Tab_Def_Flows[Name(EN)],Tab_Def_Flows[DM?],,0,)</f>
        <v>Yes</v>
      </c>
      <c r="L38" s="48" t="str">
        <f>_xlfn.XLOOKUP(C38,Tab_Def_Flows[Name(EN)],Tab_Def_Flows[CC?],,0,)</f>
        <v>Yes</v>
      </c>
      <c r="M38" s="50">
        <v>1956</v>
      </c>
      <c r="N38" s="50"/>
      <c r="O38" s="108">
        <v>38.6</v>
      </c>
      <c r="P38" s="50" t="s">
        <v>85</v>
      </c>
      <c r="Q38" s="50"/>
      <c r="R38" s="50" t="e">
        <f>INDEX(Tab_WC_DM_CC[[Flow_ID]:[CC_source]],MATCH(Tab_Data_Flows[[#This Row],[Name(EN)]],Tab_WC_DM_CC[Name(EN)],0),12)</f>
        <v>#N/A</v>
      </c>
      <c r="S38" s="50" t="e">
        <f>MATCH(Tab_Data_Flows[[#This Row],[Name(EN)]],Tab_WC_DM_CC[Name(EN)],0)</f>
        <v>#N/A</v>
      </c>
      <c r="T38" s="50"/>
      <c r="U38" s="50"/>
      <c r="V38" s="50"/>
      <c r="W38" s="50"/>
      <c r="X38" s="50" t="s">
        <v>84</v>
      </c>
      <c r="Y38" s="50"/>
      <c r="Z38" s="50"/>
      <c r="AA38" s="80">
        <f t="shared" si="3"/>
        <v>38.6</v>
      </c>
      <c r="AB38" s="50" t="s">
        <v>85</v>
      </c>
      <c r="AC38" s="101">
        <f>INDEX(Tab_Def_Flows[[Flow_ID]:[CC_DM_source]],MATCH(Tab_Data_Flows[[#This Row],[Name(EN)]],Tab_Def_Flows[Name(EN)],0),14)</f>
        <v>0</v>
      </c>
      <c r="AD38" s="102">
        <f>IF(J38="Yes",AA38*Tab_Data_Flows[[#This Row],[WC_'[%']]],"N.A.")</f>
        <v>0</v>
      </c>
      <c r="AE38" s="58" t="str">
        <f>Tab_Data_Flows[[#This Row],[UoM_Flow_Py]]</f>
        <v>Mg</v>
      </c>
      <c r="AF38" s="101">
        <f>INDEX(Tab_Def_Flows[[Flow_ID]:[CC_DM_source]],MATCH(Tab_Data_Flows[[#This Row],[Name(EN)]],Tab_Def_Flows[Name(EN)],0),16)</f>
        <v>1</v>
      </c>
      <c r="AG38" s="102">
        <f>IF(K38="Yes",AF38*Tab_Data_Flows[[#This Row],[Flow_Py]],"N.A.")</f>
        <v>38.6</v>
      </c>
      <c r="AH38" s="58" t="str">
        <f>Tab_Data_Flows[[#This Row],[UoM_Flow_Py]]</f>
        <v>Mg</v>
      </c>
      <c r="AI38" s="101">
        <f>INDEX(Tab_Def_Flows[[Flow_ID]:[CC_DM_source]],MATCH(Tab_Data_Flows[[#This Row],[Name(EN)]],Tab_Def_Flows[Name(EN)],0),18)</f>
        <v>0.5</v>
      </c>
      <c r="AJ38" s="102">
        <f>IF(L38="Yes",AI38*Tab_Data_Flows[[#This Row],[Flow_Py]]*Tab_Data_Flows[[#This Row],[DM_'[%']]],"N.A.")</f>
        <v>19.3</v>
      </c>
      <c r="AK38" s="58" t="str">
        <f>Tab_Data_Flows[[#This Row],[UoM_Flow_Py]]</f>
        <v>Mg</v>
      </c>
    </row>
    <row r="39" spans="1:37" x14ac:dyDescent="0.25">
      <c r="A39" s="57">
        <f t="shared" si="0"/>
        <v>38</v>
      </c>
      <c r="B39" s="48" t="str">
        <f>_xlfn.XLOOKUP(C39,Tab_Def_Flows[Name(EN)],Tab_Def_Flows[Flow_ID],,0,)</f>
        <v>F_00_01</v>
      </c>
      <c r="C39" s="50" t="s">
        <v>107</v>
      </c>
      <c r="D39" s="48"/>
      <c r="E39" s="48" t="str">
        <f>_xlfn.XLOOKUP(C39,Tab_Def_Flows[Name(EN)],Tab_Def_Flows[Output_Process],,0,)</f>
        <v>Biosphere</v>
      </c>
      <c r="F39" s="48" t="str">
        <f>_xlfn.XLOOKUP(C39,Tab_Def_Flows[Name(EN)],Tab_Def_Flows[Process_ID_O],,0,)</f>
        <v>00_Bio_</v>
      </c>
      <c r="G39" s="48" t="str">
        <f>_xlfn.XLOOKUP(C39,Tab_Def_Flows[Name(EN)],Tab_Def_Flows[Input_Process],,0,)</f>
        <v>Raw Material Extraction</v>
      </c>
      <c r="H39" s="58" t="str">
        <f>_xlfn.XLOOKUP(C39,Tab_Def_Flows[Name(EN)],Tab_Def_Flows[Process_ID_I],,0,)</f>
        <v>01_Raw_</v>
      </c>
      <c r="I39" s="48">
        <f>_xlfn.XLOOKUP(C39,Tab_Def_Flows[Name(EN)],Tab_Def_Flows[Value_Source],,0,)</f>
        <v>0</v>
      </c>
      <c r="J39" s="48" t="str">
        <f>_xlfn.XLOOKUP(C39,Tab_Def_Flows[Name(EN)],Tab_Def_Flows[WC?],,0,)</f>
        <v>Yes</v>
      </c>
      <c r="K39" s="48" t="str">
        <f>_xlfn.XLOOKUP(C39,Tab_Def_Flows[Name(EN)],Tab_Def_Flows[DM?],,0,)</f>
        <v>Yes</v>
      </c>
      <c r="L39" s="48" t="str">
        <f>_xlfn.XLOOKUP(C39,Tab_Def_Flows[Name(EN)],Tab_Def_Flows[CC?],,0,)</f>
        <v>Yes</v>
      </c>
      <c r="M39" s="50">
        <v>1957</v>
      </c>
      <c r="N39" s="50"/>
      <c r="O39" s="108">
        <v>38.6</v>
      </c>
      <c r="P39" s="50" t="s">
        <v>85</v>
      </c>
      <c r="Q39" s="50"/>
      <c r="R39" s="50" t="e">
        <f>INDEX(Tab_WC_DM_CC[[Flow_ID]:[CC_source]],MATCH(Tab_Data_Flows[[#This Row],[Name(EN)]],Tab_WC_DM_CC[Name(EN)],0),12)</f>
        <v>#N/A</v>
      </c>
      <c r="S39" s="50" t="e">
        <f>MATCH(Tab_Data_Flows[[#This Row],[Name(EN)]],Tab_WC_DM_CC[Name(EN)],0)</f>
        <v>#N/A</v>
      </c>
      <c r="T39" s="50"/>
      <c r="U39" s="50"/>
      <c r="V39" s="50"/>
      <c r="W39" s="50"/>
      <c r="X39" s="50" t="s">
        <v>84</v>
      </c>
      <c r="Y39" s="50"/>
      <c r="Z39" s="50"/>
      <c r="AA39" s="80">
        <f t="shared" si="3"/>
        <v>38.6</v>
      </c>
      <c r="AB39" s="50" t="s">
        <v>85</v>
      </c>
      <c r="AC39" s="101">
        <f>INDEX(Tab_Def_Flows[[Flow_ID]:[CC_DM_source]],MATCH(Tab_Data_Flows[[#This Row],[Name(EN)]],Tab_Def_Flows[Name(EN)],0),14)</f>
        <v>0</v>
      </c>
      <c r="AD39" s="102">
        <f>IF(J39="Yes",AA39*Tab_Data_Flows[[#This Row],[WC_'[%']]],"N.A.")</f>
        <v>0</v>
      </c>
      <c r="AE39" s="58" t="str">
        <f>Tab_Data_Flows[[#This Row],[UoM_Flow_Py]]</f>
        <v>Mg</v>
      </c>
      <c r="AF39" s="101">
        <f>INDEX(Tab_Def_Flows[[Flow_ID]:[CC_DM_source]],MATCH(Tab_Data_Flows[[#This Row],[Name(EN)]],Tab_Def_Flows[Name(EN)],0),16)</f>
        <v>1</v>
      </c>
      <c r="AG39" s="102">
        <f>IF(K39="Yes",AF39*Tab_Data_Flows[[#This Row],[Flow_Py]],"N.A.")</f>
        <v>38.6</v>
      </c>
      <c r="AH39" s="58" t="str">
        <f>Tab_Data_Flows[[#This Row],[UoM_Flow_Py]]</f>
        <v>Mg</v>
      </c>
      <c r="AI39" s="101">
        <f>INDEX(Tab_Def_Flows[[Flow_ID]:[CC_DM_source]],MATCH(Tab_Data_Flows[[#This Row],[Name(EN)]],Tab_Def_Flows[Name(EN)],0),18)</f>
        <v>0.5</v>
      </c>
      <c r="AJ39" s="102">
        <f>IF(L39="Yes",AI39*Tab_Data_Flows[[#This Row],[Flow_Py]]*Tab_Data_Flows[[#This Row],[DM_'[%']]],"N.A.")</f>
        <v>19.3</v>
      </c>
      <c r="AK39" s="58" t="str">
        <f>Tab_Data_Flows[[#This Row],[UoM_Flow_Py]]</f>
        <v>Mg</v>
      </c>
    </row>
    <row r="40" spans="1:37" x14ac:dyDescent="0.25">
      <c r="A40" s="57">
        <f t="shared" si="0"/>
        <v>39</v>
      </c>
      <c r="B40" s="48" t="str">
        <f>_xlfn.XLOOKUP(C40,Tab_Def_Flows[Name(EN)],Tab_Def_Flows[Flow_ID],,0,)</f>
        <v>F_00_01</v>
      </c>
      <c r="C40" s="50" t="s">
        <v>107</v>
      </c>
      <c r="D40" s="48"/>
      <c r="E40" s="48" t="str">
        <f>_xlfn.XLOOKUP(C40,Tab_Def_Flows[Name(EN)],Tab_Def_Flows[Output_Process],,0,)</f>
        <v>Biosphere</v>
      </c>
      <c r="F40" s="48" t="str">
        <f>_xlfn.XLOOKUP(C40,Tab_Def_Flows[Name(EN)],Tab_Def_Flows[Process_ID_O],,0,)</f>
        <v>00_Bio_</v>
      </c>
      <c r="G40" s="48" t="str">
        <f>_xlfn.XLOOKUP(C40,Tab_Def_Flows[Name(EN)],Tab_Def_Flows[Input_Process],,0,)</f>
        <v>Raw Material Extraction</v>
      </c>
      <c r="H40" s="58" t="str">
        <f>_xlfn.XLOOKUP(C40,Tab_Def_Flows[Name(EN)],Tab_Def_Flows[Process_ID_I],,0,)</f>
        <v>01_Raw_</v>
      </c>
      <c r="I40" s="48">
        <f>_xlfn.XLOOKUP(C40,Tab_Def_Flows[Name(EN)],Tab_Def_Flows[Value_Source],,0,)</f>
        <v>0</v>
      </c>
      <c r="J40" s="48" t="str">
        <f>_xlfn.XLOOKUP(C40,Tab_Def_Flows[Name(EN)],Tab_Def_Flows[WC?],,0,)</f>
        <v>Yes</v>
      </c>
      <c r="K40" s="48" t="str">
        <f>_xlfn.XLOOKUP(C40,Tab_Def_Flows[Name(EN)],Tab_Def_Flows[DM?],,0,)</f>
        <v>Yes</v>
      </c>
      <c r="L40" s="48" t="str">
        <f>_xlfn.XLOOKUP(C40,Tab_Def_Flows[Name(EN)],Tab_Def_Flows[CC?],,0,)</f>
        <v>Yes</v>
      </c>
      <c r="M40" s="50">
        <v>1958</v>
      </c>
      <c r="N40" s="50"/>
      <c r="O40" s="108">
        <v>51.4</v>
      </c>
      <c r="P40" s="50" t="s">
        <v>85</v>
      </c>
      <c r="Q40" s="50"/>
      <c r="R40" s="50" t="e">
        <f>INDEX(Tab_WC_DM_CC[[Flow_ID]:[CC_source]],MATCH(Tab_Data_Flows[[#This Row],[Name(EN)]],Tab_WC_DM_CC[Name(EN)],0),12)</f>
        <v>#N/A</v>
      </c>
      <c r="S40" s="50" t="e">
        <f>MATCH(Tab_Data_Flows[[#This Row],[Name(EN)]],Tab_WC_DM_CC[Name(EN)],0)</f>
        <v>#N/A</v>
      </c>
      <c r="T40" s="50"/>
      <c r="U40" s="50"/>
      <c r="V40" s="50"/>
      <c r="W40" s="50"/>
      <c r="X40" s="50" t="s">
        <v>84</v>
      </c>
      <c r="Y40" s="50"/>
      <c r="Z40" s="50"/>
      <c r="AA40" s="80">
        <f t="shared" si="3"/>
        <v>51.4</v>
      </c>
      <c r="AB40" s="50" t="s">
        <v>85</v>
      </c>
      <c r="AC40" s="101">
        <f>INDEX(Tab_Def_Flows[[Flow_ID]:[CC_DM_source]],MATCH(Tab_Data_Flows[[#This Row],[Name(EN)]],Tab_Def_Flows[Name(EN)],0),14)</f>
        <v>0</v>
      </c>
      <c r="AD40" s="102">
        <f>IF(J40="Yes",AA40*Tab_Data_Flows[[#This Row],[WC_'[%']]],"N.A.")</f>
        <v>0</v>
      </c>
      <c r="AE40" s="58" t="str">
        <f>Tab_Data_Flows[[#This Row],[UoM_Flow_Py]]</f>
        <v>Mg</v>
      </c>
      <c r="AF40" s="101">
        <f>INDEX(Tab_Def_Flows[[Flow_ID]:[CC_DM_source]],MATCH(Tab_Data_Flows[[#This Row],[Name(EN)]],Tab_Def_Flows[Name(EN)],0),16)</f>
        <v>1</v>
      </c>
      <c r="AG40" s="102">
        <f>IF(K40="Yes",AF40*Tab_Data_Flows[[#This Row],[Flow_Py]],"N.A.")</f>
        <v>51.4</v>
      </c>
      <c r="AH40" s="58" t="str">
        <f>Tab_Data_Flows[[#This Row],[UoM_Flow_Py]]</f>
        <v>Mg</v>
      </c>
      <c r="AI40" s="101">
        <f>INDEX(Tab_Def_Flows[[Flow_ID]:[CC_DM_source]],MATCH(Tab_Data_Flows[[#This Row],[Name(EN)]],Tab_Def_Flows[Name(EN)],0),18)</f>
        <v>0.5</v>
      </c>
      <c r="AJ40" s="102">
        <f>IF(L40="Yes",AI40*Tab_Data_Flows[[#This Row],[Flow_Py]]*Tab_Data_Flows[[#This Row],[DM_'[%']]],"N.A.")</f>
        <v>25.7</v>
      </c>
      <c r="AK40" s="58" t="str">
        <f>Tab_Data_Flows[[#This Row],[UoM_Flow_Py]]</f>
        <v>Mg</v>
      </c>
    </row>
    <row r="41" spans="1:37" x14ac:dyDescent="0.25">
      <c r="A41" s="57">
        <f t="shared" si="0"/>
        <v>40</v>
      </c>
      <c r="B41" s="48" t="str">
        <f>_xlfn.XLOOKUP(C41,Tab_Def_Flows[Name(EN)],Tab_Def_Flows[Flow_ID],,0,)</f>
        <v>F_00_01</v>
      </c>
      <c r="C41" s="50" t="s">
        <v>107</v>
      </c>
      <c r="D41" s="48"/>
      <c r="E41" s="48" t="str">
        <f>_xlfn.XLOOKUP(C41,Tab_Def_Flows[Name(EN)],Tab_Def_Flows[Output_Process],,0,)</f>
        <v>Biosphere</v>
      </c>
      <c r="F41" s="48" t="str">
        <f>_xlfn.XLOOKUP(C41,Tab_Def_Flows[Name(EN)],Tab_Def_Flows[Process_ID_O],,0,)</f>
        <v>00_Bio_</v>
      </c>
      <c r="G41" s="48" t="str">
        <f>_xlfn.XLOOKUP(C41,Tab_Def_Flows[Name(EN)],Tab_Def_Flows[Input_Process],,0,)</f>
        <v>Raw Material Extraction</v>
      </c>
      <c r="H41" s="58" t="str">
        <f>_xlfn.XLOOKUP(C41,Tab_Def_Flows[Name(EN)],Tab_Def_Flows[Process_ID_I],,0,)</f>
        <v>01_Raw_</v>
      </c>
      <c r="I41" s="48">
        <f>_xlfn.XLOOKUP(C41,Tab_Def_Flows[Name(EN)],Tab_Def_Flows[Value_Source],,0,)</f>
        <v>0</v>
      </c>
      <c r="J41" s="48" t="str">
        <f>_xlfn.XLOOKUP(C41,Tab_Def_Flows[Name(EN)],Tab_Def_Flows[WC?],,0,)</f>
        <v>Yes</v>
      </c>
      <c r="K41" s="48" t="str">
        <f>_xlfn.XLOOKUP(C41,Tab_Def_Flows[Name(EN)],Tab_Def_Flows[DM?],,0,)</f>
        <v>Yes</v>
      </c>
      <c r="L41" s="48" t="str">
        <f>_xlfn.XLOOKUP(C41,Tab_Def_Flows[Name(EN)],Tab_Def_Flows[CC?],,0,)</f>
        <v>Yes</v>
      </c>
      <c r="M41" s="50">
        <v>1959</v>
      </c>
      <c r="N41" s="50"/>
      <c r="O41" s="108">
        <v>51.4</v>
      </c>
      <c r="P41" s="50" t="s">
        <v>85</v>
      </c>
      <c r="Q41" s="50"/>
      <c r="R41" s="50" t="e">
        <f>INDEX(Tab_WC_DM_CC[[Flow_ID]:[CC_source]],MATCH(Tab_Data_Flows[[#This Row],[Name(EN)]],Tab_WC_DM_CC[Name(EN)],0),12)</f>
        <v>#N/A</v>
      </c>
      <c r="S41" s="50" t="e">
        <f>MATCH(Tab_Data_Flows[[#This Row],[Name(EN)]],Tab_WC_DM_CC[Name(EN)],0)</f>
        <v>#N/A</v>
      </c>
      <c r="T41" s="50"/>
      <c r="U41" s="50"/>
      <c r="V41" s="50"/>
      <c r="W41" s="50"/>
      <c r="X41" s="50" t="s">
        <v>84</v>
      </c>
      <c r="Y41" s="50"/>
      <c r="Z41" s="50"/>
      <c r="AA41" s="80">
        <f t="shared" si="3"/>
        <v>51.4</v>
      </c>
      <c r="AB41" s="50" t="s">
        <v>85</v>
      </c>
      <c r="AC41" s="101">
        <f>INDEX(Tab_Def_Flows[[Flow_ID]:[CC_DM_source]],MATCH(Tab_Data_Flows[[#This Row],[Name(EN)]],Tab_Def_Flows[Name(EN)],0),14)</f>
        <v>0</v>
      </c>
      <c r="AD41" s="102">
        <f>IF(J41="Yes",AA41*Tab_Data_Flows[[#This Row],[WC_'[%']]],"N.A.")</f>
        <v>0</v>
      </c>
      <c r="AE41" s="58" t="str">
        <f>Tab_Data_Flows[[#This Row],[UoM_Flow_Py]]</f>
        <v>Mg</v>
      </c>
      <c r="AF41" s="101">
        <f>INDEX(Tab_Def_Flows[[Flow_ID]:[CC_DM_source]],MATCH(Tab_Data_Flows[[#This Row],[Name(EN)]],Tab_Def_Flows[Name(EN)],0),16)</f>
        <v>1</v>
      </c>
      <c r="AG41" s="102">
        <f>IF(K41="Yes",AF41*Tab_Data_Flows[[#This Row],[Flow_Py]],"N.A.")</f>
        <v>51.4</v>
      </c>
      <c r="AH41" s="58" t="str">
        <f>Tab_Data_Flows[[#This Row],[UoM_Flow_Py]]</f>
        <v>Mg</v>
      </c>
      <c r="AI41" s="101">
        <f>INDEX(Tab_Def_Flows[[Flow_ID]:[CC_DM_source]],MATCH(Tab_Data_Flows[[#This Row],[Name(EN)]],Tab_Def_Flows[Name(EN)],0),18)</f>
        <v>0.5</v>
      </c>
      <c r="AJ41" s="102">
        <f>IF(L41="Yes",AI41*Tab_Data_Flows[[#This Row],[Flow_Py]]*Tab_Data_Flows[[#This Row],[DM_'[%']]],"N.A.")</f>
        <v>25.7</v>
      </c>
      <c r="AK41" s="58" t="str">
        <f>Tab_Data_Flows[[#This Row],[UoM_Flow_Py]]</f>
        <v>Mg</v>
      </c>
    </row>
    <row r="42" spans="1:37" x14ac:dyDescent="0.25">
      <c r="A42" s="57">
        <f t="shared" si="0"/>
        <v>41</v>
      </c>
      <c r="B42" s="48" t="str">
        <f>_xlfn.XLOOKUP(C42,Tab_Def_Flows[Name(EN)],Tab_Def_Flows[Flow_ID],,0,)</f>
        <v>F_00_01</v>
      </c>
      <c r="C42" s="50" t="s">
        <v>107</v>
      </c>
      <c r="D42" s="48"/>
      <c r="E42" s="48" t="str">
        <f>_xlfn.XLOOKUP(C42,Tab_Def_Flows[Name(EN)],Tab_Def_Flows[Output_Process],,0,)</f>
        <v>Biosphere</v>
      </c>
      <c r="F42" s="48" t="str">
        <f>_xlfn.XLOOKUP(C42,Tab_Def_Flows[Name(EN)],Tab_Def_Flows[Process_ID_O],,0,)</f>
        <v>00_Bio_</v>
      </c>
      <c r="G42" s="48" t="str">
        <f>_xlfn.XLOOKUP(C42,Tab_Def_Flows[Name(EN)],Tab_Def_Flows[Input_Process],,0,)</f>
        <v>Raw Material Extraction</v>
      </c>
      <c r="H42" s="58" t="str">
        <f>_xlfn.XLOOKUP(C42,Tab_Def_Flows[Name(EN)],Tab_Def_Flows[Process_ID_I],,0,)</f>
        <v>01_Raw_</v>
      </c>
      <c r="I42" s="48">
        <f>_xlfn.XLOOKUP(C42,Tab_Def_Flows[Name(EN)],Tab_Def_Flows[Value_Source],,0,)</f>
        <v>0</v>
      </c>
      <c r="J42" s="48" t="str">
        <f>_xlfn.XLOOKUP(C42,Tab_Def_Flows[Name(EN)],Tab_Def_Flows[WC?],,0,)</f>
        <v>Yes</v>
      </c>
      <c r="K42" s="48" t="str">
        <f>_xlfn.XLOOKUP(C42,Tab_Def_Flows[Name(EN)],Tab_Def_Flows[DM?],,0,)</f>
        <v>Yes</v>
      </c>
      <c r="L42" s="48" t="str">
        <f>_xlfn.XLOOKUP(C42,Tab_Def_Flows[Name(EN)],Tab_Def_Flows[CC?],,0,)</f>
        <v>Yes</v>
      </c>
      <c r="M42" s="50">
        <v>1960</v>
      </c>
      <c r="N42" s="50"/>
      <c r="O42" s="108">
        <v>45</v>
      </c>
      <c r="P42" s="50" t="s">
        <v>85</v>
      </c>
      <c r="Q42" s="50"/>
      <c r="R42" s="50" t="e">
        <f>INDEX(Tab_WC_DM_CC[[Flow_ID]:[CC_source]],MATCH(Tab_Data_Flows[[#This Row],[Name(EN)]],Tab_WC_DM_CC[Name(EN)],0),12)</f>
        <v>#N/A</v>
      </c>
      <c r="S42" s="50" t="e">
        <f>MATCH(Tab_Data_Flows[[#This Row],[Name(EN)]],Tab_WC_DM_CC[Name(EN)],0)</f>
        <v>#N/A</v>
      </c>
      <c r="T42" s="50"/>
      <c r="U42" s="50"/>
      <c r="V42" s="50"/>
      <c r="W42" s="50"/>
      <c r="X42" s="50" t="s">
        <v>84</v>
      </c>
      <c r="Y42" s="50"/>
      <c r="Z42" s="50"/>
      <c r="AA42" s="80">
        <f t="shared" si="3"/>
        <v>45</v>
      </c>
      <c r="AB42" s="50" t="s">
        <v>85</v>
      </c>
      <c r="AC42" s="101">
        <f>INDEX(Tab_Def_Flows[[Flow_ID]:[CC_DM_source]],MATCH(Tab_Data_Flows[[#This Row],[Name(EN)]],Tab_Def_Flows[Name(EN)],0),14)</f>
        <v>0</v>
      </c>
      <c r="AD42" s="102">
        <f>IF(J42="Yes",AA42*Tab_Data_Flows[[#This Row],[WC_'[%']]],"N.A.")</f>
        <v>0</v>
      </c>
      <c r="AE42" s="58" t="str">
        <f>Tab_Data_Flows[[#This Row],[UoM_Flow_Py]]</f>
        <v>Mg</v>
      </c>
      <c r="AF42" s="101">
        <f>INDEX(Tab_Def_Flows[[Flow_ID]:[CC_DM_source]],MATCH(Tab_Data_Flows[[#This Row],[Name(EN)]],Tab_Def_Flows[Name(EN)],0),16)</f>
        <v>1</v>
      </c>
      <c r="AG42" s="102">
        <f>IF(K42="Yes",AF42*Tab_Data_Flows[[#This Row],[Flow_Py]],"N.A.")</f>
        <v>45</v>
      </c>
      <c r="AH42" s="58" t="str">
        <f>Tab_Data_Flows[[#This Row],[UoM_Flow_Py]]</f>
        <v>Mg</v>
      </c>
      <c r="AI42" s="101">
        <f>INDEX(Tab_Def_Flows[[Flow_ID]:[CC_DM_source]],MATCH(Tab_Data_Flows[[#This Row],[Name(EN)]],Tab_Def_Flows[Name(EN)],0),18)</f>
        <v>0.5</v>
      </c>
      <c r="AJ42" s="102">
        <f>IF(L42="Yes",AI42*Tab_Data_Flows[[#This Row],[Flow_Py]]*Tab_Data_Flows[[#This Row],[DM_'[%']]],"N.A.")</f>
        <v>22.5</v>
      </c>
      <c r="AK42" s="58" t="str">
        <f>Tab_Data_Flows[[#This Row],[UoM_Flow_Py]]</f>
        <v>Mg</v>
      </c>
    </row>
    <row r="43" spans="1:37" x14ac:dyDescent="0.25">
      <c r="A43" s="57">
        <f t="shared" si="0"/>
        <v>42</v>
      </c>
      <c r="B43" s="48" t="str">
        <f>_xlfn.XLOOKUP(C43,Tab_Def_Flows[Name(EN)],Tab_Def_Flows[Flow_ID],,0,)</f>
        <v>F_00_01</v>
      </c>
      <c r="C43" s="50" t="s">
        <v>107</v>
      </c>
      <c r="D43" s="48"/>
      <c r="E43" s="48" t="str">
        <f>_xlfn.XLOOKUP(C43,Tab_Def_Flows[Name(EN)],Tab_Def_Flows[Output_Process],,0,)</f>
        <v>Biosphere</v>
      </c>
      <c r="F43" s="48" t="str">
        <f>_xlfn.XLOOKUP(C43,Tab_Def_Flows[Name(EN)],Tab_Def_Flows[Process_ID_O],,0,)</f>
        <v>00_Bio_</v>
      </c>
      <c r="G43" s="48" t="str">
        <f>_xlfn.XLOOKUP(C43,Tab_Def_Flows[Name(EN)],Tab_Def_Flows[Input_Process],,0,)</f>
        <v>Raw Material Extraction</v>
      </c>
      <c r="H43" s="58" t="str">
        <f>_xlfn.XLOOKUP(C43,Tab_Def_Flows[Name(EN)],Tab_Def_Flows[Process_ID_I],,0,)</f>
        <v>01_Raw_</v>
      </c>
      <c r="I43" s="48">
        <f>_xlfn.XLOOKUP(C43,Tab_Def_Flows[Name(EN)],Tab_Def_Flows[Value_Source],,0,)</f>
        <v>0</v>
      </c>
      <c r="J43" s="48" t="str">
        <f>_xlfn.XLOOKUP(C43,Tab_Def_Flows[Name(EN)],Tab_Def_Flows[WC?],,0,)</f>
        <v>Yes</v>
      </c>
      <c r="K43" s="48" t="str">
        <f>_xlfn.XLOOKUP(C43,Tab_Def_Flows[Name(EN)],Tab_Def_Flows[DM?],,0,)</f>
        <v>Yes</v>
      </c>
      <c r="L43" s="48" t="str">
        <f>_xlfn.XLOOKUP(C43,Tab_Def_Flows[Name(EN)],Tab_Def_Flows[CC?],,0,)</f>
        <v>Yes</v>
      </c>
      <c r="M43" s="50">
        <v>1961</v>
      </c>
      <c r="N43" s="50"/>
      <c r="O43" s="108">
        <v>12.8</v>
      </c>
      <c r="P43" s="50" t="s">
        <v>85</v>
      </c>
      <c r="Q43" s="50"/>
      <c r="R43" s="50" t="e">
        <f>INDEX(Tab_WC_DM_CC[[Flow_ID]:[CC_source]],MATCH(Tab_Data_Flows[[#This Row],[Name(EN)]],Tab_WC_DM_CC[Name(EN)],0),12)</f>
        <v>#N/A</v>
      </c>
      <c r="S43" s="50" t="e">
        <f>MATCH(Tab_Data_Flows[[#This Row],[Name(EN)]],Tab_WC_DM_CC[Name(EN)],0)</f>
        <v>#N/A</v>
      </c>
      <c r="T43" s="50"/>
      <c r="U43" s="50"/>
      <c r="V43" s="50"/>
      <c r="W43" s="50"/>
      <c r="X43" s="50" t="s">
        <v>84</v>
      </c>
      <c r="Y43" s="50"/>
      <c r="Z43" s="50"/>
      <c r="AA43" s="80">
        <f t="shared" si="3"/>
        <v>12.8</v>
      </c>
      <c r="AB43" s="50" t="s">
        <v>85</v>
      </c>
      <c r="AC43" s="101">
        <f>INDEX(Tab_Def_Flows[[Flow_ID]:[CC_DM_source]],MATCH(Tab_Data_Flows[[#This Row],[Name(EN)]],Tab_Def_Flows[Name(EN)],0),14)</f>
        <v>0</v>
      </c>
      <c r="AD43" s="102">
        <f>IF(J43="Yes",AA43*Tab_Data_Flows[[#This Row],[WC_'[%']]],"N.A.")</f>
        <v>0</v>
      </c>
      <c r="AE43" s="58" t="str">
        <f>Tab_Data_Flows[[#This Row],[UoM_Flow_Py]]</f>
        <v>Mg</v>
      </c>
      <c r="AF43" s="101">
        <f>INDEX(Tab_Def_Flows[[Flow_ID]:[CC_DM_source]],MATCH(Tab_Data_Flows[[#This Row],[Name(EN)]],Tab_Def_Flows[Name(EN)],0),16)</f>
        <v>1</v>
      </c>
      <c r="AG43" s="102">
        <f>IF(K43="Yes",AF43*Tab_Data_Flows[[#This Row],[Flow_Py]],"N.A.")</f>
        <v>12.8</v>
      </c>
      <c r="AH43" s="58" t="str">
        <f>Tab_Data_Flows[[#This Row],[UoM_Flow_Py]]</f>
        <v>Mg</v>
      </c>
      <c r="AI43" s="101">
        <f>INDEX(Tab_Def_Flows[[Flow_ID]:[CC_DM_source]],MATCH(Tab_Data_Flows[[#This Row],[Name(EN)]],Tab_Def_Flows[Name(EN)],0),18)</f>
        <v>0.5</v>
      </c>
      <c r="AJ43" s="102">
        <f>IF(L43="Yes",AI43*Tab_Data_Flows[[#This Row],[Flow_Py]]*Tab_Data_Flows[[#This Row],[DM_'[%']]],"N.A.")</f>
        <v>6.4</v>
      </c>
      <c r="AK43" s="58" t="str">
        <f>Tab_Data_Flows[[#This Row],[UoM_Flow_Py]]</f>
        <v>Mg</v>
      </c>
    </row>
    <row r="44" spans="1:37" x14ac:dyDescent="0.25">
      <c r="A44" s="57">
        <f t="shared" si="0"/>
        <v>43</v>
      </c>
      <c r="B44" s="48" t="str">
        <f>_xlfn.XLOOKUP(C44,Tab_Def_Flows[Name(EN)],Tab_Def_Flows[Flow_ID],,0,)</f>
        <v>F_00_01</v>
      </c>
      <c r="C44" s="50" t="s">
        <v>107</v>
      </c>
      <c r="D44" s="48"/>
      <c r="E44" s="48" t="str">
        <f>_xlfn.XLOOKUP(C44,Tab_Def_Flows[Name(EN)],Tab_Def_Flows[Output_Process],,0,)</f>
        <v>Biosphere</v>
      </c>
      <c r="F44" s="48" t="str">
        <f>_xlfn.XLOOKUP(C44,Tab_Def_Flows[Name(EN)],Tab_Def_Flows[Process_ID_O],,0,)</f>
        <v>00_Bio_</v>
      </c>
      <c r="G44" s="48" t="str">
        <f>_xlfn.XLOOKUP(C44,Tab_Def_Flows[Name(EN)],Tab_Def_Flows[Input_Process],,0,)</f>
        <v>Raw Material Extraction</v>
      </c>
      <c r="H44" s="58" t="str">
        <f>_xlfn.XLOOKUP(C44,Tab_Def_Flows[Name(EN)],Tab_Def_Flows[Process_ID_I],,0,)</f>
        <v>01_Raw_</v>
      </c>
      <c r="I44" s="48">
        <f>_xlfn.XLOOKUP(C44,Tab_Def_Flows[Name(EN)],Tab_Def_Flows[Value_Source],,0,)</f>
        <v>0</v>
      </c>
      <c r="J44" s="48" t="str">
        <f>_xlfn.XLOOKUP(C44,Tab_Def_Flows[Name(EN)],Tab_Def_Flows[WC?],,0,)</f>
        <v>Yes</v>
      </c>
      <c r="K44" s="48" t="str">
        <f>_xlfn.XLOOKUP(C44,Tab_Def_Flows[Name(EN)],Tab_Def_Flows[DM?],,0,)</f>
        <v>Yes</v>
      </c>
      <c r="L44" s="48" t="str">
        <f>_xlfn.XLOOKUP(C44,Tab_Def_Flows[Name(EN)],Tab_Def_Flows[CC?],,0,)</f>
        <v>Yes</v>
      </c>
      <c r="M44" s="50">
        <v>1962</v>
      </c>
      <c r="N44" s="50"/>
      <c r="O44" s="108">
        <v>25.8</v>
      </c>
      <c r="P44" s="50" t="s">
        <v>85</v>
      </c>
      <c r="Q44" s="50"/>
      <c r="R44" s="50" t="e">
        <f>INDEX(Tab_WC_DM_CC[[Flow_ID]:[CC_source]],MATCH(Tab_Data_Flows[[#This Row],[Name(EN)]],Tab_WC_DM_CC[Name(EN)],0),12)</f>
        <v>#N/A</v>
      </c>
      <c r="S44" s="50" t="e">
        <f>MATCH(Tab_Data_Flows[[#This Row],[Name(EN)]],Tab_WC_DM_CC[Name(EN)],0)</f>
        <v>#N/A</v>
      </c>
      <c r="T44" s="50"/>
      <c r="U44" s="50"/>
      <c r="V44" s="50"/>
      <c r="W44" s="50"/>
      <c r="X44" s="50" t="s">
        <v>84</v>
      </c>
      <c r="Y44" s="50"/>
      <c r="Z44" s="50"/>
      <c r="AA44" s="80">
        <f t="shared" si="3"/>
        <v>25.8</v>
      </c>
      <c r="AB44" s="50" t="s">
        <v>85</v>
      </c>
      <c r="AC44" s="101">
        <f>INDEX(Tab_Def_Flows[[Flow_ID]:[CC_DM_source]],MATCH(Tab_Data_Flows[[#This Row],[Name(EN)]],Tab_Def_Flows[Name(EN)],0),14)</f>
        <v>0</v>
      </c>
      <c r="AD44" s="102">
        <f>IF(J44="Yes",AA44*Tab_Data_Flows[[#This Row],[WC_'[%']]],"N.A.")</f>
        <v>0</v>
      </c>
      <c r="AE44" s="58" t="str">
        <f>Tab_Data_Flows[[#This Row],[UoM_Flow_Py]]</f>
        <v>Mg</v>
      </c>
      <c r="AF44" s="101">
        <f>INDEX(Tab_Def_Flows[[Flow_ID]:[CC_DM_source]],MATCH(Tab_Data_Flows[[#This Row],[Name(EN)]],Tab_Def_Flows[Name(EN)],0),16)</f>
        <v>1</v>
      </c>
      <c r="AG44" s="102">
        <f>IF(K44="Yes",AF44*Tab_Data_Flows[[#This Row],[Flow_Py]],"N.A.")</f>
        <v>25.8</v>
      </c>
      <c r="AH44" s="58" t="str">
        <f>Tab_Data_Flows[[#This Row],[UoM_Flow_Py]]</f>
        <v>Mg</v>
      </c>
      <c r="AI44" s="101">
        <f>INDEX(Tab_Def_Flows[[Flow_ID]:[CC_DM_source]],MATCH(Tab_Data_Flows[[#This Row],[Name(EN)]],Tab_Def_Flows[Name(EN)],0),18)</f>
        <v>0.5</v>
      </c>
      <c r="AJ44" s="102">
        <f>IF(L44="Yes",AI44*Tab_Data_Flows[[#This Row],[Flow_Py]]*Tab_Data_Flows[[#This Row],[DM_'[%']]],"N.A.")</f>
        <v>12.9</v>
      </c>
      <c r="AK44" s="58" t="str">
        <f>Tab_Data_Flows[[#This Row],[UoM_Flow_Py]]</f>
        <v>Mg</v>
      </c>
    </row>
    <row r="45" spans="1:37" x14ac:dyDescent="0.25">
      <c r="A45" s="57">
        <f t="shared" si="0"/>
        <v>44</v>
      </c>
      <c r="B45" s="48" t="str">
        <f>_xlfn.XLOOKUP(C45,Tab_Def_Flows[Name(EN)],Tab_Def_Flows[Flow_ID],,0,)</f>
        <v>F_00_01</v>
      </c>
      <c r="C45" s="50" t="s">
        <v>107</v>
      </c>
      <c r="D45" s="48"/>
      <c r="E45" s="48" t="str">
        <f>_xlfn.XLOOKUP(C45,Tab_Def_Flows[Name(EN)],Tab_Def_Flows[Output_Process],,0,)</f>
        <v>Biosphere</v>
      </c>
      <c r="F45" s="48" t="str">
        <f>_xlfn.XLOOKUP(C45,Tab_Def_Flows[Name(EN)],Tab_Def_Flows[Process_ID_O],,0,)</f>
        <v>00_Bio_</v>
      </c>
      <c r="G45" s="48" t="str">
        <f>_xlfn.XLOOKUP(C45,Tab_Def_Flows[Name(EN)],Tab_Def_Flows[Input_Process],,0,)</f>
        <v>Raw Material Extraction</v>
      </c>
      <c r="H45" s="58" t="str">
        <f>_xlfn.XLOOKUP(C45,Tab_Def_Flows[Name(EN)],Tab_Def_Flows[Process_ID_I],,0,)</f>
        <v>01_Raw_</v>
      </c>
      <c r="I45" s="48">
        <f>_xlfn.XLOOKUP(C45,Tab_Def_Flows[Name(EN)],Tab_Def_Flows[Value_Source],,0,)</f>
        <v>0</v>
      </c>
      <c r="J45" s="48" t="str">
        <f>_xlfn.XLOOKUP(C45,Tab_Def_Flows[Name(EN)],Tab_Def_Flows[WC?],,0,)</f>
        <v>Yes</v>
      </c>
      <c r="K45" s="48" t="str">
        <f>_xlfn.XLOOKUP(C45,Tab_Def_Flows[Name(EN)],Tab_Def_Flows[DM?],,0,)</f>
        <v>Yes</v>
      </c>
      <c r="L45" s="48" t="str">
        <f>_xlfn.XLOOKUP(C45,Tab_Def_Flows[Name(EN)],Tab_Def_Flows[CC?],,0,)</f>
        <v>Yes</v>
      </c>
      <c r="M45" s="50">
        <v>1963</v>
      </c>
      <c r="N45" s="50"/>
      <c r="O45" s="108">
        <v>45</v>
      </c>
      <c r="P45" s="50" t="s">
        <v>85</v>
      </c>
      <c r="Q45" s="50"/>
      <c r="R45" s="50" t="e">
        <f>INDEX(Tab_WC_DM_CC[[Flow_ID]:[CC_source]],MATCH(Tab_Data_Flows[[#This Row],[Name(EN)]],Tab_WC_DM_CC[Name(EN)],0),12)</f>
        <v>#N/A</v>
      </c>
      <c r="S45" s="50" t="e">
        <f>MATCH(Tab_Data_Flows[[#This Row],[Name(EN)]],Tab_WC_DM_CC[Name(EN)],0)</f>
        <v>#N/A</v>
      </c>
      <c r="T45" s="50"/>
      <c r="U45" s="50"/>
      <c r="V45" s="50"/>
      <c r="W45" s="50"/>
      <c r="X45" s="50" t="s">
        <v>84</v>
      </c>
      <c r="Y45" s="50"/>
      <c r="Z45" s="50"/>
      <c r="AA45" s="80">
        <f t="shared" si="3"/>
        <v>45</v>
      </c>
      <c r="AB45" s="50" t="s">
        <v>85</v>
      </c>
      <c r="AC45" s="101">
        <f>INDEX(Tab_Def_Flows[[Flow_ID]:[CC_DM_source]],MATCH(Tab_Data_Flows[[#This Row],[Name(EN)]],Tab_Def_Flows[Name(EN)],0),14)</f>
        <v>0</v>
      </c>
      <c r="AD45" s="102">
        <f>IF(J45="Yes",AA45*Tab_Data_Flows[[#This Row],[WC_'[%']]],"N.A.")</f>
        <v>0</v>
      </c>
      <c r="AE45" s="58" t="str">
        <f>Tab_Data_Flows[[#This Row],[UoM_Flow_Py]]</f>
        <v>Mg</v>
      </c>
      <c r="AF45" s="101">
        <f>INDEX(Tab_Def_Flows[[Flow_ID]:[CC_DM_source]],MATCH(Tab_Data_Flows[[#This Row],[Name(EN)]],Tab_Def_Flows[Name(EN)],0),16)</f>
        <v>1</v>
      </c>
      <c r="AG45" s="102">
        <f>IF(K45="Yes",AF45*Tab_Data_Flows[[#This Row],[Flow_Py]],"N.A.")</f>
        <v>45</v>
      </c>
      <c r="AH45" s="58" t="str">
        <f>Tab_Data_Flows[[#This Row],[UoM_Flow_Py]]</f>
        <v>Mg</v>
      </c>
      <c r="AI45" s="101">
        <f>INDEX(Tab_Def_Flows[[Flow_ID]:[CC_DM_source]],MATCH(Tab_Data_Flows[[#This Row],[Name(EN)]],Tab_Def_Flows[Name(EN)],0),18)</f>
        <v>0.5</v>
      </c>
      <c r="AJ45" s="102">
        <f>IF(L45="Yes",AI45*Tab_Data_Flows[[#This Row],[Flow_Py]]*Tab_Data_Flows[[#This Row],[DM_'[%']]],"N.A.")</f>
        <v>22.5</v>
      </c>
      <c r="AK45" s="58" t="str">
        <f>Tab_Data_Flows[[#This Row],[UoM_Flow_Py]]</f>
        <v>Mg</v>
      </c>
    </row>
    <row r="46" spans="1:37" x14ac:dyDescent="0.25">
      <c r="A46" s="57">
        <f t="shared" si="0"/>
        <v>45</v>
      </c>
      <c r="B46" s="48" t="str">
        <f>_xlfn.XLOOKUP(C46,Tab_Def_Flows[Name(EN)],Tab_Def_Flows[Flow_ID],,0,)</f>
        <v>F_00_01</v>
      </c>
      <c r="C46" s="50" t="s">
        <v>107</v>
      </c>
      <c r="D46" s="48"/>
      <c r="E46" s="48" t="str">
        <f>_xlfn.XLOOKUP(C46,Tab_Def_Flows[Name(EN)],Tab_Def_Flows[Output_Process],,0,)</f>
        <v>Biosphere</v>
      </c>
      <c r="F46" s="48" t="str">
        <f>_xlfn.XLOOKUP(C46,Tab_Def_Flows[Name(EN)],Tab_Def_Flows[Process_ID_O],,0,)</f>
        <v>00_Bio_</v>
      </c>
      <c r="G46" s="48" t="str">
        <f>_xlfn.XLOOKUP(C46,Tab_Def_Flows[Name(EN)],Tab_Def_Flows[Input_Process],,0,)</f>
        <v>Raw Material Extraction</v>
      </c>
      <c r="H46" s="58" t="str">
        <f>_xlfn.XLOOKUP(C46,Tab_Def_Flows[Name(EN)],Tab_Def_Flows[Process_ID_I],,0,)</f>
        <v>01_Raw_</v>
      </c>
      <c r="I46" s="48">
        <f>_xlfn.XLOOKUP(C46,Tab_Def_Flows[Name(EN)],Tab_Def_Flows[Value_Source],,0,)</f>
        <v>0</v>
      </c>
      <c r="J46" s="48" t="str">
        <f>_xlfn.XLOOKUP(C46,Tab_Def_Flows[Name(EN)],Tab_Def_Flows[WC?],,0,)</f>
        <v>Yes</v>
      </c>
      <c r="K46" s="48" t="str">
        <f>_xlfn.XLOOKUP(C46,Tab_Def_Flows[Name(EN)],Tab_Def_Flows[DM?],,0,)</f>
        <v>Yes</v>
      </c>
      <c r="L46" s="48" t="str">
        <f>_xlfn.XLOOKUP(C46,Tab_Def_Flows[Name(EN)],Tab_Def_Flows[CC?],,0,)</f>
        <v>Yes</v>
      </c>
      <c r="M46" s="50">
        <v>1964</v>
      </c>
      <c r="N46" s="50"/>
      <c r="O46" s="108">
        <v>57.8</v>
      </c>
      <c r="P46" s="50" t="s">
        <v>85</v>
      </c>
      <c r="Q46" s="50"/>
      <c r="R46" s="50" t="e">
        <f>INDEX(Tab_WC_DM_CC[[Flow_ID]:[CC_source]],MATCH(Tab_Data_Flows[[#This Row],[Name(EN)]],Tab_WC_DM_CC[Name(EN)],0),12)</f>
        <v>#N/A</v>
      </c>
      <c r="S46" s="50" t="e">
        <f>MATCH(Tab_Data_Flows[[#This Row],[Name(EN)]],Tab_WC_DM_CC[Name(EN)],0)</f>
        <v>#N/A</v>
      </c>
      <c r="T46" s="50"/>
      <c r="U46" s="50"/>
      <c r="V46" s="50"/>
      <c r="W46" s="50"/>
      <c r="X46" s="50" t="s">
        <v>84</v>
      </c>
      <c r="Y46" s="50"/>
      <c r="Z46" s="50"/>
      <c r="AA46" s="80">
        <f t="shared" si="3"/>
        <v>57.8</v>
      </c>
      <c r="AB46" s="50" t="s">
        <v>85</v>
      </c>
      <c r="AC46" s="101">
        <f>INDEX(Tab_Def_Flows[[Flow_ID]:[CC_DM_source]],MATCH(Tab_Data_Flows[[#This Row],[Name(EN)]],Tab_Def_Flows[Name(EN)],0),14)</f>
        <v>0</v>
      </c>
      <c r="AD46" s="102">
        <f>IF(J46="Yes",AA46*Tab_Data_Flows[[#This Row],[WC_'[%']]],"N.A.")</f>
        <v>0</v>
      </c>
      <c r="AE46" s="58" t="str">
        <f>Tab_Data_Flows[[#This Row],[UoM_Flow_Py]]</f>
        <v>Mg</v>
      </c>
      <c r="AF46" s="101">
        <f>INDEX(Tab_Def_Flows[[Flow_ID]:[CC_DM_source]],MATCH(Tab_Data_Flows[[#This Row],[Name(EN)]],Tab_Def_Flows[Name(EN)],0),16)</f>
        <v>1</v>
      </c>
      <c r="AG46" s="102">
        <f>IF(K46="Yes",AF46*Tab_Data_Flows[[#This Row],[Flow_Py]],"N.A.")</f>
        <v>57.8</v>
      </c>
      <c r="AH46" s="58" t="str">
        <f>Tab_Data_Flows[[#This Row],[UoM_Flow_Py]]</f>
        <v>Mg</v>
      </c>
      <c r="AI46" s="101">
        <f>INDEX(Tab_Def_Flows[[Flow_ID]:[CC_DM_source]],MATCH(Tab_Data_Flows[[#This Row],[Name(EN)]],Tab_Def_Flows[Name(EN)],0),18)</f>
        <v>0.5</v>
      </c>
      <c r="AJ46" s="102">
        <f>IF(L46="Yes",AI46*Tab_Data_Flows[[#This Row],[Flow_Py]]*Tab_Data_Flows[[#This Row],[DM_'[%']]],"N.A.")</f>
        <v>28.9</v>
      </c>
      <c r="AK46" s="58" t="str">
        <f>Tab_Data_Flows[[#This Row],[UoM_Flow_Py]]</f>
        <v>Mg</v>
      </c>
    </row>
    <row r="47" spans="1:37" x14ac:dyDescent="0.25">
      <c r="A47" s="57">
        <f t="shared" si="0"/>
        <v>46</v>
      </c>
      <c r="B47" s="48" t="str">
        <f>_xlfn.XLOOKUP(C47,Tab_Def_Flows[Name(EN)],Tab_Def_Flows[Flow_ID],,0,)</f>
        <v>F_00_01</v>
      </c>
      <c r="C47" s="50" t="s">
        <v>107</v>
      </c>
      <c r="D47" s="48"/>
      <c r="E47" s="48" t="str">
        <f>_xlfn.XLOOKUP(C47,Tab_Def_Flows[Name(EN)],Tab_Def_Flows[Output_Process],,0,)</f>
        <v>Biosphere</v>
      </c>
      <c r="F47" s="48" t="str">
        <f>_xlfn.XLOOKUP(C47,Tab_Def_Flows[Name(EN)],Tab_Def_Flows[Process_ID_O],,0,)</f>
        <v>00_Bio_</v>
      </c>
      <c r="G47" s="48" t="str">
        <f>_xlfn.XLOOKUP(C47,Tab_Def_Flows[Name(EN)],Tab_Def_Flows[Input_Process],,0,)</f>
        <v>Raw Material Extraction</v>
      </c>
      <c r="H47" s="58" t="str">
        <f>_xlfn.XLOOKUP(C47,Tab_Def_Flows[Name(EN)],Tab_Def_Flows[Process_ID_I],,0,)</f>
        <v>01_Raw_</v>
      </c>
      <c r="I47" s="48">
        <f>_xlfn.XLOOKUP(C47,Tab_Def_Flows[Name(EN)],Tab_Def_Flows[Value_Source],,0,)</f>
        <v>0</v>
      </c>
      <c r="J47" s="48" t="str">
        <f>_xlfn.XLOOKUP(C47,Tab_Def_Flows[Name(EN)],Tab_Def_Flows[WC?],,0,)</f>
        <v>Yes</v>
      </c>
      <c r="K47" s="48" t="str">
        <f>_xlfn.XLOOKUP(C47,Tab_Def_Flows[Name(EN)],Tab_Def_Flows[DM?],,0,)</f>
        <v>Yes</v>
      </c>
      <c r="L47" s="48" t="str">
        <f>_xlfn.XLOOKUP(C47,Tab_Def_Flows[Name(EN)],Tab_Def_Flows[CC?],,0,)</f>
        <v>Yes</v>
      </c>
      <c r="M47" s="50">
        <v>1965</v>
      </c>
      <c r="N47" s="50"/>
      <c r="O47" s="108">
        <v>70.8</v>
      </c>
      <c r="P47" s="50" t="s">
        <v>85</v>
      </c>
      <c r="Q47" s="50"/>
      <c r="R47" s="50" t="e">
        <f>INDEX(Tab_WC_DM_CC[[Flow_ID]:[CC_source]],MATCH(Tab_Data_Flows[[#This Row],[Name(EN)]],Tab_WC_DM_CC[Name(EN)],0),12)</f>
        <v>#N/A</v>
      </c>
      <c r="S47" s="50" t="e">
        <f>MATCH(Tab_Data_Flows[[#This Row],[Name(EN)]],Tab_WC_DM_CC[Name(EN)],0)</f>
        <v>#N/A</v>
      </c>
      <c r="T47" s="50"/>
      <c r="U47" s="50"/>
      <c r="V47" s="50"/>
      <c r="W47" s="50"/>
      <c r="X47" s="50" t="s">
        <v>84</v>
      </c>
      <c r="Y47" s="50"/>
      <c r="Z47" s="50"/>
      <c r="AA47" s="80">
        <f t="shared" si="3"/>
        <v>70.8</v>
      </c>
      <c r="AB47" s="50" t="s">
        <v>85</v>
      </c>
      <c r="AC47" s="101">
        <f>INDEX(Tab_Def_Flows[[Flow_ID]:[CC_DM_source]],MATCH(Tab_Data_Flows[[#This Row],[Name(EN)]],Tab_Def_Flows[Name(EN)],0),14)</f>
        <v>0</v>
      </c>
      <c r="AD47" s="102">
        <f>IF(J47="Yes",AA47*Tab_Data_Flows[[#This Row],[WC_'[%']]],"N.A.")</f>
        <v>0</v>
      </c>
      <c r="AE47" s="58" t="str">
        <f>Tab_Data_Flows[[#This Row],[UoM_Flow_Py]]</f>
        <v>Mg</v>
      </c>
      <c r="AF47" s="101">
        <f>INDEX(Tab_Def_Flows[[Flow_ID]:[CC_DM_source]],MATCH(Tab_Data_Flows[[#This Row],[Name(EN)]],Tab_Def_Flows[Name(EN)],0),16)</f>
        <v>1</v>
      </c>
      <c r="AG47" s="102">
        <f>IF(K47="Yes",AF47*Tab_Data_Flows[[#This Row],[Flow_Py]],"N.A.")</f>
        <v>70.8</v>
      </c>
      <c r="AH47" s="58" t="str">
        <f>Tab_Data_Flows[[#This Row],[UoM_Flow_Py]]</f>
        <v>Mg</v>
      </c>
      <c r="AI47" s="101">
        <f>INDEX(Tab_Def_Flows[[Flow_ID]:[CC_DM_source]],MATCH(Tab_Data_Flows[[#This Row],[Name(EN)]],Tab_Def_Flows[Name(EN)],0),18)</f>
        <v>0.5</v>
      </c>
      <c r="AJ47" s="102">
        <f>IF(L47="Yes",AI47*Tab_Data_Flows[[#This Row],[Flow_Py]]*Tab_Data_Flows[[#This Row],[DM_'[%']]],"N.A.")</f>
        <v>35.4</v>
      </c>
      <c r="AK47" s="58" t="str">
        <f>Tab_Data_Flows[[#This Row],[UoM_Flow_Py]]</f>
        <v>Mg</v>
      </c>
    </row>
    <row r="48" spans="1:37" x14ac:dyDescent="0.25">
      <c r="A48" s="57">
        <f t="shared" si="0"/>
        <v>47</v>
      </c>
      <c r="B48" s="48" t="str">
        <f>_xlfn.XLOOKUP(C48,Tab_Def_Flows[Name(EN)],Tab_Def_Flows[Flow_ID],,0,)</f>
        <v>F_00_01</v>
      </c>
      <c r="C48" s="50" t="s">
        <v>107</v>
      </c>
      <c r="D48" s="48"/>
      <c r="E48" s="48" t="str">
        <f>_xlfn.XLOOKUP(C48,Tab_Def_Flows[Name(EN)],Tab_Def_Flows[Output_Process],,0,)</f>
        <v>Biosphere</v>
      </c>
      <c r="F48" s="48" t="str">
        <f>_xlfn.XLOOKUP(C48,Tab_Def_Flows[Name(EN)],Tab_Def_Flows[Process_ID_O],,0,)</f>
        <v>00_Bio_</v>
      </c>
      <c r="G48" s="48" t="str">
        <f>_xlfn.XLOOKUP(C48,Tab_Def_Flows[Name(EN)],Tab_Def_Flows[Input_Process],,0,)</f>
        <v>Raw Material Extraction</v>
      </c>
      <c r="H48" s="58" t="str">
        <f>_xlfn.XLOOKUP(C48,Tab_Def_Flows[Name(EN)],Tab_Def_Flows[Process_ID_I],,0,)</f>
        <v>01_Raw_</v>
      </c>
      <c r="I48" s="48">
        <f>_xlfn.XLOOKUP(C48,Tab_Def_Flows[Name(EN)],Tab_Def_Flows[Value_Source],,0,)</f>
        <v>0</v>
      </c>
      <c r="J48" s="48" t="str">
        <f>_xlfn.XLOOKUP(C48,Tab_Def_Flows[Name(EN)],Tab_Def_Flows[WC?],,0,)</f>
        <v>Yes</v>
      </c>
      <c r="K48" s="48" t="str">
        <f>_xlfn.XLOOKUP(C48,Tab_Def_Flows[Name(EN)],Tab_Def_Flows[DM?],,0,)</f>
        <v>Yes</v>
      </c>
      <c r="L48" s="48" t="str">
        <f>_xlfn.XLOOKUP(C48,Tab_Def_Flows[Name(EN)],Tab_Def_Flows[CC?],,0,)</f>
        <v>Yes</v>
      </c>
      <c r="M48" s="50">
        <v>1966</v>
      </c>
      <c r="N48" s="50"/>
      <c r="O48" s="108">
        <v>6.4</v>
      </c>
      <c r="P48" s="50" t="s">
        <v>85</v>
      </c>
      <c r="Q48" s="50"/>
      <c r="R48" s="50" t="e">
        <f>INDEX(Tab_WC_DM_CC[[Flow_ID]:[CC_source]],MATCH(Tab_Data_Flows[[#This Row],[Name(EN)]],Tab_WC_DM_CC[Name(EN)],0),12)</f>
        <v>#N/A</v>
      </c>
      <c r="S48" s="50" t="e">
        <f>MATCH(Tab_Data_Flows[[#This Row],[Name(EN)]],Tab_WC_DM_CC[Name(EN)],0)</f>
        <v>#N/A</v>
      </c>
      <c r="T48" s="50"/>
      <c r="U48" s="50"/>
      <c r="V48" s="50"/>
      <c r="W48" s="50"/>
      <c r="X48" s="50" t="s">
        <v>84</v>
      </c>
      <c r="Y48" s="50"/>
      <c r="Z48" s="50"/>
      <c r="AA48" s="80">
        <f t="shared" si="3"/>
        <v>6.4</v>
      </c>
      <c r="AB48" s="50" t="s">
        <v>85</v>
      </c>
      <c r="AC48" s="101">
        <f>INDEX(Tab_Def_Flows[[Flow_ID]:[CC_DM_source]],MATCH(Tab_Data_Flows[[#This Row],[Name(EN)]],Tab_Def_Flows[Name(EN)],0),14)</f>
        <v>0</v>
      </c>
      <c r="AD48" s="102">
        <f>IF(J48="Yes",AA48*Tab_Data_Flows[[#This Row],[WC_'[%']]],"N.A.")</f>
        <v>0</v>
      </c>
      <c r="AE48" s="58" t="str">
        <f>Tab_Data_Flows[[#This Row],[UoM_Flow_Py]]</f>
        <v>Mg</v>
      </c>
      <c r="AF48" s="101">
        <f>INDEX(Tab_Def_Flows[[Flow_ID]:[CC_DM_source]],MATCH(Tab_Data_Flows[[#This Row],[Name(EN)]],Tab_Def_Flows[Name(EN)],0),16)</f>
        <v>1</v>
      </c>
      <c r="AG48" s="102">
        <f>IF(K48="Yes",AF48*Tab_Data_Flows[[#This Row],[Flow_Py]],"N.A.")</f>
        <v>6.4</v>
      </c>
      <c r="AH48" s="58" t="str">
        <f>Tab_Data_Flows[[#This Row],[UoM_Flow_Py]]</f>
        <v>Mg</v>
      </c>
      <c r="AI48" s="101">
        <f>INDEX(Tab_Def_Flows[[Flow_ID]:[CC_DM_source]],MATCH(Tab_Data_Flows[[#This Row],[Name(EN)]],Tab_Def_Flows[Name(EN)],0),18)</f>
        <v>0.5</v>
      </c>
      <c r="AJ48" s="102">
        <f>IF(L48="Yes",AI48*Tab_Data_Flows[[#This Row],[Flow_Py]]*Tab_Data_Flows[[#This Row],[DM_'[%']]],"N.A.")</f>
        <v>3.2</v>
      </c>
      <c r="AK48" s="58" t="str">
        <f>Tab_Data_Flows[[#This Row],[UoM_Flow_Py]]</f>
        <v>Mg</v>
      </c>
    </row>
    <row r="49" spans="1:37" x14ac:dyDescent="0.25">
      <c r="A49" s="57">
        <f t="shared" si="0"/>
        <v>48</v>
      </c>
      <c r="B49" s="48" t="str">
        <f>_xlfn.XLOOKUP(C49,Tab_Def_Flows[Name(EN)],Tab_Def_Flows[Flow_ID],,0,)</f>
        <v>F_00_01</v>
      </c>
      <c r="C49" s="50" t="s">
        <v>107</v>
      </c>
      <c r="D49" s="48"/>
      <c r="E49" s="48" t="str">
        <f>_xlfn.XLOOKUP(C49,Tab_Def_Flows[Name(EN)],Tab_Def_Flows[Output_Process],,0,)</f>
        <v>Biosphere</v>
      </c>
      <c r="F49" s="48" t="str">
        <f>_xlfn.XLOOKUP(C49,Tab_Def_Flows[Name(EN)],Tab_Def_Flows[Process_ID_O],,0,)</f>
        <v>00_Bio_</v>
      </c>
      <c r="G49" s="48" t="str">
        <f>_xlfn.XLOOKUP(C49,Tab_Def_Flows[Name(EN)],Tab_Def_Flows[Input_Process],,0,)</f>
        <v>Raw Material Extraction</v>
      </c>
      <c r="H49" s="58" t="str">
        <f>_xlfn.XLOOKUP(C49,Tab_Def_Flows[Name(EN)],Tab_Def_Flows[Process_ID_I],,0,)</f>
        <v>01_Raw_</v>
      </c>
      <c r="I49" s="48">
        <f>_xlfn.XLOOKUP(C49,Tab_Def_Flows[Name(EN)],Tab_Def_Flows[Value_Source],,0,)</f>
        <v>0</v>
      </c>
      <c r="J49" s="48" t="str">
        <f>_xlfn.XLOOKUP(C49,Tab_Def_Flows[Name(EN)],Tab_Def_Flows[WC?],,0,)</f>
        <v>Yes</v>
      </c>
      <c r="K49" s="48" t="str">
        <f>_xlfn.XLOOKUP(C49,Tab_Def_Flows[Name(EN)],Tab_Def_Flows[DM?],,0,)</f>
        <v>Yes</v>
      </c>
      <c r="L49" s="48" t="str">
        <f>_xlfn.XLOOKUP(C49,Tab_Def_Flows[Name(EN)],Tab_Def_Flows[CC?],,0,)</f>
        <v>Yes</v>
      </c>
      <c r="M49" s="50">
        <v>1967</v>
      </c>
      <c r="N49" s="50"/>
      <c r="O49" s="108">
        <v>19.2</v>
      </c>
      <c r="P49" s="50" t="s">
        <v>85</v>
      </c>
      <c r="Q49" s="50"/>
      <c r="R49" s="50" t="e">
        <f>INDEX(Tab_WC_DM_CC[[Flow_ID]:[CC_source]],MATCH(Tab_Data_Flows[[#This Row],[Name(EN)]],Tab_WC_DM_CC[Name(EN)],0),12)</f>
        <v>#N/A</v>
      </c>
      <c r="S49" s="50" t="e">
        <f>MATCH(Tab_Data_Flows[[#This Row],[Name(EN)]],Tab_WC_DM_CC[Name(EN)],0)</f>
        <v>#N/A</v>
      </c>
      <c r="T49" s="50"/>
      <c r="U49" s="50"/>
      <c r="V49" s="50"/>
      <c r="W49" s="50"/>
      <c r="X49" s="50" t="s">
        <v>84</v>
      </c>
      <c r="Y49" s="50"/>
      <c r="Z49" s="50"/>
      <c r="AA49" s="80">
        <f t="shared" si="3"/>
        <v>19.2</v>
      </c>
      <c r="AB49" s="50" t="s">
        <v>85</v>
      </c>
      <c r="AC49" s="101">
        <f>INDEX(Tab_Def_Flows[[Flow_ID]:[CC_DM_source]],MATCH(Tab_Data_Flows[[#This Row],[Name(EN)]],Tab_Def_Flows[Name(EN)],0),14)</f>
        <v>0</v>
      </c>
      <c r="AD49" s="102">
        <f>IF(J49="Yes",AA49*Tab_Data_Flows[[#This Row],[WC_'[%']]],"N.A.")</f>
        <v>0</v>
      </c>
      <c r="AE49" s="58" t="str">
        <f>Tab_Data_Flows[[#This Row],[UoM_Flow_Py]]</f>
        <v>Mg</v>
      </c>
      <c r="AF49" s="101">
        <f>INDEX(Tab_Def_Flows[[Flow_ID]:[CC_DM_source]],MATCH(Tab_Data_Flows[[#This Row],[Name(EN)]],Tab_Def_Flows[Name(EN)],0),16)</f>
        <v>1</v>
      </c>
      <c r="AG49" s="102">
        <f>IF(K49="Yes",AF49*Tab_Data_Flows[[#This Row],[Flow_Py]],"N.A.")</f>
        <v>19.2</v>
      </c>
      <c r="AH49" s="58" t="str">
        <f>Tab_Data_Flows[[#This Row],[UoM_Flow_Py]]</f>
        <v>Mg</v>
      </c>
      <c r="AI49" s="101">
        <f>INDEX(Tab_Def_Flows[[Flow_ID]:[CC_DM_source]],MATCH(Tab_Data_Flows[[#This Row],[Name(EN)]],Tab_Def_Flows[Name(EN)],0),18)</f>
        <v>0.5</v>
      </c>
      <c r="AJ49" s="102">
        <f>IF(L49="Yes",AI49*Tab_Data_Flows[[#This Row],[Flow_Py]]*Tab_Data_Flows[[#This Row],[DM_'[%']]],"N.A.")</f>
        <v>9.6</v>
      </c>
      <c r="AK49" s="58" t="str">
        <f>Tab_Data_Flows[[#This Row],[UoM_Flow_Py]]</f>
        <v>Mg</v>
      </c>
    </row>
    <row r="50" spans="1:37" x14ac:dyDescent="0.25">
      <c r="A50" s="57">
        <f t="shared" si="0"/>
        <v>49</v>
      </c>
      <c r="B50" s="48" t="str">
        <f>_xlfn.XLOOKUP(C50,Tab_Def_Flows[Name(EN)],Tab_Def_Flows[Flow_ID],,0,)</f>
        <v>F_00_01</v>
      </c>
      <c r="C50" s="50" t="s">
        <v>107</v>
      </c>
      <c r="D50" s="48"/>
      <c r="E50" s="48" t="str">
        <f>_xlfn.XLOOKUP(C50,Tab_Def_Flows[Name(EN)],Tab_Def_Flows[Output_Process],,0,)</f>
        <v>Biosphere</v>
      </c>
      <c r="F50" s="48" t="str">
        <f>_xlfn.XLOOKUP(C50,Tab_Def_Flows[Name(EN)],Tab_Def_Flows[Process_ID_O],,0,)</f>
        <v>00_Bio_</v>
      </c>
      <c r="G50" s="48" t="str">
        <f>_xlfn.XLOOKUP(C50,Tab_Def_Flows[Name(EN)],Tab_Def_Flows[Input_Process],,0,)</f>
        <v>Raw Material Extraction</v>
      </c>
      <c r="H50" s="58" t="str">
        <f>_xlfn.XLOOKUP(C50,Tab_Def_Flows[Name(EN)],Tab_Def_Flows[Process_ID_I],,0,)</f>
        <v>01_Raw_</v>
      </c>
      <c r="I50" s="48">
        <f>_xlfn.XLOOKUP(C50,Tab_Def_Flows[Name(EN)],Tab_Def_Flows[Value_Source],,0,)</f>
        <v>0</v>
      </c>
      <c r="J50" s="48" t="str">
        <f>_xlfn.XLOOKUP(C50,Tab_Def_Flows[Name(EN)],Tab_Def_Flows[WC?],,0,)</f>
        <v>Yes</v>
      </c>
      <c r="K50" s="48" t="str">
        <f>_xlfn.XLOOKUP(C50,Tab_Def_Flows[Name(EN)],Tab_Def_Flows[DM?],,0,)</f>
        <v>Yes</v>
      </c>
      <c r="L50" s="48" t="str">
        <f>_xlfn.XLOOKUP(C50,Tab_Def_Flows[Name(EN)],Tab_Def_Flows[CC?],,0,)</f>
        <v>Yes</v>
      </c>
      <c r="M50" s="50">
        <v>1968</v>
      </c>
      <c r="N50" s="50"/>
      <c r="O50" s="108">
        <v>6.4</v>
      </c>
      <c r="P50" s="50" t="s">
        <v>85</v>
      </c>
      <c r="Q50" s="50"/>
      <c r="R50" s="50" t="e">
        <f>INDEX(Tab_WC_DM_CC[[Flow_ID]:[CC_source]],MATCH(Tab_Data_Flows[[#This Row],[Name(EN)]],Tab_WC_DM_CC[Name(EN)],0),12)</f>
        <v>#N/A</v>
      </c>
      <c r="S50" s="50" t="e">
        <f>MATCH(Tab_Data_Flows[[#This Row],[Name(EN)]],Tab_WC_DM_CC[Name(EN)],0)</f>
        <v>#N/A</v>
      </c>
      <c r="T50" s="50"/>
      <c r="U50" s="50"/>
      <c r="V50" s="50"/>
      <c r="W50" s="50"/>
      <c r="X50" s="50" t="s">
        <v>84</v>
      </c>
      <c r="Y50" s="50"/>
      <c r="Z50" s="50"/>
      <c r="AA50" s="80">
        <f t="shared" si="3"/>
        <v>6.4</v>
      </c>
      <c r="AB50" s="50" t="s">
        <v>85</v>
      </c>
      <c r="AC50" s="101">
        <f>INDEX(Tab_Def_Flows[[Flow_ID]:[CC_DM_source]],MATCH(Tab_Data_Flows[[#This Row],[Name(EN)]],Tab_Def_Flows[Name(EN)],0),14)</f>
        <v>0</v>
      </c>
      <c r="AD50" s="102">
        <f>IF(J50="Yes",AA50*Tab_Data_Flows[[#This Row],[WC_'[%']]],"N.A.")</f>
        <v>0</v>
      </c>
      <c r="AE50" s="58" t="str">
        <f>Tab_Data_Flows[[#This Row],[UoM_Flow_Py]]</f>
        <v>Mg</v>
      </c>
      <c r="AF50" s="101">
        <f>INDEX(Tab_Def_Flows[[Flow_ID]:[CC_DM_source]],MATCH(Tab_Data_Flows[[#This Row],[Name(EN)]],Tab_Def_Flows[Name(EN)],0),16)</f>
        <v>1</v>
      </c>
      <c r="AG50" s="102">
        <f>IF(K50="Yes",AF50*Tab_Data_Flows[[#This Row],[Flow_Py]],"N.A.")</f>
        <v>6.4</v>
      </c>
      <c r="AH50" s="58" t="str">
        <f>Tab_Data_Flows[[#This Row],[UoM_Flow_Py]]</f>
        <v>Mg</v>
      </c>
      <c r="AI50" s="101">
        <f>INDEX(Tab_Def_Flows[[Flow_ID]:[CC_DM_source]],MATCH(Tab_Data_Flows[[#This Row],[Name(EN)]],Tab_Def_Flows[Name(EN)],0),18)</f>
        <v>0.5</v>
      </c>
      <c r="AJ50" s="102">
        <f>IF(L50="Yes",AI50*Tab_Data_Flows[[#This Row],[Flow_Py]]*Tab_Data_Flows[[#This Row],[DM_'[%']]],"N.A.")</f>
        <v>3.2</v>
      </c>
      <c r="AK50" s="58" t="str">
        <f>Tab_Data_Flows[[#This Row],[UoM_Flow_Py]]</f>
        <v>Mg</v>
      </c>
    </row>
    <row r="51" spans="1:37" x14ac:dyDescent="0.25">
      <c r="A51" s="57">
        <f t="shared" si="0"/>
        <v>50</v>
      </c>
      <c r="B51" s="48" t="str">
        <f>_xlfn.XLOOKUP(C51,Tab_Def_Flows[Name(EN)],Tab_Def_Flows[Flow_ID],,0,)</f>
        <v>F_00_01</v>
      </c>
      <c r="C51" s="50" t="s">
        <v>107</v>
      </c>
      <c r="D51" s="48"/>
      <c r="E51" s="48" t="str">
        <f>_xlfn.XLOOKUP(C51,Tab_Def_Flows[Name(EN)],Tab_Def_Flows[Output_Process],,0,)</f>
        <v>Biosphere</v>
      </c>
      <c r="F51" s="48" t="str">
        <f>_xlfn.XLOOKUP(C51,Tab_Def_Flows[Name(EN)],Tab_Def_Flows[Process_ID_O],,0,)</f>
        <v>00_Bio_</v>
      </c>
      <c r="G51" s="48" t="str">
        <f>_xlfn.XLOOKUP(C51,Tab_Def_Flows[Name(EN)],Tab_Def_Flows[Input_Process],,0,)</f>
        <v>Raw Material Extraction</v>
      </c>
      <c r="H51" s="58" t="str">
        <f>_xlfn.XLOOKUP(C51,Tab_Def_Flows[Name(EN)],Tab_Def_Flows[Process_ID_I],,0,)</f>
        <v>01_Raw_</v>
      </c>
      <c r="I51" s="48">
        <f>_xlfn.XLOOKUP(C51,Tab_Def_Flows[Name(EN)],Tab_Def_Flows[Value_Source],,0,)</f>
        <v>0</v>
      </c>
      <c r="J51" s="48" t="str">
        <f>_xlfn.XLOOKUP(C51,Tab_Def_Flows[Name(EN)],Tab_Def_Flows[WC?],,0,)</f>
        <v>Yes</v>
      </c>
      <c r="K51" s="48" t="str">
        <f>_xlfn.XLOOKUP(C51,Tab_Def_Flows[Name(EN)],Tab_Def_Flows[DM?],,0,)</f>
        <v>Yes</v>
      </c>
      <c r="L51" s="48" t="str">
        <f>_xlfn.XLOOKUP(C51,Tab_Def_Flows[Name(EN)],Tab_Def_Flows[CC?],,0,)</f>
        <v>Yes</v>
      </c>
      <c r="M51" s="50">
        <v>1969</v>
      </c>
      <c r="N51" s="50"/>
      <c r="O51" s="108">
        <v>19.2</v>
      </c>
      <c r="P51" s="50" t="s">
        <v>85</v>
      </c>
      <c r="Q51" s="50"/>
      <c r="R51" s="50" t="e">
        <f>INDEX(Tab_WC_DM_CC[[Flow_ID]:[CC_source]],MATCH(Tab_Data_Flows[[#This Row],[Name(EN)]],Tab_WC_DM_CC[Name(EN)],0),12)</f>
        <v>#N/A</v>
      </c>
      <c r="S51" s="50" t="e">
        <f>MATCH(Tab_Data_Flows[[#This Row],[Name(EN)]],Tab_WC_DM_CC[Name(EN)],0)</f>
        <v>#N/A</v>
      </c>
      <c r="T51" s="50"/>
      <c r="U51" s="50"/>
      <c r="V51" s="50"/>
      <c r="W51" s="50"/>
      <c r="X51" s="50" t="s">
        <v>84</v>
      </c>
      <c r="Y51" s="50"/>
      <c r="Z51" s="50"/>
      <c r="AA51" s="80">
        <f t="shared" si="3"/>
        <v>19.2</v>
      </c>
      <c r="AB51" s="50" t="s">
        <v>85</v>
      </c>
      <c r="AC51" s="101">
        <f>INDEX(Tab_Def_Flows[[Flow_ID]:[CC_DM_source]],MATCH(Tab_Data_Flows[[#This Row],[Name(EN)]],Tab_Def_Flows[Name(EN)],0),14)</f>
        <v>0</v>
      </c>
      <c r="AD51" s="102">
        <f>IF(J51="Yes",AA51*Tab_Data_Flows[[#This Row],[WC_'[%']]],"N.A.")</f>
        <v>0</v>
      </c>
      <c r="AE51" s="58" t="str">
        <f>Tab_Data_Flows[[#This Row],[UoM_Flow_Py]]</f>
        <v>Mg</v>
      </c>
      <c r="AF51" s="101">
        <f>INDEX(Tab_Def_Flows[[Flow_ID]:[CC_DM_source]],MATCH(Tab_Data_Flows[[#This Row],[Name(EN)]],Tab_Def_Flows[Name(EN)],0),16)</f>
        <v>1</v>
      </c>
      <c r="AG51" s="102">
        <f>IF(K51="Yes",AF51*Tab_Data_Flows[[#This Row],[Flow_Py]],"N.A.")</f>
        <v>19.2</v>
      </c>
      <c r="AH51" s="58" t="str">
        <f>Tab_Data_Flows[[#This Row],[UoM_Flow_Py]]</f>
        <v>Mg</v>
      </c>
      <c r="AI51" s="101">
        <f>INDEX(Tab_Def_Flows[[Flow_ID]:[CC_DM_source]],MATCH(Tab_Data_Flows[[#This Row],[Name(EN)]],Tab_Def_Flows[Name(EN)],0),18)</f>
        <v>0.5</v>
      </c>
      <c r="AJ51" s="102">
        <f>IF(L51="Yes",AI51*Tab_Data_Flows[[#This Row],[Flow_Py]]*Tab_Data_Flows[[#This Row],[DM_'[%']]],"N.A.")</f>
        <v>9.6</v>
      </c>
      <c r="AK51" s="58" t="str">
        <f>Tab_Data_Flows[[#This Row],[UoM_Flow_Py]]</f>
        <v>Mg</v>
      </c>
    </row>
    <row r="52" spans="1:37" x14ac:dyDescent="0.25">
      <c r="A52" s="57">
        <f t="shared" si="0"/>
        <v>51</v>
      </c>
      <c r="B52" s="48" t="str">
        <f>_xlfn.XLOOKUP(C52,Tab_Def_Flows[Name(EN)],Tab_Def_Flows[Flow_ID],,0,)</f>
        <v>F_00_01</v>
      </c>
      <c r="C52" s="50" t="s">
        <v>107</v>
      </c>
      <c r="D52" s="48"/>
      <c r="E52" s="48" t="str">
        <f>_xlfn.XLOOKUP(C52,Tab_Def_Flows[Name(EN)],Tab_Def_Flows[Output_Process],,0,)</f>
        <v>Biosphere</v>
      </c>
      <c r="F52" s="48" t="str">
        <f>_xlfn.XLOOKUP(C52,Tab_Def_Flows[Name(EN)],Tab_Def_Flows[Process_ID_O],,0,)</f>
        <v>00_Bio_</v>
      </c>
      <c r="G52" s="48" t="str">
        <f>_xlfn.XLOOKUP(C52,Tab_Def_Flows[Name(EN)],Tab_Def_Flows[Input_Process],,0,)</f>
        <v>Raw Material Extraction</v>
      </c>
      <c r="H52" s="58" t="str">
        <f>_xlfn.XLOOKUP(C52,Tab_Def_Flows[Name(EN)],Tab_Def_Flows[Process_ID_I],,0,)</f>
        <v>01_Raw_</v>
      </c>
      <c r="I52" s="48">
        <f>_xlfn.XLOOKUP(C52,Tab_Def_Flows[Name(EN)],Tab_Def_Flows[Value_Source],,0,)</f>
        <v>0</v>
      </c>
      <c r="J52" s="48" t="str">
        <f>_xlfn.XLOOKUP(C52,Tab_Def_Flows[Name(EN)],Tab_Def_Flows[WC?],,0,)</f>
        <v>Yes</v>
      </c>
      <c r="K52" s="48" t="str">
        <f>_xlfn.XLOOKUP(C52,Tab_Def_Flows[Name(EN)],Tab_Def_Flows[DM?],,0,)</f>
        <v>Yes</v>
      </c>
      <c r="L52" s="48" t="str">
        <f>_xlfn.XLOOKUP(C52,Tab_Def_Flows[Name(EN)],Tab_Def_Flows[CC?],,0,)</f>
        <v>Yes</v>
      </c>
      <c r="M52" s="50">
        <v>1970</v>
      </c>
      <c r="N52" s="50"/>
      <c r="O52" s="108">
        <v>6.4</v>
      </c>
      <c r="P52" s="50" t="s">
        <v>85</v>
      </c>
      <c r="Q52" s="50"/>
      <c r="R52" s="50" t="e">
        <f>INDEX(Tab_WC_DM_CC[[Flow_ID]:[CC_source]],MATCH(Tab_Data_Flows[[#This Row],[Name(EN)]],Tab_WC_DM_CC[Name(EN)],0),12)</f>
        <v>#N/A</v>
      </c>
      <c r="S52" s="50" t="e">
        <f>MATCH(Tab_Data_Flows[[#This Row],[Name(EN)]],Tab_WC_DM_CC[Name(EN)],0)</f>
        <v>#N/A</v>
      </c>
      <c r="T52" s="50"/>
      <c r="U52" s="50"/>
      <c r="V52" s="50"/>
      <c r="W52" s="50"/>
      <c r="X52" s="50" t="s">
        <v>84</v>
      </c>
      <c r="Y52" s="50"/>
      <c r="Z52" s="50"/>
      <c r="AA52" s="80">
        <f t="shared" si="3"/>
        <v>6.4</v>
      </c>
      <c r="AB52" s="50" t="s">
        <v>85</v>
      </c>
      <c r="AC52" s="101">
        <f>INDEX(Tab_Def_Flows[[Flow_ID]:[CC_DM_source]],MATCH(Tab_Data_Flows[[#This Row],[Name(EN)]],Tab_Def_Flows[Name(EN)],0),14)</f>
        <v>0</v>
      </c>
      <c r="AD52" s="102">
        <f>IF(J52="Yes",AA52*Tab_Data_Flows[[#This Row],[WC_'[%']]],"N.A.")</f>
        <v>0</v>
      </c>
      <c r="AE52" s="58" t="str">
        <f>Tab_Data_Flows[[#This Row],[UoM_Flow_Py]]</f>
        <v>Mg</v>
      </c>
      <c r="AF52" s="101">
        <f>INDEX(Tab_Def_Flows[[Flow_ID]:[CC_DM_source]],MATCH(Tab_Data_Flows[[#This Row],[Name(EN)]],Tab_Def_Flows[Name(EN)],0),16)</f>
        <v>1</v>
      </c>
      <c r="AG52" s="102">
        <f>IF(K52="Yes",AF52*Tab_Data_Flows[[#This Row],[Flow_Py]],"N.A.")</f>
        <v>6.4</v>
      </c>
      <c r="AH52" s="58" t="str">
        <f>Tab_Data_Flows[[#This Row],[UoM_Flow_Py]]</f>
        <v>Mg</v>
      </c>
      <c r="AI52" s="101">
        <f>INDEX(Tab_Def_Flows[[Flow_ID]:[CC_DM_source]],MATCH(Tab_Data_Flows[[#This Row],[Name(EN)]],Tab_Def_Flows[Name(EN)],0),18)</f>
        <v>0.5</v>
      </c>
      <c r="AJ52" s="102">
        <f>IF(L52="Yes",AI52*Tab_Data_Flows[[#This Row],[Flow_Py]]*Tab_Data_Flows[[#This Row],[DM_'[%']]],"N.A.")</f>
        <v>3.2</v>
      </c>
      <c r="AK52" s="58" t="str">
        <f>Tab_Data_Flows[[#This Row],[UoM_Flow_Py]]</f>
        <v>Mg</v>
      </c>
    </row>
    <row r="53" spans="1:37" x14ac:dyDescent="0.25">
      <c r="A53" s="57">
        <f t="shared" si="0"/>
        <v>52</v>
      </c>
      <c r="B53" s="48" t="str">
        <f>_xlfn.XLOOKUP(C53,Tab_Def_Flows[Name(EN)],Tab_Def_Flows[Flow_ID],,0,)</f>
        <v>F_00_01</v>
      </c>
      <c r="C53" s="50" t="s">
        <v>107</v>
      </c>
      <c r="D53" s="48"/>
      <c r="E53" s="48" t="str">
        <f>_xlfn.XLOOKUP(C53,Tab_Def_Flows[Name(EN)],Tab_Def_Flows[Output_Process],,0,)</f>
        <v>Biosphere</v>
      </c>
      <c r="F53" s="48" t="str">
        <f>_xlfn.XLOOKUP(C53,Tab_Def_Flows[Name(EN)],Tab_Def_Flows[Process_ID_O],,0,)</f>
        <v>00_Bio_</v>
      </c>
      <c r="G53" s="48" t="str">
        <f>_xlfn.XLOOKUP(C53,Tab_Def_Flows[Name(EN)],Tab_Def_Flows[Input_Process],,0,)</f>
        <v>Raw Material Extraction</v>
      </c>
      <c r="H53" s="58" t="str">
        <f>_xlfn.XLOOKUP(C53,Tab_Def_Flows[Name(EN)],Tab_Def_Flows[Process_ID_I],,0,)</f>
        <v>01_Raw_</v>
      </c>
      <c r="I53" s="48">
        <f>_xlfn.XLOOKUP(C53,Tab_Def_Flows[Name(EN)],Tab_Def_Flows[Value_Source],,0,)</f>
        <v>0</v>
      </c>
      <c r="J53" s="48" t="str">
        <f>_xlfn.XLOOKUP(C53,Tab_Def_Flows[Name(EN)],Tab_Def_Flows[WC?],,0,)</f>
        <v>Yes</v>
      </c>
      <c r="K53" s="48" t="str">
        <f>_xlfn.XLOOKUP(C53,Tab_Def_Flows[Name(EN)],Tab_Def_Flows[DM?],,0,)</f>
        <v>Yes</v>
      </c>
      <c r="L53" s="48" t="str">
        <f>_xlfn.XLOOKUP(C53,Tab_Def_Flows[Name(EN)],Tab_Def_Flows[CC?],,0,)</f>
        <v>Yes</v>
      </c>
      <c r="M53" s="50">
        <v>1971</v>
      </c>
      <c r="N53" s="50"/>
      <c r="O53" s="108">
        <v>12.8</v>
      </c>
      <c r="P53" s="50" t="s">
        <v>85</v>
      </c>
      <c r="Q53" s="50"/>
      <c r="R53" s="50" t="e">
        <f>INDEX(Tab_WC_DM_CC[[Flow_ID]:[CC_source]],MATCH(Tab_Data_Flows[[#This Row],[Name(EN)]],Tab_WC_DM_CC[Name(EN)],0),12)</f>
        <v>#N/A</v>
      </c>
      <c r="S53" s="50" t="e">
        <f>MATCH(Tab_Data_Flows[[#This Row],[Name(EN)]],Tab_WC_DM_CC[Name(EN)],0)</f>
        <v>#N/A</v>
      </c>
      <c r="T53" s="50"/>
      <c r="U53" s="50"/>
      <c r="V53" s="50"/>
      <c r="W53" s="50"/>
      <c r="X53" s="50" t="s">
        <v>84</v>
      </c>
      <c r="Y53" s="50"/>
      <c r="Z53" s="50"/>
      <c r="AA53" s="80">
        <f t="shared" si="2"/>
        <v>12.8</v>
      </c>
      <c r="AB53" s="50" t="s">
        <v>85</v>
      </c>
      <c r="AC53" s="101">
        <f>INDEX(Tab_Def_Flows[[Flow_ID]:[CC_DM_source]],MATCH(Tab_Data_Flows[[#This Row],[Name(EN)]],Tab_Def_Flows[Name(EN)],0),14)</f>
        <v>0</v>
      </c>
      <c r="AD53" s="102">
        <f>IF(J53="Yes",AA53*Tab_Data_Flows[[#This Row],[WC_'[%']]],"N.A.")</f>
        <v>0</v>
      </c>
      <c r="AE53" s="58" t="str">
        <f>Tab_Data_Flows[[#This Row],[UoM_Flow_Py]]</f>
        <v>Mg</v>
      </c>
      <c r="AF53" s="101">
        <f>INDEX(Tab_Def_Flows[[Flow_ID]:[CC_DM_source]],MATCH(Tab_Data_Flows[[#This Row],[Name(EN)]],Tab_Def_Flows[Name(EN)],0),16)</f>
        <v>1</v>
      </c>
      <c r="AG53" s="102">
        <f>IF(K53="Yes",AF53*Tab_Data_Flows[[#This Row],[Flow_Py]],"N.A.")</f>
        <v>12.8</v>
      </c>
      <c r="AH53" s="58" t="str">
        <f>Tab_Data_Flows[[#This Row],[UoM_Flow_Py]]</f>
        <v>Mg</v>
      </c>
      <c r="AI53" s="101">
        <f>INDEX(Tab_Def_Flows[[Flow_ID]:[CC_DM_source]],MATCH(Tab_Data_Flows[[#This Row],[Name(EN)]],Tab_Def_Flows[Name(EN)],0),18)</f>
        <v>0.5</v>
      </c>
      <c r="AJ53" s="102">
        <f>IF(L53="Yes",AI53*Tab_Data_Flows[[#This Row],[Flow_Py]]*Tab_Data_Flows[[#This Row],[DM_'[%']]],"N.A.")</f>
        <v>6.4</v>
      </c>
      <c r="AK53" s="58" t="str">
        <f>Tab_Data_Flows[[#This Row],[UoM_Flow_Py]]</f>
        <v>Mg</v>
      </c>
    </row>
    <row r="54" spans="1:37" x14ac:dyDescent="0.25">
      <c r="A54" s="57">
        <f t="shared" si="0"/>
        <v>53</v>
      </c>
      <c r="B54" s="48" t="str">
        <f>_xlfn.XLOOKUP(C54,Tab_Def_Flows[Name(EN)],Tab_Def_Flows[Flow_ID],,0,)</f>
        <v>F_00_01</v>
      </c>
      <c r="C54" s="50" t="s">
        <v>107</v>
      </c>
      <c r="D54" s="48"/>
      <c r="E54" s="48" t="str">
        <f>_xlfn.XLOOKUP(C54,Tab_Def_Flows[Name(EN)],Tab_Def_Flows[Output_Process],,0,)</f>
        <v>Biosphere</v>
      </c>
      <c r="F54" s="48" t="str">
        <f>_xlfn.XLOOKUP(C54,Tab_Def_Flows[Name(EN)],Tab_Def_Flows[Process_ID_O],,0,)</f>
        <v>00_Bio_</v>
      </c>
      <c r="G54" s="48" t="str">
        <f>_xlfn.XLOOKUP(C54,Tab_Def_Flows[Name(EN)],Tab_Def_Flows[Input_Process],,0,)</f>
        <v>Raw Material Extraction</v>
      </c>
      <c r="H54" s="58" t="str">
        <f>_xlfn.XLOOKUP(C54,Tab_Def_Flows[Name(EN)],Tab_Def_Flows[Process_ID_I],,0,)</f>
        <v>01_Raw_</v>
      </c>
      <c r="I54" s="48">
        <f>_xlfn.XLOOKUP(C54,Tab_Def_Flows[Name(EN)],Tab_Def_Flows[Value_Source],,0,)</f>
        <v>0</v>
      </c>
      <c r="J54" s="48" t="str">
        <f>_xlfn.XLOOKUP(C54,Tab_Def_Flows[Name(EN)],Tab_Def_Flows[WC?],,0,)</f>
        <v>Yes</v>
      </c>
      <c r="K54" s="48" t="str">
        <f>_xlfn.XLOOKUP(C54,Tab_Def_Flows[Name(EN)],Tab_Def_Flows[DM?],,0,)</f>
        <v>Yes</v>
      </c>
      <c r="L54" s="48" t="str">
        <f>_xlfn.XLOOKUP(C54,Tab_Def_Flows[Name(EN)],Tab_Def_Flows[CC?],,0,)</f>
        <v>Yes</v>
      </c>
      <c r="M54" s="50">
        <v>1972</v>
      </c>
      <c r="N54" s="50"/>
      <c r="O54" s="108">
        <v>19.2</v>
      </c>
      <c r="P54" s="50" t="s">
        <v>85</v>
      </c>
      <c r="Q54" s="50"/>
      <c r="R54" s="50" t="e">
        <f>INDEX(Tab_WC_DM_CC[[Flow_ID]:[CC_source]],MATCH(Tab_Data_Flows[[#This Row],[Name(EN)]],Tab_WC_DM_CC[Name(EN)],0),12)</f>
        <v>#N/A</v>
      </c>
      <c r="S54" s="50" t="e">
        <f>MATCH(Tab_Data_Flows[[#This Row],[Name(EN)]],Tab_WC_DM_CC[Name(EN)],0)</f>
        <v>#N/A</v>
      </c>
      <c r="T54" s="50"/>
      <c r="U54" s="50"/>
      <c r="V54" s="50"/>
      <c r="W54" s="50"/>
      <c r="X54" s="50" t="s">
        <v>84</v>
      </c>
      <c r="Y54" s="50"/>
      <c r="Z54" s="50"/>
      <c r="AA54" s="80">
        <f t="shared" si="2"/>
        <v>19.2</v>
      </c>
      <c r="AB54" s="50" t="s">
        <v>85</v>
      </c>
      <c r="AC54" s="101">
        <f>INDEX(Tab_Def_Flows[[Flow_ID]:[CC_DM_source]],MATCH(Tab_Data_Flows[[#This Row],[Name(EN)]],Tab_Def_Flows[Name(EN)],0),14)</f>
        <v>0</v>
      </c>
      <c r="AD54" s="102">
        <f>IF(J54="Yes",AA54*Tab_Data_Flows[[#This Row],[WC_'[%']]],"N.A.")</f>
        <v>0</v>
      </c>
      <c r="AE54" s="58" t="str">
        <f>Tab_Data_Flows[[#This Row],[UoM_Flow_Py]]</f>
        <v>Mg</v>
      </c>
      <c r="AF54" s="101">
        <f>INDEX(Tab_Def_Flows[[Flow_ID]:[CC_DM_source]],MATCH(Tab_Data_Flows[[#This Row],[Name(EN)]],Tab_Def_Flows[Name(EN)],0),16)</f>
        <v>1</v>
      </c>
      <c r="AG54" s="102">
        <f>IF(K54="Yes",AF54*Tab_Data_Flows[[#This Row],[Flow_Py]],"N.A.")</f>
        <v>19.2</v>
      </c>
      <c r="AH54" s="58" t="str">
        <f>Tab_Data_Flows[[#This Row],[UoM_Flow_Py]]</f>
        <v>Mg</v>
      </c>
      <c r="AI54" s="101">
        <f>INDEX(Tab_Def_Flows[[Flow_ID]:[CC_DM_source]],MATCH(Tab_Data_Flows[[#This Row],[Name(EN)]],Tab_Def_Flows[Name(EN)],0),18)</f>
        <v>0.5</v>
      </c>
      <c r="AJ54" s="102">
        <f>IF(L54="Yes",AI54*Tab_Data_Flows[[#This Row],[Flow_Py]]*Tab_Data_Flows[[#This Row],[DM_'[%']]],"N.A.")</f>
        <v>9.6</v>
      </c>
      <c r="AK54" s="58" t="str">
        <f>Tab_Data_Flows[[#This Row],[UoM_Flow_Py]]</f>
        <v>Mg</v>
      </c>
    </row>
    <row r="55" spans="1:37" x14ac:dyDescent="0.25">
      <c r="A55" s="57">
        <f t="shared" si="0"/>
        <v>54</v>
      </c>
      <c r="B55" s="48" t="str">
        <f>_xlfn.XLOOKUP(C55,Tab_Def_Flows[Name(EN)],Tab_Def_Flows[Flow_ID],,0,)</f>
        <v>F_00_01</v>
      </c>
      <c r="C55" s="50" t="s">
        <v>107</v>
      </c>
      <c r="D55" s="48"/>
      <c r="E55" s="48" t="str">
        <f>_xlfn.XLOOKUP(C55,Tab_Def_Flows[Name(EN)],Tab_Def_Flows[Output_Process],,0,)</f>
        <v>Biosphere</v>
      </c>
      <c r="F55" s="48" t="str">
        <f>_xlfn.XLOOKUP(C55,Tab_Def_Flows[Name(EN)],Tab_Def_Flows[Process_ID_O],,0,)</f>
        <v>00_Bio_</v>
      </c>
      <c r="G55" s="48" t="str">
        <f>_xlfn.XLOOKUP(C55,Tab_Def_Flows[Name(EN)],Tab_Def_Flows[Input_Process],,0,)</f>
        <v>Raw Material Extraction</v>
      </c>
      <c r="H55" s="58" t="str">
        <f>_xlfn.XLOOKUP(C55,Tab_Def_Flows[Name(EN)],Tab_Def_Flows[Process_ID_I],,0,)</f>
        <v>01_Raw_</v>
      </c>
      <c r="I55" s="48">
        <f>_xlfn.XLOOKUP(C55,Tab_Def_Flows[Name(EN)],Tab_Def_Flows[Value_Source],,0,)</f>
        <v>0</v>
      </c>
      <c r="J55" s="48" t="str">
        <f>_xlfn.XLOOKUP(C55,Tab_Def_Flows[Name(EN)],Tab_Def_Flows[WC?],,0,)</f>
        <v>Yes</v>
      </c>
      <c r="K55" s="48" t="str">
        <f>_xlfn.XLOOKUP(C55,Tab_Def_Flows[Name(EN)],Tab_Def_Flows[DM?],,0,)</f>
        <v>Yes</v>
      </c>
      <c r="L55" s="48" t="str">
        <f>_xlfn.XLOOKUP(C55,Tab_Def_Flows[Name(EN)],Tab_Def_Flows[CC?],,0,)</f>
        <v>Yes</v>
      </c>
      <c r="M55" s="50">
        <v>1973</v>
      </c>
      <c r="N55" s="50"/>
      <c r="O55" s="108">
        <v>25.8</v>
      </c>
      <c r="P55" s="50" t="s">
        <v>85</v>
      </c>
      <c r="Q55" s="50"/>
      <c r="R55" s="50" t="e">
        <f>INDEX(Tab_WC_DM_CC[[Flow_ID]:[CC_source]],MATCH(Tab_Data_Flows[[#This Row],[Name(EN)]],Tab_WC_DM_CC[Name(EN)],0),12)</f>
        <v>#N/A</v>
      </c>
      <c r="S55" s="50" t="e">
        <f>MATCH(Tab_Data_Flows[[#This Row],[Name(EN)]],Tab_WC_DM_CC[Name(EN)],0)</f>
        <v>#N/A</v>
      </c>
      <c r="T55" s="50"/>
      <c r="U55" s="50"/>
      <c r="V55" s="50"/>
      <c r="W55" s="50"/>
      <c r="X55" s="50" t="s">
        <v>84</v>
      </c>
      <c r="Y55" s="50"/>
      <c r="Z55" s="50"/>
      <c r="AA55" s="80">
        <f t="shared" si="2"/>
        <v>25.8</v>
      </c>
      <c r="AB55" s="50" t="s">
        <v>85</v>
      </c>
      <c r="AC55" s="101">
        <f>INDEX(Tab_Def_Flows[[Flow_ID]:[CC_DM_source]],MATCH(Tab_Data_Flows[[#This Row],[Name(EN)]],Tab_Def_Flows[Name(EN)],0),14)</f>
        <v>0</v>
      </c>
      <c r="AD55" s="102">
        <f>IF(J55="Yes",AA55*Tab_Data_Flows[[#This Row],[WC_'[%']]],"N.A.")</f>
        <v>0</v>
      </c>
      <c r="AE55" s="58" t="str">
        <f>Tab_Data_Flows[[#This Row],[UoM_Flow_Py]]</f>
        <v>Mg</v>
      </c>
      <c r="AF55" s="101">
        <f>INDEX(Tab_Def_Flows[[Flow_ID]:[CC_DM_source]],MATCH(Tab_Data_Flows[[#This Row],[Name(EN)]],Tab_Def_Flows[Name(EN)],0),16)</f>
        <v>1</v>
      </c>
      <c r="AG55" s="102">
        <f>IF(K55="Yes",AF55*Tab_Data_Flows[[#This Row],[Flow_Py]],"N.A.")</f>
        <v>25.8</v>
      </c>
      <c r="AH55" s="58" t="str">
        <f>Tab_Data_Flows[[#This Row],[UoM_Flow_Py]]</f>
        <v>Mg</v>
      </c>
      <c r="AI55" s="101">
        <f>INDEX(Tab_Def_Flows[[Flow_ID]:[CC_DM_source]],MATCH(Tab_Data_Flows[[#This Row],[Name(EN)]],Tab_Def_Flows[Name(EN)],0),18)</f>
        <v>0.5</v>
      </c>
      <c r="AJ55" s="102">
        <f>IF(L55="Yes",AI55*Tab_Data_Flows[[#This Row],[Flow_Py]]*Tab_Data_Flows[[#This Row],[DM_'[%']]],"N.A.")</f>
        <v>12.9</v>
      </c>
      <c r="AK55" s="58" t="str">
        <f>Tab_Data_Flows[[#This Row],[UoM_Flow_Py]]</f>
        <v>Mg</v>
      </c>
    </row>
    <row r="56" spans="1:37" x14ac:dyDescent="0.25">
      <c r="A56" s="57">
        <f t="shared" si="0"/>
        <v>55</v>
      </c>
      <c r="B56" s="48" t="str">
        <f>_xlfn.XLOOKUP(C56,Tab_Def_Flows[Name(EN)],Tab_Def_Flows[Flow_ID],,0,)</f>
        <v>F_00_01</v>
      </c>
      <c r="C56" s="50" t="s">
        <v>107</v>
      </c>
      <c r="D56" s="48"/>
      <c r="E56" s="48" t="str">
        <f>_xlfn.XLOOKUP(C56,Tab_Def_Flows[Name(EN)],Tab_Def_Flows[Output_Process],,0,)</f>
        <v>Biosphere</v>
      </c>
      <c r="F56" s="48" t="str">
        <f>_xlfn.XLOOKUP(C56,Tab_Def_Flows[Name(EN)],Tab_Def_Flows[Process_ID_O],,0,)</f>
        <v>00_Bio_</v>
      </c>
      <c r="G56" s="48" t="str">
        <f>_xlfn.XLOOKUP(C56,Tab_Def_Flows[Name(EN)],Tab_Def_Flows[Input_Process],,0,)</f>
        <v>Raw Material Extraction</v>
      </c>
      <c r="H56" s="58" t="str">
        <f>_xlfn.XLOOKUP(C56,Tab_Def_Flows[Name(EN)],Tab_Def_Flows[Process_ID_I],,0,)</f>
        <v>01_Raw_</v>
      </c>
      <c r="I56" s="48">
        <f>_xlfn.XLOOKUP(C56,Tab_Def_Flows[Name(EN)],Tab_Def_Flows[Value_Source],,0,)</f>
        <v>0</v>
      </c>
      <c r="J56" s="48" t="str">
        <f>_xlfn.XLOOKUP(C56,Tab_Def_Flows[Name(EN)],Tab_Def_Flows[WC?],,0,)</f>
        <v>Yes</v>
      </c>
      <c r="K56" s="48" t="str">
        <f>_xlfn.XLOOKUP(C56,Tab_Def_Flows[Name(EN)],Tab_Def_Flows[DM?],,0,)</f>
        <v>Yes</v>
      </c>
      <c r="L56" s="48" t="str">
        <f>_xlfn.XLOOKUP(C56,Tab_Def_Flows[Name(EN)],Tab_Def_Flows[CC?],,0,)</f>
        <v>Yes</v>
      </c>
      <c r="M56" s="50">
        <v>1974</v>
      </c>
      <c r="N56" s="50"/>
      <c r="O56" s="108">
        <v>19.2</v>
      </c>
      <c r="P56" s="50" t="s">
        <v>85</v>
      </c>
      <c r="Q56" s="50"/>
      <c r="R56" s="50" t="e">
        <f>INDEX(Tab_WC_DM_CC[[Flow_ID]:[CC_source]],MATCH(Tab_Data_Flows[[#This Row],[Name(EN)]],Tab_WC_DM_CC[Name(EN)],0),12)</f>
        <v>#N/A</v>
      </c>
      <c r="S56" s="50" t="e">
        <f>MATCH(Tab_Data_Flows[[#This Row],[Name(EN)]],Tab_WC_DM_CC[Name(EN)],0)</f>
        <v>#N/A</v>
      </c>
      <c r="T56" s="50"/>
      <c r="U56" s="50"/>
      <c r="V56" s="50"/>
      <c r="W56" s="50"/>
      <c r="X56" s="50" t="s">
        <v>84</v>
      </c>
      <c r="Y56" s="50"/>
      <c r="Z56" s="50"/>
      <c r="AA56" s="80">
        <f t="shared" si="2"/>
        <v>19.2</v>
      </c>
      <c r="AB56" s="50" t="s">
        <v>85</v>
      </c>
      <c r="AC56" s="101">
        <f>INDEX(Tab_Def_Flows[[Flow_ID]:[CC_DM_source]],MATCH(Tab_Data_Flows[[#This Row],[Name(EN)]],Tab_Def_Flows[Name(EN)],0),14)</f>
        <v>0</v>
      </c>
      <c r="AD56" s="102">
        <f>IF(J56="Yes",AA56*Tab_Data_Flows[[#This Row],[WC_'[%']]],"N.A.")</f>
        <v>0</v>
      </c>
      <c r="AE56" s="58" t="str">
        <f>Tab_Data_Flows[[#This Row],[UoM_Flow_Py]]</f>
        <v>Mg</v>
      </c>
      <c r="AF56" s="101">
        <f>INDEX(Tab_Def_Flows[[Flow_ID]:[CC_DM_source]],MATCH(Tab_Data_Flows[[#This Row],[Name(EN)]],Tab_Def_Flows[Name(EN)],0),16)</f>
        <v>1</v>
      </c>
      <c r="AG56" s="102">
        <f>IF(K56="Yes",AF56*Tab_Data_Flows[[#This Row],[Flow_Py]],"N.A.")</f>
        <v>19.2</v>
      </c>
      <c r="AH56" s="58" t="str">
        <f>Tab_Data_Flows[[#This Row],[UoM_Flow_Py]]</f>
        <v>Mg</v>
      </c>
      <c r="AI56" s="101">
        <f>INDEX(Tab_Def_Flows[[Flow_ID]:[CC_DM_source]],MATCH(Tab_Data_Flows[[#This Row],[Name(EN)]],Tab_Def_Flows[Name(EN)],0),18)</f>
        <v>0.5</v>
      </c>
      <c r="AJ56" s="102">
        <f>IF(L56="Yes",AI56*Tab_Data_Flows[[#This Row],[Flow_Py]]*Tab_Data_Flows[[#This Row],[DM_'[%']]],"N.A.")</f>
        <v>9.6</v>
      </c>
      <c r="AK56" s="58" t="str">
        <f>Tab_Data_Flows[[#This Row],[UoM_Flow_Py]]</f>
        <v>Mg</v>
      </c>
    </row>
    <row r="57" spans="1:37" x14ac:dyDescent="0.25">
      <c r="A57" s="57">
        <f t="shared" si="0"/>
        <v>56</v>
      </c>
      <c r="B57" s="48" t="str">
        <f>_xlfn.XLOOKUP(C57,Tab_Def_Flows[Name(EN)],Tab_Def_Flows[Flow_ID],,0,)</f>
        <v>F_00_01</v>
      </c>
      <c r="C57" s="50" t="s">
        <v>107</v>
      </c>
      <c r="D57" s="48"/>
      <c r="E57" s="48" t="str">
        <f>_xlfn.XLOOKUP(C57,Tab_Def_Flows[Name(EN)],Tab_Def_Flows[Output_Process],,0,)</f>
        <v>Biosphere</v>
      </c>
      <c r="F57" s="48" t="str">
        <f>_xlfn.XLOOKUP(C57,Tab_Def_Flows[Name(EN)],Tab_Def_Flows[Process_ID_O],,0,)</f>
        <v>00_Bio_</v>
      </c>
      <c r="G57" s="48" t="str">
        <f>_xlfn.XLOOKUP(C57,Tab_Def_Flows[Name(EN)],Tab_Def_Flows[Input_Process],,0,)</f>
        <v>Raw Material Extraction</v>
      </c>
      <c r="H57" s="58" t="str">
        <f>_xlfn.XLOOKUP(C57,Tab_Def_Flows[Name(EN)],Tab_Def_Flows[Process_ID_I],,0,)</f>
        <v>01_Raw_</v>
      </c>
      <c r="I57" s="48">
        <f>_xlfn.XLOOKUP(C57,Tab_Def_Flows[Name(EN)],Tab_Def_Flows[Value_Source],,0,)</f>
        <v>0</v>
      </c>
      <c r="J57" s="48" t="str">
        <f>_xlfn.XLOOKUP(C57,Tab_Def_Flows[Name(EN)],Tab_Def_Flows[WC?],,0,)</f>
        <v>Yes</v>
      </c>
      <c r="K57" s="48" t="str">
        <f>_xlfn.XLOOKUP(C57,Tab_Def_Flows[Name(EN)],Tab_Def_Flows[DM?],,0,)</f>
        <v>Yes</v>
      </c>
      <c r="L57" s="48" t="str">
        <f>_xlfn.XLOOKUP(C57,Tab_Def_Flows[Name(EN)],Tab_Def_Flows[CC?],,0,)</f>
        <v>Yes</v>
      </c>
      <c r="M57" s="50">
        <v>1975</v>
      </c>
      <c r="N57" s="50"/>
      <c r="O57" s="108">
        <v>199.2</v>
      </c>
      <c r="P57" s="50" t="s">
        <v>85</v>
      </c>
      <c r="Q57" s="50"/>
      <c r="R57" s="50" t="e">
        <f>INDEX(Tab_WC_DM_CC[[Flow_ID]:[CC_source]],MATCH(Tab_Data_Flows[[#This Row],[Name(EN)]],Tab_WC_DM_CC[Name(EN)],0),12)</f>
        <v>#N/A</v>
      </c>
      <c r="S57" s="50" t="e">
        <f>MATCH(Tab_Data_Flows[[#This Row],[Name(EN)]],Tab_WC_DM_CC[Name(EN)],0)</f>
        <v>#N/A</v>
      </c>
      <c r="T57" s="50"/>
      <c r="U57" s="50"/>
      <c r="V57" s="50"/>
      <c r="W57" s="50"/>
      <c r="X57" s="50" t="s">
        <v>84</v>
      </c>
      <c r="Y57" s="50"/>
      <c r="Z57" s="50"/>
      <c r="AA57" s="80">
        <f t="shared" si="2"/>
        <v>199.2</v>
      </c>
      <c r="AB57" s="50" t="s">
        <v>85</v>
      </c>
      <c r="AC57" s="101">
        <f>INDEX(Tab_Def_Flows[[Flow_ID]:[CC_DM_source]],MATCH(Tab_Data_Flows[[#This Row],[Name(EN)]],Tab_Def_Flows[Name(EN)],0),14)</f>
        <v>0</v>
      </c>
      <c r="AD57" s="102">
        <f>IF(J57="Yes",AA57*Tab_Data_Flows[[#This Row],[WC_'[%']]],"N.A.")</f>
        <v>0</v>
      </c>
      <c r="AE57" s="58" t="str">
        <f>Tab_Data_Flows[[#This Row],[UoM_Flow_Py]]</f>
        <v>Mg</v>
      </c>
      <c r="AF57" s="101">
        <f>INDEX(Tab_Def_Flows[[Flow_ID]:[CC_DM_source]],MATCH(Tab_Data_Flows[[#This Row],[Name(EN)]],Tab_Def_Flows[Name(EN)],0),16)</f>
        <v>1</v>
      </c>
      <c r="AG57" s="102">
        <f>IF(K57="Yes",AF57*Tab_Data_Flows[[#This Row],[Flow_Py]],"N.A.")</f>
        <v>199.2</v>
      </c>
      <c r="AH57" s="58" t="str">
        <f>Tab_Data_Flows[[#This Row],[UoM_Flow_Py]]</f>
        <v>Mg</v>
      </c>
      <c r="AI57" s="101">
        <f>INDEX(Tab_Def_Flows[[Flow_ID]:[CC_DM_source]],MATCH(Tab_Data_Flows[[#This Row],[Name(EN)]],Tab_Def_Flows[Name(EN)],0),18)</f>
        <v>0.5</v>
      </c>
      <c r="AJ57" s="102">
        <f>IF(L57="Yes",AI57*Tab_Data_Flows[[#This Row],[Flow_Py]]*Tab_Data_Flows[[#This Row],[DM_'[%']]],"N.A.")</f>
        <v>99.6</v>
      </c>
      <c r="AK57" s="58" t="str">
        <f>Tab_Data_Flows[[#This Row],[UoM_Flow_Py]]</f>
        <v>Mg</v>
      </c>
    </row>
    <row r="58" spans="1:37" x14ac:dyDescent="0.25">
      <c r="A58" s="57">
        <f t="shared" si="0"/>
        <v>57</v>
      </c>
      <c r="B58" s="48" t="str">
        <f>_xlfn.XLOOKUP(C58,Tab_Def_Flows[Name(EN)],Tab_Def_Flows[Flow_ID],,0,)</f>
        <v>F_00_01</v>
      </c>
      <c r="C58" s="50" t="s">
        <v>107</v>
      </c>
      <c r="D58" s="48">
        <f>_xlfn.XLOOKUP(C58,Tab_Def_Flows[Name(EN)],Tab_Def_Flows[Type_Biomass],,0,)</f>
        <v>0</v>
      </c>
      <c r="E58" s="48" t="str">
        <f>_xlfn.XLOOKUP(C58,Tab_Def_Flows[Name(EN)],Tab_Def_Flows[Output_Process],,0,)</f>
        <v>Biosphere</v>
      </c>
      <c r="F58" s="48" t="str">
        <f>_xlfn.XLOOKUP(C58,Tab_Def_Flows[Name(EN)],Tab_Def_Flows[Process_ID_O],,0,)</f>
        <v>00_Bio_</v>
      </c>
      <c r="G58" s="48" t="str">
        <f>_xlfn.XLOOKUP(C58,Tab_Def_Flows[Name(EN)],Tab_Def_Flows[Input_Process],,0,)</f>
        <v>Raw Material Extraction</v>
      </c>
      <c r="H58" s="58" t="str">
        <f>_xlfn.XLOOKUP(C58,Tab_Def_Flows[Name(EN)],Tab_Def_Flows[Process_ID_I],,0,)</f>
        <v>01_Raw_</v>
      </c>
      <c r="I58" s="58">
        <f>_xlfn.XLOOKUP(C58,Tab_Def_Flows[Name(EN)],Tab_Def_Flows[Value_Source],,0,)</f>
        <v>0</v>
      </c>
      <c r="J58" s="58" t="str">
        <f>_xlfn.XLOOKUP(C58,Tab_Def_Flows[Name(EN)],Tab_Def_Flows[WC?],,0,)</f>
        <v>Yes</v>
      </c>
      <c r="K58" s="58" t="str">
        <f>_xlfn.XLOOKUP(C58,Tab_Def_Flows[Name(EN)],Tab_Def_Flows[DM?],,0,)</f>
        <v>Yes</v>
      </c>
      <c r="L58" s="58" t="str">
        <f>_xlfn.XLOOKUP(C58,Tab_Def_Flows[Name(EN)],Tab_Def_Flows[CC?],,0,)</f>
        <v>Yes</v>
      </c>
      <c r="M58" s="50">
        <v>1976</v>
      </c>
      <c r="N58" s="50" t="s">
        <v>82</v>
      </c>
      <c r="O58" s="108">
        <v>141.4</v>
      </c>
      <c r="P58" s="50" t="s">
        <v>85</v>
      </c>
      <c r="Q58" s="50"/>
      <c r="R58" s="50"/>
      <c r="S58" s="50"/>
      <c r="T58" s="50"/>
      <c r="U58" s="50"/>
      <c r="V58" s="50"/>
      <c r="W58" s="50"/>
      <c r="X58" s="50" t="s">
        <v>84</v>
      </c>
      <c r="Y58" s="98"/>
      <c r="Z58" s="50"/>
      <c r="AA58" s="80">
        <f>IF(X58="no",O58,O58*Y58)</f>
        <v>141.4</v>
      </c>
      <c r="AB58" s="50" t="s">
        <v>85</v>
      </c>
      <c r="AC58" s="101">
        <f>INDEX(Tab_Def_Flows[[Flow_ID]:[CC_DM_source]],MATCH(Tab_Data_Flows[[#This Row],[Name(EN)]],Tab_Def_Flows[Name(EN)],0),14)</f>
        <v>0</v>
      </c>
      <c r="AD58" s="102">
        <f>IF(J58="Yes",AA58*Tab_Data_Flows[[#This Row],[WC_'[%']]],"N.A.")</f>
        <v>0</v>
      </c>
      <c r="AE58" s="58" t="str">
        <f>Tab_Data_Flows[[#This Row],[UoM_Flow_Py]]</f>
        <v>Mg</v>
      </c>
      <c r="AF58" s="101">
        <f>INDEX(Tab_Def_Flows[[Flow_ID]:[CC_DM_source]],MATCH(Tab_Data_Flows[[#This Row],[Name(EN)]],Tab_Def_Flows[Name(EN)],0),16)</f>
        <v>1</v>
      </c>
      <c r="AG58" s="102">
        <f>IF(K58="Yes",AF58*Tab_Data_Flows[[#This Row],[Flow_Py]],"N.A.")</f>
        <v>141.4</v>
      </c>
      <c r="AH58" s="58" t="str">
        <f>Tab_Data_Flows[[#This Row],[UoM_Flow_Py]]</f>
        <v>Mg</v>
      </c>
      <c r="AI58" s="101">
        <f>INDEX(Tab_Def_Flows[[Flow_ID]:[CC_DM_source]],MATCH(Tab_Data_Flows[[#This Row],[Name(EN)]],Tab_Def_Flows[Name(EN)],0),18)</f>
        <v>0.5</v>
      </c>
      <c r="AJ58" s="102">
        <f>IF(L58="Yes",AI58*Tab_Data_Flows[[#This Row],[Flow_Py]]*Tab_Data_Flows[[#This Row],[DM_'[%']]],"N.A.")</f>
        <v>70.7</v>
      </c>
      <c r="AK58" s="58" t="str">
        <f>Tab_Data_Flows[[#This Row],[UoM_Flow_Py]]</f>
        <v>Mg</v>
      </c>
    </row>
    <row r="59" spans="1:37" x14ac:dyDescent="0.25">
      <c r="A59" s="57">
        <f t="shared" si="0"/>
        <v>58</v>
      </c>
      <c r="B59" s="48" t="str">
        <f>_xlfn.XLOOKUP(C59,Tab_Def_Flows[Name(EN)],Tab_Def_Flows[Flow_ID],,0,)</f>
        <v>F_00_01</v>
      </c>
      <c r="C59" s="50" t="s">
        <v>107</v>
      </c>
      <c r="D59" s="48">
        <f>_xlfn.XLOOKUP(C59,Tab_Def_Flows[Name(EN)],Tab_Def_Flows[Type_Biomass],,0,)</f>
        <v>0</v>
      </c>
      <c r="E59" s="48" t="str">
        <f>_xlfn.XLOOKUP(C59,Tab_Def_Flows[Name(EN)],Tab_Def_Flows[Output_Process],,0,)</f>
        <v>Biosphere</v>
      </c>
      <c r="F59" s="48" t="str">
        <f>_xlfn.XLOOKUP(C59,Tab_Def_Flows[Name(EN)],Tab_Def_Flows[Process_ID_O],,0,)</f>
        <v>00_Bio_</v>
      </c>
      <c r="G59" s="48" t="str">
        <f>_xlfn.XLOOKUP(C59,Tab_Def_Flows[Name(EN)],Tab_Def_Flows[Input_Process],,0,)</f>
        <v>Raw Material Extraction</v>
      </c>
      <c r="H59" s="58" t="str">
        <f>_xlfn.XLOOKUP(C59,Tab_Def_Flows[Name(EN)],Tab_Def_Flows[Process_ID_I],,0,)</f>
        <v>01_Raw_</v>
      </c>
      <c r="I59" s="58">
        <f>_xlfn.XLOOKUP(C59,Tab_Def_Flows[Name(EN)],Tab_Def_Flows[Value_Source],,0,)</f>
        <v>0</v>
      </c>
      <c r="J59" s="58" t="str">
        <f>_xlfn.XLOOKUP(C59,Tab_Def_Flows[Name(EN)],Tab_Def_Flows[WC?],,0,)</f>
        <v>Yes</v>
      </c>
      <c r="K59" s="58" t="str">
        <f>_xlfn.XLOOKUP(C59,Tab_Def_Flows[Name(EN)],Tab_Def_Flows[DM?],,0,)</f>
        <v>Yes</v>
      </c>
      <c r="L59" s="58" t="str">
        <f>_xlfn.XLOOKUP(C59,Tab_Def_Flows[Name(EN)],Tab_Def_Flows[CC?],,0,)</f>
        <v>Yes</v>
      </c>
      <c r="M59" s="50">
        <v>1977</v>
      </c>
      <c r="N59" s="50" t="s">
        <v>82</v>
      </c>
      <c r="O59" s="108">
        <v>109.2</v>
      </c>
      <c r="P59" s="50" t="s">
        <v>85</v>
      </c>
      <c r="Q59" s="50"/>
      <c r="R59" s="50"/>
      <c r="S59" s="50"/>
      <c r="T59" s="50"/>
      <c r="U59" s="50"/>
      <c r="V59" s="50"/>
      <c r="W59" s="50"/>
      <c r="X59" s="50" t="s">
        <v>84</v>
      </c>
      <c r="Y59" s="98"/>
      <c r="Z59" s="50"/>
      <c r="AA59" s="80">
        <f t="shared" si="2"/>
        <v>109.2</v>
      </c>
      <c r="AB59" s="50" t="s">
        <v>85</v>
      </c>
      <c r="AC59" s="101">
        <f>INDEX(Tab_Def_Flows[[Flow_ID]:[CC_DM_source]],MATCH(Tab_Data_Flows[[#This Row],[Name(EN)]],Tab_Def_Flows[Name(EN)],0),14)</f>
        <v>0</v>
      </c>
      <c r="AD59" s="102">
        <f>IF(J59="Yes",AA59*Tab_Data_Flows[[#This Row],[WC_'[%']]],"N.A.")</f>
        <v>0</v>
      </c>
      <c r="AE59" s="58" t="str">
        <f>Tab_Data_Flows[[#This Row],[UoM_Flow_Py]]</f>
        <v>Mg</v>
      </c>
      <c r="AF59" s="101">
        <f>INDEX(Tab_Def_Flows[[Flow_ID]:[CC_DM_source]],MATCH(Tab_Data_Flows[[#This Row],[Name(EN)]],Tab_Def_Flows[Name(EN)],0),16)</f>
        <v>1</v>
      </c>
      <c r="AG59" s="102">
        <f>IF(K59="Yes",AF59*Tab_Data_Flows[[#This Row],[Flow_Py]],"N.A.")</f>
        <v>109.2</v>
      </c>
      <c r="AH59" s="58" t="str">
        <f>Tab_Data_Flows[[#This Row],[UoM_Flow_Py]]</f>
        <v>Mg</v>
      </c>
      <c r="AI59" s="101">
        <f>INDEX(Tab_Def_Flows[[Flow_ID]:[CC_DM_source]],MATCH(Tab_Data_Flows[[#This Row],[Name(EN)]],Tab_Def_Flows[Name(EN)],0),18)</f>
        <v>0.5</v>
      </c>
      <c r="AJ59" s="102">
        <f>IF(L59="Yes",AI59*Tab_Data_Flows[[#This Row],[Flow_Py]]*Tab_Data_Flows[[#This Row],[DM_'[%']]],"N.A.")</f>
        <v>54.6</v>
      </c>
      <c r="AK59" s="58" t="str">
        <f>Tab_Data_Flows[[#This Row],[UoM_Flow_Py]]</f>
        <v>Mg</v>
      </c>
    </row>
    <row r="60" spans="1:37" x14ac:dyDescent="0.25">
      <c r="A60" s="57">
        <f t="shared" si="0"/>
        <v>59</v>
      </c>
      <c r="B60" s="48" t="str">
        <f>_xlfn.XLOOKUP(C60,Tab_Def_Flows[Name(EN)],Tab_Def_Flows[Flow_ID],,0,)</f>
        <v>F_00_01</v>
      </c>
      <c r="C60" s="50" t="s">
        <v>107</v>
      </c>
      <c r="D60" s="48">
        <f>_xlfn.XLOOKUP(C60,Tab_Def_Flows[Name(EN)],Tab_Def_Flows[Type_Biomass],,0,)</f>
        <v>0</v>
      </c>
      <c r="E60" s="48" t="str">
        <f>_xlfn.XLOOKUP(C60,Tab_Def_Flows[Name(EN)],Tab_Def_Flows[Output_Process],,0,)</f>
        <v>Biosphere</v>
      </c>
      <c r="F60" s="48" t="str">
        <f>_xlfn.XLOOKUP(C60,Tab_Def_Flows[Name(EN)],Tab_Def_Flows[Process_ID_O],,0,)</f>
        <v>00_Bio_</v>
      </c>
      <c r="G60" s="48" t="str">
        <f>_xlfn.XLOOKUP(C60,Tab_Def_Flows[Name(EN)],Tab_Def_Flows[Input_Process],,0,)</f>
        <v>Raw Material Extraction</v>
      </c>
      <c r="H60" s="58" t="str">
        <f>_xlfn.XLOOKUP(C60,Tab_Def_Flows[Name(EN)],Tab_Def_Flows[Process_ID_I],,0,)</f>
        <v>01_Raw_</v>
      </c>
      <c r="I60" s="58">
        <f>_xlfn.XLOOKUP(C60,Tab_Def_Flows[Name(EN)],Tab_Def_Flows[Value_Source],,0,)</f>
        <v>0</v>
      </c>
      <c r="J60" s="58" t="str">
        <f>_xlfn.XLOOKUP(C60,Tab_Def_Flows[Name(EN)],Tab_Def_Flows[WC?],,0,)</f>
        <v>Yes</v>
      </c>
      <c r="K60" s="58" t="str">
        <f>_xlfn.XLOOKUP(C60,Tab_Def_Flows[Name(EN)],Tab_Def_Flows[DM?],,0,)</f>
        <v>Yes</v>
      </c>
      <c r="L60" s="58" t="str">
        <f>_xlfn.XLOOKUP(C60,Tab_Def_Flows[Name(EN)],Tab_Def_Flows[CC?],,0,)</f>
        <v>Yes</v>
      </c>
      <c r="M60" s="50">
        <v>1978</v>
      </c>
      <c r="N60" s="50" t="s">
        <v>82</v>
      </c>
      <c r="O60" s="108">
        <v>103</v>
      </c>
      <c r="P60" s="50" t="s">
        <v>85</v>
      </c>
      <c r="Q60" s="50"/>
      <c r="R60" s="50"/>
      <c r="S60" s="50"/>
      <c r="T60" s="50"/>
      <c r="U60" s="50"/>
      <c r="V60" s="50"/>
      <c r="W60" s="50"/>
      <c r="X60" s="50" t="s">
        <v>84</v>
      </c>
      <c r="Y60" s="98"/>
      <c r="Z60" s="50"/>
      <c r="AA60" s="80">
        <f t="shared" si="2"/>
        <v>103</v>
      </c>
      <c r="AB60" s="50" t="s">
        <v>85</v>
      </c>
      <c r="AC60" s="101">
        <f>INDEX(Tab_Def_Flows[[Flow_ID]:[CC_DM_source]],MATCH(Tab_Data_Flows[[#This Row],[Name(EN)]],Tab_Def_Flows[Name(EN)],0),14)</f>
        <v>0</v>
      </c>
      <c r="AD60" s="102">
        <f>IF(J60="Yes",AA60*Tab_Data_Flows[[#This Row],[WC_'[%']]],"N.A.")</f>
        <v>0</v>
      </c>
      <c r="AE60" s="58" t="str">
        <f>Tab_Data_Flows[[#This Row],[UoM_Flow_Py]]</f>
        <v>Mg</v>
      </c>
      <c r="AF60" s="101">
        <f>INDEX(Tab_Def_Flows[[Flow_ID]:[CC_DM_source]],MATCH(Tab_Data_Flows[[#This Row],[Name(EN)]],Tab_Def_Flows[Name(EN)],0),16)</f>
        <v>1</v>
      </c>
      <c r="AG60" s="102">
        <f>IF(K60="Yes",AF60*Tab_Data_Flows[[#This Row],[Flow_Py]],"N.A.")</f>
        <v>103</v>
      </c>
      <c r="AH60" s="58" t="str">
        <f>Tab_Data_Flows[[#This Row],[UoM_Flow_Py]]</f>
        <v>Mg</v>
      </c>
      <c r="AI60" s="101">
        <f>INDEX(Tab_Def_Flows[[Flow_ID]:[CC_DM_source]],MATCH(Tab_Data_Flows[[#This Row],[Name(EN)]],Tab_Def_Flows[Name(EN)],0),18)</f>
        <v>0.5</v>
      </c>
      <c r="AJ60" s="102">
        <f>IF(L60="Yes",AI60*Tab_Data_Flows[[#This Row],[Flow_Py]]*Tab_Data_Flows[[#This Row],[DM_'[%']]],"N.A.")</f>
        <v>51.5</v>
      </c>
      <c r="AK60" s="58" t="str">
        <f>Tab_Data_Flows[[#This Row],[UoM_Flow_Py]]</f>
        <v>Mg</v>
      </c>
    </row>
    <row r="61" spans="1:37" x14ac:dyDescent="0.25">
      <c r="A61" s="57">
        <f t="shared" si="0"/>
        <v>60</v>
      </c>
      <c r="B61" s="48" t="str">
        <f>_xlfn.XLOOKUP(C61,Tab_Def_Flows[Name(EN)],Tab_Def_Flows[Flow_ID],,0,)</f>
        <v>F_00_01</v>
      </c>
      <c r="C61" s="50" t="s">
        <v>107</v>
      </c>
      <c r="D61" s="48">
        <f>_xlfn.XLOOKUP(C61,Tab_Def_Flows[Name(EN)],Tab_Def_Flows[Type_Biomass],,0,)</f>
        <v>0</v>
      </c>
      <c r="E61" s="48" t="str">
        <f>_xlfn.XLOOKUP(C61,Tab_Def_Flows[Name(EN)],Tab_Def_Flows[Output_Process],,0,)</f>
        <v>Biosphere</v>
      </c>
      <c r="F61" s="48" t="str">
        <f>_xlfn.XLOOKUP(C61,Tab_Def_Flows[Name(EN)],Tab_Def_Flows[Process_ID_O],,0,)</f>
        <v>00_Bio_</v>
      </c>
      <c r="G61" s="48" t="str">
        <f>_xlfn.XLOOKUP(C61,Tab_Def_Flows[Name(EN)],Tab_Def_Flows[Input_Process],,0,)</f>
        <v>Raw Material Extraction</v>
      </c>
      <c r="H61" s="58" t="str">
        <f>_xlfn.XLOOKUP(C61,Tab_Def_Flows[Name(EN)],Tab_Def_Flows[Process_ID_I],,0,)</f>
        <v>01_Raw_</v>
      </c>
      <c r="I61" s="58">
        <f>_xlfn.XLOOKUP(C61,Tab_Def_Flows[Name(EN)],Tab_Def_Flows[Value_Source],,0,)</f>
        <v>0</v>
      </c>
      <c r="J61" s="58" t="str">
        <f>_xlfn.XLOOKUP(C61,Tab_Def_Flows[Name(EN)],Tab_Def_Flows[WC?],,0,)</f>
        <v>Yes</v>
      </c>
      <c r="K61" s="58" t="str">
        <f>_xlfn.XLOOKUP(C61,Tab_Def_Flows[Name(EN)],Tab_Def_Flows[DM?],,0,)</f>
        <v>Yes</v>
      </c>
      <c r="L61" s="58" t="str">
        <f>_xlfn.XLOOKUP(C61,Tab_Def_Flows[Name(EN)],Tab_Def_Flows[CC?],,0,)</f>
        <v>Yes</v>
      </c>
      <c r="M61" s="50">
        <v>1979</v>
      </c>
      <c r="N61" s="50" t="s">
        <v>82</v>
      </c>
      <c r="O61" s="108">
        <v>128.6</v>
      </c>
      <c r="P61" s="50" t="s">
        <v>85</v>
      </c>
      <c r="Q61" s="50"/>
      <c r="R61" s="50"/>
      <c r="S61" s="50"/>
      <c r="T61" s="50"/>
      <c r="U61" s="50"/>
      <c r="V61" s="50"/>
      <c r="W61" s="50"/>
      <c r="X61" s="50" t="s">
        <v>84</v>
      </c>
      <c r="Y61" s="98"/>
      <c r="Z61" s="50"/>
      <c r="AA61" s="80">
        <f t="shared" si="2"/>
        <v>128.6</v>
      </c>
      <c r="AB61" s="50" t="s">
        <v>85</v>
      </c>
      <c r="AC61" s="101">
        <f>INDEX(Tab_Def_Flows[[Flow_ID]:[CC_DM_source]],MATCH(Tab_Data_Flows[[#This Row],[Name(EN)]],Tab_Def_Flows[Name(EN)],0),14)</f>
        <v>0</v>
      </c>
      <c r="AD61" s="102">
        <f>IF(J61="Yes",AA61*Tab_Data_Flows[[#This Row],[WC_'[%']]],"N.A.")</f>
        <v>0</v>
      </c>
      <c r="AE61" s="58" t="str">
        <f>Tab_Data_Flows[[#This Row],[UoM_Flow_Py]]</f>
        <v>Mg</v>
      </c>
      <c r="AF61" s="101">
        <f>INDEX(Tab_Def_Flows[[Flow_ID]:[CC_DM_source]],MATCH(Tab_Data_Flows[[#This Row],[Name(EN)]],Tab_Def_Flows[Name(EN)],0),16)</f>
        <v>1</v>
      </c>
      <c r="AG61" s="102">
        <f>IF(K61="Yes",AF61*Tab_Data_Flows[[#This Row],[Flow_Py]],"N.A.")</f>
        <v>128.6</v>
      </c>
      <c r="AH61" s="58" t="str">
        <f>Tab_Data_Flows[[#This Row],[UoM_Flow_Py]]</f>
        <v>Mg</v>
      </c>
      <c r="AI61" s="101">
        <f>INDEX(Tab_Def_Flows[[Flow_ID]:[CC_DM_source]],MATCH(Tab_Data_Flows[[#This Row],[Name(EN)]],Tab_Def_Flows[Name(EN)],0),18)</f>
        <v>0.5</v>
      </c>
      <c r="AJ61" s="102">
        <f>IF(L61="Yes",AI61*Tab_Data_Flows[[#This Row],[Flow_Py]]*Tab_Data_Flows[[#This Row],[DM_'[%']]],"N.A.")</f>
        <v>64.3</v>
      </c>
      <c r="AK61" s="58" t="str">
        <f>Tab_Data_Flows[[#This Row],[UoM_Flow_Py]]</f>
        <v>Mg</v>
      </c>
    </row>
    <row r="62" spans="1:37" x14ac:dyDescent="0.25">
      <c r="A62" s="57">
        <f t="shared" si="0"/>
        <v>61</v>
      </c>
      <c r="B62" s="48" t="str">
        <f>_xlfn.XLOOKUP(C62,Tab_Def_Flows[Name(EN)],Tab_Def_Flows[Flow_ID],,0,)</f>
        <v>F_00_01</v>
      </c>
      <c r="C62" s="50" t="s">
        <v>107</v>
      </c>
      <c r="D62" s="48">
        <f>_xlfn.XLOOKUP(C62,Tab_Def_Flows[Name(EN)],Tab_Def_Flows[Type_Biomass],,0,)</f>
        <v>0</v>
      </c>
      <c r="E62" s="48" t="str">
        <f>_xlfn.XLOOKUP(C62,Tab_Def_Flows[Name(EN)],Tab_Def_Flows[Output_Process],,0,)</f>
        <v>Biosphere</v>
      </c>
      <c r="F62" s="48" t="str">
        <f>_xlfn.XLOOKUP(C62,Tab_Def_Flows[Name(EN)],Tab_Def_Flows[Process_ID_O],,0,)</f>
        <v>00_Bio_</v>
      </c>
      <c r="G62" s="48" t="str">
        <f>_xlfn.XLOOKUP(C62,Tab_Def_Flows[Name(EN)],Tab_Def_Flows[Input_Process],,0,)</f>
        <v>Raw Material Extraction</v>
      </c>
      <c r="H62" s="58" t="str">
        <f>_xlfn.XLOOKUP(C62,Tab_Def_Flows[Name(EN)],Tab_Def_Flows[Process_ID_I],,0,)</f>
        <v>01_Raw_</v>
      </c>
      <c r="I62" s="58">
        <f>_xlfn.XLOOKUP(C62,Tab_Def_Flows[Name(EN)],Tab_Def_Flows[Value_Source],,0,)</f>
        <v>0</v>
      </c>
      <c r="J62" s="58" t="str">
        <f>_xlfn.XLOOKUP(C62,Tab_Def_Flows[Name(EN)],Tab_Def_Flows[WC?],,0,)</f>
        <v>Yes</v>
      </c>
      <c r="K62" s="58" t="str">
        <f>_xlfn.XLOOKUP(C62,Tab_Def_Flows[Name(EN)],Tab_Def_Flows[DM?],,0,)</f>
        <v>Yes</v>
      </c>
      <c r="L62" s="58" t="str">
        <f>_xlfn.XLOOKUP(C62,Tab_Def_Flows[Name(EN)],Tab_Def_Flows[CC?],,0,)</f>
        <v>Yes</v>
      </c>
      <c r="M62" s="50">
        <v>1980</v>
      </c>
      <c r="N62" s="50" t="s">
        <v>82</v>
      </c>
      <c r="O62" s="108">
        <v>128.6</v>
      </c>
      <c r="P62" s="50" t="s">
        <v>85</v>
      </c>
      <c r="Q62" s="50"/>
      <c r="R62" s="50"/>
      <c r="S62" s="50"/>
      <c r="T62" s="50"/>
      <c r="U62" s="50"/>
      <c r="V62" s="50"/>
      <c r="W62" s="50"/>
      <c r="X62" s="50" t="s">
        <v>84</v>
      </c>
      <c r="Y62" s="98"/>
      <c r="Z62" s="50"/>
      <c r="AA62" s="80">
        <f t="shared" si="2"/>
        <v>128.6</v>
      </c>
      <c r="AB62" s="50" t="s">
        <v>85</v>
      </c>
      <c r="AC62" s="101">
        <f>INDEX(Tab_Def_Flows[[Flow_ID]:[CC_DM_source]],MATCH(Tab_Data_Flows[[#This Row],[Name(EN)]],Tab_Def_Flows[Name(EN)],0),14)</f>
        <v>0</v>
      </c>
      <c r="AD62" s="102">
        <f>IF(J62="Yes",AA62*Tab_Data_Flows[[#This Row],[WC_'[%']]],"N.A.")</f>
        <v>0</v>
      </c>
      <c r="AE62" s="58" t="str">
        <f>Tab_Data_Flows[[#This Row],[UoM_Flow_Py]]</f>
        <v>Mg</v>
      </c>
      <c r="AF62" s="101">
        <f>INDEX(Tab_Def_Flows[[Flow_ID]:[CC_DM_source]],MATCH(Tab_Data_Flows[[#This Row],[Name(EN)]],Tab_Def_Flows[Name(EN)],0),16)</f>
        <v>1</v>
      </c>
      <c r="AG62" s="102">
        <f>IF(K62="Yes",AF62*Tab_Data_Flows[[#This Row],[Flow_Py]],"N.A.")</f>
        <v>128.6</v>
      </c>
      <c r="AH62" s="58" t="str">
        <f>Tab_Data_Flows[[#This Row],[UoM_Flow_Py]]</f>
        <v>Mg</v>
      </c>
      <c r="AI62" s="101">
        <f>INDEX(Tab_Def_Flows[[Flow_ID]:[CC_DM_source]],MATCH(Tab_Data_Flows[[#This Row],[Name(EN)]],Tab_Def_Flows[Name(EN)],0),18)</f>
        <v>0.5</v>
      </c>
      <c r="AJ62" s="102">
        <f>IF(L62="Yes",AI62*Tab_Data_Flows[[#This Row],[Flow_Py]]*Tab_Data_Flows[[#This Row],[DM_'[%']]],"N.A.")</f>
        <v>64.3</v>
      </c>
      <c r="AK62" s="58" t="str">
        <f>Tab_Data_Flows[[#This Row],[UoM_Flow_Py]]</f>
        <v>Mg</v>
      </c>
    </row>
    <row r="63" spans="1:37" x14ac:dyDescent="0.25">
      <c r="A63" s="57">
        <f t="shared" si="0"/>
        <v>62</v>
      </c>
      <c r="B63" s="48" t="str">
        <f>_xlfn.XLOOKUP(C63,Tab_Def_Flows[Name(EN)],Tab_Def_Flows[Flow_ID],,0,)</f>
        <v>F_00_01</v>
      </c>
      <c r="C63" s="50" t="s">
        <v>107</v>
      </c>
      <c r="D63" s="48">
        <f>_xlfn.XLOOKUP(C63,Tab_Def_Flows[Name(EN)],Tab_Def_Flows[Type_Biomass],,0,)</f>
        <v>0</v>
      </c>
      <c r="E63" s="48" t="str">
        <f>_xlfn.XLOOKUP(C63,Tab_Def_Flows[Name(EN)],Tab_Def_Flows[Output_Process],,0,)</f>
        <v>Biosphere</v>
      </c>
      <c r="F63" s="48" t="str">
        <f>_xlfn.XLOOKUP(C63,Tab_Def_Flows[Name(EN)],Tab_Def_Flows[Process_ID_O],,0,)</f>
        <v>00_Bio_</v>
      </c>
      <c r="G63" s="48" t="str">
        <f>_xlfn.XLOOKUP(C63,Tab_Def_Flows[Name(EN)],Tab_Def_Flows[Input_Process],,0,)</f>
        <v>Raw Material Extraction</v>
      </c>
      <c r="H63" s="58" t="str">
        <f>_xlfn.XLOOKUP(C63,Tab_Def_Flows[Name(EN)],Tab_Def_Flows[Process_ID_I],,0,)</f>
        <v>01_Raw_</v>
      </c>
      <c r="I63" s="58">
        <f>_xlfn.XLOOKUP(C63,Tab_Def_Flows[Name(EN)],Tab_Def_Flows[Value_Source],,0,)</f>
        <v>0</v>
      </c>
      <c r="J63" s="58" t="str">
        <f>_xlfn.XLOOKUP(C63,Tab_Def_Flows[Name(EN)],Tab_Def_Flows[WC?],,0,)</f>
        <v>Yes</v>
      </c>
      <c r="K63" s="58" t="str">
        <f>_xlfn.XLOOKUP(C63,Tab_Def_Flows[Name(EN)],Tab_Def_Flows[DM?],,0,)</f>
        <v>Yes</v>
      </c>
      <c r="L63" s="58" t="str">
        <f>_xlfn.XLOOKUP(C63,Tab_Def_Flows[Name(EN)],Tab_Def_Flows[CC?],,0,)</f>
        <v>Yes</v>
      </c>
      <c r="M63" s="50">
        <v>1981</v>
      </c>
      <c r="N63" s="50" t="s">
        <v>82</v>
      </c>
      <c r="O63" s="108">
        <v>128.6</v>
      </c>
      <c r="P63" s="50" t="s">
        <v>85</v>
      </c>
      <c r="Q63" s="50"/>
      <c r="R63" s="50"/>
      <c r="S63" s="50"/>
      <c r="T63" s="50"/>
      <c r="U63" s="50"/>
      <c r="V63" s="50"/>
      <c r="W63" s="50"/>
      <c r="X63" s="50" t="s">
        <v>84</v>
      </c>
      <c r="Y63" s="98"/>
      <c r="Z63" s="50"/>
      <c r="AA63" s="80">
        <f t="shared" si="2"/>
        <v>128.6</v>
      </c>
      <c r="AB63" s="50" t="s">
        <v>85</v>
      </c>
      <c r="AC63" s="101">
        <f>INDEX(Tab_Def_Flows[[Flow_ID]:[CC_DM_source]],MATCH(Tab_Data_Flows[[#This Row],[Name(EN)]],Tab_Def_Flows[Name(EN)],0),14)</f>
        <v>0</v>
      </c>
      <c r="AD63" s="102">
        <f>IF(J63="Yes",AA63*Tab_Data_Flows[[#This Row],[WC_'[%']]],"N.A.")</f>
        <v>0</v>
      </c>
      <c r="AE63" s="58" t="str">
        <f>Tab_Data_Flows[[#This Row],[UoM_Flow_Py]]</f>
        <v>Mg</v>
      </c>
      <c r="AF63" s="101">
        <f>INDEX(Tab_Def_Flows[[Flow_ID]:[CC_DM_source]],MATCH(Tab_Data_Flows[[#This Row],[Name(EN)]],Tab_Def_Flows[Name(EN)],0),16)</f>
        <v>1</v>
      </c>
      <c r="AG63" s="102">
        <f>IF(K63="Yes",AF63*Tab_Data_Flows[[#This Row],[Flow_Py]],"N.A.")</f>
        <v>128.6</v>
      </c>
      <c r="AH63" s="58" t="str">
        <f>Tab_Data_Flows[[#This Row],[UoM_Flow_Py]]</f>
        <v>Mg</v>
      </c>
      <c r="AI63" s="101">
        <f>INDEX(Tab_Def_Flows[[Flow_ID]:[CC_DM_source]],MATCH(Tab_Data_Flows[[#This Row],[Name(EN)]],Tab_Def_Flows[Name(EN)],0),18)</f>
        <v>0.5</v>
      </c>
      <c r="AJ63" s="102">
        <f>IF(L63="Yes",AI63*Tab_Data_Flows[[#This Row],[Flow_Py]]*Tab_Data_Flows[[#This Row],[DM_'[%']]],"N.A.")</f>
        <v>64.3</v>
      </c>
      <c r="AK63" s="58" t="str">
        <f>Tab_Data_Flows[[#This Row],[UoM_Flow_Py]]</f>
        <v>Mg</v>
      </c>
    </row>
    <row r="64" spans="1:37" x14ac:dyDescent="0.25">
      <c r="A64" s="57">
        <f t="shared" si="0"/>
        <v>63</v>
      </c>
      <c r="B64" s="48" t="str">
        <f>_xlfn.XLOOKUP(C64,Tab_Def_Flows[Name(EN)],Tab_Def_Flows[Flow_ID],,0,)</f>
        <v>F_00_01</v>
      </c>
      <c r="C64" s="50" t="s">
        <v>107</v>
      </c>
      <c r="D64" s="48">
        <f>_xlfn.XLOOKUP(C64,Tab_Def_Flows[Name(EN)],Tab_Def_Flows[Type_Biomass],,0,)</f>
        <v>0</v>
      </c>
      <c r="E64" s="48" t="str">
        <f>_xlfn.XLOOKUP(C64,Tab_Def_Flows[Name(EN)],Tab_Def_Flows[Output_Process],,0,)</f>
        <v>Biosphere</v>
      </c>
      <c r="F64" s="48" t="str">
        <f>_xlfn.XLOOKUP(C64,Tab_Def_Flows[Name(EN)],Tab_Def_Flows[Process_ID_O],,0,)</f>
        <v>00_Bio_</v>
      </c>
      <c r="G64" s="48" t="str">
        <f>_xlfn.XLOOKUP(C64,Tab_Def_Flows[Name(EN)],Tab_Def_Flows[Input_Process],,0,)</f>
        <v>Raw Material Extraction</v>
      </c>
      <c r="H64" s="58" t="str">
        <f>_xlfn.XLOOKUP(C64,Tab_Def_Flows[Name(EN)],Tab_Def_Flows[Process_ID_I],,0,)</f>
        <v>01_Raw_</v>
      </c>
      <c r="I64" s="58">
        <f>_xlfn.XLOOKUP(C64,Tab_Def_Flows[Name(EN)],Tab_Def_Flows[Value_Source],,0,)</f>
        <v>0</v>
      </c>
      <c r="J64" s="58" t="str">
        <f>_xlfn.XLOOKUP(C64,Tab_Def_Flows[Name(EN)],Tab_Def_Flows[WC?],,0,)</f>
        <v>Yes</v>
      </c>
      <c r="K64" s="58" t="str">
        <f>_xlfn.XLOOKUP(C64,Tab_Def_Flows[Name(EN)],Tab_Def_Flows[DM?],,0,)</f>
        <v>Yes</v>
      </c>
      <c r="L64" s="58" t="str">
        <f>_xlfn.XLOOKUP(C64,Tab_Def_Flows[Name(EN)],Tab_Def_Flows[CC?],,0,)</f>
        <v>Yes</v>
      </c>
      <c r="M64" s="50">
        <v>1982</v>
      </c>
      <c r="N64" s="50" t="s">
        <v>82</v>
      </c>
      <c r="O64" s="108">
        <v>70.8</v>
      </c>
      <c r="P64" s="50" t="s">
        <v>85</v>
      </c>
      <c r="Q64" s="50"/>
      <c r="R64" s="50"/>
      <c r="S64" s="50"/>
      <c r="T64" s="50"/>
      <c r="U64" s="50"/>
      <c r="V64" s="50"/>
      <c r="W64" s="50"/>
      <c r="X64" s="50" t="s">
        <v>84</v>
      </c>
      <c r="Y64" s="98"/>
      <c r="Z64" s="50"/>
      <c r="AA64" s="80">
        <f t="shared" si="2"/>
        <v>70.8</v>
      </c>
      <c r="AB64" s="50" t="s">
        <v>85</v>
      </c>
      <c r="AC64" s="101">
        <f>INDEX(Tab_Def_Flows[[Flow_ID]:[CC_DM_source]],MATCH(Tab_Data_Flows[[#This Row],[Name(EN)]],Tab_Def_Flows[Name(EN)],0),14)</f>
        <v>0</v>
      </c>
      <c r="AD64" s="102">
        <f>IF(J64="Yes",AA64*Tab_Data_Flows[[#This Row],[WC_'[%']]],"N.A.")</f>
        <v>0</v>
      </c>
      <c r="AE64" s="58" t="str">
        <f>Tab_Data_Flows[[#This Row],[UoM_Flow_Py]]</f>
        <v>Mg</v>
      </c>
      <c r="AF64" s="101">
        <f>INDEX(Tab_Def_Flows[[Flow_ID]:[CC_DM_source]],MATCH(Tab_Data_Flows[[#This Row],[Name(EN)]],Tab_Def_Flows[Name(EN)],0),16)</f>
        <v>1</v>
      </c>
      <c r="AG64" s="102">
        <f>IF(K64="Yes",AF64*Tab_Data_Flows[[#This Row],[Flow_Py]],"N.A.")</f>
        <v>70.8</v>
      </c>
      <c r="AH64" s="58" t="str">
        <f>Tab_Data_Flows[[#This Row],[UoM_Flow_Py]]</f>
        <v>Mg</v>
      </c>
      <c r="AI64" s="101">
        <f>INDEX(Tab_Def_Flows[[Flow_ID]:[CC_DM_source]],MATCH(Tab_Data_Flows[[#This Row],[Name(EN)]],Tab_Def_Flows[Name(EN)],0),18)</f>
        <v>0.5</v>
      </c>
      <c r="AJ64" s="102">
        <f>IF(L64="Yes",AI64*Tab_Data_Flows[[#This Row],[Flow_Py]]*Tab_Data_Flows[[#This Row],[DM_'[%']]],"N.A.")</f>
        <v>35.4</v>
      </c>
      <c r="AK64" s="58" t="str">
        <f>Tab_Data_Flows[[#This Row],[UoM_Flow_Py]]</f>
        <v>Mg</v>
      </c>
    </row>
    <row r="65" spans="1:37" x14ac:dyDescent="0.25">
      <c r="A65" s="57">
        <f t="shared" ref="A65:A127" si="4">ROW()-1</f>
        <v>64</v>
      </c>
      <c r="B65" s="48" t="str">
        <f>_xlfn.XLOOKUP(C65,Tab_Def_Flows[Name(EN)],Tab_Def_Flows[Flow_ID],,0,)</f>
        <v>F_00_01</v>
      </c>
      <c r="C65" s="50" t="s">
        <v>107</v>
      </c>
      <c r="D65" s="48"/>
      <c r="E65" s="48" t="str">
        <f>_xlfn.XLOOKUP(C65,Tab_Def_Flows[Name(EN)],Tab_Def_Flows[Output_Process],,0,)</f>
        <v>Biosphere</v>
      </c>
      <c r="F65" s="48" t="str">
        <f>_xlfn.XLOOKUP(C65,Tab_Def_Flows[Name(EN)],Tab_Def_Flows[Process_ID_O],,0,)</f>
        <v>00_Bio_</v>
      </c>
      <c r="G65" s="48" t="str">
        <f>_xlfn.XLOOKUP(C65,Tab_Def_Flows[Name(EN)],Tab_Def_Flows[Input_Process],,0,)</f>
        <v>Raw Material Extraction</v>
      </c>
      <c r="H65" s="58" t="str">
        <f>_xlfn.XLOOKUP(C65,Tab_Def_Flows[Name(EN)],Tab_Def_Flows[Process_ID_I],,0,)</f>
        <v>01_Raw_</v>
      </c>
      <c r="I65" s="48">
        <f>_xlfn.XLOOKUP(C65,Tab_Def_Flows[Name(EN)],Tab_Def_Flows[Value_Source],,0,)</f>
        <v>0</v>
      </c>
      <c r="J65" s="48" t="str">
        <f>_xlfn.XLOOKUP(C65,Tab_Def_Flows[Name(EN)],Tab_Def_Flows[WC?],,0,)</f>
        <v>Yes</v>
      </c>
      <c r="K65" s="48" t="str">
        <f>_xlfn.XLOOKUP(C65,Tab_Def_Flows[Name(EN)],Tab_Def_Flows[DM?],,0,)</f>
        <v>Yes</v>
      </c>
      <c r="L65" s="48" t="str">
        <f>_xlfn.XLOOKUP(C65,Tab_Def_Flows[Name(EN)],Tab_Def_Flows[CC?],,0,)</f>
        <v>Yes</v>
      </c>
      <c r="M65" s="50">
        <v>1983</v>
      </c>
      <c r="N65" s="50"/>
      <c r="O65" s="108">
        <v>83.6</v>
      </c>
      <c r="P65" s="50" t="s">
        <v>85</v>
      </c>
      <c r="Q65" s="50"/>
      <c r="R65" s="50" t="e">
        <f>INDEX(Tab_WC_DM_CC[[Flow_ID]:[CC_source]],MATCH(Tab_Data_Flows[[#This Row],[Name(EN)]],Tab_WC_DM_CC[Name(EN)],0),12)</f>
        <v>#N/A</v>
      </c>
      <c r="S65" s="50" t="e">
        <f>MATCH(Tab_Data_Flows[[#This Row],[Name(EN)]],Tab_WC_DM_CC[Name(EN)],0)</f>
        <v>#N/A</v>
      </c>
      <c r="T65" s="50"/>
      <c r="U65" s="50"/>
      <c r="V65" s="50"/>
      <c r="W65" s="50"/>
      <c r="X65" s="50" t="s">
        <v>84</v>
      </c>
      <c r="Y65" s="50"/>
      <c r="Z65" s="50"/>
      <c r="AA65" s="80">
        <f t="shared" ref="AA65:AA127" si="5">IF(X65="no",O65,O65*Y65)</f>
        <v>83.6</v>
      </c>
      <c r="AB65" s="50" t="s">
        <v>85</v>
      </c>
      <c r="AC65" s="101">
        <f>INDEX(Tab_Def_Flows[[Flow_ID]:[CC_DM_source]],MATCH(Tab_Data_Flows[[#This Row],[Name(EN)]],Tab_Def_Flows[Name(EN)],0),14)</f>
        <v>0</v>
      </c>
      <c r="AD65" s="102">
        <f>IF(J65="Yes",AA65*Tab_Data_Flows[[#This Row],[WC_'[%']]],"N.A.")</f>
        <v>0</v>
      </c>
      <c r="AE65" s="58" t="str">
        <f>Tab_Data_Flows[[#This Row],[UoM_Flow_Py]]</f>
        <v>Mg</v>
      </c>
      <c r="AF65" s="101">
        <f>INDEX(Tab_Def_Flows[[Flow_ID]:[CC_DM_source]],MATCH(Tab_Data_Flows[[#This Row],[Name(EN)]],Tab_Def_Flows[Name(EN)],0),16)</f>
        <v>1</v>
      </c>
      <c r="AG65" s="102">
        <f>IF(K65="Yes",AF65*Tab_Data_Flows[[#This Row],[Flow_Py]],"N.A.")</f>
        <v>83.6</v>
      </c>
      <c r="AH65" s="58" t="str">
        <f>Tab_Data_Flows[[#This Row],[UoM_Flow_Py]]</f>
        <v>Mg</v>
      </c>
      <c r="AI65" s="101">
        <f>INDEX(Tab_Def_Flows[[Flow_ID]:[CC_DM_source]],MATCH(Tab_Data_Flows[[#This Row],[Name(EN)]],Tab_Def_Flows[Name(EN)],0),18)</f>
        <v>0.5</v>
      </c>
      <c r="AJ65" s="102">
        <f>IF(L65="Yes",AI65*Tab_Data_Flows[[#This Row],[Flow_Py]]*Tab_Data_Flows[[#This Row],[DM_'[%']]],"N.A.")</f>
        <v>41.8</v>
      </c>
      <c r="AK65" s="58" t="str">
        <f>Tab_Data_Flows[[#This Row],[UoM_Flow_Py]]</f>
        <v>Mg</v>
      </c>
    </row>
    <row r="66" spans="1:37" x14ac:dyDescent="0.25">
      <c r="A66" s="57">
        <f t="shared" si="4"/>
        <v>65</v>
      </c>
      <c r="B66" s="48" t="str">
        <f>_xlfn.XLOOKUP(C66,Tab_Def_Flows[Name(EN)],Tab_Def_Flows[Flow_ID],,0,)</f>
        <v>F_00_01</v>
      </c>
      <c r="C66" s="50" t="s">
        <v>107</v>
      </c>
      <c r="D66" s="48"/>
      <c r="E66" s="48" t="str">
        <f>_xlfn.XLOOKUP(C66,Tab_Def_Flows[Name(EN)],Tab_Def_Flows[Output_Process],,0,)</f>
        <v>Biosphere</v>
      </c>
      <c r="F66" s="48" t="str">
        <f>_xlfn.XLOOKUP(C66,Tab_Def_Flows[Name(EN)],Tab_Def_Flows[Process_ID_O],,0,)</f>
        <v>00_Bio_</v>
      </c>
      <c r="G66" s="48" t="str">
        <f>_xlfn.XLOOKUP(C66,Tab_Def_Flows[Name(EN)],Tab_Def_Flows[Input_Process],,0,)</f>
        <v>Raw Material Extraction</v>
      </c>
      <c r="H66" s="58" t="str">
        <f>_xlfn.XLOOKUP(C66,Tab_Def_Flows[Name(EN)],Tab_Def_Flows[Process_ID_I],,0,)</f>
        <v>01_Raw_</v>
      </c>
      <c r="I66" s="48">
        <f>_xlfn.XLOOKUP(C66,Tab_Def_Flows[Name(EN)],Tab_Def_Flows[Value_Source],,0,)</f>
        <v>0</v>
      </c>
      <c r="J66" s="48" t="str">
        <f>_xlfn.XLOOKUP(C66,Tab_Def_Flows[Name(EN)],Tab_Def_Flows[WC?],,0,)</f>
        <v>Yes</v>
      </c>
      <c r="K66" s="48" t="str">
        <f>_xlfn.XLOOKUP(C66,Tab_Def_Flows[Name(EN)],Tab_Def_Flows[DM?],,0,)</f>
        <v>Yes</v>
      </c>
      <c r="L66" s="48" t="str">
        <f>_xlfn.XLOOKUP(C66,Tab_Def_Flows[Name(EN)],Tab_Def_Flows[CC?],,0,)</f>
        <v>Yes</v>
      </c>
      <c r="M66" s="50">
        <v>1984</v>
      </c>
      <c r="N66" s="50"/>
      <c r="O66" s="108">
        <v>115.8</v>
      </c>
      <c r="P66" s="50" t="s">
        <v>85</v>
      </c>
      <c r="Q66" s="50"/>
      <c r="R66" s="50" t="e">
        <f>INDEX(Tab_WC_DM_CC[[Flow_ID]:[CC_source]],MATCH(Tab_Data_Flows[[#This Row],[Name(EN)]],Tab_WC_DM_CC[Name(EN)],0),12)</f>
        <v>#N/A</v>
      </c>
      <c r="S66" s="50" t="e">
        <f>MATCH(Tab_Data_Flows[[#This Row],[Name(EN)]],Tab_WC_DM_CC[Name(EN)],0)</f>
        <v>#N/A</v>
      </c>
      <c r="T66" s="50"/>
      <c r="U66" s="50"/>
      <c r="V66" s="50"/>
      <c r="W66" s="50"/>
      <c r="X66" s="50" t="s">
        <v>84</v>
      </c>
      <c r="Y66" s="50"/>
      <c r="Z66" s="50"/>
      <c r="AA66" s="80">
        <f t="shared" si="5"/>
        <v>115.8</v>
      </c>
      <c r="AB66" s="50" t="s">
        <v>85</v>
      </c>
      <c r="AC66" s="101">
        <f>INDEX(Tab_Def_Flows[[Flow_ID]:[CC_DM_source]],MATCH(Tab_Data_Flows[[#This Row],[Name(EN)]],Tab_Def_Flows[Name(EN)],0),14)</f>
        <v>0</v>
      </c>
      <c r="AD66" s="102">
        <f>IF(J66="Yes",AA66*Tab_Data_Flows[[#This Row],[WC_'[%']]],"N.A.")</f>
        <v>0</v>
      </c>
      <c r="AE66" s="58" t="str">
        <f>Tab_Data_Flows[[#This Row],[UoM_Flow_Py]]</f>
        <v>Mg</v>
      </c>
      <c r="AF66" s="101">
        <f>INDEX(Tab_Def_Flows[[Flow_ID]:[CC_DM_source]],MATCH(Tab_Data_Flows[[#This Row],[Name(EN)]],Tab_Def_Flows[Name(EN)],0),16)</f>
        <v>1</v>
      </c>
      <c r="AG66" s="102">
        <f>IF(K66="Yes",AF66*Tab_Data_Flows[[#This Row],[Flow_Py]],"N.A.")</f>
        <v>115.8</v>
      </c>
      <c r="AH66" s="58" t="str">
        <f>Tab_Data_Flows[[#This Row],[UoM_Flow_Py]]</f>
        <v>Mg</v>
      </c>
      <c r="AI66" s="101">
        <f>INDEX(Tab_Def_Flows[[Flow_ID]:[CC_DM_source]],MATCH(Tab_Data_Flows[[#This Row],[Name(EN)]],Tab_Def_Flows[Name(EN)],0),18)</f>
        <v>0.5</v>
      </c>
      <c r="AJ66" s="102">
        <f>IF(L66="Yes",AI66*Tab_Data_Flows[[#This Row],[Flow_Py]]*Tab_Data_Flows[[#This Row],[DM_'[%']]],"N.A.")</f>
        <v>57.9</v>
      </c>
      <c r="AK66" s="58" t="str">
        <f>Tab_Data_Flows[[#This Row],[UoM_Flow_Py]]</f>
        <v>Mg</v>
      </c>
    </row>
    <row r="67" spans="1:37" x14ac:dyDescent="0.25">
      <c r="A67" s="57">
        <f t="shared" si="4"/>
        <v>66</v>
      </c>
      <c r="B67" s="48" t="str">
        <f>_xlfn.XLOOKUP(C67,Tab_Def_Flows[Name(EN)],Tab_Def_Flows[Flow_ID],,0,)</f>
        <v>F_00_01</v>
      </c>
      <c r="C67" s="50" t="s">
        <v>107</v>
      </c>
      <c r="D67" s="48"/>
      <c r="E67" s="48" t="str">
        <f>_xlfn.XLOOKUP(C67,Tab_Def_Flows[Name(EN)],Tab_Def_Flows[Output_Process],,0,)</f>
        <v>Biosphere</v>
      </c>
      <c r="F67" s="48" t="str">
        <f>_xlfn.XLOOKUP(C67,Tab_Def_Flows[Name(EN)],Tab_Def_Flows[Process_ID_O],,0,)</f>
        <v>00_Bio_</v>
      </c>
      <c r="G67" s="48" t="str">
        <f>_xlfn.XLOOKUP(C67,Tab_Def_Flows[Name(EN)],Tab_Def_Flows[Input_Process],,0,)</f>
        <v>Raw Material Extraction</v>
      </c>
      <c r="H67" s="58" t="str">
        <f>_xlfn.XLOOKUP(C67,Tab_Def_Flows[Name(EN)],Tab_Def_Flows[Process_ID_I],,0,)</f>
        <v>01_Raw_</v>
      </c>
      <c r="I67" s="48">
        <f>_xlfn.XLOOKUP(C67,Tab_Def_Flows[Name(EN)],Tab_Def_Flows[Value_Source],,0,)</f>
        <v>0</v>
      </c>
      <c r="J67" s="48" t="str">
        <f>_xlfn.XLOOKUP(C67,Tab_Def_Flows[Name(EN)],Tab_Def_Flows[WC?],,0,)</f>
        <v>Yes</v>
      </c>
      <c r="K67" s="48" t="str">
        <f>_xlfn.XLOOKUP(C67,Tab_Def_Flows[Name(EN)],Tab_Def_Flows[DM?],,0,)</f>
        <v>Yes</v>
      </c>
      <c r="L67" s="48" t="str">
        <f>_xlfn.XLOOKUP(C67,Tab_Def_Flows[Name(EN)],Tab_Def_Flows[CC?],,0,)</f>
        <v>Yes</v>
      </c>
      <c r="M67" s="50">
        <v>1985</v>
      </c>
      <c r="N67" s="50"/>
      <c r="O67" s="108">
        <v>205.6</v>
      </c>
      <c r="P67" s="50" t="s">
        <v>85</v>
      </c>
      <c r="Q67" s="50"/>
      <c r="R67" s="50" t="e">
        <f>INDEX(Tab_WC_DM_CC[[Flow_ID]:[CC_source]],MATCH(Tab_Data_Flows[[#This Row],[Name(EN)]],Tab_WC_DM_CC[Name(EN)],0),12)</f>
        <v>#N/A</v>
      </c>
      <c r="S67" s="50" t="e">
        <f>MATCH(Tab_Data_Flows[[#This Row],[Name(EN)]],Tab_WC_DM_CC[Name(EN)],0)</f>
        <v>#N/A</v>
      </c>
      <c r="T67" s="50"/>
      <c r="U67" s="50"/>
      <c r="V67" s="50"/>
      <c r="W67" s="50"/>
      <c r="X67" s="50" t="s">
        <v>84</v>
      </c>
      <c r="Y67" s="50"/>
      <c r="Z67" s="50"/>
      <c r="AA67" s="80">
        <f t="shared" si="5"/>
        <v>205.6</v>
      </c>
      <c r="AB67" s="50" t="s">
        <v>85</v>
      </c>
      <c r="AC67" s="101">
        <f>INDEX(Tab_Def_Flows[[Flow_ID]:[CC_DM_source]],MATCH(Tab_Data_Flows[[#This Row],[Name(EN)]],Tab_Def_Flows[Name(EN)],0),14)</f>
        <v>0</v>
      </c>
      <c r="AD67" s="102">
        <f>IF(J67="Yes",AA67*Tab_Data_Flows[[#This Row],[WC_'[%']]],"N.A.")</f>
        <v>0</v>
      </c>
      <c r="AE67" s="58" t="str">
        <f>Tab_Data_Flows[[#This Row],[UoM_Flow_Py]]</f>
        <v>Mg</v>
      </c>
      <c r="AF67" s="101">
        <f>INDEX(Tab_Def_Flows[[Flow_ID]:[CC_DM_source]],MATCH(Tab_Data_Flows[[#This Row],[Name(EN)]],Tab_Def_Flows[Name(EN)],0),16)</f>
        <v>1</v>
      </c>
      <c r="AG67" s="102">
        <f>IF(K67="Yes",AF67*Tab_Data_Flows[[#This Row],[Flow_Py]],"N.A.")</f>
        <v>205.6</v>
      </c>
      <c r="AH67" s="58" t="str">
        <f>Tab_Data_Flows[[#This Row],[UoM_Flow_Py]]</f>
        <v>Mg</v>
      </c>
      <c r="AI67" s="101">
        <f>INDEX(Tab_Def_Flows[[Flow_ID]:[CC_DM_source]],MATCH(Tab_Data_Flows[[#This Row],[Name(EN)]],Tab_Def_Flows[Name(EN)],0),18)</f>
        <v>0.5</v>
      </c>
      <c r="AJ67" s="102">
        <f>IF(L67="Yes",AI67*Tab_Data_Flows[[#This Row],[Flow_Py]]*Tab_Data_Flows[[#This Row],[DM_'[%']]],"N.A.")</f>
        <v>102.8</v>
      </c>
      <c r="AK67" s="58" t="str">
        <f>Tab_Data_Flows[[#This Row],[UoM_Flow_Py]]</f>
        <v>Mg</v>
      </c>
    </row>
    <row r="68" spans="1:37" x14ac:dyDescent="0.25">
      <c r="A68" s="57">
        <f t="shared" si="4"/>
        <v>67</v>
      </c>
      <c r="B68" s="48" t="str">
        <f>_xlfn.XLOOKUP(C68,Tab_Def_Flows[Name(EN)],Tab_Def_Flows[Flow_ID],,0,)</f>
        <v>F_00_01</v>
      </c>
      <c r="C68" s="50" t="s">
        <v>107</v>
      </c>
      <c r="D68" s="48"/>
      <c r="E68" s="48" t="str">
        <f>_xlfn.XLOOKUP(C68,Tab_Def_Flows[Name(EN)],Tab_Def_Flows[Output_Process],,0,)</f>
        <v>Biosphere</v>
      </c>
      <c r="F68" s="48" t="str">
        <f>_xlfn.XLOOKUP(C68,Tab_Def_Flows[Name(EN)],Tab_Def_Flows[Process_ID_O],,0,)</f>
        <v>00_Bio_</v>
      </c>
      <c r="G68" s="48" t="str">
        <f>_xlfn.XLOOKUP(C68,Tab_Def_Flows[Name(EN)],Tab_Def_Flows[Input_Process],,0,)</f>
        <v>Raw Material Extraction</v>
      </c>
      <c r="H68" s="58" t="str">
        <f>_xlfn.XLOOKUP(C68,Tab_Def_Flows[Name(EN)],Tab_Def_Flows[Process_ID_I],,0,)</f>
        <v>01_Raw_</v>
      </c>
      <c r="I68" s="48">
        <f>_xlfn.XLOOKUP(C68,Tab_Def_Flows[Name(EN)],Tab_Def_Flows[Value_Source],,0,)</f>
        <v>0</v>
      </c>
      <c r="J68" s="48" t="str">
        <f>_xlfn.XLOOKUP(C68,Tab_Def_Flows[Name(EN)],Tab_Def_Flows[WC?],,0,)</f>
        <v>Yes</v>
      </c>
      <c r="K68" s="48" t="str">
        <f>_xlfn.XLOOKUP(C68,Tab_Def_Flows[Name(EN)],Tab_Def_Flows[DM?],,0,)</f>
        <v>Yes</v>
      </c>
      <c r="L68" s="48" t="str">
        <f>_xlfn.XLOOKUP(C68,Tab_Def_Flows[Name(EN)],Tab_Def_Flows[CC?],,0,)</f>
        <v>Yes</v>
      </c>
      <c r="M68" s="50">
        <v>1986</v>
      </c>
      <c r="N68" s="50"/>
      <c r="O68" s="108">
        <v>70.8</v>
      </c>
      <c r="P68" s="50" t="s">
        <v>85</v>
      </c>
      <c r="Q68" s="50"/>
      <c r="R68" s="50" t="e">
        <f>INDEX(Tab_WC_DM_CC[[Flow_ID]:[CC_source]],MATCH(Tab_Data_Flows[[#This Row],[Name(EN)]],Tab_WC_DM_CC[Name(EN)],0),12)</f>
        <v>#N/A</v>
      </c>
      <c r="S68" s="50" t="e">
        <f>MATCH(Tab_Data_Flows[[#This Row],[Name(EN)]],Tab_WC_DM_CC[Name(EN)],0)</f>
        <v>#N/A</v>
      </c>
      <c r="T68" s="50"/>
      <c r="U68" s="50"/>
      <c r="V68" s="50"/>
      <c r="W68" s="50"/>
      <c r="X68" s="50" t="s">
        <v>84</v>
      </c>
      <c r="Y68" s="50"/>
      <c r="Z68" s="50"/>
      <c r="AA68" s="80">
        <f t="shared" si="5"/>
        <v>70.8</v>
      </c>
      <c r="AB68" s="50" t="s">
        <v>85</v>
      </c>
      <c r="AC68" s="101">
        <f>INDEX(Tab_Def_Flows[[Flow_ID]:[CC_DM_source]],MATCH(Tab_Data_Flows[[#This Row],[Name(EN)]],Tab_Def_Flows[Name(EN)],0),14)</f>
        <v>0</v>
      </c>
      <c r="AD68" s="102">
        <f>IF(J68="Yes",AA68*Tab_Data_Flows[[#This Row],[WC_'[%']]],"N.A.")</f>
        <v>0</v>
      </c>
      <c r="AE68" s="58" t="str">
        <f>Tab_Data_Flows[[#This Row],[UoM_Flow_Py]]</f>
        <v>Mg</v>
      </c>
      <c r="AF68" s="101">
        <f>INDEX(Tab_Def_Flows[[Flow_ID]:[CC_DM_source]],MATCH(Tab_Data_Flows[[#This Row],[Name(EN)]],Tab_Def_Flows[Name(EN)],0),16)</f>
        <v>1</v>
      </c>
      <c r="AG68" s="102">
        <f>IF(K68="Yes",AF68*Tab_Data_Flows[[#This Row],[Flow_Py]],"N.A.")</f>
        <v>70.8</v>
      </c>
      <c r="AH68" s="58" t="str">
        <f>Tab_Data_Flows[[#This Row],[UoM_Flow_Py]]</f>
        <v>Mg</v>
      </c>
      <c r="AI68" s="101">
        <f>INDEX(Tab_Def_Flows[[Flow_ID]:[CC_DM_source]],MATCH(Tab_Data_Flows[[#This Row],[Name(EN)]],Tab_Def_Flows[Name(EN)],0),18)</f>
        <v>0.5</v>
      </c>
      <c r="AJ68" s="102">
        <f>IF(L68="Yes",AI68*Tab_Data_Flows[[#This Row],[Flow_Py]]*Tab_Data_Flows[[#This Row],[DM_'[%']]],"N.A.")</f>
        <v>35.4</v>
      </c>
      <c r="AK68" s="58" t="str">
        <f>Tab_Data_Flows[[#This Row],[UoM_Flow_Py]]</f>
        <v>Mg</v>
      </c>
    </row>
    <row r="69" spans="1:37" x14ac:dyDescent="0.25">
      <c r="A69" s="57">
        <f t="shared" si="4"/>
        <v>68</v>
      </c>
      <c r="B69" s="48" t="str">
        <f>_xlfn.XLOOKUP(C69,Tab_Def_Flows[Name(EN)],Tab_Def_Flows[Flow_ID],,0,)</f>
        <v>F_00_01</v>
      </c>
      <c r="C69" s="50" t="s">
        <v>107</v>
      </c>
      <c r="D69" s="48"/>
      <c r="E69" s="48" t="str">
        <f>_xlfn.XLOOKUP(C69,Tab_Def_Flows[Name(EN)],Tab_Def_Flows[Output_Process],,0,)</f>
        <v>Biosphere</v>
      </c>
      <c r="F69" s="48" t="str">
        <f>_xlfn.XLOOKUP(C69,Tab_Def_Flows[Name(EN)],Tab_Def_Flows[Process_ID_O],,0,)</f>
        <v>00_Bio_</v>
      </c>
      <c r="G69" s="48" t="str">
        <f>_xlfn.XLOOKUP(C69,Tab_Def_Flows[Name(EN)],Tab_Def_Flows[Input_Process],,0,)</f>
        <v>Raw Material Extraction</v>
      </c>
      <c r="H69" s="58" t="str">
        <f>_xlfn.XLOOKUP(C69,Tab_Def_Flows[Name(EN)],Tab_Def_Flows[Process_ID_I],,0,)</f>
        <v>01_Raw_</v>
      </c>
      <c r="I69" s="48">
        <f>_xlfn.XLOOKUP(C69,Tab_Def_Flows[Name(EN)],Tab_Def_Flows[Value_Source],,0,)</f>
        <v>0</v>
      </c>
      <c r="J69" s="48" t="str">
        <f>_xlfn.XLOOKUP(C69,Tab_Def_Flows[Name(EN)],Tab_Def_Flows[WC?],,0,)</f>
        <v>Yes</v>
      </c>
      <c r="K69" s="48" t="str">
        <f>_xlfn.XLOOKUP(C69,Tab_Def_Flows[Name(EN)],Tab_Def_Flows[DM?],,0,)</f>
        <v>Yes</v>
      </c>
      <c r="L69" s="48" t="str">
        <f>_xlfn.XLOOKUP(C69,Tab_Def_Flows[Name(EN)],Tab_Def_Flows[CC?],,0,)</f>
        <v>Yes</v>
      </c>
      <c r="M69" s="50">
        <v>1987</v>
      </c>
      <c r="N69" s="50"/>
      <c r="O69" s="108">
        <v>32.200000000000003</v>
      </c>
      <c r="P69" s="50" t="s">
        <v>85</v>
      </c>
      <c r="Q69" s="50"/>
      <c r="R69" s="50" t="e">
        <f>INDEX(Tab_WC_DM_CC[[Flow_ID]:[CC_source]],MATCH(Tab_Data_Flows[[#This Row],[Name(EN)]],Tab_WC_DM_CC[Name(EN)],0),12)</f>
        <v>#N/A</v>
      </c>
      <c r="S69" s="50" t="e">
        <f>MATCH(Tab_Data_Flows[[#This Row],[Name(EN)]],Tab_WC_DM_CC[Name(EN)],0)</f>
        <v>#N/A</v>
      </c>
      <c r="T69" s="50"/>
      <c r="U69" s="50"/>
      <c r="V69" s="50"/>
      <c r="W69" s="50"/>
      <c r="X69" s="50" t="s">
        <v>84</v>
      </c>
      <c r="Y69" s="50"/>
      <c r="Z69" s="50"/>
      <c r="AA69" s="80">
        <f t="shared" si="5"/>
        <v>32.200000000000003</v>
      </c>
      <c r="AB69" s="50" t="s">
        <v>85</v>
      </c>
      <c r="AC69" s="101">
        <f>INDEX(Tab_Def_Flows[[Flow_ID]:[CC_DM_source]],MATCH(Tab_Data_Flows[[#This Row],[Name(EN)]],Tab_Def_Flows[Name(EN)],0),14)</f>
        <v>0</v>
      </c>
      <c r="AD69" s="102">
        <f>IF(J69="Yes",AA69*Tab_Data_Flows[[#This Row],[WC_'[%']]],"N.A.")</f>
        <v>0</v>
      </c>
      <c r="AE69" s="58" t="str">
        <f>Tab_Data_Flows[[#This Row],[UoM_Flow_Py]]</f>
        <v>Mg</v>
      </c>
      <c r="AF69" s="101">
        <f>INDEX(Tab_Def_Flows[[Flow_ID]:[CC_DM_source]],MATCH(Tab_Data_Flows[[#This Row],[Name(EN)]],Tab_Def_Flows[Name(EN)],0),16)</f>
        <v>1</v>
      </c>
      <c r="AG69" s="102">
        <f>IF(K69="Yes",AF69*Tab_Data_Flows[[#This Row],[Flow_Py]],"N.A.")</f>
        <v>32.200000000000003</v>
      </c>
      <c r="AH69" s="58" t="str">
        <f>Tab_Data_Flows[[#This Row],[UoM_Flow_Py]]</f>
        <v>Mg</v>
      </c>
      <c r="AI69" s="101">
        <f>INDEX(Tab_Def_Flows[[Flow_ID]:[CC_DM_source]],MATCH(Tab_Data_Flows[[#This Row],[Name(EN)]],Tab_Def_Flows[Name(EN)],0),18)</f>
        <v>0.5</v>
      </c>
      <c r="AJ69" s="102">
        <f>IF(L69="Yes",AI69*Tab_Data_Flows[[#This Row],[Flow_Py]]*Tab_Data_Flows[[#This Row],[DM_'[%']]],"N.A.")</f>
        <v>16.100000000000001</v>
      </c>
      <c r="AK69" s="58" t="str">
        <f>Tab_Data_Flows[[#This Row],[UoM_Flow_Py]]</f>
        <v>Mg</v>
      </c>
    </row>
    <row r="70" spans="1:37" x14ac:dyDescent="0.25">
      <c r="A70" s="57">
        <f t="shared" si="4"/>
        <v>69</v>
      </c>
      <c r="B70" s="48" t="str">
        <f>_xlfn.XLOOKUP(C70,Tab_Def_Flows[Name(EN)],Tab_Def_Flows[Flow_ID],,0,)</f>
        <v>F_00_01</v>
      </c>
      <c r="C70" s="50" t="s">
        <v>107</v>
      </c>
      <c r="D70" s="48"/>
      <c r="E70" s="48" t="str">
        <f>_xlfn.XLOOKUP(C70,Tab_Def_Flows[Name(EN)],Tab_Def_Flows[Output_Process],,0,)</f>
        <v>Biosphere</v>
      </c>
      <c r="F70" s="48" t="str">
        <f>_xlfn.XLOOKUP(C70,Tab_Def_Flows[Name(EN)],Tab_Def_Flows[Process_ID_O],,0,)</f>
        <v>00_Bio_</v>
      </c>
      <c r="G70" s="48" t="str">
        <f>_xlfn.XLOOKUP(C70,Tab_Def_Flows[Name(EN)],Tab_Def_Flows[Input_Process],,0,)</f>
        <v>Raw Material Extraction</v>
      </c>
      <c r="H70" s="58" t="str">
        <f>_xlfn.XLOOKUP(C70,Tab_Def_Flows[Name(EN)],Tab_Def_Flows[Process_ID_I],,0,)</f>
        <v>01_Raw_</v>
      </c>
      <c r="I70" s="48">
        <f>_xlfn.XLOOKUP(C70,Tab_Def_Flows[Name(EN)],Tab_Def_Flows[Value_Source],,0,)</f>
        <v>0</v>
      </c>
      <c r="J70" s="48" t="str">
        <f>_xlfn.XLOOKUP(C70,Tab_Def_Flows[Name(EN)],Tab_Def_Flows[WC?],,0,)</f>
        <v>Yes</v>
      </c>
      <c r="K70" s="48" t="str">
        <f>_xlfn.XLOOKUP(C70,Tab_Def_Flows[Name(EN)],Tab_Def_Flows[DM?],,0,)</f>
        <v>Yes</v>
      </c>
      <c r="L70" s="48" t="str">
        <f>_xlfn.XLOOKUP(C70,Tab_Def_Flows[Name(EN)],Tab_Def_Flows[CC?],,0,)</f>
        <v>Yes</v>
      </c>
      <c r="M70" s="50">
        <v>1988</v>
      </c>
      <c r="N70" s="50"/>
      <c r="O70" s="108">
        <v>77.2</v>
      </c>
      <c r="P70" s="50" t="s">
        <v>85</v>
      </c>
      <c r="Q70" s="50"/>
      <c r="R70" s="50" t="e">
        <f>INDEX(Tab_WC_DM_CC[[Flow_ID]:[CC_source]],MATCH(Tab_Data_Flows[[#This Row],[Name(EN)]],Tab_WC_DM_CC[Name(EN)],0),12)</f>
        <v>#N/A</v>
      </c>
      <c r="S70" s="50" t="e">
        <f>MATCH(Tab_Data_Flows[[#This Row],[Name(EN)]],Tab_WC_DM_CC[Name(EN)],0)</f>
        <v>#N/A</v>
      </c>
      <c r="T70" s="50"/>
      <c r="U70" s="50"/>
      <c r="V70" s="50"/>
      <c r="W70" s="50"/>
      <c r="X70" s="50" t="s">
        <v>84</v>
      </c>
      <c r="Y70" s="50"/>
      <c r="Z70" s="50"/>
      <c r="AA70" s="80">
        <f t="shared" si="5"/>
        <v>77.2</v>
      </c>
      <c r="AB70" s="50" t="s">
        <v>85</v>
      </c>
      <c r="AC70" s="101">
        <f>INDEX(Tab_Def_Flows[[Flow_ID]:[CC_DM_source]],MATCH(Tab_Data_Flows[[#This Row],[Name(EN)]],Tab_Def_Flows[Name(EN)],0),14)</f>
        <v>0</v>
      </c>
      <c r="AD70" s="102">
        <f>IF(J70="Yes",AA70*Tab_Data_Flows[[#This Row],[WC_'[%']]],"N.A.")</f>
        <v>0</v>
      </c>
      <c r="AE70" s="58" t="str">
        <f>Tab_Data_Flows[[#This Row],[UoM_Flow_Py]]</f>
        <v>Mg</v>
      </c>
      <c r="AF70" s="101">
        <f>INDEX(Tab_Def_Flows[[Flow_ID]:[CC_DM_source]],MATCH(Tab_Data_Flows[[#This Row],[Name(EN)]],Tab_Def_Flows[Name(EN)],0),16)</f>
        <v>1</v>
      </c>
      <c r="AG70" s="102">
        <f>IF(K70="Yes",AF70*Tab_Data_Flows[[#This Row],[Flow_Py]],"N.A.")</f>
        <v>77.2</v>
      </c>
      <c r="AH70" s="58" t="str">
        <f>Tab_Data_Flows[[#This Row],[UoM_Flow_Py]]</f>
        <v>Mg</v>
      </c>
      <c r="AI70" s="101">
        <f>INDEX(Tab_Def_Flows[[Flow_ID]:[CC_DM_source]],MATCH(Tab_Data_Flows[[#This Row],[Name(EN)]],Tab_Def_Flows[Name(EN)],0),18)</f>
        <v>0.5</v>
      </c>
      <c r="AJ70" s="102">
        <f>IF(L70="Yes",AI70*Tab_Data_Flows[[#This Row],[Flow_Py]]*Tab_Data_Flows[[#This Row],[DM_'[%']]],"N.A.")</f>
        <v>38.6</v>
      </c>
      <c r="AK70" s="58" t="str">
        <f>Tab_Data_Flows[[#This Row],[UoM_Flow_Py]]</f>
        <v>Mg</v>
      </c>
    </row>
    <row r="71" spans="1:37" x14ac:dyDescent="0.25">
      <c r="A71" s="57">
        <f t="shared" si="4"/>
        <v>70</v>
      </c>
      <c r="B71" s="48" t="str">
        <f>_xlfn.XLOOKUP(C71,Tab_Def_Flows[Name(EN)],Tab_Def_Flows[Flow_ID],,0,)</f>
        <v>F_00_01</v>
      </c>
      <c r="C71" s="50" t="s">
        <v>107</v>
      </c>
      <c r="D71" s="48"/>
      <c r="E71" s="48" t="str">
        <f>_xlfn.XLOOKUP(C71,Tab_Def_Flows[Name(EN)],Tab_Def_Flows[Output_Process],,0,)</f>
        <v>Biosphere</v>
      </c>
      <c r="F71" s="48" t="str">
        <f>_xlfn.XLOOKUP(C71,Tab_Def_Flows[Name(EN)],Tab_Def_Flows[Process_ID_O],,0,)</f>
        <v>00_Bio_</v>
      </c>
      <c r="G71" s="48" t="str">
        <f>_xlfn.XLOOKUP(C71,Tab_Def_Flows[Name(EN)],Tab_Def_Flows[Input_Process],,0,)</f>
        <v>Raw Material Extraction</v>
      </c>
      <c r="H71" s="58" t="str">
        <f>_xlfn.XLOOKUP(C71,Tab_Def_Flows[Name(EN)],Tab_Def_Flows[Process_ID_I],,0,)</f>
        <v>01_Raw_</v>
      </c>
      <c r="I71" s="48">
        <f>_xlfn.XLOOKUP(C71,Tab_Def_Flows[Name(EN)],Tab_Def_Flows[Value_Source],,0,)</f>
        <v>0</v>
      </c>
      <c r="J71" s="48" t="str">
        <f>_xlfn.XLOOKUP(C71,Tab_Def_Flows[Name(EN)],Tab_Def_Flows[WC?],,0,)</f>
        <v>Yes</v>
      </c>
      <c r="K71" s="48" t="str">
        <f>_xlfn.XLOOKUP(C71,Tab_Def_Flows[Name(EN)],Tab_Def_Flows[DM?],,0,)</f>
        <v>Yes</v>
      </c>
      <c r="L71" s="48" t="str">
        <f>_xlfn.XLOOKUP(C71,Tab_Def_Flows[Name(EN)],Tab_Def_Flows[CC?],,0,)</f>
        <v>Yes</v>
      </c>
      <c r="M71" s="50">
        <v>1989</v>
      </c>
      <c r="N71" s="50"/>
      <c r="O71" s="108">
        <v>45</v>
      </c>
      <c r="P71" s="50" t="s">
        <v>85</v>
      </c>
      <c r="Q71" s="50"/>
      <c r="R71" s="50" t="e">
        <f>INDEX(Tab_WC_DM_CC[[Flow_ID]:[CC_source]],MATCH(Tab_Data_Flows[[#This Row],[Name(EN)]],Tab_WC_DM_CC[Name(EN)],0),12)</f>
        <v>#N/A</v>
      </c>
      <c r="S71" s="50" t="e">
        <f>MATCH(Tab_Data_Flows[[#This Row],[Name(EN)]],Tab_WC_DM_CC[Name(EN)],0)</f>
        <v>#N/A</v>
      </c>
      <c r="T71" s="50"/>
      <c r="U71" s="50"/>
      <c r="V71" s="50"/>
      <c r="W71" s="50"/>
      <c r="X71" s="50" t="s">
        <v>84</v>
      </c>
      <c r="Y71" s="50"/>
      <c r="Z71" s="50"/>
      <c r="AA71" s="80">
        <f t="shared" si="5"/>
        <v>45</v>
      </c>
      <c r="AB71" s="50" t="s">
        <v>85</v>
      </c>
      <c r="AC71" s="101">
        <f>INDEX(Tab_Def_Flows[[Flow_ID]:[CC_DM_source]],MATCH(Tab_Data_Flows[[#This Row],[Name(EN)]],Tab_Def_Flows[Name(EN)],0),14)</f>
        <v>0</v>
      </c>
      <c r="AD71" s="102">
        <f>IF(J71="Yes",AA71*Tab_Data_Flows[[#This Row],[WC_'[%']]],"N.A.")</f>
        <v>0</v>
      </c>
      <c r="AE71" s="58" t="str">
        <f>Tab_Data_Flows[[#This Row],[UoM_Flow_Py]]</f>
        <v>Mg</v>
      </c>
      <c r="AF71" s="101">
        <f>INDEX(Tab_Def_Flows[[Flow_ID]:[CC_DM_source]],MATCH(Tab_Data_Flows[[#This Row],[Name(EN)]],Tab_Def_Flows[Name(EN)],0),16)</f>
        <v>1</v>
      </c>
      <c r="AG71" s="102">
        <f>IF(K71="Yes",AF71*Tab_Data_Flows[[#This Row],[Flow_Py]],"N.A.")</f>
        <v>45</v>
      </c>
      <c r="AH71" s="58" t="str">
        <f>Tab_Data_Flows[[#This Row],[UoM_Flow_Py]]</f>
        <v>Mg</v>
      </c>
      <c r="AI71" s="101">
        <f>INDEX(Tab_Def_Flows[[Flow_ID]:[CC_DM_source]],MATCH(Tab_Data_Flows[[#This Row],[Name(EN)]],Tab_Def_Flows[Name(EN)],0),18)</f>
        <v>0.5</v>
      </c>
      <c r="AJ71" s="102">
        <f>IF(L71="Yes",AI71*Tab_Data_Flows[[#This Row],[Flow_Py]]*Tab_Data_Flows[[#This Row],[DM_'[%']]],"N.A.")</f>
        <v>22.5</v>
      </c>
      <c r="AK71" s="58" t="str">
        <f>Tab_Data_Flows[[#This Row],[UoM_Flow_Py]]</f>
        <v>Mg</v>
      </c>
    </row>
    <row r="72" spans="1:37" x14ac:dyDescent="0.25">
      <c r="A72" s="57">
        <f t="shared" si="4"/>
        <v>71</v>
      </c>
      <c r="B72" s="48" t="str">
        <f>_xlfn.XLOOKUP(C72,Tab_Def_Flows[Name(EN)],Tab_Def_Flows[Flow_ID],,0,)</f>
        <v>F_00_01</v>
      </c>
      <c r="C72" s="50" t="s">
        <v>107</v>
      </c>
      <c r="D72" s="48"/>
      <c r="E72" s="48" t="str">
        <f>_xlfn.XLOOKUP(C72,Tab_Def_Flows[Name(EN)],Tab_Def_Flows[Output_Process],,0,)</f>
        <v>Biosphere</v>
      </c>
      <c r="F72" s="48" t="str">
        <f>_xlfn.XLOOKUP(C72,Tab_Def_Flows[Name(EN)],Tab_Def_Flows[Process_ID_O],,0,)</f>
        <v>00_Bio_</v>
      </c>
      <c r="G72" s="48" t="str">
        <f>_xlfn.XLOOKUP(C72,Tab_Def_Flows[Name(EN)],Tab_Def_Flows[Input_Process],,0,)</f>
        <v>Raw Material Extraction</v>
      </c>
      <c r="H72" s="58" t="str">
        <f>_xlfn.XLOOKUP(C72,Tab_Def_Flows[Name(EN)],Tab_Def_Flows[Process_ID_I],,0,)</f>
        <v>01_Raw_</v>
      </c>
      <c r="I72" s="48">
        <f>_xlfn.XLOOKUP(C72,Tab_Def_Flows[Name(EN)],Tab_Def_Flows[Value_Source],,0,)</f>
        <v>0</v>
      </c>
      <c r="J72" s="48" t="str">
        <f>_xlfn.XLOOKUP(C72,Tab_Def_Flows[Name(EN)],Tab_Def_Flows[WC?],,0,)</f>
        <v>Yes</v>
      </c>
      <c r="K72" s="48" t="str">
        <f>_xlfn.XLOOKUP(C72,Tab_Def_Flows[Name(EN)],Tab_Def_Flows[DM?],,0,)</f>
        <v>Yes</v>
      </c>
      <c r="L72" s="48" t="str">
        <f>_xlfn.XLOOKUP(C72,Tab_Def_Flows[Name(EN)],Tab_Def_Flows[CC?],,0,)</f>
        <v>Yes</v>
      </c>
      <c r="M72" s="50">
        <v>1990</v>
      </c>
      <c r="N72" s="50"/>
      <c r="O72" s="108">
        <v>64.400000000000006</v>
      </c>
      <c r="P72" s="50" t="s">
        <v>85</v>
      </c>
      <c r="Q72" s="50"/>
      <c r="R72" s="50" t="e">
        <f>INDEX(Tab_WC_DM_CC[[Flow_ID]:[CC_source]],MATCH(Tab_Data_Flows[[#This Row],[Name(EN)]],Tab_WC_DM_CC[Name(EN)],0),12)</f>
        <v>#N/A</v>
      </c>
      <c r="S72" s="50" t="e">
        <f>MATCH(Tab_Data_Flows[[#This Row],[Name(EN)]],Tab_WC_DM_CC[Name(EN)],0)</f>
        <v>#N/A</v>
      </c>
      <c r="T72" s="50"/>
      <c r="U72" s="50"/>
      <c r="V72" s="50"/>
      <c r="W72" s="50"/>
      <c r="X72" s="50" t="s">
        <v>84</v>
      </c>
      <c r="Y72" s="50"/>
      <c r="Z72" s="50"/>
      <c r="AA72" s="80">
        <f t="shared" si="5"/>
        <v>64.400000000000006</v>
      </c>
      <c r="AB72" s="50" t="s">
        <v>85</v>
      </c>
      <c r="AC72" s="101">
        <f>INDEX(Tab_Def_Flows[[Flow_ID]:[CC_DM_source]],MATCH(Tab_Data_Flows[[#This Row],[Name(EN)]],Tab_Def_Flows[Name(EN)],0),14)</f>
        <v>0</v>
      </c>
      <c r="AD72" s="102">
        <f>IF(J72="Yes",AA72*Tab_Data_Flows[[#This Row],[WC_'[%']]],"N.A.")</f>
        <v>0</v>
      </c>
      <c r="AE72" s="58" t="str">
        <f>Tab_Data_Flows[[#This Row],[UoM_Flow_Py]]</f>
        <v>Mg</v>
      </c>
      <c r="AF72" s="101">
        <f>INDEX(Tab_Def_Flows[[Flow_ID]:[CC_DM_source]],MATCH(Tab_Data_Flows[[#This Row],[Name(EN)]],Tab_Def_Flows[Name(EN)],0),16)</f>
        <v>1</v>
      </c>
      <c r="AG72" s="102">
        <f>IF(K72="Yes",AF72*Tab_Data_Flows[[#This Row],[Flow_Py]],"N.A.")</f>
        <v>64.400000000000006</v>
      </c>
      <c r="AH72" s="58" t="str">
        <f>Tab_Data_Flows[[#This Row],[UoM_Flow_Py]]</f>
        <v>Mg</v>
      </c>
      <c r="AI72" s="101">
        <f>INDEX(Tab_Def_Flows[[Flow_ID]:[CC_DM_source]],MATCH(Tab_Data_Flows[[#This Row],[Name(EN)]],Tab_Def_Flows[Name(EN)],0),18)</f>
        <v>0.5</v>
      </c>
      <c r="AJ72" s="102">
        <f>IF(L72="Yes",AI72*Tab_Data_Flows[[#This Row],[Flow_Py]]*Tab_Data_Flows[[#This Row],[DM_'[%']]],"N.A.")</f>
        <v>32.200000000000003</v>
      </c>
      <c r="AK72" s="58" t="str">
        <f>Tab_Data_Flows[[#This Row],[UoM_Flow_Py]]</f>
        <v>Mg</v>
      </c>
    </row>
    <row r="73" spans="1:37" x14ac:dyDescent="0.25">
      <c r="A73" s="57">
        <f t="shared" si="4"/>
        <v>72</v>
      </c>
      <c r="B73" s="48" t="str">
        <f>_xlfn.XLOOKUP(C73,Tab_Def_Flows[Name(EN)],Tab_Def_Flows[Flow_ID],,0,)</f>
        <v>F_00_01</v>
      </c>
      <c r="C73" s="50" t="s">
        <v>107</v>
      </c>
      <c r="D73" s="48"/>
      <c r="E73" s="48" t="str">
        <f>_xlfn.XLOOKUP(C73,Tab_Def_Flows[Name(EN)],Tab_Def_Flows[Output_Process],,0,)</f>
        <v>Biosphere</v>
      </c>
      <c r="F73" s="48" t="str">
        <f>_xlfn.XLOOKUP(C73,Tab_Def_Flows[Name(EN)],Tab_Def_Flows[Process_ID_O],,0,)</f>
        <v>00_Bio_</v>
      </c>
      <c r="G73" s="48" t="str">
        <f>_xlfn.XLOOKUP(C73,Tab_Def_Flows[Name(EN)],Tab_Def_Flows[Input_Process],,0,)</f>
        <v>Raw Material Extraction</v>
      </c>
      <c r="H73" s="58" t="str">
        <f>_xlfn.XLOOKUP(C73,Tab_Def_Flows[Name(EN)],Tab_Def_Flows[Process_ID_I],,0,)</f>
        <v>01_Raw_</v>
      </c>
      <c r="I73" s="48">
        <f>_xlfn.XLOOKUP(C73,Tab_Def_Flows[Name(EN)],Tab_Def_Flows[Value_Source],,0,)</f>
        <v>0</v>
      </c>
      <c r="J73" s="48" t="str">
        <f>_xlfn.XLOOKUP(C73,Tab_Def_Flows[Name(EN)],Tab_Def_Flows[WC?],,0,)</f>
        <v>Yes</v>
      </c>
      <c r="K73" s="48" t="str">
        <f>_xlfn.XLOOKUP(C73,Tab_Def_Flows[Name(EN)],Tab_Def_Flows[DM?],,0,)</f>
        <v>Yes</v>
      </c>
      <c r="L73" s="48" t="str">
        <f>_xlfn.XLOOKUP(C73,Tab_Def_Flows[Name(EN)],Tab_Def_Flows[CC?],,0,)</f>
        <v>Yes</v>
      </c>
      <c r="M73" s="50">
        <v>1991</v>
      </c>
      <c r="N73" s="50"/>
      <c r="O73" s="108">
        <v>38.6</v>
      </c>
      <c r="P73" s="50" t="s">
        <v>85</v>
      </c>
      <c r="Q73" s="50"/>
      <c r="R73" s="50" t="e">
        <f>INDEX(Tab_WC_DM_CC[[Flow_ID]:[CC_source]],MATCH(Tab_Data_Flows[[#This Row],[Name(EN)]],Tab_WC_DM_CC[Name(EN)],0),12)</f>
        <v>#N/A</v>
      </c>
      <c r="S73" s="50" t="e">
        <f>MATCH(Tab_Data_Flows[[#This Row],[Name(EN)]],Tab_WC_DM_CC[Name(EN)],0)</f>
        <v>#N/A</v>
      </c>
      <c r="T73" s="50"/>
      <c r="U73" s="50"/>
      <c r="V73" s="50"/>
      <c r="W73" s="50"/>
      <c r="X73" s="50" t="s">
        <v>84</v>
      </c>
      <c r="Y73" s="50"/>
      <c r="Z73" s="50"/>
      <c r="AA73" s="80">
        <f t="shared" si="5"/>
        <v>38.6</v>
      </c>
      <c r="AB73" s="50" t="s">
        <v>85</v>
      </c>
      <c r="AC73" s="101">
        <f>INDEX(Tab_Def_Flows[[Flow_ID]:[CC_DM_source]],MATCH(Tab_Data_Flows[[#This Row],[Name(EN)]],Tab_Def_Flows[Name(EN)],0),14)</f>
        <v>0</v>
      </c>
      <c r="AD73" s="102">
        <f>IF(J73="Yes",AA73*Tab_Data_Flows[[#This Row],[WC_'[%']]],"N.A.")</f>
        <v>0</v>
      </c>
      <c r="AE73" s="58" t="str">
        <f>Tab_Data_Flows[[#This Row],[UoM_Flow_Py]]</f>
        <v>Mg</v>
      </c>
      <c r="AF73" s="101">
        <f>INDEX(Tab_Def_Flows[[Flow_ID]:[CC_DM_source]],MATCH(Tab_Data_Flows[[#This Row],[Name(EN)]],Tab_Def_Flows[Name(EN)],0),16)</f>
        <v>1</v>
      </c>
      <c r="AG73" s="102">
        <f>IF(K73="Yes",AF73*Tab_Data_Flows[[#This Row],[Flow_Py]],"N.A.")</f>
        <v>38.6</v>
      </c>
      <c r="AH73" s="58" t="str">
        <f>Tab_Data_Flows[[#This Row],[UoM_Flow_Py]]</f>
        <v>Mg</v>
      </c>
      <c r="AI73" s="101">
        <f>INDEX(Tab_Def_Flows[[Flow_ID]:[CC_DM_source]],MATCH(Tab_Data_Flows[[#This Row],[Name(EN)]],Tab_Def_Flows[Name(EN)],0),18)</f>
        <v>0.5</v>
      </c>
      <c r="AJ73" s="102">
        <f>IF(L73="Yes",AI73*Tab_Data_Flows[[#This Row],[Flow_Py]]*Tab_Data_Flows[[#This Row],[DM_'[%']]],"N.A.")</f>
        <v>19.3</v>
      </c>
      <c r="AK73" s="58" t="str">
        <f>Tab_Data_Flows[[#This Row],[UoM_Flow_Py]]</f>
        <v>Mg</v>
      </c>
    </row>
    <row r="74" spans="1:37" x14ac:dyDescent="0.25">
      <c r="A74" s="57">
        <f t="shared" si="4"/>
        <v>73</v>
      </c>
      <c r="B74" s="48" t="str">
        <f>_xlfn.XLOOKUP(C74,Tab_Def_Flows[Name(EN)],Tab_Def_Flows[Flow_ID],,0,)</f>
        <v>F_00_01</v>
      </c>
      <c r="C74" s="50" t="s">
        <v>107</v>
      </c>
      <c r="D74" s="48"/>
      <c r="E74" s="48" t="str">
        <f>_xlfn.XLOOKUP(C74,Tab_Def_Flows[Name(EN)],Tab_Def_Flows[Output_Process],,0,)</f>
        <v>Biosphere</v>
      </c>
      <c r="F74" s="48" t="str">
        <f>_xlfn.XLOOKUP(C74,Tab_Def_Flows[Name(EN)],Tab_Def_Flows[Process_ID_O],,0,)</f>
        <v>00_Bio_</v>
      </c>
      <c r="G74" s="48" t="str">
        <f>_xlfn.XLOOKUP(C74,Tab_Def_Flows[Name(EN)],Tab_Def_Flows[Input_Process],,0,)</f>
        <v>Raw Material Extraction</v>
      </c>
      <c r="H74" s="58" t="str">
        <f>_xlfn.XLOOKUP(C74,Tab_Def_Flows[Name(EN)],Tab_Def_Flows[Process_ID_I],,0,)</f>
        <v>01_Raw_</v>
      </c>
      <c r="I74" s="48">
        <f>_xlfn.XLOOKUP(C74,Tab_Def_Flows[Name(EN)],Tab_Def_Flows[Value_Source],,0,)</f>
        <v>0</v>
      </c>
      <c r="J74" s="48" t="str">
        <f>_xlfn.XLOOKUP(C74,Tab_Def_Flows[Name(EN)],Tab_Def_Flows[WC?],,0,)</f>
        <v>Yes</v>
      </c>
      <c r="K74" s="48" t="str">
        <f>_xlfn.XLOOKUP(C74,Tab_Def_Flows[Name(EN)],Tab_Def_Flows[DM?],,0,)</f>
        <v>Yes</v>
      </c>
      <c r="L74" s="48" t="str">
        <f>_xlfn.XLOOKUP(C74,Tab_Def_Flows[Name(EN)],Tab_Def_Flows[CC?],,0,)</f>
        <v>Yes</v>
      </c>
      <c r="M74" s="50">
        <v>1992</v>
      </c>
      <c r="N74" s="50"/>
      <c r="O74" s="108">
        <v>57.8</v>
      </c>
      <c r="P74" s="50" t="s">
        <v>85</v>
      </c>
      <c r="Q74" s="50"/>
      <c r="R74" s="50" t="e">
        <f>INDEX(Tab_WC_DM_CC[[Flow_ID]:[CC_source]],MATCH(Tab_Data_Flows[[#This Row],[Name(EN)]],Tab_WC_DM_CC[Name(EN)],0),12)</f>
        <v>#N/A</v>
      </c>
      <c r="S74" s="50" t="e">
        <f>MATCH(Tab_Data_Flows[[#This Row],[Name(EN)]],Tab_WC_DM_CC[Name(EN)],0)</f>
        <v>#N/A</v>
      </c>
      <c r="T74" s="50"/>
      <c r="U74" s="50"/>
      <c r="V74" s="50"/>
      <c r="W74" s="50"/>
      <c r="X74" s="50" t="s">
        <v>84</v>
      </c>
      <c r="Y74" s="50"/>
      <c r="Z74" s="50"/>
      <c r="AA74" s="80">
        <f t="shared" si="5"/>
        <v>57.8</v>
      </c>
      <c r="AB74" s="50" t="s">
        <v>85</v>
      </c>
      <c r="AC74" s="101">
        <f>INDEX(Tab_Def_Flows[[Flow_ID]:[CC_DM_source]],MATCH(Tab_Data_Flows[[#This Row],[Name(EN)]],Tab_Def_Flows[Name(EN)],0),14)</f>
        <v>0</v>
      </c>
      <c r="AD74" s="102">
        <f>IF(J74="Yes",AA74*Tab_Data_Flows[[#This Row],[WC_'[%']]],"N.A.")</f>
        <v>0</v>
      </c>
      <c r="AE74" s="58" t="str">
        <f>Tab_Data_Flows[[#This Row],[UoM_Flow_Py]]</f>
        <v>Mg</v>
      </c>
      <c r="AF74" s="101">
        <f>INDEX(Tab_Def_Flows[[Flow_ID]:[CC_DM_source]],MATCH(Tab_Data_Flows[[#This Row],[Name(EN)]],Tab_Def_Flows[Name(EN)],0),16)</f>
        <v>1</v>
      </c>
      <c r="AG74" s="102">
        <f>IF(K74="Yes",AF74*Tab_Data_Flows[[#This Row],[Flow_Py]],"N.A.")</f>
        <v>57.8</v>
      </c>
      <c r="AH74" s="58" t="str">
        <f>Tab_Data_Flows[[#This Row],[UoM_Flow_Py]]</f>
        <v>Mg</v>
      </c>
      <c r="AI74" s="101">
        <f>INDEX(Tab_Def_Flows[[Flow_ID]:[CC_DM_source]],MATCH(Tab_Data_Flows[[#This Row],[Name(EN)]],Tab_Def_Flows[Name(EN)],0),18)</f>
        <v>0.5</v>
      </c>
      <c r="AJ74" s="102">
        <f>IF(L74="Yes",AI74*Tab_Data_Flows[[#This Row],[Flow_Py]]*Tab_Data_Flows[[#This Row],[DM_'[%']]],"N.A.")</f>
        <v>28.9</v>
      </c>
      <c r="AK74" s="58" t="str">
        <f>Tab_Data_Flows[[#This Row],[UoM_Flow_Py]]</f>
        <v>Mg</v>
      </c>
    </row>
    <row r="75" spans="1:37" x14ac:dyDescent="0.25">
      <c r="A75" s="57">
        <f t="shared" si="4"/>
        <v>74</v>
      </c>
      <c r="B75" s="48" t="str">
        <f>_xlfn.XLOOKUP(C75,Tab_Def_Flows[Name(EN)],Tab_Def_Flows[Flow_ID],,0,)</f>
        <v>F_00_01</v>
      </c>
      <c r="C75" s="50" t="s">
        <v>107</v>
      </c>
      <c r="D75" s="48"/>
      <c r="E75" s="48" t="str">
        <f>_xlfn.XLOOKUP(C75,Tab_Def_Flows[Name(EN)],Tab_Def_Flows[Output_Process],,0,)</f>
        <v>Biosphere</v>
      </c>
      <c r="F75" s="48" t="str">
        <f>_xlfn.XLOOKUP(C75,Tab_Def_Flows[Name(EN)],Tab_Def_Flows[Process_ID_O],,0,)</f>
        <v>00_Bio_</v>
      </c>
      <c r="G75" s="48" t="str">
        <f>_xlfn.XLOOKUP(C75,Tab_Def_Flows[Name(EN)],Tab_Def_Flows[Input_Process],,0,)</f>
        <v>Raw Material Extraction</v>
      </c>
      <c r="H75" s="58" t="str">
        <f>_xlfn.XLOOKUP(C75,Tab_Def_Flows[Name(EN)],Tab_Def_Flows[Process_ID_I],,0,)</f>
        <v>01_Raw_</v>
      </c>
      <c r="I75" s="48">
        <f>_xlfn.XLOOKUP(C75,Tab_Def_Flows[Name(EN)],Tab_Def_Flows[Value_Source],,0,)</f>
        <v>0</v>
      </c>
      <c r="J75" s="48" t="str">
        <f>_xlfn.XLOOKUP(C75,Tab_Def_Flows[Name(EN)],Tab_Def_Flows[WC?],,0,)</f>
        <v>Yes</v>
      </c>
      <c r="K75" s="48" t="str">
        <f>_xlfn.XLOOKUP(C75,Tab_Def_Flows[Name(EN)],Tab_Def_Flows[DM?],,0,)</f>
        <v>Yes</v>
      </c>
      <c r="L75" s="48" t="str">
        <f>_xlfn.XLOOKUP(C75,Tab_Def_Flows[Name(EN)],Tab_Def_Flows[CC?],,0,)</f>
        <v>Yes</v>
      </c>
      <c r="M75" s="50">
        <v>1993</v>
      </c>
      <c r="N75" s="50"/>
      <c r="O75" s="108">
        <v>77.2</v>
      </c>
      <c r="P75" s="50" t="s">
        <v>85</v>
      </c>
      <c r="Q75" s="50"/>
      <c r="R75" s="50" t="e">
        <f>INDEX(Tab_WC_DM_CC[[Flow_ID]:[CC_source]],MATCH(Tab_Data_Flows[[#This Row],[Name(EN)]],Tab_WC_DM_CC[Name(EN)],0),12)</f>
        <v>#N/A</v>
      </c>
      <c r="S75" s="50" t="e">
        <f>MATCH(Tab_Data_Flows[[#This Row],[Name(EN)]],Tab_WC_DM_CC[Name(EN)],0)</f>
        <v>#N/A</v>
      </c>
      <c r="T75" s="50"/>
      <c r="U75" s="50"/>
      <c r="V75" s="50"/>
      <c r="W75" s="50"/>
      <c r="X75" s="50" t="s">
        <v>84</v>
      </c>
      <c r="Y75" s="50"/>
      <c r="Z75" s="50"/>
      <c r="AA75" s="80">
        <f t="shared" si="5"/>
        <v>77.2</v>
      </c>
      <c r="AB75" s="50" t="s">
        <v>85</v>
      </c>
      <c r="AC75" s="101">
        <f>INDEX(Tab_Def_Flows[[Flow_ID]:[CC_DM_source]],MATCH(Tab_Data_Flows[[#This Row],[Name(EN)]],Tab_Def_Flows[Name(EN)],0),14)</f>
        <v>0</v>
      </c>
      <c r="AD75" s="102">
        <f>IF(J75="Yes",AA75*Tab_Data_Flows[[#This Row],[WC_'[%']]],"N.A.")</f>
        <v>0</v>
      </c>
      <c r="AE75" s="58" t="str">
        <f>Tab_Data_Flows[[#This Row],[UoM_Flow_Py]]</f>
        <v>Mg</v>
      </c>
      <c r="AF75" s="101">
        <f>INDEX(Tab_Def_Flows[[Flow_ID]:[CC_DM_source]],MATCH(Tab_Data_Flows[[#This Row],[Name(EN)]],Tab_Def_Flows[Name(EN)],0),16)</f>
        <v>1</v>
      </c>
      <c r="AG75" s="102">
        <f>IF(K75="Yes",AF75*Tab_Data_Flows[[#This Row],[Flow_Py]],"N.A.")</f>
        <v>77.2</v>
      </c>
      <c r="AH75" s="58" t="str">
        <f>Tab_Data_Flows[[#This Row],[UoM_Flow_Py]]</f>
        <v>Mg</v>
      </c>
      <c r="AI75" s="101">
        <f>INDEX(Tab_Def_Flows[[Flow_ID]:[CC_DM_source]],MATCH(Tab_Data_Flows[[#This Row],[Name(EN)]],Tab_Def_Flows[Name(EN)],0),18)</f>
        <v>0.5</v>
      </c>
      <c r="AJ75" s="102">
        <f>IF(L75="Yes",AI75*Tab_Data_Flows[[#This Row],[Flow_Py]]*Tab_Data_Flows[[#This Row],[DM_'[%']]],"N.A.")</f>
        <v>38.6</v>
      </c>
      <c r="AK75" s="58" t="str">
        <f>Tab_Data_Flows[[#This Row],[UoM_Flow_Py]]</f>
        <v>Mg</v>
      </c>
    </row>
    <row r="76" spans="1:37" x14ac:dyDescent="0.25">
      <c r="A76" s="57">
        <f t="shared" si="4"/>
        <v>75</v>
      </c>
      <c r="B76" s="48" t="str">
        <f>_xlfn.XLOOKUP(C76,Tab_Def_Flows[Name(EN)],Tab_Def_Flows[Flow_ID],,0,)</f>
        <v>F_00_01</v>
      </c>
      <c r="C76" s="50" t="s">
        <v>107</v>
      </c>
      <c r="D76" s="48"/>
      <c r="E76" s="48" t="str">
        <f>_xlfn.XLOOKUP(C76,Tab_Def_Flows[Name(EN)],Tab_Def_Flows[Output_Process],,0,)</f>
        <v>Biosphere</v>
      </c>
      <c r="F76" s="48" t="str">
        <f>_xlfn.XLOOKUP(C76,Tab_Def_Flows[Name(EN)],Tab_Def_Flows[Process_ID_O],,0,)</f>
        <v>00_Bio_</v>
      </c>
      <c r="G76" s="48" t="str">
        <f>_xlfn.XLOOKUP(C76,Tab_Def_Flows[Name(EN)],Tab_Def_Flows[Input_Process],,0,)</f>
        <v>Raw Material Extraction</v>
      </c>
      <c r="H76" s="58" t="str">
        <f>_xlfn.XLOOKUP(C76,Tab_Def_Flows[Name(EN)],Tab_Def_Flows[Process_ID_I],,0,)</f>
        <v>01_Raw_</v>
      </c>
      <c r="I76" s="48">
        <f>_xlfn.XLOOKUP(C76,Tab_Def_Flows[Name(EN)],Tab_Def_Flows[Value_Source],,0,)</f>
        <v>0</v>
      </c>
      <c r="J76" s="48" t="str">
        <f>_xlfn.XLOOKUP(C76,Tab_Def_Flows[Name(EN)],Tab_Def_Flows[WC?],,0,)</f>
        <v>Yes</v>
      </c>
      <c r="K76" s="48" t="str">
        <f>_xlfn.XLOOKUP(C76,Tab_Def_Flows[Name(EN)],Tab_Def_Flows[DM?],,0,)</f>
        <v>Yes</v>
      </c>
      <c r="L76" s="48" t="str">
        <f>_xlfn.XLOOKUP(C76,Tab_Def_Flows[Name(EN)],Tab_Def_Flows[CC?],,0,)</f>
        <v>Yes</v>
      </c>
      <c r="M76" s="50">
        <v>1994</v>
      </c>
      <c r="N76" s="50"/>
      <c r="O76" s="108">
        <v>70.8</v>
      </c>
      <c r="P76" s="50" t="s">
        <v>85</v>
      </c>
      <c r="Q76" s="50"/>
      <c r="R76" s="50" t="e">
        <f>INDEX(Tab_WC_DM_CC[[Flow_ID]:[CC_source]],MATCH(Tab_Data_Flows[[#This Row],[Name(EN)]],Tab_WC_DM_CC[Name(EN)],0),12)</f>
        <v>#N/A</v>
      </c>
      <c r="S76" s="50" t="e">
        <f>MATCH(Tab_Data_Flows[[#This Row],[Name(EN)]],Tab_WC_DM_CC[Name(EN)],0)</f>
        <v>#N/A</v>
      </c>
      <c r="T76" s="50"/>
      <c r="U76" s="50"/>
      <c r="V76" s="50"/>
      <c r="W76" s="50"/>
      <c r="X76" s="50" t="s">
        <v>84</v>
      </c>
      <c r="Y76" s="50"/>
      <c r="Z76" s="50"/>
      <c r="AA76" s="80">
        <f t="shared" si="5"/>
        <v>70.8</v>
      </c>
      <c r="AB76" s="50" t="s">
        <v>85</v>
      </c>
      <c r="AC76" s="101">
        <f>INDEX(Tab_Def_Flows[[Flow_ID]:[CC_DM_source]],MATCH(Tab_Data_Flows[[#This Row],[Name(EN)]],Tab_Def_Flows[Name(EN)],0),14)</f>
        <v>0</v>
      </c>
      <c r="AD76" s="102">
        <f>IF(J76="Yes",AA76*Tab_Data_Flows[[#This Row],[WC_'[%']]],"N.A.")</f>
        <v>0</v>
      </c>
      <c r="AE76" s="58" t="str">
        <f>Tab_Data_Flows[[#This Row],[UoM_Flow_Py]]</f>
        <v>Mg</v>
      </c>
      <c r="AF76" s="101">
        <f>INDEX(Tab_Def_Flows[[Flow_ID]:[CC_DM_source]],MATCH(Tab_Data_Flows[[#This Row],[Name(EN)]],Tab_Def_Flows[Name(EN)],0),16)</f>
        <v>1</v>
      </c>
      <c r="AG76" s="102">
        <f>IF(K76="Yes",AF76*Tab_Data_Flows[[#This Row],[Flow_Py]],"N.A.")</f>
        <v>70.8</v>
      </c>
      <c r="AH76" s="58" t="str">
        <f>Tab_Data_Flows[[#This Row],[UoM_Flow_Py]]</f>
        <v>Mg</v>
      </c>
      <c r="AI76" s="101">
        <f>INDEX(Tab_Def_Flows[[Flow_ID]:[CC_DM_source]],MATCH(Tab_Data_Flows[[#This Row],[Name(EN)]],Tab_Def_Flows[Name(EN)],0),18)</f>
        <v>0.5</v>
      </c>
      <c r="AJ76" s="102">
        <f>IF(L76="Yes",AI76*Tab_Data_Flows[[#This Row],[Flow_Py]]*Tab_Data_Flows[[#This Row],[DM_'[%']]],"N.A.")</f>
        <v>35.4</v>
      </c>
      <c r="AK76" s="58" t="str">
        <f>Tab_Data_Flows[[#This Row],[UoM_Flow_Py]]</f>
        <v>Mg</v>
      </c>
    </row>
    <row r="77" spans="1:37" x14ac:dyDescent="0.25">
      <c r="A77" s="57">
        <f t="shared" si="4"/>
        <v>76</v>
      </c>
      <c r="B77" s="48" t="str">
        <f>_xlfn.XLOOKUP(C77,Tab_Def_Flows[Name(EN)],Tab_Def_Flows[Flow_ID],,0,)</f>
        <v>F_00_01</v>
      </c>
      <c r="C77" s="50" t="s">
        <v>107</v>
      </c>
      <c r="D77" s="48"/>
      <c r="E77" s="48" t="str">
        <f>_xlfn.XLOOKUP(C77,Tab_Def_Flows[Name(EN)],Tab_Def_Flows[Output_Process],,0,)</f>
        <v>Biosphere</v>
      </c>
      <c r="F77" s="48" t="str">
        <f>_xlfn.XLOOKUP(C77,Tab_Def_Flows[Name(EN)],Tab_Def_Flows[Process_ID_O],,0,)</f>
        <v>00_Bio_</v>
      </c>
      <c r="G77" s="48" t="str">
        <f>_xlfn.XLOOKUP(C77,Tab_Def_Flows[Name(EN)],Tab_Def_Flows[Input_Process],,0,)</f>
        <v>Raw Material Extraction</v>
      </c>
      <c r="H77" s="58" t="str">
        <f>_xlfn.XLOOKUP(C77,Tab_Def_Flows[Name(EN)],Tab_Def_Flows[Process_ID_I],,0,)</f>
        <v>01_Raw_</v>
      </c>
      <c r="I77" s="48">
        <f>_xlfn.XLOOKUP(C77,Tab_Def_Flows[Name(EN)],Tab_Def_Flows[Value_Source],,0,)</f>
        <v>0</v>
      </c>
      <c r="J77" s="48" t="str">
        <f>_xlfn.XLOOKUP(C77,Tab_Def_Flows[Name(EN)],Tab_Def_Flows[WC?],,0,)</f>
        <v>Yes</v>
      </c>
      <c r="K77" s="48" t="str">
        <f>_xlfn.XLOOKUP(C77,Tab_Def_Flows[Name(EN)],Tab_Def_Flows[DM?],,0,)</f>
        <v>Yes</v>
      </c>
      <c r="L77" s="48" t="str">
        <f>_xlfn.XLOOKUP(C77,Tab_Def_Flows[Name(EN)],Tab_Def_Flows[CC?],,0,)</f>
        <v>Yes</v>
      </c>
      <c r="M77" s="50">
        <v>1995</v>
      </c>
      <c r="N77" s="50"/>
      <c r="O77" s="108">
        <v>141.4</v>
      </c>
      <c r="P77" s="50" t="s">
        <v>85</v>
      </c>
      <c r="Q77" s="50"/>
      <c r="R77" s="50" t="e">
        <f>INDEX(Tab_WC_DM_CC[[Flow_ID]:[CC_source]],MATCH(Tab_Data_Flows[[#This Row],[Name(EN)]],Tab_WC_DM_CC[Name(EN)],0),12)</f>
        <v>#N/A</v>
      </c>
      <c r="S77" s="50" t="e">
        <f>MATCH(Tab_Data_Flows[[#This Row],[Name(EN)]],Tab_WC_DM_CC[Name(EN)],0)</f>
        <v>#N/A</v>
      </c>
      <c r="T77" s="50"/>
      <c r="U77" s="50"/>
      <c r="V77" s="50"/>
      <c r="W77" s="50"/>
      <c r="X77" s="50" t="s">
        <v>84</v>
      </c>
      <c r="Y77" s="50"/>
      <c r="Z77" s="50"/>
      <c r="AA77" s="80">
        <f t="shared" si="5"/>
        <v>141.4</v>
      </c>
      <c r="AB77" s="50" t="s">
        <v>85</v>
      </c>
      <c r="AC77" s="101">
        <f>INDEX(Tab_Def_Flows[[Flow_ID]:[CC_DM_source]],MATCH(Tab_Data_Flows[[#This Row],[Name(EN)]],Tab_Def_Flows[Name(EN)],0),14)</f>
        <v>0</v>
      </c>
      <c r="AD77" s="102">
        <f>IF(J77="Yes",AA77*Tab_Data_Flows[[#This Row],[WC_'[%']]],"N.A.")</f>
        <v>0</v>
      </c>
      <c r="AE77" s="58" t="str">
        <f>Tab_Data_Flows[[#This Row],[UoM_Flow_Py]]</f>
        <v>Mg</v>
      </c>
      <c r="AF77" s="101">
        <f>INDEX(Tab_Def_Flows[[Flow_ID]:[CC_DM_source]],MATCH(Tab_Data_Flows[[#This Row],[Name(EN)]],Tab_Def_Flows[Name(EN)],0),16)</f>
        <v>1</v>
      </c>
      <c r="AG77" s="102">
        <f>IF(K77="Yes",AF77*Tab_Data_Flows[[#This Row],[Flow_Py]],"N.A.")</f>
        <v>141.4</v>
      </c>
      <c r="AH77" s="58" t="str">
        <f>Tab_Data_Flows[[#This Row],[UoM_Flow_Py]]</f>
        <v>Mg</v>
      </c>
      <c r="AI77" s="101">
        <f>INDEX(Tab_Def_Flows[[Flow_ID]:[CC_DM_source]],MATCH(Tab_Data_Flows[[#This Row],[Name(EN)]],Tab_Def_Flows[Name(EN)],0),18)</f>
        <v>0.5</v>
      </c>
      <c r="AJ77" s="102">
        <f>IF(L77="Yes",AI77*Tab_Data_Flows[[#This Row],[Flow_Py]]*Tab_Data_Flows[[#This Row],[DM_'[%']]],"N.A.")</f>
        <v>70.7</v>
      </c>
      <c r="AK77" s="58" t="str">
        <f>Tab_Data_Flows[[#This Row],[UoM_Flow_Py]]</f>
        <v>Mg</v>
      </c>
    </row>
    <row r="78" spans="1:37" x14ac:dyDescent="0.25">
      <c r="A78" s="57">
        <f t="shared" si="4"/>
        <v>77</v>
      </c>
      <c r="B78" s="48" t="str">
        <f>_xlfn.XLOOKUP(C78,Tab_Def_Flows[Name(EN)],Tab_Def_Flows[Flow_ID],,0,)</f>
        <v>F_00_01</v>
      </c>
      <c r="C78" s="50" t="s">
        <v>107</v>
      </c>
      <c r="D78" s="48"/>
      <c r="E78" s="48" t="str">
        <f>_xlfn.XLOOKUP(C78,Tab_Def_Flows[Name(EN)],Tab_Def_Flows[Output_Process],,0,)</f>
        <v>Biosphere</v>
      </c>
      <c r="F78" s="48" t="str">
        <f>_xlfn.XLOOKUP(C78,Tab_Def_Flows[Name(EN)],Tab_Def_Flows[Process_ID_O],,0,)</f>
        <v>00_Bio_</v>
      </c>
      <c r="G78" s="48" t="str">
        <f>_xlfn.XLOOKUP(C78,Tab_Def_Flows[Name(EN)],Tab_Def_Flows[Input_Process],,0,)</f>
        <v>Raw Material Extraction</v>
      </c>
      <c r="H78" s="58" t="str">
        <f>_xlfn.XLOOKUP(C78,Tab_Def_Flows[Name(EN)],Tab_Def_Flows[Process_ID_I],,0,)</f>
        <v>01_Raw_</v>
      </c>
      <c r="I78" s="48">
        <f>_xlfn.XLOOKUP(C78,Tab_Def_Flows[Name(EN)],Tab_Def_Flows[Value_Source],,0,)</f>
        <v>0</v>
      </c>
      <c r="J78" s="48" t="str">
        <f>_xlfn.XLOOKUP(C78,Tab_Def_Flows[Name(EN)],Tab_Def_Flows[WC?],,0,)</f>
        <v>Yes</v>
      </c>
      <c r="K78" s="48" t="str">
        <f>_xlfn.XLOOKUP(C78,Tab_Def_Flows[Name(EN)],Tab_Def_Flows[DM?],,0,)</f>
        <v>Yes</v>
      </c>
      <c r="L78" s="48" t="str">
        <f>_xlfn.XLOOKUP(C78,Tab_Def_Flows[Name(EN)],Tab_Def_Flows[CC?],,0,)</f>
        <v>Yes</v>
      </c>
      <c r="M78" s="50">
        <v>1996</v>
      </c>
      <c r="N78" s="50"/>
      <c r="O78" s="108">
        <v>38.6</v>
      </c>
      <c r="P78" s="50" t="s">
        <v>85</v>
      </c>
      <c r="Q78" s="50"/>
      <c r="R78" s="50" t="e">
        <f>INDEX(Tab_WC_DM_CC[[Flow_ID]:[CC_source]],MATCH(Tab_Data_Flows[[#This Row],[Name(EN)]],Tab_WC_DM_CC[Name(EN)],0),12)</f>
        <v>#N/A</v>
      </c>
      <c r="S78" s="50" t="e">
        <f>MATCH(Tab_Data_Flows[[#This Row],[Name(EN)]],Tab_WC_DM_CC[Name(EN)],0)</f>
        <v>#N/A</v>
      </c>
      <c r="T78" s="50"/>
      <c r="U78" s="50"/>
      <c r="V78" s="50"/>
      <c r="W78" s="50"/>
      <c r="X78" s="50" t="s">
        <v>84</v>
      </c>
      <c r="Y78" s="50"/>
      <c r="Z78" s="50"/>
      <c r="AA78" s="80">
        <f t="shared" si="5"/>
        <v>38.6</v>
      </c>
      <c r="AB78" s="50" t="s">
        <v>85</v>
      </c>
      <c r="AC78" s="101">
        <f>INDEX(Tab_Def_Flows[[Flow_ID]:[CC_DM_source]],MATCH(Tab_Data_Flows[[#This Row],[Name(EN)]],Tab_Def_Flows[Name(EN)],0),14)</f>
        <v>0</v>
      </c>
      <c r="AD78" s="102">
        <f>IF(J78="Yes",AA78*Tab_Data_Flows[[#This Row],[WC_'[%']]],"N.A.")</f>
        <v>0</v>
      </c>
      <c r="AE78" s="58" t="str">
        <f>Tab_Data_Flows[[#This Row],[UoM_Flow_Py]]</f>
        <v>Mg</v>
      </c>
      <c r="AF78" s="101">
        <f>INDEX(Tab_Def_Flows[[Flow_ID]:[CC_DM_source]],MATCH(Tab_Data_Flows[[#This Row],[Name(EN)]],Tab_Def_Flows[Name(EN)],0),16)</f>
        <v>1</v>
      </c>
      <c r="AG78" s="102">
        <f>IF(K78="Yes",AF78*Tab_Data_Flows[[#This Row],[Flow_Py]],"N.A.")</f>
        <v>38.6</v>
      </c>
      <c r="AH78" s="58" t="str">
        <f>Tab_Data_Flows[[#This Row],[UoM_Flow_Py]]</f>
        <v>Mg</v>
      </c>
      <c r="AI78" s="101">
        <f>INDEX(Tab_Def_Flows[[Flow_ID]:[CC_DM_source]],MATCH(Tab_Data_Flows[[#This Row],[Name(EN)]],Tab_Def_Flows[Name(EN)],0),18)</f>
        <v>0.5</v>
      </c>
      <c r="AJ78" s="102">
        <f>IF(L78="Yes",AI78*Tab_Data_Flows[[#This Row],[Flow_Py]]*Tab_Data_Flows[[#This Row],[DM_'[%']]],"N.A.")</f>
        <v>19.3</v>
      </c>
      <c r="AK78" s="58" t="str">
        <f>Tab_Data_Flows[[#This Row],[UoM_Flow_Py]]</f>
        <v>Mg</v>
      </c>
    </row>
    <row r="79" spans="1:37" x14ac:dyDescent="0.25">
      <c r="A79" s="57">
        <f t="shared" si="4"/>
        <v>78</v>
      </c>
      <c r="B79" s="48" t="str">
        <f>_xlfn.XLOOKUP(C79,Tab_Def_Flows[Name(EN)],Tab_Def_Flows[Flow_ID],,0,)</f>
        <v>F_00_01</v>
      </c>
      <c r="C79" s="50" t="s">
        <v>107</v>
      </c>
      <c r="D79" s="48"/>
      <c r="E79" s="48" t="str">
        <f>_xlfn.XLOOKUP(C79,Tab_Def_Flows[Name(EN)],Tab_Def_Flows[Output_Process],,0,)</f>
        <v>Biosphere</v>
      </c>
      <c r="F79" s="48" t="str">
        <f>_xlfn.XLOOKUP(C79,Tab_Def_Flows[Name(EN)],Tab_Def_Flows[Process_ID_O],,0,)</f>
        <v>00_Bio_</v>
      </c>
      <c r="G79" s="48" t="str">
        <f>_xlfn.XLOOKUP(C79,Tab_Def_Flows[Name(EN)],Tab_Def_Flows[Input_Process],,0,)</f>
        <v>Raw Material Extraction</v>
      </c>
      <c r="H79" s="58" t="str">
        <f>_xlfn.XLOOKUP(C79,Tab_Def_Flows[Name(EN)],Tab_Def_Flows[Process_ID_I],,0,)</f>
        <v>01_Raw_</v>
      </c>
      <c r="I79" s="48">
        <f>_xlfn.XLOOKUP(C79,Tab_Def_Flows[Name(EN)],Tab_Def_Flows[Value_Source],,0,)</f>
        <v>0</v>
      </c>
      <c r="J79" s="48" t="str">
        <f>_xlfn.XLOOKUP(C79,Tab_Def_Flows[Name(EN)],Tab_Def_Flows[WC?],,0,)</f>
        <v>Yes</v>
      </c>
      <c r="K79" s="48" t="str">
        <f>_xlfn.XLOOKUP(C79,Tab_Def_Flows[Name(EN)],Tab_Def_Flows[DM?],,0,)</f>
        <v>Yes</v>
      </c>
      <c r="L79" s="48" t="str">
        <f>_xlfn.XLOOKUP(C79,Tab_Def_Flows[Name(EN)],Tab_Def_Flows[CC?],,0,)</f>
        <v>Yes</v>
      </c>
      <c r="M79" s="50">
        <v>1997</v>
      </c>
      <c r="N79" s="50"/>
      <c r="O79" s="108">
        <v>12.8</v>
      </c>
      <c r="P79" s="50" t="s">
        <v>85</v>
      </c>
      <c r="Q79" s="50"/>
      <c r="R79" s="50" t="e">
        <f>INDEX(Tab_WC_DM_CC[[Flow_ID]:[CC_source]],MATCH(Tab_Data_Flows[[#This Row],[Name(EN)]],Tab_WC_DM_CC[Name(EN)],0),12)</f>
        <v>#N/A</v>
      </c>
      <c r="S79" s="50" t="e">
        <f>MATCH(Tab_Data_Flows[[#This Row],[Name(EN)]],Tab_WC_DM_CC[Name(EN)],0)</f>
        <v>#N/A</v>
      </c>
      <c r="T79" s="50"/>
      <c r="U79" s="50"/>
      <c r="V79" s="50"/>
      <c r="W79" s="50"/>
      <c r="X79" s="50" t="s">
        <v>84</v>
      </c>
      <c r="Y79" s="50"/>
      <c r="Z79" s="50"/>
      <c r="AA79" s="80">
        <f t="shared" si="5"/>
        <v>12.8</v>
      </c>
      <c r="AB79" s="50" t="s">
        <v>85</v>
      </c>
      <c r="AC79" s="101">
        <f>INDEX(Tab_Def_Flows[[Flow_ID]:[CC_DM_source]],MATCH(Tab_Data_Flows[[#This Row],[Name(EN)]],Tab_Def_Flows[Name(EN)],0),14)</f>
        <v>0</v>
      </c>
      <c r="AD79" s="102">
        <f>IF(J79="Yes",AA79*Tab_Data_Flows[[#This Row],[WC_'[%']]],"N.A.")</f>
        <v>0</v>
      </c>
      <c r="AE79" s="58" t="str">
        <f>Tab_Data_Flows[[#This Row],[UoM_Flow_Py]]</f>
        <v>Mg</v>
      </c>
      <c r="AF79" s="101">
        <f>INDEX(Tab_Def_Flows[[Flow_ID]:[CC_DM_source]],MATCH(Tab_Data_Flows[[#This Row],[Name(EN)]],Tab_Def_Flows[Name(EN)],0),16)</f>
        <v>1</v>
      </c>
      <c r="AG79" s="102">
        <f>IF(K79="Yes",AF79*Tab_Data_Flows[[#This Row],[Flow_Py]],"N.A.")</f>
        <v>12.8</v>
      </c>
      <c r="AH79" s="58" t="str">
        <f>Tab_Data_Flows[[#This Row],[UoM_Flow_Py]]</f>
        <v>Mg</v>
      </c>
      <c r="AI79" s="101">
        <f>INDEX(Tab_Def_Flows[[Flow_ID]:[CC_DM_source]],MATCH(Tab_Data_Flows[[#This Row],[Name(EN)]],Tab_Def_Flows[Name(EN)],0),18)</f>
        <v>0.5</v>
      </c>
      <c r="AJ79" s="102">
        <f>IF(L79="Yes",AI79*Tab_Data_Flows[[#This Row],[Flow_Py]]*Tab_Data_Flows[[#This Row],[DM_'[%']]],"N.A.")</f>
        <v>6.4</v>
      </c>
      <c r="AK79" s="58" t="str">
        <f>Tab_Data_Flows[[#This Row],[UoM_Flow_Py]]</f>
        <v>Mg</v>
      </c>
    </row>
    <row r="80" spans="1:37" x14ac:dyDescent="0.25">
      <c r="A80" s="57">
        <f t="shared" si="4"/>
        <v>79</v>
      </c>
      <c r="B80" s="48" t="str">
        <f>_xlfn.XLOOKUP(C80,Tab_Def_Flows[Name(EN)],Tab_Def_Flows[Flow_ID],,0,)</f>
        <v>F_00_01</v>
      </c>
      <c r="C80" s="50" t="s">
        <v>107</v>
      </c>
      <c r="D80" s="48"/>
      <c r="E80" s="48" t="str">
        <f>_xlfn.XLOOKUP(C80,Tab_Def_Flows[Name(EN)],Tab_Def_Flows[Output_Process],,0,)</f>
        <v>Biosphere</v>
      </c>
      <c r="F80" s="48" t="str">
        <f>_xlfn.XLOOKUP(C80,Tab_Def_Flows[Name(EN)],Tab_Def_Flows[Process_ID_O],,0,)</f>
        <v>00_Bio_</v>
      </c>
      <c r="G80" s="48" t="str">
        <f>_xlfn.XLOOKUP(C80,Tab_Def_Flows[Name(EN)],Tab_Def_Flows[Input_Process],,0,)</f>
        <v>Raw Material Extraction</v>
      </c>
      <c r="H80" s="58" t="str">
        <f>_xlfn.XLOOKUP(C80,Tab_Def_Flows[Name(EN)],Tab_Def_Flows[Process_ID_I],,0,)</f>
        <v>01_Raw_</v>
      </c>
      <c r="I80" s="48">
        <f>_xlfn.XLOOKUP(C80,Tab_Def_Flows[Name(EN)],Tab_Def_Flows[Value_Source],,0,)</f>
        <v>0</v>
      </c>
      <c r="J80" s="48" t="str">
        <f>_xlfn.XLOOKUP(C80,Tab_Def_Flows[Name(EN)],Tab_Def_Flows[WC?],,0,)</f>
        <v>Yes</v>
      </c>
      <c r="K80" s="48" t="str">
        <f>_xlfn.XLOOKUP(C80,Tab_Def_Flows[Name(EN)],Tab_Def_Flows[DM?],,0,)</f>
        <v>Yes</v>
      </c>
      <c r="L80" s="48" t="str">
        <f>_xlfn.XLOOKUP(C80,Tab_Def_Flows[Name(EN)],Tab_Def_Flows[CC?],,0,)</f>
        <v>Yes</v>
      </c>
      <c r="M80" s="50">
        <v>1998</v>
      </c>
      <c r="N80" s="50"/>
      <c r="O80" s="108">
        <v>32.200000000000003</v>
      </c>
      <c r="P80" s="50" t="s">
        <v>85</v>
      </c>
      <c r="Q80" s="50"/>
      <c r="R80" s="50" t="e">
        <f>INDEX(Tab_WC_DM_CC[[Flow_ID]:[CC_source]],MATCH(Tab_Data_Flows[[#This Row],[Name(EN)]],Tab_WC_DM_CC[Name(EN)],0),12)</f>
        <v>#N/A</v>
      </c>
      <c r="S80" s="50" t="e">
        <f>MATCH(Tab_Data_Flows[[#This Row],[Name(EN)]],Tab_WC_DM_CC[Name(EN)],0)</f>
        <v>#N/A</v>
      </c>
      <c r="T80" s="50"/>
      <c r="U80" s="50"/>
      <c r="V80" s="50"/>
      <c r="W80" s="50"/>
      <c r="X80" s="50" t="s">
        <v>84</v>
      </c>
      <c r="Y80" s="50"/>
      <c r="Z80" s="50"/>
      <c r="AA80" s="80">
        <f t="shared" si="5"/>
        <v>32.200000000000003</v>
      </c>
      <c r="AB80" s="50" t="s">
        <v>85</v>
      </c>
      <c r="AC80" s="101">
        <f>INDEX(Tab_Def_Flows[[Flow_ID]:[CC_DM_source]],MATCH(Tab_Data_Flows[[#This Row],[Name(EN)]],Tab_Def_Flows[Name(EN)],0),14)</f>
        <v>0</v>
      </c>
      <c r="AD80" s="102">
        <f>IF(J80="Yes",AA80*Tab_Data_Flows[[#This Row],[WC_'[%']]],"N.A.")</f>
        <v>0</v>
      </c>
      <c r="AE80" s="58" t="str">
        <f>Tab_Data_Flows[[#This Row],[UoM_Flow_Py]]</f>
        <v>Mg</v>
      </c>
      <c r="AF80" s="101">
        <f>INDEX(Tab_Def_Flows[[Flow_ID]:[CC_DM_source]],MATCH(Tab_Data_Flows[[#This Row],[Name(EN)]],Tab_Def_Flows[Name(EN)],0),16)</f>
        <v>1</v>
      </c>
      <c r="AG80" s="102">
        <f>IF(K80="Yes",AF80*Tab_Data_Flows[[#This Row],[Flow_Py]],"N.A.")</f>
        <v>32.200000000000003</v>
      </c>
      <c r="AH80" s="58" t="str">
        <f>Tab_Data_Flows[[#This Row],[UoM_Flow_Py]]</f>
        <v>Mg</v>
      </c>
      <c r="AI80" s="101">
        <f>INDEX(Tab_Def_Flows[[Flow_ID]:[CC_DM_source]],MATCH(Tab_Data_Flows[[#This Row],[Name(EN)]],Tab_Def_Flows[Name(EN)],0),18)</f>
        <v>0.5</v>
      </c>
      <c r="AJ80" s="102">
        <f>IF(L80="Yes",AI80*Tab_Data_Flows[[#This Row],[Flow_Py]]*Tab_Data_Flows[[#This Row],[DM_'[%']]],"N.A.")</f>
        <v>16.100000000000001</v>
      </c>
      <c r="AK80" s="58" t="str">
        <f>Tab_Data_Flows[[#This Row],[UoM_Flow_Py]]</f>
        <v>Mg</v>
      </c>
    </row>
    <row r="81" spans="1:37" x14ac:dyDescent="0.25">
      <c r="A81" s="57">
        <f t="shared" si="4"/>
        <v>80</v>
      </c>
      <c r="B81" s="48" t="str">
        <f>_xlfn.XLOOKUP(C81,Tab_Def_Flows[Name(EN)],Tab_Def_Flows[Flow_ID],,0,)</f>
        <v>F_00_01</v>
      </c>
      <c r="C81" s="50" t="s">
        <v>107</v>
      </c>
      <c r="D81" s="48"/>
      <c r="E81" s="48" t="str">
        <f>_xlfn.XLOOKUP(C81,Tab_Def_Flows[Name(EN)],Tab_Def_Flows[Output_Process],,0,)</f>
        <v>Biosphere</v>
      </c>
      <c r="F81" s="48" t="str">
        <f>_xlfn.XLOOKUP(C81,Tab_Def_Flows[Name(EN)],Tab_Def_Flows[Process_ID_O],,0,)</f>
        <v>00_Bio_</v>
      </c>
      <c r="G81" s="48" t="str">
        <f>_xlfn.XLOOKUP(C81,Tab_Def_Flows[Name(EN)],Tab_Def_Flows[Input_Process],,0,)</f>
        <v>Raw Material Extraction</v>
      </c>
      <c r="H81" s="58" t="str">
        <f>_xlfn.XLOOKUP(C81,Tab_Def_Flows[Name(EN)],Tab_Def_Flows[Process_ID_I],,0,)</f>
        <v>01_Raw_</v>
      </c>
      <c r="I81" s="48">
        <f>_xlfn.XLOOKUP(C81,Tab_Def_Flows[Name(EN)],Tab_Def_Flows[Value_Source],,0,)</f>
        <v>0</v>
      </c>
      <c r="J81" s="48" t="str">
        <f>_xlfn.XLOOKUP(C81,Tab_Def_Flows[Name(EN)],Tab_Def_Flows[WC?],,0,)</f>
        <v>Yes</v>
      </c>
      <c r="K81" s="48" t="str">
        <f>_xlfn.XLOOKUP(C81,Tab_Def_Flows[Name(EN)],Tab_Def_Flows[DM?],,0,)</f>
        <v>Yes</v>
      </c>
      <c r="L81" s="48" t="str">
        <f>_xlfn.XLOOKUP(C81,Tab_Def_Flows[Name(EN)],Tab_Def_Flows[CC?],,0,)</f>
        <v>Yes</v>
      </c>
      <c r="M81" s="50">
        <v>1999</v>
      </c>
      <c r="N81" s="50"/>
      <c r="O81" s="108">
        <v>45</v>
      </c>
      <c r="P81" s="50" t="s">
        <v>85</v>
      </c>
      <c r="Q81" s="50"/>
      <c r="R81" s="50" t="e">
        <f>INDEX(Tab_WC_DM_CC[[Flow_ID]:[CC_source]],MATCH(Tab_Data_Flows[[#This Row],[Name(EN)]],Tab_WC_DM_CC[Name(EN)],0),12)</f>
        <v>#N/A</v>
      </c>
      <c r="S81" s="50" t="e">
        <f>MATCH(Tab_Data_Flows[[#This Row],[Name(EN)]],Tab_WC_DM_CC[Name(EN)],0)</f>
        <v>#N/A</v>
      </c>
      <c r="T81" s="50"/>
      <c r="U81" s="50"/>
      <c r="V81" s="50"/>
      <c r="W81" s="50"/>
      <c r="X81" s="50" t="s">
        <v>84</v>
      </c>
      <c r="Y81" s="50"/>
      <c r="Z81" s="50"/>
      <c r="AA81" s="80">
        <f t="shared" si="5"/>
        <v>45</v>
      </c>
      <c r="AB81" s="50" t="s">
        <v>85</v>
      </c>
      <c r="AC81" s="101">
        <f>INDEX(Tab_Def_Flows[[Flow_ID]:[CC_DM_source]],MATCH(Tab_Data_Flows[[#This Row],[Name(EN)]],Tab_Def_Flows[Name(EN)],0),14)</f>
        <v>0</v>
      </c>
      <c r="AD81" s="102">
        <f>IF(J81="Yes",AA81*Tab_Data_Flows[[#This Row],[WC_'[%']]],"N.A.")</f>
        <v>0</v>
      </c>
      <c r="AE81" s="58" t="str">
        <f>Tab_Data_Flows[[#This Row],[UoM_Flow_Py]]</f>
        <v>Mg</v>
      </c>
      <c r="AF81" s="101">
        <f>INDEX(Tab_Def_Flows[[Flow_ID]:[CC_DM_source]],MATCH(Tab_Data_Flows[[#This Row],[Name(EN)]],Tab_Def_Flows[Name(EN)],0),16)</f>
        <v>1</v>
      </c>
      <c r="AG81" s="102">
        <f>IF(K81="Yes",AF81*Tab_Data_Flows[[#This Row],[Flow_Py]],"N.A.")</f>
        <v>45</v>
      </c>
      <c r="AH81" s="58" t="str">
        <f>Tab_Data_Flows[[#This Row],[UoM_Flow_Py]]</f>
        <v>Mg</v>
      </c>
      <c r="AI81" s="101">
        <f>INDEX(Tab_Def_Flows[[Flow_ID]:[CC_DM_source]],MATCH(Tab_Data_Flows[[#This Row],[Name(EN)]],Tab_Def_Flows[Name(EN)],0),18)</f>
        <v>0.5</v>
      </c>
      <c r="AJ81" s="102">
        <f>IF(L81="Yes",AI81*Tab_Data_Flows[[#This Row],[Flow_Py]]*Tab_Data_Flows[[#This Row],[DM_'[%']]],"N.A.")</f>
        <v>22.5</v>
      </c>
      <c r="AK81" s="58" t="str">
        <f>Tab_Data_Flows[[#This Row],[UoM_Flow_Py]]</f>
        <v>Mg</v>
      </c>
    </row>
    <row r="82" spans="1:37" x14ac:dyDescent="0.25">
      <c r="A82" s="57">
        <f t="shared" si="4"/>
        <v>81</v>
      </c>
      <c r="B82" s="48" t="str">
        <f>_xlfn.XLOOKUP(C82,Tab_Def_Flows[Name(EN)],Tab_Def_Flows[Flow_ID],,0,)</f>
        <v>F_00_01</v>
      </c>
      <c r="C82" s="50" t="s">
        <v>107</v>
      </c>
      <c r="D82" s="48"/>
      <c r="E82" s="48" t="str">
        <f>_xlfn.XLOOKUP(C82,Tab_Def_Flows[Name(EN)],Tab_Def_Flows[Output_Process],,0,)</f>
        <v>Biosphere</v>
      </c>
      <c r="F82" s="48" t="str">
        <f>_xlfn.XLOOKUP(C82,Tab_Def_Flows[Name(EN)],Tab_Def_Flows[Process_ID_O],,0,)</f>
        <v>00_Bio_</v>
      </c>
      <c r="G82" s="48" t="str">
        <f>_xlfn.XLOOKUP(C82,Tab_Def_Flows[Name(EN)],Tab_Def_Flows[Input_Process],,0,)</f>
        <v>Raw Material Extraction</v>
      </c>
      <c r="H82" s="58" t="str">
        <f>_xlfn.XLOOKUP(C82,Tab_Def_Flows[Name(EN)],Tab_Def_Flows[Process_ID_I],,0,)</f>
        <v>01_Raw_</v>
      </c>
      <c r="I82" s="48">
        <f>_xlfn.XLOOKUP(C82,Tab_Def_Flows[Name(EN)],Tab_Def_Flows[Value_Source],,0,)</f>
        <v>0</v>
      </c>
      <c r="J82" s="48" t="str">
        <f>_xlfn.XLOOKUP(C82,Tab_Def_Flows[Name(EN)],Tab_Def_Flows[WC?],,0,)</f>
        <v>Yes</v>
      </c>
      <c r="K82" s="48" t="str">
        <f>_xlfn.XLOOKUP(C82,Tab_Def_Flows[Name(EN)],Tab_Def_Flows[DM?],,0,)</f>
        <v>Yes</v>
      </c>
      <c r="L82" s="48" t="str">
        <f>_xlfn.XLOOKUP(C82,Tab_Def_Flows[Name(EN)],Tab_Def_Flows[CC?],,0,)</f>
        <v>Yes</v>
      </c>
      <c r="M82" s="50">
        <v>2000</v>
      </c>
      <c r="N82" s="50"/>
      <c r="O82" s="108">
        <v>19.2</v>
      </c>
      <c r="P82" s="50" t="s">
        <v>85</v>
      </c>
      <c r="Q82" s="50"/>
      <c r="R82" s="50" t="e">
        <f>INDEX(Tab_WC_DM_CC[[Flow_ID]:[CC_source]],MATCH(Tab_Data_Flows[[#This Row],[Name(EN)]],Tab_WC_DM_CC[Name(EN)],0),12)</f>
        <v>#N/A</v>
      </c>
      <c r="S82" s="50" t="e">
        <f>MATCH(Tab_Data_Flows[[#This Row],[Name(EN)]],Tab_WC_DM_CC[Name(EN)],0)</f>
        <v>#N/A</v>
      </c>
      <c r="T82" s="50"/>
      <c r="U82" s="50"/>
      <c r="V82" s="50"/>
      <c r="W82" s="50"/>
      <c r="X82" s="50" t="s">
        <v>84</v>
      </c>
      <c r="Y82" s="50"/>
      <c r="Z82" s="50"/>
      <c r="AA82" s="80">
        <f t="shared" si="5"/>
        <v>19.2</v>
      </c>
      <c r="AB82" s="50" t="s">
        <v>85</v>
      </c>
      <c r="AC82" s="101">
        <f>INDEX(Tab_Def_Flows[[Flow_ID]:[CC_DM_source]],MATCH(Tab_Data_Flows[[#This Row],[Name(EN)]],Tab_Def_Flows[Name(EN)],0),14)</f>
        <v>0</v>
      </c>
      <c r="AD82" s="102">
        <f>IF(J82="Yes",AA82*Tab_Data_Flows[[#This Row],[WC_'[%']]],"N.A.")</f>
        <v>0</v>
      </c>
      <c r="AE82" s="58" t="str">
        <f>Tab_Data_Flows[[#This Row],[UoM_Flow_Py]]</f>
        <v>Mg</v>
      </c>
      <c r="AF82" s="101">
        <f>INDEX(Tab_Def_Flows[[Flow_ID]:[CC_DM_source]],MATCH(Tab_Data_Flows[[#This Row],[Name(EN)]],Tab_Def_Flows[Name(EN)],0),16)</f>
        <v>1</v>
      </c>
      <c r="AG82" s="102">
        <f>IF(K82="Yes",AF82*Tab_Data_Flows[[#This Row],[Flow_Py]],"N.A.")</f>
        <v>19.2</v>
      </c>
      <c r="AH82" s="58" t="str">
        <f>Tab_Data_Flows[[#This Row],[UoM_Flow_Py]]</f>
        <v>Mg</v>
      </c>
      <c r="AI82" s="101">
        <f>INDEX(Tab_Def_Flows[[Flow_ID]:[CC_DM_source]],MATCH(Tab_Data_Flows[[#This Row],[Name(EN)]],Tab_Def_Flows[Name(EN)],0),18)</f>
        <v>0.5</v>
      </c>
      <c r="AJ82" s="102">
        <f>IF(L82="Yes",AI82*Tab_Data_Flows[[#This Row],[Flow_Py]]*Tab_Data_Flows[[#This Row],[DM_'[%']]],"N.A.")</f>
        <v>9.6</v>
      </c>
      <c r="AK82" s="58" t="str">
        <f>Tab_Data_Flows[[#This Row],[UoM_Flow_Py]]</f>
        <v>Mg</v>
      </c>
    </row>
    <row r="83" spans="1:37" x14ac:dyDescent="0.25">
      <c r="A83" s="57">
        <f t="shared" si="4"/>
        <v>82</v>
      </c>
      <c r="B83" s="48" t="str">
        <f>_xlfn.XLOOKUP(C83,Tab_Def_Flows[Name(EN)],Tab_Def_Flows[Flow_ID],,0,)</f>
        <v>F_00_01</v>
      </c>
      <c r="C83" s="50" t="s">
        <v>107</v>
      </c>
      <c r="D83" s="48"/>
      <c r="E83" s="48" t="str">
        <f>_xlfn.XLOOKUP(C83,Tab_Def_Flows[Name(EN)],Tab_Def_Flows[Output_Process],,0,)</f>
        <v>Biosphere</v>
      </c>
      <c r="F83" s="48" t="str">
        <f>_xlfn.XLOOKUP(C83,Tab_Def_Flows[Name(EN)],Tab_Def_Flows[Process_ID_O],,0,)</f>
        <v>00_Bio_</v>
      </c>
      <c r="G83" s="48" t="str">
        <f>_xlfn.XLOOKUP(C83,Tab_Def_Flows[Name(EN)],Tab_Def_Flows[Input_Process],,0,)</f>
        <v>Raw Material Extraction</v>
      </c>
      <c r="H83" s="58" t="str">
        <f>_xlfn.XLOOKUP(C83,Tab_Def_Flows[Name(EN)],Tab_Def_Flows[Process_ID_I],,0,)</f>
        <v>01_Raw_</v>
      </c>
      <c r="I83" s="48">
        <f>_xlfn.XLOOKUP(C83,Tab_Def_Flows[Name(EN)],Tab_Def_Flows[Value_Source],,0,)</f>
        <v>0</v>
      </c>
      <c r="J83" s="48" t="str">
        <f>_xlfn.XLOOKUP(C83,Tab_Def_Flows[Name(EN)],Tab_Def_Flows[WC?],,0,)</f>
        <v>Yes</v>
      </c>
      <c r="K83" s="48" t="str">
        <f>_xlfn.XLOOKUP(C83,Tab_Def_Flows[Name(EN)],Tab_Def_Flows[DM?],,0,)</f>
        <v>Yes</v>
      </c>
      <c r="L83" s="48" t="str">
        <f>_xlfn.XLOOKUP(C83,Tab_Def_Flows[Name(EN)],Tab_Def_Flows[CC?],,0,)</f>
        <v>Yes</v>
      </c>
      <c r="M83" s="50">
        <v>2001</v>
      </c>
      <c r="N83" s="50"/>
      <c r="O83" s="108">
        <v>25.8</v>
      </c>
      <c r="P83" s="50" t="s">
        <v>85</v>
      </c>
      <c r="Q83" s="50"/>
      <c r="R83" s="50" t="e">
        <f>INDEX(Tab_WC_DM_CC[[Flow_ID]:[CC_source]],MATCH(Tab_Data_Flows[[#This Row],[Name(EN)]],Tab_WC_DM_CC[Name(EN)],0),12)</f>
        <v>#N/A</v>
      </c>
      <c r="S83" s="50" t="e">
        <f>MATCH(Tab_Data_Flows[[#This Row],[Name(EN)]],Tab_WC_DM_CC[Name(EN)],0)</f>
        <v>#N/A</v>
      </c>
      <c r="T83" s="50"/>
      <c r="U83" s="50"/>
      <c r="V83" s="50"/>
      <c r="W83" s="50"/>
      <c r="X83" s="50" t="s">
        <v>84</v>
      </c>
      <c r="Y83" s="50"/>
      <c r="Z83" s="50"/>
      <c r="AA83" s="80">
        <f t="shared" si="5"/>
        <v>25.8</v>
      </c>
      <c r="AB83" s="50" t="s">
        <v>85</v>
      </c>
      <c r="AC83" s="101">
        <f>INDEX(Tab_Def_Flows[[Flow_ID]:[CC_DM_source]],MATCH(Tab_Data_Flows[[#This Row],[Name(EN)]],Tab_Def_Flows[Name(EN)],0),14)</f>
        <v>0</v>
      </c>
      <c r="AD83" s="102">
        <f>IF(J83="Yes",AA83*Tab_Data_Flows[[#This Row],[WC_'[%']]],"N.A.")</f>
        <v>0</v>
      </c>
      <c r="AE83" s="58" t="str">
        <f>Tab_Data_Flows[[#This Row],[UoM_Flow_Py]]</f>
        <v>Mg</v>
      </c>
      <c r="AF83" s="101">
        <f>INDEX(Tab_Def_Flows[[Flow_ID]:[CC_DM_source]],MATCH(Tab_Data_Flows[[#This Row],[Name(EN)]],Tab_Def_Flows[Name(EN)],0),16)</f>
        <v>1</v>
      </c>
      <c r="AG83" s="102">
        <f>IF(K83="Yes",AF83*Tab_Data_Flows[[#This Row],[Flow_Py]],"N.A.")</f>
        <v>25.8</v>
      </c>
      <c r="AH83" s="58" t="str">
        <f>Tab_Data_Flows[[#This Row],[UoM_Flow_Py]]</f>
        <v>Mg</v>
      </c>
      <c r="AI83" s="101">
        <f>INDEX(Tab_Def_Flows[[Flow_ID]:[CC_DM_source]],MATCH(Tab_Data_Flows[[#This Row],[Name(EN)]],Tab_Def_Flows[Name(EN)],0),18)</f>
        <v>0.5</v>
      </c>
      <c r="AJ83" s="102">
        <f>IF(L83="Yes",AI83*Tab_Data_Flows[[#This Row],[Flow_Py]]*Tab_Data_Flows[[#This Row],[DM_'[%']]],"N.A.")</f>
        <v>12.9</v>
      </c>
      <c r="AK83" s="58" t="str">
        <f>Tab_Data_Flows[[#This Row],[UoM_Flow_Py]]</f>
        <v>Mg</v>
      </c>
    </row>
    <row r="84" spans="1:37" x14ac:dyDescent="0.25">
      <c r="A84" s="57">
        <f t="shared" si="4"/>
        <v>83</v>
      </c>
      <c r="B84" s="48" t="str">
        <f>_xlfn.XLOOKUP(C84,Tab_Def_Flows[Name(EN)],Tab_Def_Flows[Flow_ID],,0,)</f>
        <v>F_00_01</v>
      </c>
      <c r="C84" s="50" t="s">
        <v>107</v>
      </c>
      <c r="D84" s="48"/>
      <c r="E84" s="48" t="str">
        <f>_xlfn.XLOOKUP(C84,Tab_Def_Flows[Name(EN)],Tab_Def_Flows[Output_Process],,0,)</f>
        <v>Biosphere</v>
      </c>
      <c r="F84" s="48" t="str">
        <f>_xlfn.XLOOKUP(C84,Tab_Def_Flows[Name(EN)],Tab_Def_Flows[Process_ID_O],,0,)</f>
        <v>00_Bio_</v>
      </c>
      <c r="G84" s="48" t="str">
        <f>_xlfn.XLOOKUP(C84,Tab_Def_Flows[Name(EN)],Tab_Def_Flows[Input_Process],,0,)</f>
        <v>Raw Material Extraction</v>
      </c>
      <c r="H84" s="58" t="str">
        <f>_xlfn.XLOOKUP(C84,Tab_Def_Flows[Name(EN)],Tab_Def_Flows[Process_ID_I],,0,)</f>
        <v>01_Raw_</v>
      </c>
      <c r="I84" s="48">
        <f>_xlfn.XLOOKUP(C84,Tab_Def_Flows[Name(EN)],Tab_Def_Flows[Value_Source],,0,)</f>
        <v>0</v>
      </c>
      <c r="J84" s="48" t="str">
        <f>_xlfn.XLOOKUP(C84,Tab_Def_Flows[Name(EN)],Tab_Def_Flows[WC?],,0,)</f>
        <v>Yes</v>
      </c>
      <c r="K84" s="48" t="str">
        <f>_xlfn.XLOOKUP(C84,Tab_Def_Flows[Name(EN)],Tab_Def_Flows[DM?],,0,)</f>
        <v>Yes</v>
      </c>
      <c r="L84" s="48" t="str">
        <f>_xlfn.XLOOKUP(C84,Tab_Def_Flows[Name(EN)],Tab_Def_Flows[CC?],,0,)</f>
        <v>Yes</v>
      </c>
      <c r="M84" s="50">
        <v>2002</v>
      </c>
      <c r="N84" s="50"/>
      <c r="O84" s="108">
        <v>25.8</v>
      </c>
      <c r="P84" s="50" t="s">
        <v>85</v>
      </c>
      <c r="Q84" s="50"/>
      <c r="R84" s="50" t="e">
        <f>INDEX(Tab_WC_DM_CC[[Flow_ID]:[CC_source]],MATCH(Tab_Data_Flows[[#This Row],[Name(EN)]],Tab_WC_DM_CC[Name(EN)],0),12)</f>
        <v>#N/A</v>
      </c>
      <c r="S84" s="50" t="e">
        <f>MATCH(Tab_Data_Flows[[#This Row],[Name(EN)]],Tab_WC_DM_CC[Name(EN)],0)</f>
        <v>#N/A</v>
      </c>
      <c r="T84" s="50"/>
      <c r="U84" s="50"/>
      <c r="V84" s="50"/>
      <c r="W84" s="50"/>
      <c r="X84" s="50" t="s">
        <v>84</v>
      </c>
      <c r="Y84" s="50"/>
      <c r="Z84" s="50"/>
      <c r="AA84" s="80">
        <f t="shared" si="5"/>
        <v>25.8</v>
      </c>
      <c r="AB84" s="50" t="s">
        <v>85</v>
      </c>
      <c r="AC84" s="101">
        <f>INDEX(Tab_Def_Flows[[Flow_ID]:[CC_DM_source]],MATCH(Tab_Data_Flows[[#This Row],[Name(EN)]],Tab_Def_Flows[Name(EN)],0),14)</f>
        <v>0</v>
      </c>
      <c r="AD84" s="102">
        <f>IF(J84="Yes",AA84*Tab_Data_Flows[[#This Row],[WC_'[%']]],"N.A.")</f>
        <v>0</v>
      </c>
      <c r="AE84" s="58" t="str">
        <f>Tab_Data_Flows[[#This Row],[UoM_Flow_Py]]</f>
        <v>Mg</v>
      </c>
      <c r="AF84" s="101">
        <f>INDEX(Tab_Def_Flows[[Flow_ID]:[CC_DM_source]],MATCH(Tab_Data_Flows[[#This Row],[Name(EN)]],Tab_Def_Flows[Name(EN)],0),16)</f>
        <v>1</v>
      </c>
      <c r="AG84" s="102">
        <f>IF(K84="Yes",AF84*Tab_Data_Flows[[#This Row],[Flow_Py]],"N.A.")</f>
        <v>25.8</v>
      </c>
      <c r="AH84" s="58" t="str">
        <f>Tab_Data_Flows[[#This Row],[UoM_Flow_Py]]</f>
        <v>Mg</v>
      </c>
      <c r="AI84" s="101">
        <f>INDEX(Tab_Def_Flows[[Flow_ID]:[CC_DM_source]],MATCH(Tab_Data_Flows[[#This Row],[Name(EN)]],Tab_Def_Flows[Name(EN)],0),18)</f>
        <v>0.5</v>
      </c>
      <c r="AJ84" s="102">
        <f>IF(L84="Yes",AI84*Tab_Data_Flows[[#This Row],[Flow_Py]]*Tab_Data_Flows[[#This Row],[DM_'[%']]],"N.A.")</f>
        <v>12.9</v>
      </c>
      <c r="AK84" s="58" t="str">
        <f>Tab_Data_Flows[[#This Row],[UoM_Flow_Py]]</f>
        <v>Mg</v>
      </c>
    </row>
    <row r="85" spans="1:37" x14ac:dyDescent="0.25">
      <c r="A85" s="57">
        <f t="shared" si="4"/>
        <v>84</v>
      </c>
      <c r="B85" s="48" t="str">
        <f>_xlfn.XLOOKUP(C85,Tab_Def_Flows[Name(EN)],Tab_Def_Flows[Flow_ID],,0,)</f>
        <v>F_00_01</v>
      </c>
      <c r="C85" s="50" t="s">
        <v>107</v>
      </c>
      <c r="D85" s="48"/>
      <c r="E85" s="48" t="str">
        <f>_xlfn.XLOOKUP(C85,Tab_Def_Flows[Name(EN)],Tab_Def_Flows[Output_Process],,0,)</f>
        <v>Biosphere</v>
      </c>
      <c r="F85" s="48" t="str">
        <f>_xlfn.XLOOKUP(C85,Tab_Def_Flows[Name(EN)],Tab_Def_Flows[Process_ID_O],,0,)</f>
        <v>00_Bio_</v>
      </c>
      <c r="G85" s="48" t="str">
        <f>_xlfn.XLOOKUP(C85,Tab_Def_Flows[Name(EN)],Tab_Def_Flows[Input_Process],,0,)</f>
        <v>Raw Material Extraction</v>
      </c>
      <c r="H85" s="58" t="str">
        <f>_xlfn.XLOOKUP(C85,Tab_Def_Flows[Name(EN)],Tab_Def_Flows[Process_ID_I],,0,)</f>
        <v>01_Raw_</v>
      </c>
      <c r="I85" s="48">
        <f>_xlfn.XLOOKUP(C85,Tab_Def_Flows[Name(EN)],Tab_Def_Flows[Value_Source],,0,)</f>
        <v>0</v>
      </c>
      <c r="J85" s="48" t="str">
        <f>_xlfn.XLOOKUP(C85,Tab_Def_Flows[Name(EN)],Tab_Def_Flows[WC?],,0,)</f>
        <v>Yes</v>
      </c>
      <c r="K85" s="48" t="str">
        <f>_xlfn.XLOOKUP(C85,Tab_Def_Flows[Name(EN)],Tab_Def_Flows[DM?],,0,)</f>
        <v>Yes</v>
      </c>
      <c r="L85" s="48" t="str">
        <f>_xlfn.XLOOKUP(C85,Tab_Def_Flows[Name(EN)],Tab_Def_Flows[CC?],,0,)</f>
        <v>Yes</v>
      </c>
      <c r="M85" s="50">
        <v>2003</v>
      </c>
      <c r="N85" s="50"/>
      <c r="O85" s="108">
        <v>6.4</v>
      </c>
      <c r="P85" s="50" t="s">
        <v>85</v>
      </c>
      <c r="Q85" s="50"/>
      <c r="R85" s="50" t="e">
        <f>INDEX(Tab_WC_DM_CC[[Flow_ID]:[CC_source]],MATCH(Tab_Data_Flows[[#This Row],[Name(EN)]],Tab_WC_DM_CC[Name(EN)],0),12)</f>
        <v>#N/A</v>
      </c>
      <c r="S85" s="50" t="e">
        <f>MATCH(Tab_Data_Flows[[#This Row],[Name(EN)]],Tab_WC_DM_CC[Name(EN)],0)</f>
        <v>#N/A</v>
      </c>
      <c r="T85" s="50"/>
      <c r="U85" s="50"/>
      <c r="V85" s="50"/>
      <c r="W85" s="50"/>
      <c r="X85" s="50" t="s">
        <v>84</v>
      </c>
      <c r="Y85" s="50"/>
      <c r="Z85" s="50"/>
      <c r="AA85" s="80">
        <f t="shared" si="5"/>
        <v>6.4</v>
      </c>
      <c r="AB85" s="50" t="s">
        <v>85</v>
      </c>
      <c r="AC85" s="101">
        <f>INDEX(Tab_Def_Flows[[Flow_ID]:[CC_DM_source]],MATCH(Tab_Data_Flows[[#This Row],[Name(EN)]],Tab_Def_Flows[Name(EN)],0),14)</f>
        <v>0</v>
      </c>
      <c r="AD85" s="102">
        <f>IF(J85="Yes",AA85*Tab_Data_Flows[[#This Row],[WC_'[%']]],"N.A.")</f>
        <v>0</v>
      </c>
      <c r="AE85" s="58" t="str">
        <f>Tab_Data_Flows[[#This Row],[UoM_Flow_Py]]</f>
        <v>Mg</v>
      </c>
      <c r="AF85" s="101">
        <f>INDEX(Tab_Def_Flows[[Flow_ID]:[CC_DM_source]],MATCH(Tab_Data_Flows[[#This Row],[Name(EN)]],Tab_Def_Flows[Name(EN)],0),16)</f>
        <v>1</v>
      </c>
      <c r="AG85" s="102">
        <f>IF(K85="Yes",AF85*Tab_Data_Flows[[#This Row],[Flow_Py]],"N.A.")</f>
        <v>6.4</v>
      </c>
      <c r="AH85" s="58" t="str">
        <f>Tab_Data_Flows[[#This Row],[UoM_Flow_Py]]</f>
        <v>Mg</v>
      </c>
      <c r="AI85" s="101">
        <f>INDEX(Tab_Def_Flows[[Flow_ID]:[CC_DM_source]],MATCH(Tab_Data_Flows[[#This Row],[Name(EN)]],Tab_Def_Flows[Name(EN)],0),18)</f>
        <v>0.5</v>
      </c>
      <c r="AJ85" s="102">
        <f>IF(L85="Yes",AI85*Tab_Data_Flows[[#This Row],[Flow_Py]]*Tab_Data_Flows[[#This Row],[DM_'[%']]],"N.A.")</f>
        <v>3.2</v>
      </c>
      <c r="AK85" s="58" t="str">
        <f>Tab_Data_Flows[[#This Row],[UoM_Flow_Py]]</f>
        <v>Mg</v>
      </c>
    </row>
    <row r="86" spans="1:37" x14ac:dyDescent="0.25">
      <c r="A86" s="57">
        <f t="shared" si="4"/>
        <v>85</v>
      </c>
      <c r="B86" s="48" t="str">
        <f>_xlfn.XLOOKUP(C86,Tab_Def_Flows[Name(EN)],Tab_Def_Flows[Flow_ID],,0,)</f>
        <v>F_00_01</v>
      </c>
      <c r="C86" s="50" t="s">
        <v>107</v>
      </c>
      <c r="D86" s="48"/>
      <c r="E86" s="48" t="str">
        <f>_xlfn.XLOOKUP(C86,Tab_Def_Flows[Name(EN)],Tab_Def_Flows[Output_Process],,0,)</f>
        <v>Biosphere</v>
      </c>
      <c r="F86" s="48" t="str">
        <f>_xlfn.XLOOKUP(C86,Tab_Def_Flows[Name(EN)],Tab_Def_Flows[Process_ID_O],,0,)</f>
        <v>00_Bio_</v>
      </c>
      <c r="G86" s="48" t="str">
        <f>_xlfn.XLOOKUP(C86,Tab_Def_Flows[Name(EN)],Tab_Def_Flows[Input_Process],,0,)</f>
        <v>Raw Material Extraction</v>
      </c>
      <c r="H86" s="58" t="str">
        <f>_xlfn.XLOOKUP(C86,Tab_Def_Flows[Name(EN)],Tab_Def_Flows[Process_ID_I],,0,)</f>
        <v>01_Raw_</v>
      </c>
      <c r="I86" s="48">
        <f>_xlfn.XLOOKUP(C86,Tab_Def_Flows[Name(EN)],Tab_Def_Flows[Value_Source],,0,)</f>
        <v>0</v>
      </c>
      <c r="J86" s="48" t="str">
        <f>_xlfn.XLOOKUP(C86,Tab_Def_Flows[Name(EN)],Tab_Def_Flows[WC?],,0,)</f>
        <v>Yes</v>
      </c>
      <c r="K86" s="48" t="str">
        <f>_xlfn.XLOOKUP(C86,Tab_Def_Flows[Name(EN)],Tab_Def_Flows[DM?],,0,)</f>
        <v>Yes</v>
      </c>
      <c r="L86" s="48" t="str">
        <f>_xlfn.XLOOKUP(C86,Tab_Def_Flows[Name(EN)],Tab_Def_Flows[CC?],,0,)</f>
        <v>Yes</v>
      </c>
      <c r="M86" s="50">
        <v>2004</v>
      </c>
      <c r="N86" s="50"/>
      <c r="O86" s="108">
        <v>32.200000000000003</v>
      </c>
      <c r="P86" s="50" t="s">
        <v>85</v>
      </c>
      <c r="Q86" s="50"/>
      <c r="R86" s="50" t="e">
        <f>INDEX(Tab_WC_DM_CC[[Flow_ID]:[CC_source]],MATCH(Tab_Data_Flows[[#This Row],[Name(EN)]],Tab_WC_DM_CC[Name(EN)],0),12)</f>
        <v>#N/A</v>
      </c>
      <c r="S86" s="50" t="e">
        <f>MATCH(Tab_Data_Flows[[#This Row],[Name(EN)]],Tab_WC_DM_CC[Name(EN)],0)</f>
        <v>#N/A</v>
      </c>
      <c r="T86" s="50"/>
      <c r="U86" s="50"/>
      <c r="V86" s="50"/>
      <c r="W86" s="50"/>
      <c r="X86" s="50" t="s">
        <v>84</v>
      </c>
      <c r="Y86" s="50"/>
      <c r="Z86" s="50"/>
      <c r="AA86" s="80">
        <f t="shared" si="5"/>
        <v>32.200000000000003</v>
      </c>
      <c r="AB86" s="50" t="s">
        <v>85</v>
      </c>
      <c r="AC86" s="101">
        <f>INDEX(Tab_Def_Flows[[Flow_ID]:[CC_DM_source]],MATCH(Tab_Data_Flows[[#This Row],[Name(EN)]],Tab_Def_Flows[Name(EN)],0),14)</f>
        <v>0</v>
      </c>
      <c r="AD86" s="102">
        <f>IF(J86="Yes",AA86*Tab_Data_Flows[[#This Row],[WC_'[%']]],"N.A.")</f>
        <v>0</v>
      </c>
      <c r="AE86" s="58" t="str">
        <f>Tab_Data_Flows[[#This Row],[UoM_Flow_Py]]</f>
        <v>Mg</v>
      </c>
      <c r="AF86" s="101">
        <f>INDEX(Tab_Def_Flows[[Flow_ID]:[CC_DM_source]],MATCH(Tab_Data_Flows[[#This Row],[Name(EN)]],Tab_Def_Flows[Name(EN)],0),16)</f>
        <v>1</v>
      </c>
      <c r="AG86" s="102">
        <f>IF(K86="Yes",AF86*Tab_Data_Flows[[#This Row],[Flow_Py]],"N.A.")</f>
        <v>32.200000000000003</v>
      </c>
      <c r="AH86" s="58" t="str">
        <f>Tab_Data_Flows[[#This Row],[UoM_Flow_Py]]</f>
        <v>Mg</v>
      </c>
      <c r="AI86" s="101">
        <f>INDEX(Tab_Def_Flows[[Flow_ID]:[CC_DM_source]],MATCH(Tab_Data_Flows[[#This Row],[Name(EN)]],Tab_Def_Flows[Name(EN)],0),18)</f>
        <v>0.5</v>
      </c>
      <c r="AJ86" s="102">
        <f>IF(L86="Yes",AI86*Tab_Data_Flows[[#This Row],[Flow_Py]]*Tab_Data_Flows[[#This Row],[DM_'[%']]],"N.A.")</f>
        <v>16.100000000000001</v>
      </c>
      <c r="AK86" s="58" t="str">
        <f>Tab_Data_Flows[[#This Row],[UoM_Flow_Py]]</f>
        <v>Mg</v>
      </c>
    </row>
    <row r="87" spans="1:37" x14ac:dyDescent="0.25">
      <c r="A87" s="57">
        <f t="shared" si="4"/>
        <v>86</v>
      </c>
      <c r="B87" s="48" t="str">
        <f>_xlfn.XLOOKUP(C87,Tab_Def_Flows[Name(EN)],Tab_Def_Flows[Flow_ID],,0,)</f>
        <v>F_00_01</v>
      </c>
      <c r="C87" s="50" t="s">
        <v>107</v>
      </c>
      <c r="D87" s="48">
        <f>_xlfn.XLOOKUP(C87,Tab_Def_Flows[Name(EN)],Tab_Def_Flows[Type_Biomass],,0,)</f>
        <v>0</v>
      </c>
      <c r="E87" s="48" t="str">
        <f>_xlfn.XLOOKUP(C87,Tab_Def_Flows[Name(EN)],Tab_Def_Flows[Output_Process],,0,)</f>
        <v>Biosphere</v>
      </c>
      <c r="F87" s="48" t="str">
        <f>_xlfn.XLOOKUP(C87,Tab_Def_Flows[Name(EN)],Tab_Def_Flows[Process_ID_O],,0,)</f>
        <v>00_Bio_</v>
      </c>
      <c r="G87" s="48" t="str">
        <f>_xlfn.XLOOKUP(C87,Tab_Def_Flows[Name(EN)],Tab_Def_Flows[Input_Process],,0,)</f>
        <v>Raw Material Extraction</v>
      </c>
      <c r="H87" s="58" t="str">
        <f>_xlfn.XLOOKUP(C87,Tab_Def_Flows[Name(EN)],Tab_Def_Flows[Process_ID_I],,0,)</f>
        <v>01_Raw_</v>
      </c>
      <c r="I87" s="58">
        <f>_xlfn.XLOOKUP(C87,Tab_Def_Flows[Name(EN)],Tab_Def_Flows[Value_Source],,0,)</f>
        <v>0</v>
      </c>
      <c r="J87" s="58" t="str">
        <f>_xlfn.XLOOKUP(C87,Tab_Def_Flows[Name(EN)],Tab_Def_Flows[WC?],,0,)</f>
        <v>Yes</v>
      </c>
      <c r="K87" s="58" t="str">
        <f>_xlfn.XLOOKUP(C87,Tab_Def_Flows[Name(EN)],Tab_Def_Flows[DM?],,0,)</f>
        <v>Yes</v>
      </c>
      <c r="L87" s="58" t="str">
        <f>_xlfn.XLOOKUP(C87,Tab_Def_Flows[Name(EN)],Tab_Def_Flows[CC?],,0,)</f>
        <v>Yes</v>
      </c>
      <c r="M87" s="50">
        <v>2005</v>
      </c>
      <c r="N87" s="50" t="s">
        <v>82</v>
      </c>
      <c r="O87" s="108">
        <v>90</v>
      </c>
      <c r="P87" s="50" t="s">
        <v>85</v>
      </c>
      <c r="Q87" s="50"/>
      <c r="R87" s="50"/>
      <c r="S87" s="50"/>
      <c r="T87" s="50"/>
      <c r="U87" s="50"/>
      <c r="V87" s="50"/>
      <c r="W87" s="50"/>
      <c r="X87" s="50" t="s">
        <v>84</v>
      </c>
      <c r="Y87" s="98"/>
      <c r="Z87" s="50"/>
      <c r="AA87" s="80">
        <f t="shared" si="5"/>
        <v>90</v>
      </c>
      <c r="AB87" s="50" t="s">
        <v>85</v>
      </c>
      <c r="AC87" s="101">
        <f>INDEX(Tab_Def_Flows[[Flow_ID]:[CC_DM_source]],MATCH(Tab_Data_Flows[[#This Row],[Name(EN)]],Tab_Def_Flows[Name(EN)],0),14)</f>
        <v>0</v>
      </c>
      <c r="AD87" s="102">
        <f>IF(J87="Yes",AA87*Tab_Data_Flows[[#This Row],[WC_'[%']]],"N.A.")</f>
        <v>0</v>
      </c>
      <c r="AE87" s="58" t="str">
        <f>Tab_Data_Flows[[#This Row],[UoM_Flow_Py]]</f>
        <v>Mg</v>
      </c>
      <c r="AF87" s="101">
        <f>INDEX(Tab_Def_Flows[[Flow_ID]:[CC_DM_source]],MATCH(Tab_Data_Flows[[#This Row],[Name(EN)]],Tab_Def_Flows[Name(EN)],0),16)</f>
        <v>1</v>
      </c>
      <c r="AG87" s="102">
        <f>IF(K87="Yes",AF87*Tab_Data_Flows[[#This Row],[Flow_Py]],"N.A.")</f>
        <v>90</v>
      </c>
      <c r="AH87" s="58" t="str">
        <f>Tab_Data_Flows[[#This Row],[UoM_Flow_Py]]</f>
        <v>Mg</v>
      </c>
      <c r="AI87" s="101">
        <f>INDEX(Tab_Def_Flows[[Flow_ID]:[CC_DM_source]],MATCH(Tab_Data_Flows[[#This Row],[Name(EN)]],Tab_Def_Flows[Name(EN)],0),18)</f>
        <v>0.5</v>
      </c>
      <c r="AJ87" s="102">
        <f>IF(L87="Yes",AI87*Tab_Data_Flows[[#This Row],[Flow_Py]]*Tab_Data_Flows[[#This Row],[DM_'[%']]],"N.A.")</f>
        <v>45</v>
      </c>
      <c r="AK87" s="58" t="str">
        <f>Tab_Data_Flows[[#This Row],[UoM_Flow_Py]]</f>
        <v>Mg</v>
      </c>
    </row>
    <row r="88" spans="1:37" x14ac:dyDescent="0.25">
      <c r="A88" s="57">
        <f t="shared" si="4"/>
        <v>87</v>
      </c>
      <c r="B88" s="48" t="str">
        <f>_xlfn.XLOOKUP(C88,Tab_Def_Flows[Name(EN)],Tab_Def_Flows[Flow_ID],,0,)</f>
        <v>F_00_01</v>
      </c>
      <c r="C88" s="50" t="s">
        <v>107</v>
      </c>
      <c r="D88" s="48">
        <f>_xlfn.XLOOKUP(C88,Tab_Def_Flows[Name(EN)],Tab_Def_Flows[Type_Biomass],,0,)</f>
        <v>0</v>
      </c>
      <c r="E88" s="48" t="str">
        <f>_xlfn.XLOOKUP(C88,Tab_Def_Flows[Name(EN)],Tab_Def_Flows[Output_Process],,0,)</f>
        <v>Biosphere</v>
      </c>
      <c r="F88" s="48" t="str">
        <f>_xlfn.XLOOKUP(C88,Tab_Def_Flows[Name(EN)],Tab_Def_Flows[Process_ID_O],,0,)</f>
        <v>00_Bio_</v>
      </c>
      <c r="G88" s="48" t="str">
        <f>_xlfn.XLOOKUP(C88,Tab_Def_Flows[Name(EN)],Tab_Def_Flows[Input_Process],,0,)</f>
        <v>Raw Material Extraction</v>
      </c>
      <c r="H88" s="58" t="str">
        <f>_xlfn.XLOOKUP(C88,Tab_Def_Flows[Name(EN)],Tab_Def_Flows[Process_ID_I],,0,)</f>
        <v>01_Raw_</v>
      </c>
      <c r="I88" s="58">
        <f>_xlfn.XLOOKUP(C88,Tab_Def_Flows[Name(EN)],Tab_Def_Flows[Value_Source],,0,)</f>
        <v>0</v>
      </c>
      <c r="J88" s="58" t="str">
        <f>_xlfn.XLOOKUP(C88,Tab_Def_Flows[Name(EN)],Tab_Def_Flows[WC?],,0,)</f>
        <v>Yes</v>
      </c>
      <c r="K88" s="58" t="str">
        <f>_xlfn.XLOOKUP(C88,Tab_Def_Flows[Name(EN)],Tab_Def_Flows[DM?],,0,)</f>
        <v>Yes</v>
      </c>
      <c r="L88" s="58" t="str">
        <f>_xlfn.XLOOKUP(C88,Tab_Def_Flows[Name(EN)],Tab_Def_Flows[CC?],,0,)</f>
        <v>Yes</v>
      </c>
      <c r="M88" s="50">
        <v>2006</v>
      </c>
      <c r="N88" s="50" t="s">
        <v>82</v>
      </c>
      <c r="O88" s="108">
        <v>64.400000000000006</v>
      </c>
      <c r="P88" s="50" t="s">
        <v>85</v>
      </c>
      <c r="Q88" s="50"/>
      <c r="R88" s="50"/>
      <c r="S88" s="50"/>
      <c r="T88" s="50"/>
      <c r="U88" s="50"/>
      <c r="V88" s="50"/>
      <c r="W88" s="50"/>
      <c r="X88" s="50" t="s">
        <v>84</v>
      </c>
      <c r="Y88" s="98"/>
      <c r="Z88" s="50"/>
      <c r="AA88" s="80">
        <f t="shared" si="5"/>
        <v>64.400000000000006</v>
      </c>
      <c r="AB88" s="50" t="s">
        <v>85</v>
      </c>
      <c r="AC88" s="101">
        <f>INDEX(Tab_Def_Flows[[Flow_ID]:[CC_DM_source]],MATCH(Tab_Data_Flows[[#This Row],[Name(EN)]],Tab_Def_Flows[Name(EN)],0),14)</f>
        <v>0</v>
      </c>
      <c r="AD88" s="102">
        <f>IF(J88="Yes",AA88*Tab_Data_Flows[[#This Row],[WC_'[%']]],"N.A.")</f>
        <v>0</v>
      </c>
      <c r="AE88" s="58" t="str">
        <f>Tab_Data_Flows[[#This Row],[UoM_Flow_Py]]</f>
        <v>Mg</v>
      </c>
      <c r="AF88" s="101">
        <f>INDEX(Tab_Def_Flows[[Flow_ID]:[CC_DM_source]],MATCH(Tab_Data_Flows[[#This Row],[Name(EN)]],Tab_Def_Flows[Name(EN)],0),16)</f>
        <v>1</v>
      </c>
      <c r="AG88" s="102">
        <f>IF(K88="Yes",AF88*Tab_Data_Flows[[#This Row],[Flow_Py]],"N.A.")</f>
        <v>64.400000000000006</v>
      </c>
      <c r="AH88" s="58" t="str">
        <f>Tab_Data_Flows[[#This Row],[UoM_Flow_Py]]</f>
        <v>Mg</v>
      </c>
      <c r="AI88" s="101">
        <f>INDEX(Tab_Def_Flows[[Flow_ID]:[CC_DM_source]],MATCH(Tab_Data_Flows[[#This Row],[Name(EN)]],Tab_Def_Flows[Name(EN)],0),18)</f>
        <v>0.5</v>
      </c>
      <c r="AJ88" s="102">
        <f>IF(L88="Yes",AI88*Tab_Data_Flows[[#This Row],[Flow_Py]]*Tab_Data_Flows[[#This Row],[DM_'[%']]],"N.A.")</f>
        <v>32.200000000000003</v>
      </c>
      <c r="AK88" s="58" t="str">
        <f>Tab_Data_Flows[[#This Row],[UoM_Flow_Py]]</f>
        <v>Mg</v>
      </c>
    </row>
    <row r="89" spans="1:37" x14ac:dyDescent="0.25">
      <c r="A89" s="57">
        <f t="shared" si="4"/>
        <v>88</v>
      </c>
      <c r="B89" s="48" t="str">
        <f>_xlfn.XLOOKUP(C89,Tab_Def_Flows[Name(EN)],Tab_Def_Flows[Flow_ID],,0,)</f>
        <v>F_00_01</v>
      </c>
      <c r="C89" s="50" t="s">
        <v>107</v>
      </c>
      <c r="D89" s="48">
        <f>_xlfn.XLOOKUP(C89,Tab_Def_Flows[Name(EN)],Tab_Def_Flows[Type_Biomass],,0,)</f>
        <v>0</v>
      </c>
      <c r="E89" s="48" t="str">
        <f>_xlfn.XLOOKUP(C89,Tab_Def_Flows[Name(EN)],Tab_Def_Flows[Output_Process],,0,)</f>
        <v>Biosphere</v>
      </c>
      <c r="F89" s="48" t="str">
        <f>_xlfn.XLOOKUP(C89,Tab_Def_Flows[Name(EN)],Tab_Def_Flows[Process_ID_O],,0,)</f>
        <v>00_Bio_</v>
      </c>
      <c r="G89" s="48" t="str">
        <f>_xlfn.XLOOKUP(C89,Tab_Def_Flows[Name(EN)],Tab_Def_Flows[Input_Process],,0,)</f>
        <v>Raw Material Extraction</v>
      </c>
      <c r="H89" s="58" t="str">
        <f>_xlfn.XLOOKUP(C89,Tab_Def_Flows[Name(EN)],Tab_Def_Flows[Process_ID_I],,0,)</f>
        <v>01_Raw_</v>
      </c>
      <c r="I89" s="58">
        <f>_xlfn.XLOOKUP(C89,Tab_Def_Flows[Name(EN)],Tab_Def_Flows[Value_Source],,0,)</f>
        <v>0</v>
      </c>
      <c r="J89" s="58" t="str">
        <f>_xlfn.XLOOKUP(C89,Tab_Def_Flows[Name(EN)],Tab_Def_Flows[WC?],,0,)</f>
        <v>Yes</v>
      </c>
      <c r="K89" s="58" t="str">
        <f>_xlfn.XLOOKUP(C89,Tab_Def_Flows[Name(EN)],Tab_Def_Flows[DM?],,0,)</f>
        <v>Yes</v>
      </c>
      <c r="L89" s="58" t="str">
        <f>_xlfn.XLOOKUP(C89,Tab_Def_Flows[Name(EN)],Tab_Def_Flows[CC?],,0,)</f>
        <v>Yes</v>
      </c>
      <c r="M89" s="50">
        <v>2007</v>
      </c>
      <c r="N89" s="50" t="s">
        <v>82</v>
      </c>
      <c r="O89" s="108">
        <v>32.200000000000003</v>
      </c>
      <c r="P89" s="50" t="s">
        <v>85</v>
      </c>
      <c r="Q89" s="50"/>
      <c r="R89" s="50"/>
      <c r="S89" s="50"/>
      <c r="T89" s="50"/>
      <c r="U89" s="50"/>
      <c r="V89" s="50"/>
      <c r="W89" s="50"/>
      <c r="X89" s="50" t="s">
        <v>84</v>
      </c>
      <c r="Y89" s="98"/>
      <c r="Z89" s="50"/>
      <c r="AA89" s="80">
        <f t="shared" si="5"/>
        <v>32.200000000000003</v>
      </c>
      <c r="AB89" s="50" t="s">
        <v>85</v>
      </c>
      <c r="AC89" s="101">
        <f>INDEX(Tab_Def_Flows[[Flow_ID]:[CC_DM_source]],MATCH(Tab_Data_Flows[[#This Row],[Name(EN)]],Tab_Def_Flows[Name(EN)],0),14)</f>
        <v>0</v>
      </c>
      <c r="AD89" s="102">
        <f>IF(J89="Yes",AA89*Tab_Data_Flows[[#This Row],[WC_'[%']]],"N.A.")</f>
        <v>0</v>
      </c>
      <c r="AE89" s="58" t="str">
        <f>Tab_Data_Flows[[#This Row],[UoM_Flow_Py]]</f>
        <v>Mg</v>
      </c>
      <c r="AF89" s="101">
        <f>INDEX(Tab_Def_Flows[[Flow_ID]:[CC_DM_source]],MATCH(Tab_Data_Flows[[#This Row],[Name(EN)]],Tab_Def_Flows[Name(EN)],0),16)</f>
        <v>1</v>
      </c>
      <c r="AG89" s="102">
        <f>IF(K89="Yes",AF89*Tab_Data_Flows[[#This Row],[Flow_Py]],"N.A.")</f>
        <v>32.200000000000003</v>
      </c>
      <c r="AH89" s="58" t="str">
        <f>Tab_Data_Flows[[#This Row],[UoM_Flow_Py]]</f>
        <v>Mg</v>
      </c>
      <c r="AI89" s="101">
        <f>INDEX(Tab_Def_Flows[[Flow_ID]:[CC_DM_source]],MATCH(Tab_Data_Flows[[#This Row],[Name(EN)]],Tab_Def_Flows[Name(EN)],0),18)</f>
        <v>0.5</v>
      </c>
      <c r="AJ89" s="102">
        <f>IF(L89="Yes",AI89*Tab_Data_Flows[[#This Row],[Flow_Py]]*Tab_Data_Flows[[#This Row],[DM_'[%']]],"N.A.")</f>
        <v>16.100000000000001</v>
      </c>
      <c r="AK89" s="58" t="str">
        <f>Tab_Data_Flows[[#This Row],[UoM_Flow_Py]]</f>
        <v>Mg</v>
      </c>
    </row>
    <row r="90" spans="1:37" x14ac:dyDescent="0.25">
      <c r="A90" s="57">
        <f t="shared" si="4"/>
        <v>89</v>
      </c>
      <c r="B90" s="48" t="str">
        <f>_xlfn.XLOOKUP(C90,Tab_Def_Flows[Name(EN)],Tab_Def_Flows[Flow_ID],,0,)</f>
        <v>F_00_01</v>
      </c>
      <c r="C90" s="50" t="s">
        <v>107</v>
      </c>
      <c r="D90" s="48">
        <f>_xlfn.XLOOKUP(C90,Tab_Def_Flows[Name(EN)],Tab_Def_Flows[Type_Biomass],,0,)</f>
        <v>0</v>
      </c>
      <c r="E90" s="48" t="str">
        <f>_xlfn.XLOOKUP(C90,Tab_Def_Flows[Name(EN)],Tab_Def_Flows[Output_Process],,0,)</f>
        <v>Biosphere</v>
      </c>
      <c r="F90" s="48" t="str">
        <f>_xlfn.XLOOKUP(C90,Tab_Def_Flows[Name(EN)],Tab_Def_Flows[Process_ID_O],,0,)</f>
        <v>00_Bio_</v>
      </c>
      <c r="G90" s="48" t="str">
        <f>_xlfn.XLOOKUP(C90,Tab_Def_Flows[Name(EN)],Tab_Def_Flows[Input_Process],,0,)</f>
        <v>Raw Material Extraction</v>
      </c>
      <c r="H90" s="58" t="str">
        <f>_xlfn.XLOOKUP(C90,Tab_Def_Flows[Name(EN)],Tab_Def_Flows[Process_ID_I],,0,)</f>
        <v>01_Raw_</v>
      </c>
      <c r="I90" s="58">
        <f>_xlfn.XLOOKUP(C90,Tab_Def_Flows[Name(EN)],Tab_Def_Flows[Value_Source],,0,)</f>
        <v>0</v>
      </c>
      <c r="J90" s="58" t="str">
        <f>_xlfn.XLOOKUP(C90,Tab_Def_Flows[Name(EN)],Tab_Def_Flows[WC?],,0,)</f>
        <v>Yes</v>
      </c>
      <c r="K90" s="58" t="str">
        <f>_xlfn.XLOOKUP(C90,Tab_Def_Flows[Name(EN)],Tab_Def_Flows[DM?],,0,)</f>
        <v>Yes</v>
      </c>
      <c r="L90" s="58" t="str">
        <f>_xlfn.XLOOKUP(C90,Tab_Def_Flows[Name(EN)],Tab_Def_Flows[CC?],,0,)</f>
        <v>Yes</v>
      </c>
      <c r="M90" s="50">
        <v>2008</v>
      </c>
      <c r="N90" s="50" t="s">
        <v>82</v>
      </c>
      <c r="O90" s="108">
        <v>25.8</v>
      </c>
      <c r="P90" s="50" t="s">
        <v>85</v>
      </c>
      <c r="Q90" s="50"/>
      <c r="R90" s="50"/>
      <c r="S90" s="50"/>
      <c r="T90" s="50"/>
      <c r="U90" s="50"/>
      <c r="V90" s="50"/>
      <c r="W90" s="50"/>
      <c r="X90" s="50" t="s">
        <v>84</v>
      </c>
      <c r="Y90" s="98"/>
      <c r="Z90" s="50"/>
      <c r="AA90" s="80">
        <f t="shared" si="5"/>
        <v>25.8</v>
      </c>
      <c r="AB90" s="50" t="s">
        <v>85</v>
      </c>
      <c r="AC90" s="101">
        <f>INDEX(Tab_Def_Flows[[Flow_ID]:[CC_DM_source]],MATCH(Tab_Data_Flows[[#This Row],[Name(EN)]],Tab_Def_Flows[Name(EN)],0),14)</f>
        <v>0</v>
      </c>
      <c r="AD90" s="102">
        <f>IF(J90="Yes",AA90*Tab_Data_Flows[[#This Row],[WC_'[%']]],"N.A.")</f>
        <v>0</v>
      </c>
      <c r="AE90" s="58" t="str">
        <f>Tab_Data_Flows[[#This Row],[UoM_Flow_Py]]</f>
        <v>Mg</v>
      </c>
      <c r="AF90" s="101">
        <f>INDEX(Tab_Def_Flows[[Flow_ID]:[CC_DM_source]],MATCH(Tab_Data_Flows[[#This Row],[Name(EN)]],Tab_Def_Flows[Name(EN)],0),16)</f>
        <v>1</v>
      </c>
      <c r="AG90" s="102">
        <f>IF(K90="Yes",AF90*Tab_Data_Flows[[#This Row],[Flow_Py]],"N.A.")</f>
        <v>25.8</v>
      </c>
      <c r="AH90" s="58" t="str">
        <f>Tab_Data_Flows[[#This Row],[UoM_Flow_Py]]</f>
        <v>Mg</v>
      </c>
      <c r="AI90" s="101">
        <f>INDEX(Tab_Def_Flows[[Flow_ID]:[CC_DM_source]],MATCH(Tab_Data_Flows[[#This Row],[Name(EN)]],Tab_Def_Flows[Name(EN)],0),18)</f>
        <v>0.5</v>
      </c>
      <c r="AJ90" s="102">
        <f>IF(L90="Yes",AI90*Tab_Data_Flows[[#This Row],[Flow_Py]]*Tab_Data_Flows[[#This Row],[DM_'[%']]],"N.A.")</f>
        <v>12.9</v>
      </c>
      <c r="AK90" s="58" t="str">
        <f>Tab_Data_Flows[[#This Row],[UoM_Flow_Py]]</f>
        <v>Mg</v>
      </c>
    </row>
    <row r="91" spans="1:37" x14ac:dyDescent="0.25">
      <c r="A91" s="57">
        <f t="shared" si="4"/>
        <v>90</v>
      </c>
      <c r="B91" s="48" t="str">
        <f>_xlfn.XLOOKUP(C91,Tab_Def_Flows[Name(EN)],Tab_Def_Flows[Flow_ID],,0,)</f>
        <v>F_00_01</v>
      </c>
      <c r="C91" s="50" t="s">
        <v>107</v>
      </c>
      <c r="D91" s="48">
        <f>_xlfn.XLOOKUP(C91,Tab_Def_Flows[Name(EN)],Tab_Def_Flows[Type_Biomass],,0,)</f>
        <v>0</v>
      </c>
      <c r="E91" s="48" t="str">
        <f>_xlfn.XLOOKUP(C91,Tab_Def_Flows[Name(EN)],Tab_Def_Flows[Output_Process],,0,)</f>
        <v>Biosphere</v>
      </c>
      <c r="F91" s="48" t="str">
        <f>_xlfn.XLOOKUP(C91,Tab_Def_Flows[Name(EN)],Tab_Def_Flows[Process_ID_O],,0,)</f>
        <v>00_Bio_</v>
      </c>
      <c r="G91" s="48" t="str">
        <f>_xlfn.XLOOKUP(C91,Tab_Def_Flows[Name(EN)],Tab_Def_Flows[Input_Process],,0,)</f>
        <v>Raw Material Extraction</v>
      </c>
      <c r="H91" s="58" t="str">
        <f>_xlfn.XLOOKUP(C91,Tab_Def_Flows[Name(EN)],Tab_Def_Flows[Process_ID_I],,0,)</f>
        <v>01_Raw_</v>
      </c>
      <c r="I91" s="58">
        <f>_xlfn.XLOOKUP(C91,Tab_Def_Flows[Name(EN)],Tab_Def_Flows[Value_Source],,0,)</f>
        <v>0</v>
      </c>
      <c r="J91" s="58" t="str">
        <f>_xlfn.XLOOKUP(C91,Tab_Def_Flows[Name(EN)],Tab_Def_Flows[WC?],,0,)</f>
        <v>Yes</v>
      </c>
      <c r="K91" s="58" t="str">
        <f>_xlfn.XLOOKUP(C91,Tab_Def_Flows[Name(EN)],Tab_Def_Flows[DM?],,0,)</f>
        <v>Yes</v>
      </c>
      <c r="L91" s="58" t="str">
        <f>_xlfn.XLOOKUP(C91,Tab_Def_Flows[Name(EN)],Tab_Def_Flows[CC?],,0,)</f>
        <v>Yes</v>
      </c>
      <c r="M91" s="50">
        <v>2009</v>
      </c>
      <c r="N91" s="50" t="s">
        <v>82</v>
      </c>
      <c r="O91" s="108">
        <v>19.2</v>
      </c>
      <c r="P91" s="50" t="s">
        <v>85</v>
      </c>
      <c r="Q91" s="50"/>
      <c r="R91" s="50"/>
      <c r="S91" s="50"/>
      <c r="T91" s="50"/>
      <c r="U91" s="50"/>
      <c r="V91" s="50"/>
      <c r="W91" s="50"/>
      <c r="X91" s="50" t="s">
        <v>84</v>
      </c>
      <c r="Y91" s="98"/>
      <c r="Z91" s="50"/>
      <c r="AA91" s="80">
        <f t="shared" si="5"/>
        <v>19.2</v>
      </c>
      <c r="AB91" s="50" t="s">
        <v>85</v>
      </c>
      <c r="AC91" s="101">
        <f>INDEX(Tab_Def_Flows[[Flow_ID]:[CC_DM_source]],MATCH(Tab_Data_Flows[[#This Row],[Name(EN)]],Tab_Def_Flows[Name(EN)],0),14)</f>
        <v>0</v>
      </c>
      <c r="AD91" s="102">
        <f>IF(J91="Yes",AA91*Tab_Data_Flows[[#This Row],[WC_'[%']]],"N.A.")</f>
        <v>0</v>
      </c>
      <c r="AE91" s="58" t="str">
        <f>Tab_Data_Flows[[#This Row],[UoM_Flow_Py]]</f>
        <v>Mg</v>
      </c>
      <c r="AF91" s="101">
        <f>INDEX(Tab_Def_Flows[[Flow_ID]:[CC_DM_source]],MATCH(Tab_Data_Flows[[#This Row],[Name(EN)]],Tab_Def_Flows[Name(EN)],0),16)</f>
        <v>1</v>
      </c>
      <c r="AG91" s="102">
        <f>IF(K91="Yes",AF91*Tab_Data_Flows[[#This Row],[Flow_Py]],"N.A.")</f>
        <v>19.2</v>
      </c>
      <c r="AH91" s="58" t="str">
        <f>Tab_Data_Flows[[#This Row],[UoM_Flow_Py]]</f>
        <v>Mg</v>
      </c>
      <c r="AI91" s="101">
        <f>INDEX(Tab_Def_Flows[[Flow_ID]:[CC_DM_source]],MATCH(Tab_Data_Flows[[#This Row],[Name(EN)]],Tab_Def_Flows[Name(EN)],0),18)</f>
        <v>0.5</v>
      </c>
      <c r="AJ91" s="102">
        <f>IF(L91="Yes",AI91*Tab_Data_Flows[[#This Row],[Flow_Py]]*Tab_Data_Flows[[#This Row],[DM_'[%']]],"N.A.")</f>
        <v>9.6</v>
      </c>
      <c r="AK91" s="58" t="str">
        <f>Tab_Data_Flows[[#This Row],[UoM_Flow_Py]]</f>
        <v>Mg</v>
      </c>
    </row>
    <row r="92" spans="1:37" x14ac:dyDescent="0.25">
      <c r="A92" s="57">
        <f t="shared" si="4"/>
        <v>91</v>
      </c>
      <c r="B92" s="48" t="str">
        <f>_xlfn.XLOOKUP(C92,Tab_Def_Flows[Name(EN)],Tab_Def_Flows[Flow_ID],,0,)</f>
        <v>F_00_01</v>
      </c>
      <c r="C92" s="50" t="s">
        <v>107</v>
      </c>
      <c r="D92" s="48">
        <f>_xlfn.XLOOKUP(C92,Tab_Def_Flows[Name(EN)],Tab_Def_Flows[Type_Biomass],,0,)</f>
        <v>0</v>
      </c>
      <c r="E92" s="48" t="str">
        <f>_xlfn.XLOOKUP(C92,Tab_Def_Flows[Name(EN)],Tab_Def_Flows[Output_Process],,0,)</f>
        <v>Biosphere</v>
      </c>
      <c r="F92" s="48" t="str">
        <f>_xlfn.XLOOKUP(C92,Tab_Def_Flows[Name(EN)],Tab_Def_Flows[Process_ID_O],,0,)</f>
        <v>00_Bio_</v>
      </c>
      <c r="G92" s="48" t="str">
        <f>_xlfn.XLOOKUP(C92,Tab_Def_Flows[Name(EN)],Tab_Def_Flows[Input_Process],,0,)</f>
        <v>Raw Material Extraction</v>
      </c>
      <c r="H92" s="58" t="str">
        <f>_xlfn.XLOOKUP(C92,Tab_Def_Flows[Name(EN)],Tab_Def_Flows[Process_ID_I],,0,)</f>
        <v>01_Raw_</v>
      </c>
      <c r="I92" s="58">
        <f>_xlfn.XLOOKUP(C92,Tab_Def_Flows[Name(EN)],Tab_Def_Flows[Value_Source],,0,)</f>
        <v>0</v>
      </c>
      <c r="J92" s="58" t="str">
        <f>_xlfn.XLOOKUP(C92,Tab_Def_Flows[Name(EN)],Tab_Def_Flows[WC?],,0,)</f>
        <v>Yes</v>
      </c>
      <c r="K92" s="58" t="str">
        <f>_xlfn.XLOOKUP(C92,Tab_Def_Flows[Name(EN)],Tab_Def_Flows[DM?],,0,)</f>
        <v>Yes</v>
      </c>
      <c r="L92" s="58" t="str">
        <f>_xlfn.XLOOKUP(C92,Tab_Def_Flows[Name(EN)],Tab_Def_Flows[CC?],,0,)</f>
        <v>Yes</v>
      </c>
      <c r="M92" s="50">
        <v>2010</v>
      </c>
      <c r="N92" s="50" t="s">
        <v>82</v>
      </c>
      <c r="O92" s="108">
        <v>51.4</v>
      </c>
      <c r="P92" s="50" t="s">
        <v>85</v>
      </c>
      <c r="Q92" s="50"/>
      <c r="R92" s="50"/>
      <c r="S92" s="50"/>
      <c r="T92" s="50"/>
      <c r="U92" s="50"/>
      <c r="V92" s="50"/>
      <c r="W92" s="50"/>
      <c r="X92" s="50" t="s">
        <v>84</v>
      </c>
      <c r="Y92" s="98"/>
      <c r="Z92" s="50"/>
      <c r="AA92" s="80">
        <f t="shared" si="5"/>
        <v>51.4</v>
      </c>
      <c r="AB92" s="50" t="s">
        <v>85</v>
      </c>
      <c r="AC92" s="101">
        <f>INDEX(Tab_Def_Flows[[Flow_ID]:[CC_DM_source]],MATCH(Tab_Data_Flows[[#This Row],[Name(EN)]],Tab_Def_Flows[Name(EN)],0),14)</f>
        <v>0</v>
      </c>
      <c r="AD92" s="102">
        <f>IF(J92="Yes",AA92*Tab_Data_Flows[[#This Row],[WC_'[%']]],"N.A.")</f>
        <v>0</v>
      </c>
      <c r="AE92" s="58" t="str">
        <f>Tab_Data_Flows[[#This Row],[UoM_Flow_Py]]</f>
        <v>Mg</v>
      </c>
      <c r="AF92" s="101">
        <f>INDEX(Tab_Def_Flows[[Flow_ID]:[CC_DM_source]],MATCH(Tab_Data_Flows[[#This Row],[Name(EN)]],Tab_Def_Flows[Name(EN)],0),16)</f>
        <v>1</v>
      </c>
      <c r="AG92" s="102">
        <f>IF(K92="Yes",AF92*Tab_Data_Flows[[#This Row],[Flow_Py]],"N.A.")</f>
        <v>51.4</v>
      </c>
      <c r="AH92" s="58" t="str">
        <f>Tab_Data_Flows[[#This Row],[UoM_Flow_Py]]</f>
        <v>Mg</v>
      </c>
      <c r="AI92" s="101">
        <f>INDEX(Tab_Def_Flows[[Flow_ID]:[CC_DM_source]],MATCH(Tab_Data_Flows[[#This Row],[Name(EN)]],Tab_Def_Flows[Name(EN)],0),18)</f>
        <v>0.5</v>
      </c>
      <c r="AJ92" s="102">
        <f>IF(L92="Yes",AI92*Tab_Data_Flows[[#This Row],[Flow_Py]]*Tab_Data_Flows[[#This Row],[DM_'[%']]],"N.A.")</f>
        <v>25.7</v>
      </c>
      <c r="AK92" s="58" t="str">
        <f>Tab_Data_Flows[[#This Row],[UoM_Flow_Py]]</f>
        <v>Mg</v>
      </c>
    </row>
    <row r="93" spans="1:37" x14ac:dyDescent="0.25">
      <c r="A93" s="57">
        <f t="shared" si="4"/>
        <v>92</v>
      </c>
      <c r="B93" s="48" t="str">
        <f>_xlfn.XLOOKUP(C93,Tab_Def_Flows[Name(EN)],Tab_Def_Flows[Flow_ID],,0,)</f>
        <v>F_00_01</v>
      </c>
      <c r="C93" s="50" t="s">
        <v>107</v>
      </c>
      <c r="D93" s="48">
        <f>_xlfn.XLOOKUP(C93,Tab_Def_Flows[Name(EN)],Tab_Def_Flows[Type_Biomass],,0,)</f>
        <v>0</v>
      </c>
      <c r="E93" s="48" t="str">
        <f>_xlfn.XLOOKUP(C93,Tab_Def_Flows[Name(EN)],Tab_Def_Flows[Output_Process],,0,)</f>
        <v>Biosphere</v>
      </c>
      <c r="F93" s="48" t="str">
        <f>_xlfn.XLOOKUP(C93,Tab_Def_Flows[Name(EN)],Tab_Def_Flows[Process_ID_O],,0,)</f>
        <v>00_Bio_</v>
      </c>
      <c r="G93" s="48" t="str">
        <f>_xlfn.XLOOKUP(C93,Tab_Def_Flows[Name(EN)],Tab_Def_Flows[Input_Process],,0,)</f>
        <v>Raw Material Extraction</v>
      </c>
      <c r="H93" s="58" t="str">
        <f>_xlfn.XLOOKUP(C93,Tab_Def_Flows[Name(EN)],Tab_Def_Flows[Process_ID_I],,0,)</f>
        <v>01_Raw_</v>
      </c>
      <c r="I93" s="58">
        <f>_xlfn.XLOOKUP(C93,Tab_Def_Flows[Name(EN)],Tab_Def_Flows[Value_Source],,0,)</f>
        <v>0</v>
      </c>
      <c r="J93" s="58" t="str">
        <f>_xlfn.XLOOKUP(C93,Tab_Def_Flows[Name(EN)],Tab_Def_Flows[WC?],,0,)</f>
        <v>Yes</v>
      </c>
      <c r="K93" s="58" t="str">
        <f>_xlfn.XLOOKUP(C93,Tab_Def_Flows[Name(EN)],Tab_Def_Flows[DM?],,0,)</f>
        <v>Yes</v>
      </c>
      <c r="L93" s="58" t="str">
        <f>_xlfn.XLOOKUP(C93,Tab_Def_Flows[Name(EN)],Tab_Def_Flows[CC?],,0,)</f>
        <v>Yes</v>
      </c>
      <c r="M93" s="50">
        <v>2011</v>
      </c>
      <c r="N93" s="50" t="s">
        <v>82</v>
      </c>
      <c r="O93" s="108">
        <v>25.8</v>
      </c>
      <c r="P93" s="50" t="s">
        <v>85</v>
      </c>
      <c r="Q93" s="50"/>
      <c r="R93" s="50"/>
      <c r="S93" s="50"/>
      <c r="T93" s="50"/>
      <c r="U93" s="50"/>
      <c r="V93" s="50"/>
      <c r="W93" s="50"/>
      <c r="X93" s="50" t="s">
        <v>84</v>
      </c>
      <c r="Y93" s="98"/>
      <c r="Z93" s="50"/>
      <c r="AA93" s="80">
        <f t="shared" si="5"/>
        <v>25.8</v>
      </c>
      <c r="AB93" s="50" t="s">
        <v>85</v>
      </c>
      <c r="AC93" s="101">
        <f>INDEX(Tab_Def_Flows[[Flow_ID]:[CC_DM_source]],MATCH(Tab_Data_Flows[[#This Row],[Name(EN)]],Tab_Def_Flows[Name(EN)],0),14)</f>
        <v>0</v>
      </c>
      <c r="AD93" s="102">
        <f>IF(J93="Yes",AA93*Tab_Data_Flows[[#This Row],[WC_'[%']]],"N.A.")</f>
        <v>0</v>
      </c>
      <c r="AE93" s="58" t="str">
        <f>Tab_Data_Flows[[#This Row],[UoM_Flow_Py]]</f>
        <v>Mg</v>
      </c>
      <c r="AF93" s="101">
        <f>INDEX(Tab_Def_Flows[[Flow_ID]:[CC_DM_source]],MATCH(Tab_Data_Flows[[#This Row],[Name(EN)]],Tab_Def_Flows[Name(EN)],0),16)</f>
        <v>1</v>
      </c>
      <c r="AG93" s="102">
        <f>IF(K93="Yes",AF93*Tab_Data_Flows[[#This Row],[Flow_Py]],"N.A.")</f>
        <v>25.8</v>
      </c>
      <c r="AH93" s="58" t="str">
        <f>Tab_Data_Flows[[#This Row],[UoM_Flow_Py]]</f>
        <v>Mg</v>
      </c>
      <c r="AI93" s="101">
        <f>INDEX(Tab_Def_Flows[[Flow_ID]:[CC_DM_source]],MATCH(Tab_Data_Flows[[#This Row],[Name(EN)]],Tab_Def_Flows[Name(EN)],0),18)</f>
        <v>0.5</v>
      </c>
      <c r="AJ93" s="102">
        <f>IF(L93="Yes",AI93*Tab_Data_Flows[[#This Row],[Flow_Py]]*Tab_Data_Flows[[#This Row],[DM_'[%']]],"N.A.")</f>
        <v>12.9</v>
      </c>
      <c r="AK93" s="58" t="str">
        <f>Tab_Data_Flows[[#This Row],[UoM_Flow_Py]]</f>
        <v>Mg</v>
      </c>
    </row>
    <row r="94" spans="1:37" x14ac:dyDescent="0.25">
      <c r="A94" s="57">
        <f t="shared" si="4"/>
        <v>93</v>
      </c>
      <c r="B94" s="48" t="str">
        <f>_xlfn.XLOOKUP(C94,Tab_Def_Flows[Name(EN)],Tab_Def_Flows[Flow_ID],,0,)</f>
        <v>F_00_01</v>
      </c>
      <c r="C94" s="50" t="s">
        <v>107</v>
      </c>
      <c r="D94" s="48"/>
      <c r="E94" s="48" t="str">
        <f>_xlfn.XLOOKUP(C94,Tab_Def_Flows[Name(EN)],Tab_Def_Flows[Output_Process],,0,)</f>
        <v>Biosphere</v>
      </c>
      <c r="F94" s="48" t="str">
        <f>_xlfn.XLOOKUP(C94,Tab_Def_Flows[Name(EN)],Tab_Def_Flows[Process_ID_O],,0,)</f>
        <v>00_Bio_</v>
      </c>
      <c r="G94" s="48" t="str">
        <f>_xlfn.XLOOKUP(C94,Tab_Def_Flows[Name(EN)],Tab_Def_Flows[Input_Process],,0,)</f>
        <v>Raw Material Extraction</v>
      </c>
      <c r="H94" s="58" t="str">
        <f>_xlfn.XLOOKUP(C94,Tab_Def_Flows[Name(EN)],Tab_Def_Flows[Process_ID_I],,0,)</f>
        <v>01_Raw_</v>
      </c>
      <c r="I94" s="48">
        <f>_xlfn.XLOOKUP(C94,Tab_Def_Flows[Name(EN)],Tab_Def_Flows[Value_Source],,0,)</f>
        <v>0</v>
      </c>
      <c r="J94" s="48" t="str">
        <f>_xlfn.XLOOKUP(C94,Tab_Def_Flows[Name(EN)],Tab_Def_Flows[WC?],,0,)</f>
        <v>Yes</v>
      </c>
      <c r="K94" s="48" t="str">
        <f>_xlfn.XLOOKUP(C94,Tab_Def_Flows[Name(EN)],Tab_Def_Flows[DM?],,0,)</f>
        <v>Yes</v>
      </c>
      <c r="L94" s="48" t="str">
        <f>_xlfn.XLOOKUP(C94,Tab_Def_Flows[Name(EN)],Tab_Def_Flows[CC?],,0,)</f>
        <v>Yes</v>
      </c>
      <c r="M94" s="50">
        <v>2012</v>
      </c>
      <c r="N94" s="50"/>
      <c r="O94" s="108">
        <v>12.8</v>
      </c>
      <c r="P94" s="50" t="s">
        <v>85</v>
      </c>
      <c r="Q94" s="50"/>
      <c r="R94" s="50" t="e">
        <f>INDEX(Tab_WC_DM_CC[[Flow_ID]:[CC_source]],MATCH(Tab_Data_Flows[[#This Row],[Name(EN)]],Tab_WC_DM_CC[Name(EN)],0),12)</f>
        <v>#N/A</v>
      </c>
      <c r="S94" s="50" t="e">
        <f>MATCH(Tab_Data_Flows[[#This Row],[Name(EN)]],Tab_WC_DM_CC[Name(EN)],0)</f>
        <v>#N/A</v>
      </c>
      <c r="T94" s="50"/>
      <c r="U94" s="50"/>
      <c r="V94" s="50"/>
      <c r="W94" s="50"/>
      <c r="X94" s="50" t="s">
        <v>84</v>
      </c>
      <c r="Y94" s="50"/>
      <c r="Z94" s="50"/>
      <c r="AA94" s="80">
        <f t="shared" si="5"/>
        <v>12.8</v>
      </c>
      <c r="AB94" s="50" t="s">
        <v>85</v>
      </c>
      <c r="AC94" s="101">
        <f>INDEX(Tab_Def_Flows[[Flow_ID]:[CC_DM_source]],MATCH(Tab_Data_Flows[[#This Row],[Name(EN)]],Tab_Def_Flows[Name(EN)],0),14)</f>
        <v>0</v>
      </c>
      <c r="AD94" s="102">
        <f>IF(J94="Yes",AA94*Tab_Data_Flows[[#This Row],[WC_'[%']]],"N.A.")</f>
        <v>0</v>
      </c>
      <c r="AE94" s="58" t="str">
        <f>Tab_Data_Flows[[#This Row],[UoM_Flow_Py]]</f>
        <v>Mg</v>
      </c>
      <c r="AF94" s="101">
        <f>INDEX(Tab_Def_Flows[[Flow_ID]:[CC_DM_source]],MATCH(Tab_Data_Flows[[#This Row],[Name(EN)]],Tab_Def_Flows[Name(EN)],0),16)</f>
        <v>1</v>
      </c>
      <c r="AG94" s="102">
        <f>IF(K94="Yes",AF94*Tab_Data_Flows[[#This Row],[Flow_Py]],"N.A.")</f>
        <v>12.8</v>
      </c>
      <c r="AH94" s="58" t="str">
        <f>Tab_Data_Flows[[#This Row],[UoM_Flow_Py]]</f>
        <v>Mg</v>
      </c>
      <c r="AI94" s="101">
        <f>INDEX(Tab_Def_Flows[[Flow_ID]:[CC_DM_source]],MATCH(Tab_Data_Flows[[#This Row],[Name(EN)]],Tab_Def_Flows[Name(EN)],0),18)</f>
        <v>0.5</v>
      </c>
      <c r="AJ94" s="102">
        <f>IF(L94="Yes",AI94*Tab_Data_Flows[[#This Row],[Flow_Py]]*Tab_Data_Flows[[#This Row],[DM_'[%']]],"N.A.")</f>
        <v>6.4</v>
      </c>
      <c r="AK94" s="58" t="str">
        <f>Tab_Data_Flows[[#This Row],[UoM_Flow_Py]]</f>
        <v>Mg</v>
      </c>
    </row>
    <row r="95" spans="1:37" x14ac:dyDescent="0.25">
      <c r="A95" s="57">
        <f t="shared" si="4"/>
        <v>94</v>
      </c>
      <c r="B95" s="48" t="str">
        <f>_xlfn.XLOOKUP(C95,Tab_Def_Flows[Name(EN)],Tab_Def_Flows[Flow_ID],,0,)</f>
        <v>F_00_01</v>
      </c>
      <c r="C95" s="50" t="s">
        <v>107</v>
      </c>
      <c r="D95" s="48"/>
      <c r="E95" s="48" t="str">
        <f>_xlfn.XLOOKUP(C95,Tab_Def_Flows[Name(EN)],Tab_Def_Flows[Output_Process],,0,)</f>
        <v>Biosphere</v>
      </c>
      <c r="F95" s="48" t="str">
        <f>_xlfn.XLOOKUP(C95,Tab_Def_Flows[Name(EN)],Tab_Def_Flows[Process_ID_O],,0,)</f>
        <v>00_Bio_</v>
      </c>
      <c r="G95" s="48" t="str">
        <f>_xlfn.XLOOKUP(C95,Tab_Def_Flows[Name(EN)],Tab_Def_Flows[Input_Process],,0,)</f>
        <v>Raw Material Extraction</v>
      </c>
      <c r="H95" s="58" t="str">
        <f>_xlfn.XLOOKUP(C95,Tab_Def_Flows[Name(EN)],Tab_Def_Flows[Process_ID_I],,0,)</f>
        <v>01_Raw_</v>
      </c>
      <c r="I95" s="48">
        <f>_xlfn.XLOOKUP(C95,Tab_Def_Flows[Name(EN)],Tab_Def_Flows[Value_Source],,0,)</f>
        <v>0</v>
      </c>
      <c r="J95" s="48" t="str">
        <f>_xlfn.XLOOKUP(C95,Tab_Def_Flows[Name(EN)],Tab_Def_Flows[WC?],,0,)</f>
        <v>Yes</v>
      </c>
      <c r="K95" s="48" t="str">
        <f>_xlfn.XLOOKUP(C95,Tab_Def_Flows[Name(EN)],Tab_Def_Flows[DM?],,0,)</f>
        <v>Yes</v>
      </c>
      <c r="L95" s="48" t="str">
        <f>_xlfn.XLOOKUP(C95,Tab_Def_Flows[Name(EN)],Tab_Def_Flows[CC?],,0,)</f>
        <v>Yes</v>
      </c>
      <c r="M95" s="50">
        <v>2013</v>
      </c>
      <c r="N95" s="50"/>
      <c r="O95" s="108">
        <v>6.4</v>
      </c>
      <c r="P95" s="50" t="s">
        <v>85</v>
      </c>
      <c r="Q95" s="50"/>
      <c r="R95" s="50" t="e">
        <f>INDEX(Tab_WC_DM_CC[[Flow_ID]:[CC_source]],MATCH(Tab_Data_Flows[[#This Row],[Name(EN)]],Tab_WC_DM_CC[Name(EN)],0),12)</f>
        <v>#N/A</v>
      </c>
      <c r="S95" s="50" t="e">
        <f>MATCH(Tab_Data_Flows[[#This Row],[Name(EN)]],Tab_WC_DM_CC[Name(EN)],0)</f>
        <v>#N/A</v>
      </c>
      <c r="T95" s="50"/>
      <c r="U95" s="50"/>
      <c r="V95" s="50"/>
      <c r="W95" s="50"/>
      <c r="X95" s="50" t="s">
        <v>84</v>
      </c>
      <c r="Y95" s="50"/>
      <c r="Z95" s="50"/>
      <c r="AA95" s="80">
        <f t="shared" si="5"/>
        <v>6.4</v>
      </c>
      <c r="AB95" s="50" t="s">
        <v>85</v>
      </c>
      <c r="AC95" s="101">
        <f>INDEX(Tab_Def_Flows[[Flow_ID]:[CC_DM_source]],MATCH(Tab_Data_Flows[[#This Row],[Name(EN)]],Tab_Def_Flows[Name(EN)],0),14)</f>
        <v>0</v>
      </c>
      <c r="AD95" s="102">
        <f>IF(J95="Yes",AA95*Tab_Data_Flows[[#This Row],[WC_'[%']]],"N.A.")</f>
        <v>0</v>
      </c>
      <c r="AE95" s="58" t="str">
        <f>Tab_Data_Flows[[#This Row],[UoM_Flow_Py]]</f>
        <v>Mg</v>
      </c>
      <c r="AF95" s="101">
        <f>INDEX(Tab_Def_Flows[[Flow_ID]:[CC_DM_source]],MATCH(Tab_Data_Flows[[#This Row],[Name(EN)]],Tab_Def_Flows[Name(EN)],0),16)</f>
        <v>1</v>
      </c>
      <c r="AG95" s="102">
        <f>IF(K95="Yes",AF95*Tab_Data_Flows[[#This Row],[Flow_Py]],"N.A.")</f>
        <v>6.4</v>
      </c>
      <c r="AH95" s="58" t="str">
        <f>Tab_Data_Flows[[#This Row],[UoM_Flow_Py]]</f>
        <v>Mg</v>
      </c>
      <c r="AI95" s="101">
        <f>INDEX(Tab_Def_Flows[[Flow_ID]:[CC_DM_source]],MATCH(Tab_Data_Flows[[#This Row],[Name(EN)]],Tab_Def_Flows[Name(EN)],0),18)</f>
        <v>0.5</v>
      </c>
      <c r="AJ95" s="102">
        <f>IF(L95="Yes",AI95*Tab_Data_Flows[[#This Row],[Flow_Py]]*Tab_Data_Flows[[#This Row],[DM_'[%']]],"N.A.")</f>
        <v>3.2</v>
      </c>
      <c r="AK95" s="58" t="str">
        <f>Tab_Data_Flows[[#This Row],[UoM_Flow_Py]]</f>
        <v>Mg</v>
      </c>
    </row>
    <row r="96" spans="1:37" x14ac:dyDescent="0.25">
      <c r="A96" s="57">
        <f t="shared" si="4"/>
        <v>95</v>
      </c>
      <c r="B96" s="48" t="str">
        <f>_xlfn.XLOOKUP(C96,Tab_Def_Flows[Name(EN)],Tab_Def_Flows[Flow_ID],,0,)</f>
        <v>F_00_01</v>
      </c>
      <c r="C96" s="50" t="s">
        <v>107</v>
      </c>
      <c r="D96" s="48"/>
      <c r="E96" s="48" t="str">
        <f>_xlfn.XLOOKUP(C96,Tab_Def_Flows[Name(EN)],Tab_Def_Flows[Output_Process],,0,)</f>
        <v>Biosphere</v>
      </c>
      <c r="F96" s="48" t="str">
        <f>_xlfn.XLOOKUP(C96,Tab_Def_Flows[Name(EN)],Tab_Def_Flows[Process_ID_O],,0,)</f>
        <v>00_Bio_</v>
      </c>
      <c r="G96" s="48" t="str">
        <f>_xlfn.XLOOKUP(C96,Tab_Def_Flows[Name(EN)],Tab_Def_Flows[Input_Process],,0,)</f>
        <v>Raw Material Extraction</v>
      </c>
      <c r="H96" s="58" t="str">
        <f>_xlfn.XLOOKUP(C96,Tab_Def_Flows[Name(EN)],Tab_Def_Flows[Process_ID_I],,0,)</f>
        <v>01_Raw_</v>
      </c>
      <c r="I96" s="48">
        <f>_xlfn.XLOOKUP(C96,Tab_Def_Flows[Name(EN)],Tab_Def_Flows[Value_Source],,0,)</f>
        <v>0</v>
      </c>
      <c r="J96" s="48" t="str">
        <f>_xlfn.XLOOKUP(C96,Tab_Def_Flows[Name(EN)],Tab_Def_Flows[WC?],,0,)</f>
        <v>Yes</v>
      </c>
      <c r="K96" s="48" t="str">
        <f>_xlfn.XLOOKUP(C96,Tab_Def_Flows[Name(EN)],Tab_Def_Flows[DM?],,0,)</f>
        <v>Yes</v>
      </c>
      <c r="L96" s="48" t="str">
        <f>_xlfn.XLOOKUP(C96,Tab_Def_Flows[Name(EN)],Tab_Def_Flows[CC?],,0,)</f>
        <v>Yes</v>
      </c>
      <c r="M96" s="50">
        <v>2014</v>
      </c>
      <c r="N96" s="50"/>
      <c r="O96" s="108">
        <v>45</v>
      </c>
      <c r="P96" s="50" t="s">
        <v>85</v>
      </c>
      <c r="Q96" s="50"/>
      <c r="R96" s="50" t="e">
        <f>INDEX(Tab_WC_DM_CC[[Flow_ID]:[CC_source]],MATCH(Tab_Data_Flows[[#This Row],[Name(EN)]],Tab_WC_DM_CC[Name(EN)],0),12)</f>
        <v>#N/A</v>
      </c>
      <c r="S96" s="50" t="e">
        <f>MATCH(Tab_Data_Flows[[#This Row],[Name(EN)]],Tab_WC_DM_CC[Name(EN)],0)</f>
        <v>#N/A</v>
      </c>
      <c r="T96" s="50"/>
      <c r="U96" s="50"/>
      <c r="V96" s="50"/>
      <c r="W96" s="50"/>
      <c r="X96" s="50" t="s">
        <v>84</v>
      </c>
      <c r="Y96" s="50"/>
      <c r="Z96" s="50"/>
      <c r="AA96" s="80">
        <f t="shared" si="5"/>
        <v>45</v>
      </c>
      <c r="AB96" s="50" t="s">
        <v>85</v>
      </c>
      <c r="AC96" s="101">
        <f>INDEX(Tab_Def_Flows[[Flow_ID]:[CC_DM_source]],MATCH(Tab_Data_Flows[[#This Row],[Name(EN)]],Tab_Def_Flows[Name(EN)],0),14)</f>
        <v>0</v>
      </c>
      <c r="AD96" s="102">
        <f>IF(J96="Yes",AA96*Tab_Data_Flows[[#This Row],[WC_'[%']]],"N.A.")</f>
        <v>0</v>
      </c>
      <c r="AE96" s="58" t="str">
        <f>Tab_Data_Flows[[#This Row],[UoM_Flow_Py]]</f>
        <v>Mg</v>
      </c>
      <c r="AF96" s="101">
        <f>INDEX(Tab_Def_Flows[[Flow_ID]:[CC_DM_source]],MATCH(Tab_Data_Flows[[#This Row],[Name(EN)]],Tab_Def_Flows[Name(EN)],0),16)</f>
        <v>1</v>
      </c>
      <c r="AG96" s="102">
        <f>IF(K96="Yes",AF96*Tab_Data_Flows[[#This Row],[Flow_Py]],"N.A.")</f>
        <v>45</v>
      </c>
      <c r="AH96" s="58" t="str">
        <f>Tab_Data_Flows[[#This Row],[UoM_Flow_Py]]</f>
        <v>Mg</v>
      </c>
      <c r="AI96" s="101">
        <f>INDEX(Tab_Def_Flows[[Flow_ID]:[CC_DM_source]],MATCH(Tab_Data_Flows[[#This Row],[Name(EN)]],Tab_Def_Flows[Name(EN)],0),18)</f>
        <v>0.5</v>
      </c>
      <c r="AJ96" s="102">
        <f>IF(L96="Yes",AI96*Tab_Data_Flows[[#This Row],[Flow_Py]]*Tab_Data_Flows[[#This Row],[DM_'[%']]],"N.A.")</f>
        <v>22.5</v>
      </c>
      <c r="AK96" s="58" t="str">
        <f>Tab_Data_Flows[[#This Row],[UoM_Flow_Py]]</f>
        <v>Mg</v>
      </c>
    </row>
    <row r="97" spans="1:37" x14ac:dyDescent="0.25">
      <c r="A97" s="57">
        <f t="shared" si="4"/>
        <v>96</v>
      </c>
      <c r="B97" s="48" t="str">
        <f>_xlfn.XLOOKUP(C97,Tab_Def_Flows[Name(EN)],Tab_Def_Flows[Flow_ID],,0,)</f>
        <v>F_00_01</v>
      </c>
      <c r="C97" s="50" t="s">
        <v>107</v>
      </c>
      <c r="D97" s="48"/>
      <c r="E97" s="48" t="str">
        <f>_xlfn.XLOOKUP(C97,Tab_Def_Flows[Name(EN)],Tab_Def_Flows[Output_Process],,0,)</f>
        <v>Biosphere</v>
      </c>
      <c r="F97" s="48" t="str">
        <f>_xlfn.XLOOKUP(C97,Tab_Def_Flows[Name(EN)],Tab_Def_Flows[Process_ID_O],,0,)</f>
        <v>00_Bio_</v>
      </c>
      <c r="G97" s="48" t="str">
        <f>_xlfn.XLOOKUP(C97,Tab_Def_Flows[Name(EN)],Tab_Def_Flows[Input_Process],,0,)</f>
        <v>Raw Material Extraction</v>
      </c>
      <c r="H97" s="58" t="str">
        <f>_xlfn.XLOOKUP(C97,Tab_Def_Flows[Name(EN)],Tab_Def_Flows[Process_ID_I],,0,)</f>
        <v>01_Raw_</v>
      </c>
      <c r="I97" s="48">
        <f>_xlfn.XLOOKUP(C97,Tab_Def_Flows[Name(EN)],Tab_Def_Flows[Value_Source],,0,)</f>
        <v>0</v>
      </c>
      <c r="J97" s="48" t="str">
        <f>_xlfn.XLOOKUP(C97,Tab_Def_Flows[Name(EN)],Tab_Def_Flows[WC?],,0,)</f>
        <v>Yes</v>
      </c>
      <c r="K97" s="48" t="str">
        <f>_xlfn.XLOOKUP(C97,Tab_Def_Flows[Name(EN)],Tab_Def_Flows[DM?],,0,)</f>
        <v>Yes</v>
      </c>
      <c r="L97" s="48" t="str">
        <f>_xlfn.XLOOKUP(C97,Tab_Def_Flows[Name(EN)],Tab_Def_Flows[CC?],,0,)</f>
        <v>Yes</v>
      </c>
      <c r="M97" s="50">
        <v>2015</v>
      </c>
      <c r="N97" s="50"/>
      <c r="O97" s="108">
        <v>83.6</v>
      </c>
      <c r="P97" s="50" t="s">
        <v>85</v>
      </c>
      <c r="Q97" s="50"/>
      <c r="R97" s="50" t="e">
        <f>INDEX(Tab_WC_DM_CC[[Flow_ID]:[CC_source]],MATCH(Tab_Data_Flows[[#This Row],[Name(EN)]],Tab_WC_DM_CC[Name(EN)],0),12)</f>
        <v>#N/A</v>
      </c>
      <c r="S97" s="50" t="e">
        <f>MATCH(Tab_Data_Flows[[#This Row],[Name(EN)]],Tab_WC_DM_CC[Name(EN)],0)</f>
        <v>#N/A</v>
      </c>
      <c r="T97" s="50"/>
      <c r="U97" s="50"/>
      <c r="V97" s="50"/>
      <c r="W97" s="50"/>
      <c r="X97" s="50" t="s">
        <v>84</v>
      </c>
      <c r="Y97" s="50"/>
      <c r="Z97" s="50"/>
      <c r="AA97" s="80">
        <f t="shared" si="5"/>
        <v>83.6</v>
      </c>
      <c r="AB97" s="50" t="s">
        <v>85</v>
      </c>
      <c r="AC97" s="101">
        <f>INDEX(Tab_Def_Flows[[Flow_ID]:[CC_DM_source]],MATCH(Tab_Data_Flows[[#This Row],[Name(EN)]],Tab_Def_Flows[Name(EN)],0),14)</f>
        <v>0</v>
      </c>
      <c r="AD97" s="102">
        <f>IF(J97="Yes",AA97*Tab_Data_Flows[[#This Row],[WC_'[%']]],"N.A.")</f>
        <v>0</v>
      </c>
      <c r="AE97" s="58" t="str">
        <f>Tab_Data_Flows[[#This Row],[UoM_Flow_Py]]</f>
        <v>Mg</v>
      </c>
      <c r="AF97" s="101">
        <f>INDEX(Tab_Def_Flows[[Flow_ID]:[CC_DM_source]],MATCH(Tab_Data_Flows[[#This Row],[Name(EN)]],Tab_Def_Flows[Name(EN)],0),16)</f>
        <v>1</v>
      </c>
      <c r="AG97" s="102">
        <f>IF(K97="Yes",AF97*Tab_Data_Flows[[#This Row],[Flow_Py]],"N.A.")</f>
        <v>83.6</v>
      </c>
      <c r="AH97" s="58" t="str">
        <f>Tab_Data_Flows[[#This Row],[UoM_Flow_Py]]</f>
        <v>Mg</v>
      </c>
      <c r="AI97" s="101">
        <f>INDEX(Tab_Def_Flows[[Flow_ID]:[CC_DM_source]],MATCH(Tab_Data_Flows[[#This Row],[Name(EN)]],Tab_Def_Flows[Name(EN)],0),18)</f>
        <v>0.5</v>
      </c>
      <c r="AJ97" s="102">
        <f>IF(L97="Yes",AI97*Tab_Data_Flows[[#This Row],[Flow_Py]]*Tab_Data_Flows[[#This Row],[DM_'[%']]],"N.A.")</f>
        <v>41.8</v>
      </c>
      <c r="AK97" s="58" t="str">
        <f>Tab_Data_Flows[[#This Row],[UoM_Flow_Py]]</f>
        <v>Mg</v>
      </c>
    </row>
    <row r="98" spans="1:37" x14ac:dyDescent="0.25">
      <c r="A98" s="57">
        <f t="shared" si="4"/>
        <v>97</v>
      </c>
      <c r="B98" s="48" t="str">
        <f>_xlfn.XLOOKUP(C98,Tab_Def_Flows[Name(EN)],Tab_Def_Flows[Flow_ID],,0,)</f>
        <v>F_00_01</v>
      </c>
      <c r="C98" s="50" t="s">
        <v>107</v>
      </c>
      <c r="D98" s="48"/>
      <c r="E98" s="48" t="str">
        <f>_xlfn.XLOOKUP(C98,Tab_Def_Flows[Name(EN)],Tab_Def_Flows[Output_Process],,0,)</f>
        <v>Biosphere</v>
      </c>
      <c r="F98" s="48" t="str">
        <f>_xlfn.XLOOKUP(C98,Tab_Def_Flows[Name(EN)],Tab_Def_Flows[Process_ID_O],,0,)</f>
        <v>00_Bio_</v>
      </c>
      <c r="G98" s="48" t="str">
        <f>_xlfn.XLOOKUP(C98,Tab_Def_Flows[Name(EN)],Tab_Def_Flows[Input_Process],,0,)</f>
        <v>Raw Material Extraction</v>
      </c>
      <c r="H98" s="58" t="str">
        <f>_xlfn.XLOOKUP(C98,Tab_Def_Flows[Name(EN)],Tab_Def_Flows[Process_ID_I],,0,)</f>
        <v>01_Raw_</v>
      </c>
      <c r="I98" s="48">
        <f>_xlfn.XLOOKUP(C98,Tab_Def_Flows[Name(EN)],Tab_Def_Flows[Value_Source],,0,)</f>
        <v>0</v>
      </c>
      <c r="J98" s="48" t="str">
        <f>_xlfn.XLOOKUP(C98,Tab_Def_Flows[Name(EN)],Tab_Def_Flows[WC?],,0,)</f>
        <v>Yes</v>
      </c>
      <c r="K98" s="48" t="str">
        <f>_xlfn.XLOOKUP(C98,Tab_Def_Flows[Name(EN)],Tab_Def_Flows[DM?],,0,)</f>
        <v>Yes</v>
      </c>
      <c r="L98" s="48" t="str">
        <f>_xlfn.XLOOKUP(C98,Tab_Def_Flows[Name(EN)],Tab_Def_Flows[CC?],,0,)</f>
        <v>Yes</v>
      </c>
      <c r="M98" s="50">
        <v>2016</v>
      </c>
      <c r="N98" s="50"/>
      <c r="O98" s="108">
        <v>12.8</v>
      </c>
      <c r="P98" s="50" t="s">
        <v>85</v>
      </c>
      <c r="Q98" s="50"/>
      <c r="R98" s="50" t="e">
        <f>INDEX(Tab_WC_DM_CC[[Flow_ID]:[CC_source]],MATCH(Tab_Data_Flows[[#This Row],[Name(EN)]],Tab_WC_DM_CC[Name(EN)],0),12)</f>
        <v>#N/A</v>
      </c>
      <c r="S98" s="50" t="e">
        <f>MATCH(Tab_Data_Flows[[#This Row],[Name(EN)]],Tab_WC_DM_CC[Name(EN)],0)</f>
        <v>#N/A</v>
      </c>
      <c r="T98" s="50"/>
      <c r="U98" s="50"/>
      <c r="V98" s="50"/>
      <c r="W98" s="50"/>
      <c r="X98" s="50" t="s">
        <v>84</v>
      </c>
      <c r="Y98" s="50"/>
      <c r="Z98" s="50"/>
      <c r="AA98" s="80">
        <f t="shared" si="5"/>
        <v>12.8</v>
      </c>
      <c r="AB98" s="50" t="s">
        <v>85</v>
      </c>
      <c r="AC98" s="101">
        <f>INDEX(Tab_Def_Flows[[Flow_ID]:[CC_DM_source]],MATCH(Tab_Data_Flows[[#This Row],[Name(EN)]],Tab_Def_Flows[Name(EN)],0),14)</f>
        <v>0</v>
      </c>
      <c r="AD98" s="102">
        <f>IF(J98="Yes",AA98*Tab_Data_Flows[[#This Row],[WC_'[%']]],"N.A.")</f>
        <v>0</v>
      </c>
      <c r="AE98" s="58" t="str">
        <f>Tab_Data_Flows[[#This Row],[UoM_Flow_Py]]</f>
        <v>Mg</v>
      </c>
      <c r="AF98" s="101">
        <f>INDEX(Tab_Def_Flows[[Flow_ID]:[CC_DM_source]],MATCH(Tab_Data_Flows[[#This Row],[Name(EN)]],Tab_Def_Flows[Name(EN)],0),16)</f>
        <v>1</v>
      </c>
      <c r="AG98" s="102">
        <f>IF(K98="Yes",AF98*Tab_Data_Flows[[#This Row],[Flow_Py]],"N.A.")</f>
        <v>12.8</v>
      </c>
      <c r="AH98" s="58" t="str">
        <f>Tab_Data_Flows[[#This Row],[UoM_Flow_Py]]</f>
        <v>Mg</v>
      </c>
      <c r="AI98" s="101">
        <f>INDEX(Tab_Def_Flows[[Flow_ID]:[CC_DM_source]],MATCH(Tab_Data_Flows[[#This Row],[Name(EN)]],Tab_Def_Flows[Name(EN)],0),18)</f>
        <v>0.5</v>
      </c>
      <c r="AJ98" s="102">
        <f>IF(L98="Yes",AI98*Tab_Data_Flows[[#This Row],[Flow_Py]]*Tab_Data_Flows[[#This Row],[DM_'[%']]],"N.A.")</f>
        <v>6.4</v>
      </c>
      <c r="AK98" s="58" t="str">
        <f>Tab_Data_Flows[[#This Row],[UoM_Flow_Py]]</f>
        <v>Mg</v>
      </c>
    </row>
    <row r="99" spans="1:37" x14ac:dyDescent="0.25">
      <c r="A99" s="57">
        <f t="shared" si="4"/>
        <v>98</v>
      </c>
      <c r="B99" s="48" t="str">
        <f>_xlfn.XLOOKUP(C99,Tab_Def_Flows[Name(EN)],Tab_Def_Flows[Flow_ID],,0,)</f>
        <v>F_00_01</v>
      </c>
      <c r="C99" s="50" t="s">
        <v>107</v>
      </c>
      <c r="D99" s="48"/>
      <c r="E99" s="48" t="str">
        <f>_xlfn.XLOOKUP(C99,Tab_Def_Flows[Name(EN)],Tab_Def_Flows[Output_Process],,0,)</f>
        <v>Biosphere</v>
      </c>
      <c r="F99" s="48" t="str">
        <f>_xlfn.XLOOKUP(C99,Tab_Def_Flows[Name(EN)],Tab_Def_Flows[Process_ID_O],,0,)</f>
        <v>00_Bio_</v>
      </c>
      <c r="G99" s="48" t="str">
        <f>_xlfn.XLOOKUP(C99,Tab_Def_Flows[Name(EN)],Tab_Def_Flows[Input_Process],,0,)</f>
        <v>Raw Material Extraction</v>
      </c>
      <c r="H99" s="58" t="str">
        <f>_xlfn.XLOOKUP(C99,Tab_Def_Flows[Name(EN)],Tab_Def_Flows[Process_ID_I],,0,)</f>
        <v>01_Raw_</v>
      </c>
      <c r="I99" s="48">
        <f>_xlfn.XLOOKUP(C99,Tab_Def_Flows[Name(EN)],Tab_Def_Flows[Value_Source],,0,)</f>
        <v>0</v>
      </c>
      <c r="J99" s="48" t="str">
        <f>_xlfn.XLOOKUP(C99,Tab_Def_Flows[Name(EN)],Tab_Def_Flows[WC?],,0,)</f>
        <v>Yes</v>
      </c>
      <c r="K99" s="48" t="str">
        <f>_xlfn.XLOOKUP(C99,Tab_Def_Flows[Name(EN)],Tab_Def_Flows[DM?],,0,)</f>
        <v>Yes</v>
      </c>
      <c r="L99" s="48" t="str">
        <f>_xlfn.XLOOKUP(C99,Tab_Def_Flows[Name(EN)],Tab_Def_Flows[CC?],,0,)</f>
        <v>Yes</v>
      </c>
      <c r="M99" s="50">
        <v>2017</v>
      </c>
      <c r="N99" s="50"/>
      <c r="O99" s="108">
        <v>6.4</v>
      </c>
      <c r="P99" s="50" t="s">
        <v>85</v>
      </c>
      <c r="Q99" s="50"/>
      <c r="R99" s="50" t="e">
        <f>INDEX(Tab_WC_DM_CC[[Flow_ID]:[CC_source]],MATCH(Tab_Data_Flows[[#This Row],[Name(EN)]],Tab_WC_DM_CC[Name(EN)],0),12)</f>
        <v>#N/A</v>
      </c>
      <c r="S99" s="50" t="e">
        <f>MATCH(Tab_Data_Flows[[#This Row],[Name(EN)]],Tab_WC_DM_CC[Name(EN)],0)</f>
        <v>#N/A</v>
      </c>
      <c r="T99" s="50"/>
      <c r="U99" s="50"/>
      <c r="V99" s="50"/>
      <c r="W99" s="50"/>
      <c r="X99" s="50" t="s">
        <v>84</v>
      </c>
      <c r="Y99" s="50"/>
      <c r="Z99" s="50"/>
      <c r="AA99" s="80">
        <f t="shared" si="5"/>
        <v>6.4</v>
      </c>
      <c r="AB99" s="50" t="s">
        <v>85</v>
      </c>
      <c r="AC99" s="101">
        <f>INDEX(Tab_Def_Flows[[Flow_ID]:[CC_DM_source]],MATCH(Tab_Data_Flows[[#This Row],[Name(EN)]],Tab_Def_Flows[Name(EN)],0),14)</f>
        <v>0</v>
      </c>
      <c r="AD99" s="102">
        <f>IF(J99="Yes",AA99*Tab_Data_Flows[[#This Row],[WC_'[%']]],"N.A.")</f>
        <v>0</v>
      </c>
      <c r="AE99" s="58" t="str">
        <f>Tab_Data_Flows[[#This Row],[UoM_Flow_Py]]</f>
        <v>Mg</v>
      </c>
      <c r="AF99" s="101">
        <f>INDEX(Tab_Def_Flows[[Flow_ID]:[CC_DM_source]],MATCH(Tab_Data_Flows[[#This Row],[Name(EN)]],Tab_Def_Flows[Name(EN)],0),16)</f>
        <v>1</v>
      </c>
      <c r="AG99" s="102">
        <f>IF(K99="Yes",AF99*Tab_Data_Flows[[#This Row],[Flow_Py]],"N.A.")</f>
        <v>6.4</v>
      </c>
      <c r="AH99" s="58" t="str">
        <f>Tab_Data_Flows[[#This Row],[UoM_Flow_Py]]</f>
        <v>Mg</v>
      </c>
      <c r="AI99" s="101">
        <f>INDEX(Tab_Def_Flows[[Flow_ID]:[CC_DM_source]],MATCH(Tab_Data_Flows[[#This Row],[Name(EN)]],Tab_Def_Flows[Name(EN)],0),18)</f>
        <v>0.5</v>
      </c>
      <c r="AJ99" s="102">
        <f>IF(L99="Yes",AI99*Tab_Data_Flows[[#This Row],[Flow_Py]]*Tab_Data_Flows[[#This Row],[DM_'[%']]],"N.A.")</f>
        <v>3.2</v>
      </c>
      <c r="AK99" s="58" t="str">
        <f>Tab_Data_Flows[[#This Row],[UoM_Flow_Py]]</f>
        <v>Mg</v>
      </c>
    </row>
    <row r="100" spans="1:37" x14ac:dyDescent="0.25">
      <c r="A100" s="57">
        <f t="shared" si="4"/>
        <v>99</v>
      </c>
      <c r="B100" s="48" t="str">
        <f>_xlfn.XLOOKUP(C100,Tab_Def_Flows[Name(EN)],Tab_Def_Flows[Flow_ID],,0,)</f>
        <v>F_00_01</v>
      </c>
      <c r="C100" s="50" t="s">
        <v>107</v>
      </c>
      <c r="D100" s="48"/>
      <c r="E100" s="48" t="str">
        <f>_xlfn.XLOOKUP(C100,Tab_Def_Flows[Name(EN)],Tab_Def_Flows[Output_Process],,0,)</f>
        <v>Biosphere</v>
      </c>
      <c r="F100" s="48" t="str">
        <f>_xlfn.XLOOKUP(C100,Tab_Def_Flows[Name(EN)],Tab_Def_Flows[Process_ID_O],,0,)</f>
        <v>00_Bio_</v>
      </c>
      <c r="G100" s="48" t="str">
        <f>_xlfn.XLOOKUP(C100,Tab_Def_Flows[Name(EN)],Tab_Def_Flows[Input_Process],,0,)</f>
        <v>Raw Material Extraction</v>
      </c>
      <c r="H100" s="58" t="str">
        <f>_xlfn.XLOOKUP(C100,Tab_Def_Flows[Name(EN)],Tab_Def_Flows[Process_ID_I],,0,)</f>
        <v>01_Raw_</v>
      </c>
      <c r="I100" s="48">
        <f>_xlfn.XLOOKUP(C100,Tab_Def_Flows[Name(EN)],Tab_Def_Flows[Value_Source],,0,)</f>
        <v>0</v>
      </c>
      <c r="J100" s="48" t="str">
        <f>_xlfn.XLOOKUP(C100,Tab_Def_Flows[Name(EN)],Tab_Def_Flows[WC?],,0,)</f>
        <v>Yes</v>
      </c>
      <c r="K100" s="48" t="str">
        <f>_xlfn.XLOOKUP(C100,Tab_Def_Flows[Name(EN)],Tab_Def_Flows[DM?],,0,)</f>
        <v>Yes</v>
      </c>
      <c r="L100" s="48" t="str">
        <f>_xlfn.XLOOKUP(C100,Tab_Def_Flows[Name(EN)],Tab_Def_Flows[CC?],,0,)</f>
        <v>Yes</v>
      </c>
      <c r="M100" s="50">
        <v>2018</v>
      </c>
      <c r="N100" s="50"/>
      <c r="O100" s="108">
        <v>25.8</v>
      </c>
      <c r="P100" s="50" t="s">
        <v>85</v>
      </c>
      <c r="Q100" s="50"/>
      <c r="R100" s="50" t="e">
        <f>INDEX(Tab_WC_DM_CC[[Flow_ID]:[CC_source]],MATCH(Tab_Data_Flows[[#This Row],[Name(EN)]],Tab_WC_DM_CC[Name(EN)],0),12)</f>
        <v>#N/A</v>
      </c>
      <c r="S100" s="50" t="e">
        <f>MATCH(Tab_Data_Flows[[#This Row],[Name(EN)]],Tab_WC_DM_CC[Name(EN)],0)</f>
        <v>#N/A</v>
      </c>
      <c r="T100" s="50"/>
      <c r="U100" s="50"/>
      <c r="V100" s="50"/>
      <c r="W100" s="50"/>
      <c r="X100" s="50" t="s">
        <v>84</v>
      </c>
      <c r="Y100" s="50"/>
      <c r="Z100" s="50"/>
      <c r="AA100" s="80">
        <f t="shared" si="5"/>
        <v>25.8</v>
      </c>
      <c r="AB100" s="50" t="s">
        <v>85</v>
      </c>
      <c r="AC100" s="101">
        <f>INDEX(Tab_Def_Flows[[Flow_ID]:[CC_DM_source]],MATCH(Tab_Data_Flows[[#This Row],[Name(EN)]],Tab_Def_Flows[Name(EN)],0),14)</f>
        <v>0</v>
      </c>
      <c r="AD100" s="102">
        <f>IF(J100="Yes",AA100*Tab_Data_Flows[[#This Row],[WC_'[%']]],"N.A.")</f>
        <v>0</v>
      </c>
      <c r="AE100" s="58" t="str">
        <f>Tab_Data_Flows[[#This Row],[UoM_Flow_Py]]</f>
        <v>Mg</v>
      </c>
      <c r="AF100" s="101">
        <f>INDEX(Tab_Def_Flows[[Flow_ID]:[CC_DM_source]],MATCH(Tab_Data_Flows[[#This Row],[Name(EN)]],Tab_Def_Flows[Name(EN)],0),16)</f>
        <v>1</v>
      </c>
      <c r="AG100" s="102">
        <f>IF(K100="Yes",AF100*Tab_Data_Flows[[#This Row],[Flow_Py]],"N.A.")</f>
        <v>25.8</v>
      </c>
      <c r="AH100" s="58" t="str">
        <f>Tab_Data_Flows[[#This Row],[UoM_Flow_Py]]</f>
        <v>Mg</v>
      </c>
      <c r="AI100" s="101">
        <f>INDEX(Tab_Def_Flows[[Flow_ID]:[CC_DM_source]],MATCH(Tab_Data_Flows[[#This Row],[Name(EN)]],Tab_Def_Flows[Name(EN)],0),18)</f>
        <v>0.5</v>
      </c>
      <c r="AJ100" s="102">
        <f>IF(L100="Yes",AI100*Tab_Data_Flows[[#This Row],[Flow_Py]]*Tab_Data_Flows[[#This Row],[DM_'[%']]],"N.A.")</f>
        <v>12.9</v>
      </c>
      <c r="AK100" s="58" t="str">
        <f>Tab_Data_Flows[[#This Row],[UoM_Flow_Py]]</f>
        <v>Mg</v>
      </c>
    </row>
    <row r="101" spans="1:37" x14ac:dyDescent="0.25">
      <c r="A101" s="57">
        <f t="shared" si="4"/>
        <v>100</v>
      </c>
      <c r="B101" s="48" t="str">
        <f>_xlfn.XLOOKUP(C101,Tab_Def_Flows[Name(EN)],Tab_Def_Flows[Flow_ID],,0,)</f>
        <v>F_00_01</v>
      </c>
      <c r="C101" s="50" t="s">
        <v>107</v>
      </c>
      <c r="D101" s="48"/>
      <c r="E101" s="48" t="str">
        <f>_xlfn.XLOOKUP(C101,Tab_Def_Flows[Name(EN)],Tab_Def_Flows[Output_Process],,0,)</f>
        <v>Biosphere</v>
      </c>
      <c r="F101" s="48" t="str">
        <f>_xlfn.XLOOKUP(C101,Tab_Def_Flows[Name(EN)],Tab_Def_Flows[Process_ID_O],,0,)</f>
        <v>00_Bio_</v>
      </c>
      <c r="G101" s="48" t="str">
        <f>_xlfn.XLOOKUP(C101,Tab_Def_Flows[Name(EN)],Tab_Def_Flows[Input_Process],,0,)</f>
        <v>Raw Material Extraction</v>
      </c>
      <c r="H101" s="58" t="str">
        <f>_xlfn.XLOOKUP(C101,Tab_Def_Flows[Name(EN)],Tab_Def_Flows[Process_ID_I],,0,)</f>
        <v>01_Raw_</v>
      </c>
      <c r="I101" s="48">
        <f>_xlfn.XLOOKUP(C101,Tab_Def_Flows[Name(EN)],Tab_Def_Flows[Value_Source],,0,)</f>
        <v>0</v>
      </c>
      <c r="J101" s="48" t="str">
        <f>_xlfn.XLOOKUP(C101,Tab_Def_Flows[Name(EN)],Tab_Def_Flows[WC?],,0,)</f>
        <v>Yes</v>
      </c>
      <c r="K101" s="48" t="str">
        <f>_xlfn.XLOOKUP(C101,Tab_Def_Flows[Name(EN)],Tab_Def_Flows[DM?],,0,)</f>
        <v>Yes</v>
      </c>
      <c r="L101" s="48" t="str">
        <f>_xlfn.XLOOKUP(C101,Tab_Def_Flows[Name(EN)],Tab_Def_Flows[CC?],,0,)</f>
        <v>Yes</v>
      </c>
      <c r="M101" s="50">
        <v>2019</v>
      </c>
      <c r="N101" s="50"/>
      <c r="O101" s="108">
        <v>19.2</v>
      </c>
      <c r="P101" s="50" t="s">
        <v>85</v>
      </c>
      <c r="Q101" s="50"/>
      <c r="R101" s="50" t="e">
        <f>INDEX(Tab_WC_DM_CC[[Flow_ID]:[CC_source]],MATCH(Tab_Data_Flows[[#This Row],[Name(EN)]],Tab_WC_DM_CC[Name(EN)],0),12)</f>
        <v>#N/A</v>
      </c>
      <c r="S101" s="50" t="e">
        <f>MATCH(Tab_Data_Flows[[#This Row],[Name(EN)]],Tab_WC_DM_CC[Name(EN)],0)</f>
        <v>#N/A</v>
      </c>
      <c r="T101" s="50"/>
      <c r="U101" s="50"/>
      <c r="V101" s="50"/>
      <c r="W101" s="50"/>
      <c r="X101" s="50" t="s">
        <v>84</v>
      </c>
      <c r="Y101" s="50"/>
      <c r="Z101" s="50"/>
      <c r="AA101" s="80">
        <f t="shared" si="5"/>
        <v>19.2</v>
      </c>
      <c r="AB101" s="50" t="s">
        <v>85</v>
      </c>
      <c r="AC101" s="101">
        <f>INDEX(Tab_Def_Flows[[Flow_ID]:[CC_DM_source]],MATCH(Tab_Data_Flows[[#This Row],[Name(EN)]],Tab_Def_Flows[Name(EN)],0),14)</f>
        <v>0</v>
      </c>
      <c r="AD101" s="102">
        <f>IF(J101="Yes",AA101*Tab_Data_Flows[[#This Row],[WC_'[%']]],"N.A.")</f>
        <v>0</v>
      </c>
      <c r="AE101" s="58" t="str">
        <f>Tab_Data_Flows[[#This Row],[UoM_Flow_Py]]</f>
        <v>Mg</v>
      </c>
      <c r="AF101" s="101">
        <f>INDEX(Tab_Def_Flows[[Flow_ID]:[CC_DM_source]],MATCH(Tab_Data_Flows[[#This Row],[Name(EN)]],Tab_Def_Flows[Name(EN)],0),16)</f>
        <v>1</v>
      </c>
      <c r="AG101" s="102">
        <f>IF(K101="Yes",AF101*Tab_Data_Flows[[#This Row],[Flow_Py]],"N.A.")</f>
        <v>19.2</v>
      </c>
      <c r="AH101" s="58" t="str">
        <f>Tab_Data_Flows[[#This Row],[UoM_Flow_Py]]</f>
        <v>Mg</v>
      </c>
      <c r="AI101" s="101">
        <f>INDEX(Tab_Def_Flows[[Flow_ID]:[CC_DM_source]],MATCH(Tab_Data_Flows[[#This Row],[Name(EN)]],Tab_Def_Flows[Name(EN)],0),18)</f>
        <v>0.5</v>
      </c>
      <c r="AJ101" s="102">
        <f>IF(L101="Yes",AI101*Tab_Data_Flows[[#This Row],[Flow_Py]]*Tab_Data_Flows[[#This Row],[DM_'[%']]],"N.A.")</f>
        <v>9.6</v>
      </c>
      <c r="AK101" s="58" t="str">
        <f>Tab_Data_Flows[[#This Row],[UoM_Flow_Py]]</f>
        <v>Mg</v>
      </c>
    </row>
    <row r="102" spans="1:37" x14ac:dyDescent="0.25">
      <c r="A102" s="57">
        <f t="shared" si="4"/>
        <v>101</v>
      </c>
      <c r="B102" s="48" t="str">
        <f>_xlfn.XLOOKUP(C102,Tab_Def_Flows[Name(EN)],Tab_Def_Flows[Flow_ID],,0,)</f>
        <v>F_00_01</v>
      </c>
      <c r="C102" s="50" t="s">
        <v>107</v>
      </c>
      <c r="D102" s="48"/>
      <c r="E102" s="48" t="str">
        <f>_xlfn.XLOOKUP(C102,Tab_Def_Flows[Name(EN)],Tab_Def_Flows[Output_Process],,0,)</f>
        <v>Biosphere</v>
      </c>
      <c r="F102" s="48" t="str">
        <f>_xlfn.XLOOKUP(C102,Tab_Def_Flows[Name(EN)],Tab_Def_Flows[Process_ID_O],,0,)</f>
        <v>00_Bio_</v>
      </c>
      <c r="G102" s="48" t="str">
        <f>_xlfn.XLOOKUP(C102,Tab_Def_Flows[Name(EN)],Tab_Def_Flows[Input_Process],,0,)</f>
        <v>Raw Material Extraction</v>
      </c>
      <c r="H102" s="58" t="str">
        <f>_xlfn.XLOOKUP(C102,Tab_Def_Flows[Name(EN)],Tab_Def_Flows[Process_ID_I],,0,)</f>
        <v>01_Raw_</v>
      </c>
      <c r="I102" s="48">
        <f>_xlfn.XLOOKUP(C102,Tab_Def_Flows[Name(EN)],Tab_Def_Flows[Value_Source],,0,)</f>
        <v>0</v>
      </c>
      <c r="J102" s="48" t="str">
        <f>_xlfn.XLOOKUP(C102,Tab_Def_Flows[Name(EN)],Tab_Def_Flows[WC?],,0,)</f>
        <v>Yes</v>
      </c>
      <c r="K102" s="48" t="str">
        <f>_xlfn.XLOOKUP(C102,Tab_Def_Flows[Name(EN)],Tab_Def_Flows[DM?],,0,)</f>
        <v>Yes</v>
      </c>
      <c r="L102" s="48" t="str">
        <f>_xlfn.XLOOKUP(C102,Tab_Def_Flows[Name(EN)],Tab_Def_Flows[CC?],,0,)</f>
        <v>Yes</v>
      </c>
      <c r="M102" s="50">
        <v>2020</v>
      </c>
      <c r="N102" s="50"/>
      <c r="O102" s="108">
        <v>32.200000000000003</v>
      </c>
      <c r="P102" s="50" t="s">
        <v>85</v>
      </c>
      <c r="Q102" s="50"/>
      <c r="R102" s="50" t="e">
        <f>INDEX(Tab_WC_DM_CC[[Flow_ID]:[CC_source]],MATCH(Tab_Data_Flows[[#This Row],[Name(EN)]],Tab_WC_DM_CC[Name(EN)],0),12)</f>
        <v>#N/A</v>
      </c>
      <c r="S102" s="50" t="e">
        <f>MATCH(Tab_Data_Flows[[#This Row],[Name(EN)]],Tab_WC_DM_CC[Name(EN)],0)</f>
        <v>#N/A</v>
      </c>
      <c r="T102" s="50"/>
      <c r="U102" s="50"/>
      <c r="V102" s="50"/>
      <c r="W102" s="50"/>
      <c r="X102" s="50" t="s">
        <v>84</v>
      </c>
      <c r="Y102" s="50"/>
      <c r="Z102" s="50"/>
      <c r="AA102" s="80">
        <f t="shared" si="5"/>
        <v>32.200000000000003</v>
      </c>
      <c r="AB102" s="50" t="s">
        <v>85</v>
      </c>
      <c r="AC102" s="101">
        <f>INDEX(Tab_Def_Flows[[Flow_ID]:[CC_DM_source]],MATCH(Tab_Data_Flows[[#This Row],[Name(EN)]],Tab_Def_Flows[Name(EN)],0),14)</f>
        <v>0</v>
      </c>
      <c r="AD102" s="102">
        <f>IF(J102="Yes",AA102*Tab_Data_Flows[[#This Row],[WC_'[%']]],"N.A.")</f>
        <v>0</v>
      </c>
      <c r="AE102" s="58" t="str">
        <f>Tab_Data_Flows[[#This Row],[UoM_Flow_Py]]</f>
        <v>Mg</v>
      </c>
      <c r="AF102" s="101">
        <f>INDEX(Tab_Def_Flows[[Flow_ID]:[CC_DM_source]],MATCH(Tab_Data_Flows[[#This Row],[Name(EN)]],Tab_Def_Flows[Name(EN)],0),16)</f>
        <v>1</v>
      </c>
      <c r="AG102" s="102">
        <f>IF(K102="Yes",AF102*Tab_Data_Flows[[#This Row],[Flow_Py]],"N.A.")</f>
        <v>32.200000000000003</v>
      </c>
      <c r="AH102" s="58" t="str">
        <f>Tab_Data_Flows[[#This Row],[UoM_Flow_Py]]</f>
        <v>Mg</v>
      </c>
      <c r="AI102" s="101">
        <f>INDEX(Tab_Def_Flows[[Flow_ID]:[CC_DM_source]],MATCH(Tab_Data_Flows[[#This Row],[Name(EN)]],Tab_Def_Flows[Name(EN)],0),18)</f>
        <v>0.5</v>
      </c>
      <c r="AJ102" s="102">
        <f>IF(L102="Yes",AI102*Tab_Data_Flows[[#This Row],[Flow_Py]]*Tab_Data_Flows[[#This Row],[DM_'[%']]],"N.A.")</f>
        <v>16.100000000000001</v>
      </c>
      <c r="AK102" s="58" t="str">
        <f>Tab_Data_Flows[[#This Row],[UoM_Flow_Py]]</f>
        <v>Mg</v>
      </c>
    </row>
    <row r="103" spans="1:37" x14ac:dyDescent="0.25">
      <c r="A103" s="57">
        <f t="shared" si="4"/>
        <v>102</v>
      </c>
      <c r="B103" s="48" t="str">
        <f>_xlfn.XLOOKUP(C103,Tab_Def_Flows[Name(EN)],Tab_Def_Flows[Flow_ID],,0,)</f>
        <v>F_00_01</v>
      </c>
      <c r="C103" s="50" t="s">
        <v>107</v>
      </c>
      <c r="D103" s="48"/>
      <c r="E103" s="48" t="str">
        <f>_xlfn.XLOOKUP(C103,Tab_Def_Flows[Name(EN)],Tab_Def_Flows[Output_Process],,0,)</f>
        <v>Biosphere</v>
      </c>
      <c r="F103" s="48" t="str">
        <f>_xlfn.XLOOKUP(C103,Tab_Def_Flows[Name(EN)],Tab_Def_Flows[Process_ID_O],,0,)</f>
        <v>00_Bio_</v>
      </c>
      <c r="G103" s="48" t="str">
        <f>_xlfn.XLOOKUP(C103,Tab_Def_Flows[Name(EN)],Tab_Def_Flows[Input_Process],,0,)</f>
        <v>Raw Material Extraction</v>
      </c>
      <c r="H103" s="58" t="str">
        <f>_xlfn.XLOOKUP(C103,Tab_Def_Flows[Name(EN)],Tab_Def_Flows[Process_ID_I],,0,)</f>
        <v>01_Raw_</v>
      </c>
      <c r="I103" s="48">
        <f>_xlfn.XLOOKUP(C103,Tab_Def_Flows[Name(EN)],Tab_Def_Flows[Value_Source],,0,)</f>
        <v>0</v>
      </c>
      <c r="J103" s="48" t="str">
        <f>_xlfn.XLOOKUP(C103,Tab_Def_Flows[Name(EN)],Tab_Def_Flows[WC?],,0,)</f>
        <v>Yes</v>
      </c>
      <c r="K103" s="48" t="str">
        <f>_xlfn.XLOOKUP(C103,Tab_Def_Flows[Name(EN)],Tab_Def_Flows[DM?],,0,)</f>
        <v>Yes</v>
      </c>
      <c r="L103" s="48" t="str">
        <f>_xlfn.XLOOKUP(C103,Tab_Def_Flows[Name(EN)],Tab_Def_Flows[CC?],,0,)</f>
        <v>Yes</v>
      </c>
      <c r="M103" s="50">
        <v>2021</v>
      </c>
      <c r="N103" s="50"/>
      <c r="O103" s="108">
        <v>12.8</v>
      </c>
      <c r="P103" s="50" t="s">
        <v>85</v>
      </c>
      <c r="Q103" s="50"/>
      <c r="R103" s="50" t="e">
        <f>INDEX(Tab_WC_DM_CC[[Flow_ID]:[CC_source]],MATCH(Tab_Data_Flows[[#This Row],[Name(EN)]],Tab_WC_DM_CC[Name(EN)],0),12)</f>
        <v>#N/A</v>
      </c>
      <c r="S103" s="50" t="e">
        <f>MATCH(Tab_Data_Flows[[#This Row],[Name(EN)]],Tab_WC_DM_CC[Name(EN)],0)</f>
        <v>#N/A</v>
      </c>
      <c r="T103" s="50"/>
      <c r="U103" s="50"/>
      <c r="V103" s="50"/>
      <c r="W103" s="50"/>
      <c r="X103" s="50" t="s">
        <v>84</v>
      </c>
      <c r="Y103" s="50"/>
      <c r="Z103" s="50"/>
      <c r="AA103" s="80">
        <f t="shared" si="5"/>
        <v>12.8</v>
      </c>
      <c r="AB103" s="50" t="s">
        <v>85</v>
      </c>
      <c r="AC103" s="101">
        <f>INDEX(Tab_Def_Flows[[Flow_ID]:[CC_DM_source]],MATCH(Tab_Data_Flows[[#This Row],[Name(EN)]],Tab_Def_Flows[Name(EN)],0),14)</f>
        <v>0</v>
      </c>
      <c r="AD103" s="102">
        <f>IF(J103="Yes",AA103*Tab_Data_Flows[[#This Row],[WC_'[%']]],"N.A.")</f>
        <v>0</v>
      </c>
      <c r="AE103" s="58" t="str">
        <f>Tab_Data_Flows[[#This Row],[UoM_Flow_Py]]</f>
        <v>Mg</v>
      </c>
      <c r="AF103" s="101">
        <f>INDEX(Tab_Def_Flows[[Flow_ID]:[CC_DM_source]],MATCH(Tab_Data_Flows[[#This Row],[Name(EN)]],Tab_Def_Flows[Name(EN)],0),16)</f>
        <v>1</v>
      </c>
      <c r="AG103" s="102">
        <f>IF(K103="Yes",AF103*Tab_Data_Flows[[#This Row],[Flow_Py]],"N.A.")</f>
        <v>12.8</v>
      </c>
      <c r="AH103" s="58" t="str">
        <f>Tab_Data_Flows[[#This Row],[UoM_Flow_Py]]</f>
        <v>Mg</v>
      </c>
      <c r="AI103" s="101">
        <f>INDEX(Tab_Def_Flows[[Flow_ID]:[CC_DM_source]],MATCH(Tab_Data_Flows[[#This Row],[Name(EN)]],Tab_Def_Flows[Name(EN)],0),18)</f>
        <v>0.5</v>
      </c>
      <c r="AJ103" s="102">
        <f>IF(L103="Yes",AI103*Tab_Data_Flows[[#This Row],[Flow_Py]]*Tab_Data_Flows[[#This Row],[DM_'[%']]],"N.A.")</f>
        <v>6.4</v>
      </c>
      <c r="AK103" s="58" t="str">
        <f>Tab_Data_Flows[[#This Row],[UoM_Flow_Py]]</f>
        <v>Mg</v>
      </c>
    </row>
    <row r="104" spans="1:37" x14ac:dyDescent="0.25">
      <c r="A104" s="57">
        <f t="shared" si="4"/>
        <v>103</v>
      </c>
      <c r="B104" s="48" t="str">
        <f>_xlfn.XLOOKUP(C104,Tab_Def_Flows[Name(EN)],Tab_Def_Flows[Flow_ID],,0,)</f>
        <v>F_00_01</v>
      </c>
      <c r="C104" s="50" t="s">
        <v>107</v>
      </c>
      <c r="D104" s="48"/>
      <c r="E104" s="48" t="str">
        <f>_xlfn.XLOOKUP(C104,Tab_Def_Flows[Name(EN)],Tab_Def_Flows[Output_Process],,0,)</f>
        <v>Biosphere</v>
      </c>
      <c r="F104" s="48" t="str">
        <f>_xlfn.XLOOKUP(C104,Tab_Def_Flows[Name(EN)],Tab_Def_Flows[Process_ID_O],,0,)</f>
        <v>00_Bio_</v>
      </c>
      <c r="G104" s="48" t="str">
        <f>_xlfn.XLOOKUP(C104,Tab_Def_Flows[Name(EN)],Tab_Def_Flows[Input_Process],,0,)</f>
        <v>Raw Material Extraction</v>
      </c>
      <c r="H104" s="58" t="str">
        <f>_xlfn.XLOOKUP(C104,Tab_Def_Flows[Name(EN)],Tab_Def_Flows[Process_ID_I],,0,)</f>
        <v>01_Raw_</v>
      </c>
      <c r="I104" s="48">
        <f>_xlfn.XLOOKUP(C104,Tab_Def_Flows[Name(EN)],Tab_Def_Flows[Value_Source],,0,)</f>
        <v>0</v>
      </c>
      <c r="J104" s="48" t="str">
        <f>_xlfn.XLOOKUP(C104,Tab_Def_Flows[Name(EN)],Tab_Def_Flows[WC?],,0,)</f>
        <v>Yes</v>
      </c>
      <c r="K104" s="48" t="str">
        <f>_xlfn.XLOOKUP(C104,Tab_Def_Flows[Name(EN)],Tab_Def_Flows[DM?],,0,)</f>
        <v>Yes</v>
      </c>
      <c r="L104" s="48" t="str">
        <f>_xlfn.XLOOKUP(C104,Tab_Def_Flows[Name(EN)],Tab_Def_Flows[CC?],,0,)</f>
        <v>Yes</v>
      </c>
      <c r="M104" s="50">
        <v>2022</v>
      </c>
      <c r="N104" s="50"/>
      <c r="O104" s="108">
        <v>19.2</v>
      </c>
      <c r="P104" s="50" t="s">
        <v>85</v>
      </c>
      <c r="Q104" s="50"/>
      <c r="R104" s="50" t="e">
        <f>INDEX(Tab_WC_DM_CC[[Flow_ID]:[CC_source]],MATCH(Tab_Data_Flows[[#This Row],[Name(EN)]],Tab_WC_DM_CC[Name(EN)],0),12)</f>
        <v>#N/A</v>
      </c>
      <c r="S104" s="50" t="e">
        <f>MATCH(Tab_Data_Flows[[#This Row],[Name(EN)]],Tab_WC_DM_CC[Name(EN)],0)</f>
        <v>#N/A</v>
      </c>
      <c r="T104" s="50"/>
      <c r="U104" s="50"/>
      <c r="V104" s="50"/>
      <c r="W104" s="50"/>
      <c r="X104" s="50" t="s">
        <v>84</v>
      </c>
      <c r="Y104" s="50"/>
      <c r="Z104" s="50"/>
      <c r="AA104" s="80">
        <f t="shared" si="5"/>
        <v>19.2</v>
      </c>
      <c r="AB104" s="50" t="s">
        <v>85</v>
      </c>
      <c r="AC104" s="101">
        <f>INDEX(Tab_Def_Flows[[Flow_ID]:[CC_DM_source]],MATCH(Tab_Data_Flows[[#This Row],[Name(EN)]],Tab_Def_Flows[Name(EN)],0),14)</f>
        <v>0</v>
      </c>
      <c r="AD104" s="102">
        <f>IF(J104="Yes",AA104*Tab_Data_Flows[[#This Row],[WC_'[%']]],"N.A.")</f>
        <v>0</v>
      </c>
      <c r="AE104" s="58" t="str">
        <f>Tab_Data_Flows[[#This Row],[UoM_Flow_Py]]</f>
        <v>Mg</v>
      </c>
      <c r="AF104" s="101">
        <f>INDEX(Tab_Def_Flows[[Flow_ID]:[CC_DM_source]],MATCH(Tab_Data_Flows[[#This Row],[Name(EN)]],Tab_Def_Flows[Name(EN)],0),16)</f>
        <v>1</v>
      </c>
      <c r="AG104" s="102">
        <f>IF(K104="Yes",AF104*Tab_Data_Flows[[#This Row],[Flow_Py]],"N.A.")</f>
        <v>19.2</v>
      </c>
      <c r="AH104" s="58" t="str">
        <f>Tab_Data_Flows[[#This Row],[UoM_Flow_Py]]</f>
        <v>Mg</v>
      </c>
      <c r="AI104" s="101">
        <f>INDEX(Tab_Def_Flows[[Flow_ID]:[CC_DM_source]],MATCH(Tab_Data_Flows[[#This Row],[Name(EN)]],Tab_Def_Flows[Name(EN)],0),18)</f>
        <v>0.5</v>
      </c>
      <c r="AJ104" s="102">
        <f>IF(L104="Yes",AI104*Tab_Data_Flows[[#This Row],[Flow_Py]]*Tab_Data_Flows[[#This Row],[DM_'[%']]],"N.A.")</f>
        <v>9.6</v>
      </c>
      <c r="AK104" s="58" t="str">
        <f>Tab_Data_Flows[[#This Row],[UoM_Flow_Py]]</f>
        <v>Mg</v>
      </c>
    </row>
    <row r="105" spans="1:37" x14ac:dyDescent="0.25">
      <c r="A105" s="57">
        <f t="shared" si="4"/>
        <v>104</v>
      </c>
      <c r="B105" s="48" t="str">
        <f>_xlfn.XLOOKUP(C105,Tab_Def_Flows[Name(EN)],Tab_Def_Flows[Flow_ID],,0,)</f>
        <v>F_00_01</v>
      </c>
      <c r="C105" s="50" t="s">
        <v>107</v>
      </c>
      <c r="D105" s="48"/>
      <c r="E105" s="48" t="str">
        <f>_xlfn.XLOOKUP(C105,Tab_Def_Flows[Name(EN)],Tab_Def_Flows[Output_Process],,0,)</f>
        <v>Biosphere</v>
      </c>
      <c r="F105" s="48" t="str">
        <f>_xlfn.XLOOKUP(C105,Tab_Def_Flows[Name(EN)],Tab_Def_Flows[Process_ID_O],,0,)</f>
        <v>00_Bio_</v>
      </c>
      <c r="G105" s="48" t="str">
        <f>_xlfn.XLOOKUP(C105,Tab_Def_Flows[Name(EN)],Tab_Def_Flows[Input_Process],,0,)</f>
        <v>Raw Material Extraction</v>
      </c>
      <c r="H105" s="58" t="str">
        <f>_xlfn.XLOOKUP(C105,Tab_Def_Flows[Name(EN)],Tab_Def_Flows[Process_ID_I],,0,)</f>
        <v>01_Raw_</v>
      </c>
      <c r="I105" s="48">
        <f>_xlfn.XLOOKUP(C105,Tab_Def_Flows[Name(EN)],Tab_Def_Flows[Value_Source],,0,)</f>
        <v>0</v>
      </c>
      <c r="J105" s="48" t="str">
        <f>_xlfn.XLOOKUP(C105,Tab_Def_Flows[Name(EN)],Tab_Def_Flows[WC?],,0,)</f>
        <v>Yes</v>
      </c>
      <c r="K105" s="48" t="str">
        <f>_xlfn.XLOOKUP(C105,Tab_Def_Flows[Name(EN)],Tab_Def_Flows[DM?],,0,)</f>
        <v>Yes</v>
      </c>
      <c r="L105" s="48" t="str">
        <f>_xlfn.XLOOKUP(C105,Tab_Def_Flows[Name(EN)],Tab_Def_Flows[CC?],,0,)</f>
        <v>Yes</v>
      </c>
      <c r="M105" s="50">
        <v>2023</v>
      </c>
      <c r="N105" s="50"/>
      <c r="O105" s="108">
        <v>12.8</v>
      </c>
      <c r="P105" s="50" t="s">
        <v>85</v>
      </c>
      <c r="Q105" s="50"/>
      <c r="R105" s="50" t="e">
        <f>INDEX(Tab_WC_DM_CC[[Flow_ID]:[CC_source]],MATCH(Tab_Data_Flows[[#This Row],[Name(EN)]],Tab_WC_DM_CC[Name(EN)],0),12)</f>
        <v>#N/A</v>
      </c>
      <c r="S105" s="50" t="e">
        <f>MATCH(Tab_Data_Flows[[#This Row],[Name(EN)]],Tab_WC_DM_CC[Name(EN)],0)</f>
        <v>#N/A</v>
      </c>
      <c r="T105" s="50"/>
      <c r="U105" s="50"/>
      <c r="V105" s="50"/>
      <c r="W105" s="50"/>
      <c r="X105" s="50" t="s">
        <v>84</v>
      </c>
      <c r="Y105" s="50"/>
      <c r="Z105" s="50"/>
      <c r="AA105" s="80">
        <f t="shared" si="5"/>
        <v>12.8</v>
      </c>
      <c r="AB105" s="50" t="s">
        <v>85</v>
      </c>
      <c r="AC105" s="101">
        <f>INDEX(Tab_Def_Flows[[Flow_ID]:[CC_DM_source]],MATCH(Tab_Data_Flows[[#This Row],[Name(EN)]],Tab_Def_Flows[Name(EN)],0),14)</f>
        <v>0</v>
      </c>
      <c r="AD105" s="102">
        <f>IF(J105="Yes",AA105*Tab_Data_Flows[[#This Row],[WC_'[%']]],"N.A.")</f>
        <v>0</v>
      </c>
      <c r="AE105" s="58" t="str">
        <f>Tab_Data_Flows[[#This Row],[UoM_Flow_Py]]</f>
        <v>Mg</v>
      </c>
      <c r="AF105" s="101">
        <f>INDEX(Tab_Def_Flows[[Flow_ID]:[CC_DM_source]],MATCH(Tab_Data_Flows[[#This Row],[Name(EN)]],Tab_Def_Flows[Name(EN)],0),16)</f>
        <v>1</v>
      </c>
      <c r="AG105" s="102">
        <f>IF(K105="Yes",AF105*Tab_Data_Flows[[#This Row],[Flow_Py]],"N.A.")</f>
        <v>12.8</v>
      </c>
      <c r="AH105" s="58" t="str">
        <f>Tab_Data_Flows[[#This Row],[UoM_Flow_Py]]</f>
        <v>Mg</v>
      </c>
      <c r="AI105" s="101">
        <f>INDEX(Tab_Def_Flows[[Flow_ID]:[CC_DM_source]],MATCH(Tab_Data_Flows[[#This Row],[Name(EN)]],Tab_Def_Flows[Name(EN)],0),18)</f>
        <v>0.5</v>
      </c>
      <c r="AJ105" s="102">
        <f>IF(L105="Yes",AI105*Tab_Data_Flows[[#This Row],[Flow_Py]]*Tab_Data_Flows[[#This Row],[DM_'[%']]],"N.A.")</f>
        <v>6.4</v>
      </c>
      <c r="AK105" s="58" t="str">
        <f>Tab_Data_Flows[[#This Row],[UoM_Flow_Py]]</f>
        <v>Mg</v>
      </c>
    </row>
    <row r="106" spans="1:37" x14ac:dyDescent="0.25">
      <c r="A106" s="57">
        <f t="shared" si="4"/>
        <v>105</v>
      </c>
      <c r="B106" s="48" t="str">
        <f>_xlfn.XLOOKUP(C106,Tab_Def_Flows[Name(EN)],Tab_Def_Flows[Flow_ID],,0,)</f>
        <v>F_00_01</v>
      </c>
      <c r="C106" s="50" t="s">
        <v>107</v>
      </c>
      <c r="D106" s="48"/>
      <c r="E106" s="48" t="str">
        <f>_xlfn.XLOOKUP(C106,Tab_Def_Flows[Name(EN)],Tab_Def_Flows[Output_Process],,0,)</f>
        <v>Biosphere</v>
      </c>
      <c r="F106" s="48" t="str">
        <f>_xlfn.XLOOKUP(C106,Tab_Def_Flows[Name(EN)],Tab_Def_Flows[Process_ID_O],,0,)</f>
        <v>00_Bio_</v>
      </c>
      <c r="G106" s="48" t="str">
        <f>_xlfn.XLOOKUP(C106,Tab_Def_Flows[Name(EN)],Tab_Def_Flows[Input_Process],,0,)</f>
        <v>Raw Material Extraction</v>
      </c>
      <c r="H106" s="58" t="str">
        <f>_xlfn.XLOOKUP(C106,Tab_Def_Flows[Name(EN)],Tab_Def_Flows[Process_ID_I],,0,)</f>
        <v>01_Raw_</v>
      </c>
      <c r="I106" s="48">
        <f>_xlfn.XLOOKUP(C106,Tab_Def_Flows[Name(EN)],Tab_Def_Flows[Value_Source],,0,)</f>
        <v>0</v>
      </c>
      <c r="J106" s="48" t="str">
        <f>_xlfn.XLOOKUP(C106,Tab_Def_Flows[Name(EN)],Tab_Def_Flows[WC?],,0,)</f>
        <v>Yes</v>
      </c>
      <c r="K106" s="48" t="str">
        <f>_xlfn.XLOOKUP(C106,Tab_Def_Flows[Name(EN)],Tab_Def_Flows[DM?],,0,)</f>
        <v>Yes</v>
      </c>
      <c r="L106" s="48" t="str">
        <f>_xlfn.XLOOKUP(C106,Tab_Def_Flows[Name(EN)],Tab_Def_Flows[CC?],,0,)</f>
        <v>Yes</v>
      </c>
      <c r="M106" s="50">
        <v>2024</v>
      </c>
      <c r="N106" s="50"/>
      <c r="O106" s="108">
        <v>12.8</v>
      </c>
      <c r="P106" s="50" t="s">
        <v>85</v>
      </c>
      <c r="Q106" s="50"/>
      <c r="R106" s="50" t="e">
        <f>INDEX(Tab_WC_DM_CC[[Flow_ID]:[CC_source]],MATCH(Tab_Data_Flows[[#This Row],[Name(EN)]],Tab_WC_DM_CC[Name(EN)],0),12)</f>
        <v>#N/A</v>
      </c>
      <c r="S106" s="50" t="e">
        <f>MATCH(Tab_Data_Flows[[#This Row],[Name(EN)]],Tab_WC_DM_CC[Name(EN)],0)</f>
        <v>#N/A</v>
      </c>
      <c r="T106" s="50"/>
      <c r="U106" s="50"/>
      <c r="V106" s="50"/>
      <c r="W106" s="50"/>
      <c r="X106" s="50" t="s">
        <v>84</v>
      </c>
      <c r="Y106" s="50"/>
      <c r="Z106" s="50"/>
      <c r="AA106" s="80">
        <f t="shared" si="5"/>
        <v>12.8</v>
      </c>
      <c r="AB106" s="50" t="s">
        <v>85</v>
      </c>
      <c r="AC106" s="101">
        <f>INDEX(Tab_Def_Flows[[Flow_ID]:[CC_DM_source]],MATCH(Tab_Data_Flows[[#This Row],[Name(EN)]],Tab_Def_Flows[Name(EN)],0),14)</f>
        <v>0</v>
      </c>
      <c r="AD106" s="102">
        <f>IF(J106="Yes",AA106*Tab_Data_Flows[[#This Row],[WC_'[%']]],"N.A.")</f>
        <v>0</v>
      </c>
      <c r="AE106" s="58" t="str">
        <f>Tab_Data_Flows[[#This Row],[UoM_Flow_Py]]</f>
        <v>Mg</v>
      </c>
      <c r="AF106" s="101">
        <f>INDEX(Tab_Def_Flows[[Flow_ID]:[CC_DM_source]],MATCH(Tab_Data_Flows[[#This Row],[Name(EN)]],Tab_Def_Flows[Name(EN)],0),16)</f>
        <v>1</v>
      </c>
      <c r="AG106" s="102">
        <f>IF(K106="Yes",AF106*Tab_Data_Flows[[#This Row],[Flow_Py]],"N.A.")</f>
        <v>12.8</v>
      </c>
      <c r="AH106" s="58" t="str">
        <f>Tab_Data_Flows[[#This Row],[UoM_Flow_Py]]</f>
        <v>Mg</v>
      </c>
      <c r="AI106" s="101">
        <f>INDEX(Tab_Def_Flows[[Flow_ID]:[CC_DM_source]],MATCH(Tab_Data_Flows[[#This Row],[Name(EN)]],Tab_Def_Flows[Name(EN)],0),18)</f>
        <v>0.5</v>
      </c>
      <c r="AJ106" s="102">
        <f>IF(L106="Yes",AI106*Tab_Data_Flows[[#This Row],[Flow_Py]]*Tab_Data_Flows[[#This Row],[DM_'[%']]],"N.A.")</f>
        <v>6.4</v>
      </c>
      <c r="AK106" s="58" t="str">
        <f>Tab_Data_Flows[[#This Row],[UoM_Flow_Py]]</f>
        <v>Mg</v>
      </c>
    </row>
    <row r="107" spans="1:37" x14ac:dyDescent="0.25">
      <c r="A107" s="57">
        <f t="shared" si="4"/>
        <v>106</v>
      </c>
      <c r="B107" s="48" t="str">
        <f>_xlfn.XLOOKUP(C107,Tab_Def_Flows[Name(EN)],Tab_Def_Flows[Flow_ID],,0,)</f>
        <v>F_00_01</v>
      </c>
      <c r="C107" s="50" t="s">
        <v>107</v>
      </c>
      <c r="D107" s="48"/>
      <c r="E107" s="48" t="str">
        <f>_xlfn.XLOOKUP(C107,Tab_Def_Flows[Name(EN)],Tab_Def_Flows[Output_Process],,0,)</f>
        <v>Biosphere</v>
      </c>
      <c r="F107" s="48" t="str">
        <f>_xlfn.XLOOKUP(C107,Tab_Def_Flows[Name(EN)],Tab_Def_Flows[Process_ID_O],,0,)</f>
        <v>00_Bio_</v>
      </c>
      <c r="G107" s="48" t="str">
        <f>_xlfn.XLOOKUP(C107,Tab_Def_Flows[Name(EN)],Tab_Def_Flows[Input_Process],,0,)</f>
        <v>Raw Material Extraction</v>
      </c>
      <c r="H107" s="58" t="str">
        <f>_xlfn.XLOOKUP(C107,Tab_Def_Flows[Name(EN)],Tab_Def_Flows[Process_ID_I],,0,)</f>
        <v>01_Raw_</v>
      </c>
      <c r="I107" s="48">
        <f>_xlfn.XLOOKUP(C107,Tab_Def_Flows[Name(EN)],Tab_Def_Flows[Value_Source],,0,)</f>
        <v>0</v>
      </c>
      <c r="J107" s="48" t="str">
        <f>_xlfn.XLOOKUP(C107,Tab_Def_Flows[Name(EN)],Tab_Def_Flows[WC?],,0,)</f>
        <v>Yes</v>
      </c>
      <c r="K107" s="48" t="str">
        <f>_xlfn.XLOOKUP(C107,Tab_Def_Flows[Name(EN)],Tab_Def_Flows[DM?],,0,)</f>
        <v>Yes</v>
      </c>
      <c r="L107" s="48" t="str">
        <f>_xlfn.XLOOKUP(C107,Tab_Def_Flows[Name(EN)],Tab_Def_Flows[CC?],,0,)</f>
        <v>Yes</v>
      </c>
      <c r="M107" s="50">
        <v>2025</v>
      </c>
      <c r="N107" s="50"/>
      <c r="O107" s="108">
        <v>19.2</v>
      </c>
      <c r="P107" s="50" t="s">
        <v>85</v>
      </c>
      <c r="Q107" s="50"/>
      <c r="R107" s="50" t="e">
        <f>INDEX(Tab_WC_DM_CC[[Flow_ID]:[CC_source]],MATCH(Tab_Data_Flows[[#This Row],[Name(EN)]],Tab_WC_DM_CC[Name(EN)],0),12)</f>
        <v>#N/A</v>
      </c>
      <c r="S107" s="50" t="e">
        <f>MATCH(Tab_Data_Flows[[#This Row],[Name(EN)]],Tab_WC_DM_CC[Name(EN)],0)</f>
        <v>#N/A</v>
      </c>
      <c r="T107" s="50"/>
      <c r="U107" s="50"/>
      <c r="V107" s="50"/>
      <c r="W107" s="50"/>
      <c r="X107" s="50" t="s">
        <v>84</v>
      </c>
      <c r="Y107" s="50"/>
      <c r="Z107" s="50"/>
      <c r="AA107" s="80">
        <f t="shared" si="5"/>
        <v>19.2</v>
      </c>
      <c r="AB107" s="50" t="s">
        <v>85</v>
      </c>
      <c r="AC107" s="101">
        <f>INDEX(Tab_Def_Flows[[Flow_ID]:[CC_DM_source]],MATCH(Tab_Data_Flows[[#This Row],[Name(EN)]],Tab_Def_Flows[Name(EN)],0),14)</f>
        <v>0</v>
      </c>
      <c r="AD107" s="102">
        <f>IF(J107="Yes",AA107*Tab_Data_Flows[[#This Row],[WC_'[%']]],"N.A.")</f>
        <v>0</v>
      </c>
      <c r="AE107" s="58" t="str">
        <f>Tab_Data_Flows[[#This Row],[UoM_Flow_Py]]</f>
        <v>Mg</v>
      </c>
      <c r="AF107" s="101">
        <f>INDEX(Tab_Def_Flows[[Flow_ID]:[CC_DM_source]],MATCH(Tab_Data_Flows[[#This Row],[Name(EN)]],Tab_Def_Flows[Name(EN)],0),16)</f>
        <v>1</v>
      </c>
      <c r="AG107" s="102">
        <f>IF(K107="Yes",AF107*Tab_Data_Flows[[#This Row],[Flow_Py]],"N.A.")</f>
        <v>19.2</v>
      </c>
      <c r="AH107" s="58" t="str">
        <f>Tab_Data_Flows[[#This Row],[UoM_Flow_Py]]</f>
        <v>Mg</v>
      </c>
      <c r="AI107" s="101">
        <f>INDEX(Tab_Def_Flows[[Flow_ID]:[CC_DM_source]],MATCH(Tab_Data_Flows[[#This Row],[Name(EN)]],Tab_Def_Flows[Name(EN)],0),18)</f>
        <v>0.5</v>
      </c>
      <c r="AJ107" s="102">
        <f>IF(L107="Yes",AI107*Tab_Data_Flows[[#This Row],[Flow_Py]]*Tab_Data_Flows[[#This Row],[DM_'[%']]],"N.A.")</f>
        <v>9.6</v>
      </c>
      <c r="AK107" s="58" t="str">
        <f>Tab_Data_Flows[[#This Row],[UoM_Flow_Py]]</f>
        <v>Mg</v>
      </c>
    </row>
    <row r="108" spans="1:37" x14ac:dyDescent="0.25">
      <c r="A108" s="57">
        <f t="shared" si="4"/>
        <v>107</v>
      </c>
      <c r="B108" s="48" t="str">
        <f>_xlfn.XLOOKUP(C108,Tab_Def_Flows[Name(EN)],Tab_Def_Flows[Flow_ID],,0,)</f>
        <v>F_00_01</v>
      </c>
      <c r="C108" s="50" t="s">
        <v>107</v>
      </c>
      <c r="D108" s="48"/>
      <c r="E108" s="48" t="str">
        <f>_xlfn.XLOOKUP(C108,Tab_Def_Flows[Name(EN)],Tab_Def_Flows[Output_Process],,0,)</f>
        <v>Biosphere</v>
      </c>
      <c r="F108" s="48" t="str">
        <f>_xlfn.XLOOKUP(C108,Tab_Def_Flows[Name(EN)],Tab_Def_Flows[Process_ID_O],,0,)</f>
        <v>00_Bio_</v>
      </c>
      <c r="G108" s="48" t="str">
        <f>_xlfn.XLOOKUP(C108,Tab_Def_Flows[Name(EN)],Tab_Def_Flows[Input_Process],,0,)</f>
        <v>Raw Material Extraction</v>
      </c>
      <c r="H108" s="58" t="str">
        <f>_xlfn.XLOOKUP(C108,Tab_Def_Flows[Name(EN)],Tab_Def_Flows[Process_ID_I],,0,)</f>
        <v>01_Raw_</v>
      </c>
      <c r="I108" s="48">
        <f>_xlfn.XLOOKUP(C108,Tab_Def_Flows[Name(EN)],Tab_Def_Flows[Value_Source],,0,)</f>
        <v>0</v>
      </c>
      <c r="J108" s="48" t="str">
        <f>_xlfn.XLOOKUP(C108,Tab_Def_Flows[Name(EN)],Tab_Def_Flows[WC?],,0,)</f>
        <v>Yes</v>
      </c>
      <c r="K108" s="48" t="str">
        <f>_xlfn.XLOOKUP(C108,Tab_Def_Flows[Name(EN)],Tab_Def_Flows[DM?],,0,)</f>
        <v>Yes</v>
      </c>
      <c r="L108" s="48" t="str">
        <f>_xlfn.XLOOKUP(C108,Tab_Def_Flows[Name(EN)],Tab_Def_Flows[CC?],,0,)</f>
        <v>Yes</v>
      </c>
      <c r="M108" s="50">
        <v>2026</v>
      </c>
      <c r="N108" s="50"/>
      <c r="O108" s="108">
        <v>12.8</v>
      </c>
      <c r="P108" s="50" t="s">
        <v>85</v>
      </c>
      <c r="Q108" s="50"/>
      <c r="R108" s="50" t="e">
        <f>INDEX(Tab_WC_DM_CC[[Flow_ID]:[CC_source]],MATCH(Tab_Data_Flows[[#This Row],[Name(EN)]],Tab_WC_DM_CC[Name(EN)],0),12)</f>
        <v>#N/A</v>
      </c>
      <c r="S108" s="50" t="e">
        <f>MATCH(Tab_Data_Flows[[#This Row],[Name(EN)]],Tab_WC_DM_CC[Name(EN)],0)</f>
        <v>#N/A</v>
      </c>
      <c r="T108" s="50"/>
      <c r="U108" s="50"/>
      <c r="V108" s="50"/>
      <c r="W108" s="50"/>
      <c r="X108" s="50" t="s">
        <v>84</v>
      </c>
      <c r="Y108" s="50"/>
      <c r="Z108" s="50"/>
      <c r="AA108" s="80">
        <f t="shared" si="5"/>
        <v>12.8</v>
      </c>
      <c r="AB108" s="50" t="s">
        <v>85</v>
      </c>
      <c r="AC108" s="101">
        <f>INDEX(Tab_Def_Flows[[Flow_ID]:[CC_DM_source]],MATCH(Tab_Data_Flows[[#This Row],[Name(EN)]],Tab_Def_Flows[Name(EN)],0),14)</f>
        <v>0</v>
      </c>
      <c r="AD108" s="102">
        <f>IF(J108="Yes",AA108*Tab_Data_Flows[[#This Row],[WC_'[%']]],"N.A.")</f>
        <v>0</v>
      </c>
      <c r="AE108" s="58" t="str">
        <f>Tab_Data_Flows[[#This Row],[UoM_Flow_Py]]</f>
        <v>Mg</v>
      </c>
      <c r="AF108" s="101">
        <f>INDEX(Tab_Def_Flows[[Flow_ID]:[CC_DM_source]],MATCH(Tab_Data_Flows[[#This Row],[Name(EN)]],Tab_Def_Flows[Name(EN)],0),16)</f>
        <v>1</v>
      </c>
      <c r="AG108" s="102">
        <f>IF(K108="Yes",AF108*Tab_Data_Flows[[#This Row],[Flow_Py]],"N.A.")</f>
        <v>12.8</v>
      </c>
      <c r="AH108" s="58" t="str">
        <f>Tab_Data_Flows[[#This Row],[UoM_Flow_Py]]</f>
        <v>Mg</v>
      </c>
      <c r="AI108" s="101">
        <f>INDEX(Tab_Def_Flows[[Flow_ID]:[CC_DM_source]],MATCH(Tab_Data_Flows[[#This Row],[Name(EN)]],Tab_Def_Flows[Name(EN)],0),18)</f>
        <v>0.5</v>
      </c>
      <c r="AJ108" s="102">
        <f>IF(L108="Yes",AI108*Tab_Data_Flows[[#This Row],[Flow_Py]]*Tab_Data_Flows[[#This Row],[DM_'[%']]],"N.A.")</f>
        <v>6.4</v>
      </c>
      <c r="AK108" s="58" t="str">
        <f>Tab_Data_Flows[[#This Row],[UoM_Flow_Py]]</f>
        <v>Mg</v>
      </c>
    </row>
    <row r="109" spans="1:37" x14ac:dyDescent="0.25">
      <c r="A109" s="57">
        <f t="shared" si="4"/>
        <v>108</v>
      </c>
      <c r="B109" s="48" t="str">
        <f>_xlfn.XLOOKUP(C109,Tab_Def_Flows[Name(EN)],Tab_Def_Flows[Flow_ID],,0,)</f>
        <v>F_00_01</v>
      </c>
      <c r="C109" s="50" t="s">
        <v>107</v>
      </c>
      <c r="D109" s="48"/>
      <c r="E109" s="48" t="str">
        <f>_xlfn.XLOOKUP(C109,Tab_Def_Flows[Name(EN)],Tab_Def_Flows[Output_Process],,0,)</f>
        <v>Biosphere</v>
      </c>
      <c r="F109" s="48" t="str">
        <f>_xlfn.XLOOKUP(C109,Tab_Def_Flows[Name(EN)],Tab_Def_Flows[Process_ID_O],,0,)</f>
        <v>00_Bio_</v>
      </c>
      <c r="G109" s="48" t="str">
        <f>_xlfn.XLOOKUP(C109,Tab_Def_Flows[Name(EN)],Tab_Def_Flows[Input_Process],,0,)</f>
        <v>Raw Material Extraction</v>
      </c>
      <c r="H109" s="58" t="str">
        <f>_xlfn.XLOOKUP(C109,Tab_Def_Flows[Name(EN)],Tab_Def_Flows[Process_ID_I],,0,)</f>
        <v>01_Raw_</v>
      </c>
      <c r="I109" s="48">
        <f>_xlfn.XLOOKUP(C109,Tab_Def_Flows[Name(EN)],Tab_Def_Flows[Value_Source],,0,)</f>
        <v>0</v>
      </c>
      <c r="J109" s="48" t="str">
        <f>_xlfn.XLOOKUP(C109,Tab_Def_Flows[Name(EN)],Tab_Def_Flows[WC?],,0,)</f>
        <v>Yes</v>
      </c>
      <c r="K109" s="48" t="str">
        <f>_xlfn.XLOOKUP(C109,Tab_Def_Flows[Name(EN)],Tab_Def_Flows[DM?],,0,)</f>
        <v>Yes</v>
      </c>
      <c r="L109" s="48" t="str">
        <f>_xlfn.XLOOKUP(C109,Tab_Def_Flows[Name(EN)],Tab_Def_Flows[CC?],,0,)</f>
        <v>Yes</v>
      </c>
      <c r="M109" s="50">
        <v>2027</v>
      </c>
      <c r="N109" s="50"/>
      <c r="O109" s="108">
        <v>6.4</v>
      </c>
      <c r="P109" s="50" t="s">
        <v>85</v>
      </c>
      <c r="Q109" s="50"/>
      <c r="R109" s="50" t="e">
        <f>INDEX(Tab_WC_DM_CC[[Flow_ID]:[CC_source]],MATCH(Tab_Data_Flows[[#This Row],[Name(EN)]],Tab_WC_DM_CC[Name(EN)],0),12)</f>
        <v>#N/A</v>
      </c>
      <c r="S109" s="50" t="e">
        <f>MATCH(Tab_Data_Flows[[#This Row],[Name(EN)]],Tab_WC_DM_CC[Name(EN)],0)</f>
        <v>#N/A</v>
      </c>
      <c r="T109" s="50"/>
      <c r="U109" s="50"/>
      <c r="V109" s="50"/>
      <c r="W109" s="50"/>
      <c r="X109" s="50" t="s">
        <v>84</v>
      </c>
      <c r="Y109" s="50"/>
      <c r="Z109" s="50"/>
      <c r="AA109" s="80">
        <f t="shared" si="5"/>
        <v>6.4</v>
      </c>
      <c r="AB109" s="50" t="s">
        <v>85</v>
      </c>
      <c r="AC109" s="101">
        <f>INDEX(Tab_Def_Flows[[Flow_ID]:[CC_DM_source]],MATCH(Tab_Data_Flows[[#This Row],[Name(EN)]],Tab_Def_Flows[Name(EN)],0),14)</f>
        <v>0</v>
      </c>
      <c r="AD109" s="102">
        <f>IF(J109="Yes",AA109*Tab_Data_Flows[[#This Row],[WC_'[%']]],"N.A.")</f>
        <v>0</v>
      </c>
      <c r="AE109" s="58" t="str">
        <f>Tab_Data_Flows[[#This Row],[UoM_Flow_Py]]</f>
        <v>Mg</v>
      </c>
      <c r="AF109" s="101">
        <f>INDEX(Tab_Def_Flows[[Flow_ID]:[CC_DM_source]],MATCH(Tab_Data_Flows[[#This Row],[Name(EN)]],Tab_Def_Flows[Name(EN)],0),16)</f>
        <v>1</v>
      </c>
      <c r="AG109" s="102">
        <f>IF(K109="Yes",AF109*Tab_Data_Flows[[#This Row],[Flow_Py]],"N.A.")</f>
        <v>6.4</v>
      </c>
      <c r="AH109" s="58" t="str">
        <f>Tab_Data_Flows[[#This Row],[UoM_Flow_Py]]</f>
        <v>Mg</v>
      </c>
      <c r="AI109" s="101">
        <f>INDEX(Tab_Def_Flows[[Flow_ID]:[CC_DM_source]],MATCH(Tab_Data_Flows[[#This Row],[Name(EN)]],Tab_Def_Flows[Name(EN)],0),18)</f>
        <v>0.5</v>
      </c>
      <c r="AJ109" s="102">
        <f>IF(L109="Yes",AI109*Tab_Data_Flows[[#This Row],[Flow_Py]]*Tab_Data_Flows[[#This Row],[DM_'[%']]],"N.A.")</f>
        <v>3.2</v>
      </c>
      <c r="AK109" s="58" t="str">
        <f>Tab_Data_Flows[[#This Row],[UoM_Flow_Py]]</f>
        <v>Mg</v>
      </c>
    </row>
    <row r="110" spans="1:37" x14ac:dyDescent="0.25">
      <c r="A110" s="57">
        <f t="shared" si="4"/>
        <v>109</v>
      </c>
      <c r="B110" s="48" t="str">
        <f>_xlfn.XLOOKUP(C110,Tab_Def_Flows[Name(EN)],Tab_Def_Flows[Flow_ID],,0,)</f>
        <v>F_00_01</v>
      </c>
      <c r="C110" s="50" t="s">
        <v>107</v>
      </c>
      <c r="D110" s="48"/>
      <c r="E110" s="48" t="str">
        <f>_xlfn.XLOOKUP(C110,Tab_Def_Flows[Name(EN)],Tab_Def_Flows[Output_Process],,0,)</f>
        <v>Biosphere</v>
      </c>
      <c r="F110" s="48" t="str">
        <f>_xlfn.XLOOKUP(C110,Tab_Def_Flows[Name(EN)],Tab_Def_Flows[Process_ID_O],,0,)</f>
        <v>00_Bio_</v>
      </c>
      <c r="G110" s="48" t="str">
        <f>_xlfn.XLOOKUP(C110,Tab_Def_Flows[Name(EN)],Tab_Def_Flows[Input_Process],,0,)</f>
        <v>Raw Material Extraction</v>
      </c>
      <c r="H110" s="58" t="str">
        <f>_xlfn.XLOOKUP(C110,Tab_Def_Flows[Name(EN)],Tab_Def_Flows[Process_ID_I],,0,)</f>
        <v>01_Raw_</v>
      </c>
      <c r="I110" s="48">
        <f>_xlfn.XLOOKUP(C110,Tab_Def_Flows[Name(EN)],Tab_Def_Flows[Value_Source],,0,)</f>
        <v>0</v>
      </c>
      <c r="J110" s="48" t="str">
        <f>_xlfn.XLOOKUP(C110,Tab_Def_Flows[Name(EN)],Tab_Def_Flows[WC?],,0,)</f>
        <v>Yes</v>
      </c>
      <c r="K110" s="48" t="str">
        <f>_xlfn.XLOOKUP(C110,Tab_Def_Flows[Name(EN)],Tab_Def_Flows[DM?],,0,)</f>
        <v>Yes</v>
      </c>
      <c r="L110" s="48" t="str">
        <f>_xlfn.XLOOKUP(C110,Tab_Def_Flows[Name(EN)],Tab_Def_Flows[CC?],,0,)</f>
        <v>Yes</v>
      </c>
      <c r="M110" s="50">
        <v>2028</v>
      </c>
      <c r="N110" s="50"/>
      <c r="O110" s="108">
        <v>6.4</v>
      </c>
      <c r="P110" s="50" t="s">
        <v>85</v>
      </c>
      <c r="Q110" s="50"/>
      <c r="R110" s="50" t="e">
        <f>INDEX(Tab_WC_DM_CC[[Flow_ID]:[CC_source]],MATCH(Tab_Data_Flows[[#This Row],[Name(EN)]],Tab_WC_DM_CC[Name(EN)],0),12)</f>
        <v>#N/A</v>
      </c>
      <c r="S110" s="50" t="e">
        <f>MATCH(Tab_Data_Flows[[#This Row],[Name(EN)]],Tab_WC_DM_CC[Name(EN)],0)</f>
        <v>#N/A</v>
      </c>
      <c r="T110" s="50"/>
      <c r="U110" s="50"/>
      <c r="V110" s="50"/>
      <c r="W110" s="50"/>
      <c r="X110" s="50" t="s">
        <v>84</v>
      </c>
      <c r="Y110" s="50"/>
      <c r="Z110" s="50"/>
      <c r="AA110" s="80">
        <f t="shared" si="5"/>
        <v>6.4</v>
      </c>
      <c r="AB110" s="50" t="s">
        <v>85</v>
      </c>
      <c r="AC110" s="101">
        <f>INDEX(Tab_Def_Flows[[Flow_ID]:[CC_DM_source]],MATCH(Tab_Data_Flows[[#This Row],[Name(EN)]],Tab_Def_Flows[Name(EN)],0),14)</f>
        <v>0</v>
      </c>
      <c r="AD110" s="102">
        <f>IF(J110="Yes",AA110*Tab_Data_Flows[[#This Row],[WC_'[%']]],"N.A.")</f>
        <v>0</v>
      </c>
      <c r="AE110" s="58" t="str">
        <f>Tab_Data_Flows[[#This Row],[UoM_Flow_Py]]</f>
        <v>Mg</v>
      </c>
      <c r="AF110" s="101">
        <f>INDEX(Tab_Def_Flows[[Flow_ID]:[CC_DM_source]],MATCH(Tab_Data_Flows[[#This Row],[Name(EN)]],Tab_Def_Flows[Name(EN)],0),16)</f>
        <v>1</v>
      </c>
      <c r="AG110" s="102">
        <f>IF(K110="Yes",AF110*Tab_Data_Flows[[#This Row],[Flow_Py]],"N.A.")</f>
        <v>6.4</v>
      </c>
      <c r="AH110" s="58" t="str">
        <f>Tab_Data_Flows[[#This Row],[UoM_Flow_Py]]</f>
        <v>Mg</v>
      </c>
      <c r="AI110" s="101">
        <f>INDEX(Tab_Def_Flows[[Flow_ID]:[CC_DM_source]],MATCH(Tab_Data_Flows[[#This Row],[Name(EN)]],Tab_Def_Flows[Name(EN)],0),18)</f>
        <v>0.5</v>
      </c>
      <c r="AJ110" s="102">
        <f>IF(L110="Yes",AI110*Tab_Data_Flows[[#This Row],[Flow_Py]]*Tab_Data_Flows[[#This Row],[DM_'[%']]],"N.A.")</f>
        <v>3.2</v>
      </c>
      <c r="AK110" s="58" t="str">
        <f>Tab_Data_Flows[[#This Row],[UoM_Flow_Py]]</f>
        <v>Mg</v>
      </c>
    </row>
    <row r="111" spans="1:37" x14ac:dyDescent="0.25">
      <c r="A111" s="57">
        <f t="shared" si="4"/>
        <v>110</v>
      </c>
      <c r="B111" s="48" t="str">
        <f>_xlfn.XLOOKUP(C111,Tab_Def_Flows[Name(EN)],Tab_Def_Flows[Flow_ID],,0,)</f>
        <v>F_00_01</v>
      </c>
      <c r="C111" s="50" t="s">
        <v>107</v>
      </c>
      <c r="D111" s="48"/>
      <c r="E111" s="48" t="str">
        <f>_xlfn.XLOOKUP(C111,Tab_Def_Flows[Name(EN)],Tab_Def_Flows[Output_Process],,0,)</f>
        <v>Biosphere</v>
      </c>
      <c r="F111" s="48" t="str">
        <f>_xlfn.XLOOKUP(C111,Tab_Def_Flows[Name(EN)],Tab_Def_Flows[Process_ID_O],,0,)</f>
        <v>00_Bio_</v>
      </c>
      <c r="G111" s="48" t="str">
        <f>_xlfn.XLOOKUP(C111,Tab_Def_Flows[Name(EN)],Tab_Def_Flows[Input_Process],,0,)</f>
        <v>Raw Material Extraction</v>
      </c>
      <c r="H111" s="58" t="str">
        <f>_xlfn.XLOOKUP(C111,Tab_Def_Flows[Name(EN)],Tab_Def_Flows[Process_ID_I],,0,)</f>
        <v>01_Raw_</v>
      </c>
      <c r="I111" s="48">
        <f>_xlfn.XLOOKUP(C111,Tab_Def_Flows[Name(EN)],Tab_Def_Flows[Value_Source],,0,)</f>
        <v>0</v>
      </c>
      <c r="J111" s="48" t="str">
        <f>_xlfn.XLOOKUP(C111,Tab_Def_Flows[Name(EN)],Tab_Def_Flows[WC?],,0,)</f>
        <v>Yes</v>
      </c>
      <c r="K111" s="48" t="str">
        <f>_xlfn.XLOOKUP(C111,Tab_Def_Flows[Name(EN)],Tab_Def_Flows[DM?],,0,)</f>
        <v>Yes</v>
      </c>
      <c r="L111" s="48" t="str">
        <f>_xlfn.XLOOKUP(C111,Tab_Def_Flows[Name(EN)],Tab_Def_Flows[CC?],,0,)</f>
        <v>Yes</v>
      </c>
      <c r="M111" s="50">
        <v>2029</v>
      </c>
      <c r="N111" s="50"/>
      <c r="O111" s="108">
        <v>6.4</v>
      </c>
      <c r="P111" s="50" t="s">
        <v>85</v>
      </c>
      <c r="Q111" s="50"/>
      <c r="R111" s="50" t="e">
        <f>INDEX(Tab_WC_DM_CC[[Flow_ID]:[CC_source]],MATCH(Tab_Data_Flows[[#This Row],[Name(EN)]],Tab_WC_DM_CC[Name(EN)],0),12)</f>
        <v>#N/A</v>
      </c>
      <c r="S111" s="50" t="e">
        <f>MATCH(Tab_Data_Flows[[#This Row],[Name(EN)]],Tab_WC_DM_CC[Name(EN)],0)</f>
        <v>#N/A</v>
      </c>
      <c r="T111" s="50"/>
      <c r="U111" s="50"/>
      <c r="V111" s="50"/>
      <c r="W111" s="50"/>
      <c r="X111" s="50" t="s">
        <v>84</v>
      </c>
      <c r="Y111" s="50"/>
      <c r="Z111" s="50"/>
      <c r="AA111" s="80">
        <f t="shared" si="5"/>
        <v>6.4</v>
      </c>
      <c r="AB111" s="50" t="s">
        <v>85</v>
      </c>
      <c r="AC111" s="101">
        <f>INDEX(Tab_Def_Flows[[Flow_ID]:[CC_DM_source]],MATCH(Tab_Data_Flows[[#This Row],[Name(EN)]],Tab_Def_Flows[Name(EN)],0),14)</f>
        <v>0</v>
      </c>
      <c r="AD111" s="102">
        <f>IF(J111="Yes",AA111*Tab_Data_Flows[[#This Row],[WC_'[%']]],"N.A.")</f>
        <v>0</v>
      </c>
      <c r="AE111" s="58" t="str">
        <f>Tab_Data_Flows[[#This Row],[UoM_Flow_Py]]</f>
        <v>Mg</v>
      </c>
      <c r="AF111" s="101">
        <f>INDEX(Tab_Def_Flows[[Flow_ID]:[CC_DM_source]],MATCH(Tab_Data_Flows[[#This Row],[Name(EN)]],Tab_Def_Flows[Name(EN)],0),16)</f>
        <v>1</v>
      </c>
      <c r="AG111" s="102">
        <f>IF(K111="Yes",AF111*Tab_Data_Flows[[#This Row],[Flow_Py]],"N.A.")</f>
        <v>6.4</v>
      </c>
      <c r="AH111" s="58" t="str">
        <f>Tab_Data_Flows[[#This Row],[UoM_Flow_Py]]</f>
        <v>Mg</v>
      </c>
      <c r="AI111" s="101">
        <f>INDEX(Tab_Def_Flows[[Flow_ID]:[CC_DM_source]],MATCH(Tab_Data_Flows[[#This Row],[Name(EN)]],Tab_Def_Flows[Name(EN)],0),18)</f>
        <v>0.5</v>
      </c>
      <c r="AJ111" s="102">
        <f>IF(L111="Yes",AI111*Tab_Data_Flows[[#This Row],[Flow_Py]]*Tab_Data_Flows[[#This Row],[DM_'[%']]],"N.A.")</f>
        <v>3.2</v>
      </c>
      <c r="AK111" s="58" t="str">
        <f>Tab_Data_Flows[[#This Row],[UoM_Flow_Py]]</f>
        <v>Mg</v>
      </c>
    </row>
    <row r="112" spans="1:37" x14ac:dyDescent="0.25">
      <c r="A112" s="57">
        <f t="shared" si="4"/>
        <v>111</v>
      </c>
      <c r="B112" s="48" t="str">
        <f>_xlfn.XLOOKUP(C112,Tab_Def_Flows[Name(EN)],Tab_Def_Flows[Flow_ID],,0,)</f>
        <v>F_00_01</v>
      </c>
      <c r="C112" s="50" t="s">
        <v>107</v>
      </c>
      <c r="D112" s="48"/>
      <c r="E112" s="48" t="str">
        <f>_xlfn.XLOOKUP(C112,Tab_Def_Flows[Name(EN)],Tab_Def_Flows[Output_Process],,0,)</f>
        <v>Biosphere</v>
      </c>
      <c r="F112" s="48" t="str">
        <f>_xlfn.XLOOKUP(C112,Tab_Def_Flows[Name(EN)],Tab_Def_Flows[Process_ID_O],,0,)</f>
        <v>00_Bio_</v>
      </c>
      <c r="G112" s="48" t="str">
        <f>_xlfn.XLOOKUP(C112,Tab_Def_Flows[Name(EN)],Tab_Def_Flows[Input_Process],,0,)</f>
        <v>Raw Material Extraction</v>
      </c>
      <c r="H112" s="58" t="str">
        <f>_xlfn.XLOOKUP(C112,Tab_Def_Flows[Name(EN)],Tab_Def_Flows[Process_ID_I],,0,)</f>
        <v>01_Raw_</v>
      </c>
      <c r="I112" s="48">
        <f>_xlfn.XLOOKUP(C112,Tab_Def_Flows[Name(EN)],Tab_Def_Flows[Value_Source],,0,)</f>
        <v>0</v>
      </c>
      <c r="J112" s="48" t="str">
        <f>_xlfn.XLOOKUP(C112,Tab_Def_Flows[Name(EN)],Tab_Def_Flows[WC?],,0,)</f>
        <v>Yes</v>
      </c>
      <c r="K112" s="48" t="str">
        <f>_xlfn.XLOOKUP(C112,Tab_Def_Flows[Name(EN)],Tab_Def_Flows[DM?],,0,)</f>
        <v>Yes</v>
      </c>
      <c r="L112" s="48" t="str">
        <f>_xlfn.XLOOKUP(C112,Tab_Def_Flows[Name(EN)],Tab_Def_Flows[CC?],,0,)</f>
        <v>Yes</v>
      </c>
      <c r="M112" s="50">
        <v>2030</v>
      </c>
      <c r="N112" s="50"/>
      <c r="O112" s="108">
        <v>6.4</v>
      </c>
      <c r="P112" s="50" t="s">
        <v>85</v>
      </c>
      <c r="Q112" s="50"/>
      <c r="R112" s="50" t="e">
        <f>INDEX(Tab_WC_DM_CC[[Flow_ID]:[CC_source]],MATCH(Tab_Data_Flows[[#This Row],[Name(EN)]],Tab_WC_DM_CC[Name(EN)],0),12)</f>
        <v>#N/A</v>
      </c>
      <c r="S112" s="50" t="e">
        <f>MATCH(Tab_Data_Flows[[#This Row],[Name(EN)]],Tab_WC_DM_CC[Name(EN)],0)</f>
        <v>#N/A</v>
      </c>
      <c r="T112" s="50"/>
      <c r="U112" s="50"/>
      <c r="V112" s="50"/>
      <c r="W112" s="50"/>
      <c r="X112" s="50" t="s">
        <v>84</v>
      </c>
      <c r="Y112" s="50"/>
      <c r="Z112" s="50"/>
      <c r="AA112" s="80">
        <f t="shared" si="5"/>
        <v>6.4</v>
      </c>
      <c r="AB112" s="50" t="s">
        <v>85</v>
      </c>
      <c r="AC112" s="101">
        <f>INDEX(Tab_Def_Flows[[Flow_ID]:[CC_DM_source]],MATCH(Tab_Data_Flows[[#This Row],[Name(EN)]],Tab_Def_Flows[Name(EN)],0),14)</f>
        <v>0</v>
      </c>
      <c r="AD112" s="102">
        <f>IF(J112="Yes",AA112*Tab_Data_Flows[[#This Row],[WC_'[%']]],"N.A.")</f>
        <v>0</v>
      </c>
      <c r="AE112" s="58" t="str">
        <f>Tab_Data_Flows[[#This Row],[UoM_Flow_Py]]</f>
        <v>Mg</v>
      </c>
      <c r="AF112" s="101">
        <f>INDEX(Tab_Def_Flows[[Flow_ID]:[CC_DM_source]],MATCH(Tab_Data_Flows[[#This Row],[Name(EN)]],Tab_Def_Flows[Name(EN)],0),16)</f>
        <v>1</v>
      </c>
      <c r="AG112" s="102">
        <f>IF(K112="Yes",AF112*Tab_Data_Flows[[#This Row],[Flow_Py]],"N.A.")</f>
        <v>6.4</v>
      </c>
      <c r="AH112" s="58" t="str">
        <f>Tab_Data_Flows[[#This Row],[UoM_Flow_Py]]</f>
        <v>Mg</v>
      </c>
      <c r="AI112" s="101">
        <f>INDEX(Tab_Def_Flows[[Flow_ID]:[CC_DM_source]],MATCH(Tab_Data_Flows[[#This Row],[Name(EN)]],Tab_Def_Flows[Name(EN)],0),18)</f>
        <v>0.5</v>
      </c>
      <c r="AJ112" s="102">
        <f>IF(L112="Yes",AI112*Tab_Data_Flows[[#This Row],[Flow_Py]]*Tab_Data_Flows[[#This Row],[DM_'[%']]],"N.A.")</f>
        <v>3.2</v>
      </c>
      <c r="AK112" s="58" t="str">
        <f>Tab_Data_Flows[[#This Row],[UoM_Flow_Py]]</f>
        <v>Mg</v>
      </c>
    </row>
    <row r="113" spans="1:37" x14ac:dyDescent="0.25">
      <c r="A113" s="57">
        <f t="shared" si="4"/>
        <v>112</v>
      </c>
      <c r="B113" s="48" t="str">
        <f>_xlfn.XLOOKUP(C113,Tab_Def_Flows[Name(EN)],Tab_Def_Flows[Flow_ID],,0,)</f>
        <v>F_00_01</v>
      </c>
      <c r="C113" s="50" t="s">
        <v>107</v>
      </c>
      <c r="D113" s="48"/>
      <c r="E113" s="48" t="str">
        <f>_xlfn.XLOOKUP(C113,Tab_Def_Flows[Name(EN)],Tab_Def_Flows[Output_Process],,0,)</f>
        <v>Biosphere</v>
      </c>
      <c r="F113" s="48" t="str">
        <f>_xlfn.XLOOKUP(C113,Tab_Def_Flows[Name(EN)],Tab_Def_Flows[Process_ID_O],,0,)</f>
        <v>00_Bio_</v>
      </c>
      <c r="G113" s="48" t="str">
        <f>_xlfn.XLOOKUP(C113,Tab_Def_Flows[Name(EN)],Tab_Def_Flows[Input_Process],,0,)</f>
        <v>Raw Material Extraction</v>
      </c>
      <c r="H113" s="58" t="str">
        <f>_xlfn.XLOOKUP(C113,Tab_Def_Flows[Name(EN)],Tab_Def_Flows[Process_ID_I],,0,)</f>
        <v>01_Raw_</v>
      </c>
      <c r="I113" s="48">
        <f>_xlfn.XLOOKUP(C113,Tab_Def_Flows[Name(EN)],Tab_Def_Flows[Value_Source],,0,)</f>
        <v>0</v>
      </c>
      <c r="J113" s="48" t="str">
        <f>_xlfn.XLOOKUP(C113,Tab_Def_Flows[Name(EN)],Tab_Def_Flows[WC?],,0,)</f>
        <v>Yes</v>
      </c>
      <c r="K113" s="48" t="str">
        <f>_xlfn.XLOOKUP(C113,Tab_Def_Flows[Name(EN)],Tab_Def_Flows[DM?],,0,)</f>
        <v>Yes</v>
      </c>
      <c r="L113" s="48" t="str">
        <f>_xlfn.XLOOKUP(C113,Tab_Def_Flows[Name(EN)],Tab_Def_Flows[CC?],,0,)</f>
        <v>Yes</v>
      </c>
      <c r="M113" s="50">
        <v>2031</v>
      </c>
      <c r="N113" s="50"/>
      <c r="O113" s="108">
        <v>12.8</v>
      </c>
      <c r="P113" s="50" t="s">
        <v>85</v>
      </c>
      <c r="Q113" s="50"/>
      <c r="R113" s="50" t="e">
        <f>INDEX(Tab_WC_DM_CC[[Flow_ID]:[CC_source]],MATCH(Tab_Data_Flows[[#This Row],[Name(EN)]],Tab_WC_DM_CC[Name(EN)],0),12)</f>
        <v>#N/A</v>
      </c>
      <c r="S113" s="50" t="e">
        <f>MATCH(Tab_Data_Flows[[#This Row],[Name(EN)]],Tab_WC_DM_CC[Name(EN)],0)</f>
        <v>#N/A</v>
      </c>
      <c r="T113" s="50"/>
      <c r="U113" s="50"/>
      <c r="V113" s="50"/>
      <c r="W113" s="50"/>
      <c r="X113" s="50" t="s">
        <v>84</v>
      </c>
      <c r="Y113" s="50"/>
      <c r="Z113" s="50"/>
      <c r="AA113" s="80">
        <f t="shared" si="5"/>
        <v>12.8</v>
      </c>
      <c r="AB113" s="50" t="s">
        <v>85</v>
      </c>
      <c r="AC113" s="101">
        <f>INDEX(Tab_Def_Flows[[Flow_ID]:[CC_DM_source]],MATCH(Tab_Data_Flows[[#This Row],[Name(EN)]],Tab_Def_Flows[Name(EN)],0),14)</f>
        <v>0</v>
      </c>
      <c r="AD113" s="102">
        <f>IF(J113="Yes",AA113*Tab_Data_Flows[[#This Row],[WC_'[%']]],"N.A.")</f>
        <v>0</v>
      </c>
      <c r="AE113" s="58" t="str">
        <f>Tab_Data_Flows[[#This Row],[UoM_Flow_Py]]</f>
        <v>Mg</v>
      </c>
      <c r="AF113" s="101">
        <f>INDEX(Tab_Def_Flows[[Flow_ID]:[CC_DM_source]],MATCH(Tab_Data_Flows[[#This Row],[Name(EN)]],Tab_Def_Flows[Name(EN)],0),16)</f>
        <v>1</v>
      </c>
      <c r="AG113" s="102">
        <f>IF(K113="Yes",AF113*Tab_Data_Flows[[#This Row],[Flow_Py]],"N.A.")</f>
        <v>12.8</v>
      </c>
      <c r="AH113" s="58" t="str">
        <f>Tab_Data_Flows[[#This Row],[UoM_Flow_Py]]</f>
        <v>Mg</v>
      </c>
      <c r="AI113" s="101">
        <f>INDEX(Tab_Def_Flows[[Flow_ID]:[CC_DM_source]],MATCH(Tab_Data_Flows[[#This Row],[Name(EN)]],Tab_Def_Flows[Name(EN)],0),18)</f>
        <v>0.5</v>
      </c>
      <c r="AJ113" s="102">
        <f>IF(L113="Yes",AI113*Tab_Data_Flows[[#This Row],[Flow_Py]]*Tab_Data_Flows[[#This Row],[DM_'[%']]],"N.A.")</f>
        <v>6.4</v>
      </c>
      <c r="AK113" s="58" t="str">
        <f>Tab_Data_Flows[[#This Row],[UoM_Flow_Py]]</f>
        <v>Mg</v>
      </c>
    </row>
    <row r="114" spans="1:37" x14ac:dyDescent="0.25">
      <c r="A114" s="57">
        <f t="shared" si="4"/>
        <v>113</v>
      </c>
      <c r="B114" s="48" t="str">
        <f>_xlfn.XLOOKUP(C114,Tab_Def_Flows[Name(EN)],Tab_Def_Flows[Flow_ID],,0,)</f>
        <v>F_00_01</v>
      </c>
      <c r="C114" s="50" t="s">
        <v>107</v>
      </c>
      <c r="D114" s="48"/>
      <c r="E114" s="48" t="str">
        <f>_xlfn.XLOOKUP(C114,Tab_Def_Flows[Name(EN)],Tab_Def_Flows[Output_Process],,0,)</f>
        <v>Biosphere</v>
      </c>
      <c r="F114" s="48" t="str">
        <f>_xlfn.XLOOKUP(C114,Tab_Def_Flows[Name(EN)],Tab_Def_Flows[Process_ID_O],,0,)</f>
        <v>00_Bio_</v>
      </c>
      <c r="G114" s="48" t="str">
        <f>_xlfn.XLOOKUP(C114,Tab_Def_Flows[Name(EN)],Tab_Def_Flows[Input_Process],,0,)</f>
        <v>Raw Material Extraction</v>
      </c>
      <c r="H114" s="58" t="str">
        <f>_xlfn.XLOOKUP(C114,Tab_Def_Flows[Name(EN)],Tab_Def_Flows[Process_ID_I],,0,)</f>
        <v>01_Raw_</v>
      </c>
      <c r="I114" s="48">
        <f>_xlfn.XLOOKUP(C114,Tab_Def_Flows[Name(EN)],Tab_Def_Flows[Value_Source],,0,)</f>
        <v>0</v>
      </c>
      <c r="J114" s="48" t="str">
        <f>_xlfn.XLOOKUP(C114,Tab_Def_Flows[Name(EN)],Tab_Def_Flows[WC?],,0,)</f>
        <v>Yes</v>
      </c>
      <c r="K114" s="48" t="str">
        <f>_xlfn.XLOOKUP(C114,Tab_Def_Flows[Name(EN)],Tab_Def_Flows[DM?],,0,)</f>
        <v>Yes</v>
      </c>
      <c r="L114" s="48" t="str">
        <f>_xlfn.XLOOKUP(C114,Tab_Def_Flows[Name(EN)],Tab_Def_Flows[CC?],,0,)</f>
        <v>Yes</v>
      </c>
      <c r="M114" s="50">
        <v>2032</v>
      </c>
      <c r="N114" s="50"/>
      <c r="O114" s="108">
        <v>19.2</v>
      </c>
      <c r="P114" s="50" t="s">
        <v>85</v>
      </c>
      <c r="Q114" s="50"/>
      <c r="R114" s="50" t="e">
        <f>INDEX(Tab_WC_DM_CC[[Flow_ID]:[CC_source]],MATCH(Tab_Data_Flows[[#This Row],[Name(EN)]],Tab_WC_DM_CC[Name(EN)],0),12)</f>
        <v>#N/A</v>
      </c>
      <c r="S114" s="50" t="e">
        <f>MATCH(Tab_Data_Flows[[#This Row],[Name(EN)]],Tab_WC_DM_CC[Name(EN)],0)</f>
        <v>#N/A</v>
      </c>
      <c r="T114" s="50"/>
      <c r="U114" s="50"/>
      <c r="V114" s="50"/>
      <c r="W114" s="50"/>
      <c r="X114" s="50" t="s">
        <v>84</v>
      </c>
      <c r="Y114" s="50"/>
      <c r="Z114" s="50"/>
      <c r="AA114" s="80">
        <f t="shared" si="5"/>
        <v>19.2</v>
      </c>
      <c r="AB114" s="50" t="s">
        <v>85</v>
      </c>
      <c r="AC114" s="101">
        <f>INDEX(Tab_Def_Flows[[Flow_ID]:[CC_DM_source]],MATCH(Tab_Data_Flows[[#This Row],[Name(EN)]],Tab_Def_Flows[Name(EN)],0),14)</f>
        <v>0</v>
      </c>
      <c r="AD114" s="102">
        <f>IF(J114="Yes",AA114*Tab_Data_Flows[[#This Row],[WC_'[%']]],"N.A.")</f>
        <v>0</v>
      </c>
      <c r="AE114" s="58" t="str">
        <f>Tab_Data_Flows[[#This Row],[UoM_Flow_Py]]</f>
        <v>Mg</v>
      </c>
      <c r="AF114" s="101">
        <f>INDEX(Tab_Def_Flows[[Flow_ID]:[CC_DM_source]],MATCH(Tab_Data_Flows[[#This Row],[Name(EN)]],Tab_Def_Flows[Name(EN)],0),16)</f>
        <v>1</v>
      </c>
      <c r="AG114" s="102">
        <f>IF(K114="Yes",AF114*Tab_Data_Flows[[#This Row],[Flow_Py]],"N.A.")</f>
        <v>19.2</v>
      </c>
      <c r="AH114" s="58" t="str">
        <f>Tab_Data_Flows[[#This Row],[UoM_Flow_Py]]</f>
        <v>Mg</v>
      </c>
      <c r="AI114" s="101">
        <f>INDEX(Tab_Def_Flows[[Flow_ID]:[CC_DM_source]],MATCH(Tab_Data_Flows[[#This Row],[Name(EN)]],Tab_Def_Flows[Name(EN)],0),18)</f>
        <v>0.5</v>
      </c>
      <c r="AJ114" s="102">
        <f>IF(L114="Yes",AI114*Tab_Data_Flows[[#This Row],[Flow_Py]]*Tab_Data_Flows[[#This Row],[DM_'[%']]],"N.A.")</f>
        <v>9.6</v>
      </c>
      <c r="AK114" s="58" t="str">
        <f>Tab_Data_Flows[[#This Row],[UoM_Flow_Py]]</f>
        <v>Mg</v>
      </c>
    </row>
    <row r="115" spans="1:37" x14ac:dyDescent="0.25">
      <c r="A115" s="57">
        <f t="shared" si="4"/>
        <v>114</v>
      </c>
      <c r="B115" s="48" t="str">
        <f>_xlfn.XLOOKUP(C115,Tab_Def_Flows[Name(EN)],Tab_Def_Flows[Flow_ID],,0,)</f>
        <v>F_00_01</v>
      </c>
      <c r="C115" s="50" t="s">
        <v>107</v>
      </c>
      <c r="D115" s="48"/>
      <c r="E115" s="48" t="str">
        <f>_xlfn.XLOOKUP(C115,Tab_Def_Flows[Name(EN)],Tab_Def_Flows[Output_Process],,0,)</f>
        <v>Biosphere</v>
      </c>
      <c r="F115" s="48" t="str">
        <f>_xlfn.XLOOKUP(C115,Tab_Def_Flows[Name(EN)],Tab_Def_Flows[Process_ID_O],,0,)</f>
        <v>00_Bio_</v>
      </c>
      <c r="G115" s="48" t="str">
        <f>_xlfn.XLOOKUP(C115,Tab_Def_Flows[Name(EN)],Tab_Def_Flows[Input_Process],,0,)</f>
        <v>Raw Material Extraction</v>
      </c>
      <c r="H115" s="58" t="str">
        <f>_xlfn.XLOOKUP(C115,Tab_Def_Flows[Name(EN)],Tab_Def_Flows[Process_ID_I],,0,)</f>
        <v>01_Raw_</v>
      </c>
      <c r="I115" s="48">
        <f>_xlfn.XLOOKUP(C115,Tab_Def_Flows[Name(EN)],Tab_Def_Flows[Value_Source],,0,)</f>
        <v>0</v>
      </c>
      <c r="J115" s="48" t="str">
        <f>_xlfn.XLOOKUP(C115,Tab_Def_Flows[Name(EN)],Tab_Def_Flows[WC?],,0,)</f>
        <v>Yes</v>
      </c>
      <c r="K115" s="48" t="str">
        <f>_xlfn.XLOOKUP(C115,Tab_Def_Flows[Name(EN)],Tab_Def_Flows[DM?],,0,)</f>
        <v>Yes</v>
      </c>
      <c r="L115" s="48" t="str">
        <f>_xlfn.XLOOKUP(C115,Tab_Def_Flows[Name(EN)],Tab_Def_Flows[CC?],,0,)</f>
        <v>Yes</v>
      </c>
      <c r="M115" s="50">
        <v>2033</v>
      </c>
      <c r="N115" s="50"/>
      <c r="O115" s="108">
        <v>0</v>
      </c>
      <c r="P115" s="50" t="s">
        <v>85</v>
      </c>
      <c r="Q115" s="50"/>
      <c r="R115" s="50" t="e">
        <f>INDEX(Tab_WC_DM_CC[[Flow_ID]:[CC_source]],MATCH(Tab_Data_Flows[[#This Row],[Name(EN)]],Tab_WC_DM_CC[Name(EN)],0),12)</f>
        <v>#N/A</v>
      </c>
      <c r="S115" s="50" t="e">
        <f>MATCH(Tab_Data_Flows[[#This Row],[Name(EN)]],Tab_WC_DM_CC[Name(EN)],0)</f>
        <v>#N/A</v>
      </c>
      <c r="T115" s="50"/>
      <c r="U115" s="50"/>
      <c r="V115" s="50"/>
      <c r="W115" s="50"/>
      <c r="X115" s="50" t="s">
        <v>84</v>
      </c>
      <c r="Y115" s="50"/>
      <c r="Z115" s="50"/>
      <c r="AA115" s="80">
        <f t="shared" si="5"/>
        <v>0</v>
      </c>
      <c r="AB115" s="50" t="s">
        <v>85</v>
      </c>
      <c r="AC115" s="101">
        <f>INDEX(Tab_Def_Flows[[Flow_ID]:[CC_DM_source]],MATCH(Tab_Data_Flows[[#This Row],[Name(EN)]],Tab_Def_Flows[Name(EN)],0),14)</f>
        <v>0</v>
      </c>
      <c r="AD115" s="102">
        <f>IF(J115="Yes",AA115*Tab_Data_Flows[[#This Row],[WC_'[%']]],"N.A.")</f>
        <v>0</v>
      </c>
      <c r="AE115" s="58" t="str">
        <f>Tab_Data_Flows[[#This Row],[UoM_Flow_Py]]</f>
        <v>Mg</v>
      </c>
      <c r="AF115" s="101">
        <f>INDEX(Tab_Def_Flows[[Flow_ID]:[CC_DM_source]],MATCH(Tab_Data_Flows[[#This Row],[Name(EN)]],Tab_Def_Flows[Name(EN)],0),16)</f>
        <v>1</v>
      </c>
      <c r="AG115" s="102">
        <f>IF(K115="Yes",AF115*Tab_Data_Flows[[#This Row],[Flow_Py]],"N.A.")</f>
        <v>0</v>
      </c>
      <c r="AH115" s="58" t="str">
        <f>Tab_Data_Flows[[#This Row],[UoM_Flow_Py]]</f>
        <v>Mg</v>
      </c>
      <c r="AI115" s="101">
        <f>INDEX(Tab_Def_Flows[[Flow_ID]:[CC_DM_source]],MATCH(Tab_Data_Flows[[#This Row],[Name(EN)]],Tab_Def_Flows[Name(EN)],0),18)</f>
        <v>0.5</v>
      </c>
      <c r="AJ115" s="102">
        <f>IF(L115="Yes",AI115*Tab_Data_Flows[[#This Row],[Flow_Py]]*Tab_Data_Flows[[#This Row],[DM_'[%']]],"N.A.")</f>
        <v>0</v>
      </c>
      <c r="AK115" s="58" t="str">
        <f>Tab_Data_Flows[[#This Row],[UoM_Flow_Py]]</f>
        <v>Mg</v>
      </c>
    </row>
    <row r="116" spans="1:37" x14ac:dyDescent="0.25">
      <c r="A116" s="57">
        <f t="shared" si="4"/>
        <v>115</v>
      </c>
      <c r="B116" s="48" t="str">
        <f>_xlfn.XLOOKUP(C116,Tab_Def_Flows[Name(EN)],Tab_Def_Flows[Flow_ID],,0,)</f>
        <v>F_00_01</v>
      </c>
      <c r="C116" s="50" t="s">
        <v>107</v>
      </c>
      <c r="D116" s="48">
        <f>_xlfn.XLOOKUP(C116,Tab_Def_Flows[Name(EN)],Tab_Def_Flows[Type_Biomass],,0,)</f>
        <v>0</v>
      </c>
      <c r="E116" s="48" t="str">
        <f>_xlfn.XLOOKUP(C116,Tab_Def_Flows[Name(EN)],Tab_Def_Flows[Output_Process],,0,)</f>
        <v>Biosphere</v>
      </c>
      <c r="F116" s="48" t="str">
        <f>_xlfn.XLOOKUP(C116,Tab_Def_Flows[Name(EN)],Tab_Def_Flows[Process_ID_O],,0,)</f>
        <v>00_Bio_</v>
      </c>
      <c r="G116" s="48" t="str">
        <f>_xlfn.XLOOKUP(C116,Tab_Def_Flows[Name(EN)],Tab_Def_Flows[Input_Process],,0,)</f>
        <v>Raw Material Extraction</v>
      </c>
      <c r="H116" s="58" t="str">
        <f>_xlfn.XLOOKUP(C116,Tab_Def_Flows[Name(EN)],Tab_Def_Flows[Process_ID_I],,0,)</f>
        <v>01_Raw_</v>
      </c>
      <c r="I116" s="58">
        <f>_xlfn.XLOOKUP(C116,Tab_Def_Flows[Name(EN)],Tab_Def_Flows[Value_Source],,0,)</f>
        <v>0</v>
      </c>
      <c r="J116" s="58" t="str">
        <f>_xlfn.XLOOKUP(C116,Tab_Def_Flows[Name(EN)],Tab_Def_Flows[WC?],,0,)</f>
        <v>Yes</v>
      </c>
      <c r="K116" s="58" t="str">
        <f>_xlfn.XLOOKUP(C116,Tab_Def_Flows[Name(EN)],Tab_Def_Flows[DM?],,0,)</f>
        <v>Yes</v>
      </c>
      <c r="L116" s="58" t="str">
        <f>_xlfn.XLOOKUP(C116,Tab_Def_Flows[Name(EN)],Tab_Def_Flows[CC?],,0,)</f>
        <v>Yes</v>
      </c>
      <c r="M116" s="50">
        <v>2034</v>
      </c>
      <c r="N116" s="50" t="s">
        <v>82</v>
      </c>
      <c r="O116" s="108">
        <v>12.8</v>
      </c>
      <c r="P116" s="50" t="s">
        <v>85</v>
      </c>
      <c r="Q116" s="50" t="s">
        <v>83</v>
      </c>
      <c r="R116" s="50"/>
      <c r="S116" s="50"/>
      <c r="T116" s="50"/>
      <c r="U116" s="50"/>
      <c r="V116" s="50"/>
      <c r="W116" s="50"/>
      <c r="X116" s="50" t="s">
        <v>84</v>
      </c>
      <c r="Y116" s="98"/>
      <c r="Z116" s="50"/>
      <c r="AA116" s="80">
        <f t="shared" si="5"/>
        <v>12.8</v>
      </c>
      <c r="AB116" s="50" t="s">
        <v>85</v>
      </c>
      <c r="AC116" s="101">
        <f>INDEX(Tab_Def_Flows[[Flow_ID]:[CC_DM_source]],MATCH(Tab_Data_Flows[[#This Row],[Name(EN)]],Tab_Def_Flows[Name(EN)],0),14)</f>
        <v>0</v>
      </c>
      <c r="AD116" s="102">
        <f>IF(J116="Yes",AA116*Tab_Data_Flows[[#This Row],[WC_'[%']]],"N.A.")</f>
        <v>0</v>
      </c>
      <c r="AE116" s="58" t="str">
        <f>Tab_Data_Flows[[#This Row],[UoM_Flow_Py]]</f>
        <v>Mg</v>
      </c>
      <c r="AF116" s="101">
        <f>INDEX(Tab_Def_Flows[[Flow_ID]:[CC_DM_source]],MATCH(Tab_Data_Flows[[#This Row],[Name(EN)]],Tab_Def_Flows[Name(EN)],0),16)</f>
        <v>1</v>
      </c>
      <c r="AG116" s="102">
        <f>IF(K116="Yes",AF116*Tab_Data_Flows[[#This Row],[Flow_Py]],"N.A.")</f>
        <v>12.8</v>
      </c>
      <c r="AH116" s="58" t="str">
        <f>Tab_Data_Flows[[#This Row],[UoM_Flow_Py]]</f>
        <v>Mg</v>
      </c>
      <c r="AI116" s="101">
        <f>INDEX(Tab_Def_Flows[[Flow_ID]:[CC_DM_source]],MATCH(Tab_Data_Flows[[#This Row],[Name(EN)]],Tab_Def_Flows[Name(EN)],0),18)</f>
        <v>0.5</v>
      </c>
      <c r="AJ116" s="102">
        <f>IF(L116="Yes",AI116*Tab_Data_Flows[[#This Row],[Flow_Py]]*Tab_Data_Flows[[#This Row],[DM_'[%']]],"N.A.")</f>
        <v>6.4</v>
      </c>
      <c r="AK116" s="58" t="str">
        <f>Tab_Data_Flows[[#This Row],[UoM_Flow_Py]]</f>
        <v>Mg</v>
      </c>
    </row>
    <row r="117" spans="1:37" x14ac:dyDescent="0.25">
      <c r="A117" s="57">
        <f t="shared" si="4"/>
        <v>116</v>
      </c>
      <c r="B117" s="48" t="str">
        <f>_xlfn.XLOOKUP(C117,Tab_Def_Flows[Name(EN)],Tab_Def_Flows[Flow_ID],,0,)</f>
        <v>F_00_01</v>
      </c>
      <c r="C117" s="50" t="s">
        <v>107</v>
      </c>
      <c r="D117" s="48">
        <f>_xlfn.XLOOKUP(C117,Tab_Def_Flows[Name(EN)],Tab_Def_Flows[Type_Biomass],,0,)</f>
        <v>0</v>
      </c>
      <c r="E117" s="48" t="str">
        <f>_xlfn.XLOOKUP(C117,Tab_Def_Flows[Name(EN)],Tab_Def_Flows[Output_Process],,0,)</f>
        <v>Biosphere</v>
      </c>
      <c r="F117" s="48" t="str">
        <f>_xlfn.XLOOKUP(C117,Tab_Def_Flows[Name(EN)],Tab_Def_Flows[Process_ID_O],,0,)</f>
        <v>00_Bio_</v>
      </c>
      <c r="G117" s="48" t="str">
        <f>_xlfn.XLOOKUP(C117,Tab_Def_Flows[Name(EN)],Tab_Def_Flows[Input_Process],,0,)</f>
        <v>Raw Material Extraction</v>
      </c>
      <c r="H117" s="58" t="str">
        <f>_xlfn.XLOOKUP(C117,Tab_Def_Flows[Name(EN)],Tab_Def_Flows[Process_ID_I],,0,)</f>
        <v>01_Raw_</v>
      </c>
      <c r="I117" s="58">
        <f>_xlfn.XLOOKUP(C117,Tab_Def_Flows[Name(EN)],Tab_Def_Flows[Value_Source],,0,)</f>
        <v>0</v>
      </c>
      <c r="J117" s="58" t="str">
        <f>_xlfn.XLOOKUP(C117,Tab_Def_Flows[Name(EN)],Tab_Def_Flows[WC?],,0,)</f>
        <v>Yes</v>
      </c>
      <c r="K117" s="58" t="str">
        <f>_xlfn.XLOOKUP(C117,Tab_Def_Flows[Name(EN)],Tab_Def_Flows[DM?],,0,)</f>
        <v>Yes</v>
      </c>
      <c r="L117" s="58" t="str">
        <f>_xlfn.XLOOKUP(C117,Tab_Def_Flows[Name(EN)],Tab_Def_Flows[CC?],,0,)</f>
        <v>Yes</v>
      </c>
      <c r="M117" s="50">
        <v>2035</v>
      </c>
      <c r="N117" s="50" t="s">
        <v>82</v>
      </c>
      <c r="O117" s="108">
        <v>6.4</v>
      </c>
      <c r="P117" s="50" t="s">
        <v>85</v>
      </c>
      <c r="Q117" s="50" t="s">
        <v>83</v>
      </c>
      <c r="R117" s="50"/>
      <c r="S117" s="50"/>
      <c r="T117" s="50"/>
      <c r="U117" s="50"/>
      <c r="V117" s="50"/>
      <c r="W117" s="50"/>
      <c r="X117" s="50" t="s">
        <v>84</v>
      </c>
      <c r="Y117" s="98"/>
      <c r="Z117" s="50"/>
      <c r="AA117" s="80">
        <f t="shared" si="5"/>
        <v>6.4</v>
      </c>
      <c r="AB117" s="50" t="s">
        <v>85</v>
      </c>
      <c r="AC117" s="101">
        <f>INDEX(Tab_Def_Flows[[Flow_ID]:[CC_DM_source]],MATCH(Tab_Data_Flows[[#This Row],[Name(EN)]],Tab_Def_Flows[Name(EN)],0),14)</f>
        <v>0</v>
      </c>
      <c r="AD117" s="102">
        <f>IF(J117="Yes",AA117*Tab_Data_Flows[[#This Row],[WC_'[%']]],"N.A.")</f>
        <v>0</v>
      </c>
      <c r="AE117" s="58" t="str">
        <f>Tab_Data_Flows[[#This Row],[UoM_Flow_Py]]</f>
        <v>Mg</v>
      </c>
      <c r="AF117" s="101">
        <f>INDEX(Tab_Def_Flows[[Flow_ID]:[CC_DM_source]],MATCH(Tab_Data_Flows[[#This Row],[Name(EN)]],Tab_Def_Flows[Name(EN)],0),16)</f>
        <v>1</v>
      </c>
      <c r="AG117" s="102" t="e">
        <f>IF(K117="Yes",AF117*Tab_Data_Flows[[#This Row],[Flow_Py]]-#REF!,"N.A.")</f>
        <v>#REF!</v>
      </c>
      <c r="AH117" s="58" t="str">
        <f>Tab_Data_Flows[[#This Row],[UoM_Flow_Py]]</f>
        <v>Mg</v>
      </c>
      <c r="AI117" s="101">
        <f>INDEX(Tab_Def_Flows[[Flow_ID]:[CC_DM_source]],MATCH(Tab_Data_Flows[[#This Row],[Name(EN)]],Tab_Def_Flows[Name(EN)],0),18)</f>
        <v>0.5</v>
      </c>
      <c r="AJ117" s="102">
        <f>IF(L117="Yes",AI117*Tab_Data_Flows[[#This Row],[Flow_Py]]*Tab_Data_Flows[[#This Row],[DM_'[%']]],"N.A.")</f>
        <v>3.2</v>
      </c>
      <c r="AK117" s="58" t="str">
        <f>Tab_Data_Flows[[#This Row],[UoM_Flow_Py]]</f>
        <v>Mg</v>
      </c>
    </row>
    <row r="118" spans="1:37" x14ac:dyDescent="0.25">
      <c r="A118" s="57">
        <f t="shared" si="4"/>
        <v>117</v>
      </c>
      <c r="B118" s="48" t="str">
        <f>_xlfn.XLOOKUP(C118,Tab_Def_Flows[Name(EN)],Tab_Def_Flows[Flow_ID],,0,)</f>
        <v>F_00_01</v>
      </c>
      <c r="C118" s="50" t="s">
        <v>107</v>
      </c>
      <c r="D118" s="48">
        <f>_xlfn.XLOOKUP(C118,Tab_Def_Flows[Name(EN)],Tab_Def_Flows[Type_Biomass],,0,)</f>
        <v>0</v>
      </c>
      <c r="E118" s="48" t="str">
        <f>_xlfn.XLOOKUP(C118,Tab_Def_Flows[Name(EN)],Tab_Def_Flows[Output_Process],,0,)</f>
        <v>Biosphere</v>
      </c>
      <c r="F118" s="48" t="str">
        <f>_xlfn.XLOOKUP(C118,Tab_Def_Flows[Name(EN)],Tab_Def_Flows[Process_ID_O],,0,)</f>
        <v>00_Bio_</v>
      </c>
      <c r="G118" s="48" t="str">
        <f>_xlfn.XLOOKUP(C118,Tab_Def_Flows[Name(EN)],Tab_Def_Flows[Input_Process],,0,)</f>
        <v>Raw Material Extraction</v>
      </c>
      <c r="H118" s="58" t="str">
        <f>_xlfn.XLOOKUP(C118,Tab_Def_Flows[Name(EN)],Tab_Def_Flows[Process_ID_I],,0,)</f>
        <v>01_Raw_</v>
      </c>
      <c r="I118" s="58">
        <f>_xlfn.XLOOKUP(C118,Tab_Def_Flows[Name(EN)],Tab_Def_Flows[Value_Source],,0,)</f>
        <v>0</v>
      </c>
      <c r="J118" s="58" t="str">
        <f>_xlfn.XLOOKUP(C118,Tab_Def_Flows[Name(EN)],Tab_Def_Flows[WC?],,0,)</f>
        <v>Yes</v>
      </c>
      <c r="K118" s="58" t="str">
        <f>_xlfn.XLOOKUP(C118,Tab_Def_Flows[Name(EN)],Tab_Def_Flows[DM?],,0,)</f>
        <v>Yes</v>
      </c>
      <c r="L118" s="58" t="str">
        <f>_xlfn.XLOOKUP(C118,Tab_Def_Flows[Name(EN)],Tab_Def_Flows[CC?],,0,)</f>
        <v>Yes</v>
      </c>
      <c r="M118" s="50">
        <v>2036</v>
      </c>
      <c r="N118" s="50" t="s">
        <v>82</v>
      </c>
      <c r="O118" s="108">
        <v>12.8</v>
      </c>
      <c r="P118" s="50" t="s">
        <v>85</v>
      </c>
      <c r="Q118" s="50" t="s">
        <v>83</v>
      </c>
      <c r="R118" s="50"/>
      <c r="S118" s="50"/>
      <c r="T118" s="50"/>
      <c r="U118" s="50"/>
      <c r="V118" s="50"/>
      <c r="W118" s="50"/>
      <c r="X118" s="50" t="s">
        <v>84</v>
      </c>
      <c r="Y118" s="98"/>
      <c r="Z118" s="50"/>
      <c r="AA118" s="80">
        <f t="shared" si="5"/>
        <v>12.8</v>
      </c>
      <c r="AB118" s="50" t="s">
        <v>85</v>
      </c>
      <c r="AC118" s="101">
        <f>INDEX(Tab_Def_Flows[[Flow_ID]:[CC_DM_source]],MATCH(Tab_Data_Flows[[#This Row],[Name(EN)]],Tab_Def_Flows[Name(EN)],0),14)</f>
        <v>0</v>
      </c>
      <c r="AD118" s="102">
        <f>IF(J118="Yes",AA118*Tab_Data_Flows[[#This Row],[WC_'[%']]],"N.A.")</f>
        <v>0</v>
      </c>
      <c r="AE118" s="58" t="str">
        <f>Tab_Data_Flows[[#This Row],[UoM_Flow_Py]]</f>
        <v>Mg</v>
      </c>
      <c r="AF118" s="101">
        <f>INDEX(Tab_Def_Flows[[Flow_ID]:[CC_DM_source]],MATCH(Tab_Data_Flows[[#This Row],[Name(EN)]],Tab_Def_Flows[Name(EN)],0),16)</f>
        <v>1</v>
      </c>
      <c r="AG118" s="102" t="e">
        <f>IF(K118="Yes",AF118*Tab_Data_Flows[[#This Row],[Flow_Py]]-#REF!,"N.A.")</f>
        <v>#REF!</v>
      </c>
      <c r="AH118" s="58" t="str">
        <f>Tab_Data_Flows[[#This Row],[UoM_Flow_Py]]</f>
        <v>Mg</v>
      </c>
      <c r="AI118" s="101">
        <f>INDEX(Tab_Def_Flows[[Flow_ID]:[CC_DM_source]],MATCH(Tab_Data_Flows[[#This Row],[Name(EN)]],Tab_Def_Flows[Name(EN)],0),18)</f>
        <v>0.5</v>
      </c>
      <c r="AJ118" s="102">
        <f>IF(L118="Yes",AI118*Tab_Data_Flows[[#This Row],[Flow_Py]]*Tab_Data_Flows[[#This Row],[DM_'[%']]],"N.A.")</f>
        <v>6.4</v>
      </c>
      <c r="AK118" s="58" t="str">
        <f>Tab_Data_Flows[[#This Row],[UoM_Flow_Py]]</f>
        <v>Mg</v>
      </c>
    </row>
    <row r="119" spans="1:37" x14ac:dyDescent="0.25">
      <c r="A119" s="57">
        <f t="shared" si="4"/>
        <v>118</v>
      </c>
      <c r="B119" s="48" t="str">
        <f>_xlfn.XLOOKUP(C119,Tab_Def_Flows[Name(EN)],Tab_Def_Flows[Flow_ID],,0,)</f>
        <v>F_00_01</v>
      </c>
      <c r="C119" s="50" t="s">
        <v>107</v>
      </c>
      <c r="D119" s="48">
        <f>_xlfn.XLOOKUP(C119,Tab_Def_Flows[Name(EN)],Tab_Def_Flows[Type_Biomass],,0,)</f>
        <v>0</v>
      </c>
      <c r="E119" s="48" t="str">
        <f>_xlfn.XLOOKUP(C119,Tab_Def_Flows[Name(EN)],Tab_Def_Flows[Output_Process],,0,)</f>
        <v>Biosphere</v>
      </c>
      <c r="F119" s="48" t="str">
        <f>_xlfn.XLOOKUP(C119,Tab_Def_Flows[Name(EN)],Tab_Def_Flows[Process_ID_O],,0,)</f>
        <v>00_Bio_</v>
      </c>
      <c r="G119" s="48" t="str">
        <f>_xlfn.XLOOKUP(C119,Tab_Def_Flows[Name(EN)],Tab_Def_Flows[Input_Process],,0,)</f>
        <v>Raw Material Extraction</v>
      </c>
      <c r="H119" s="58" t="str">
        <f>_xlfn.XLOOKUP(C119,Tab_Def_Flows[Name(EN)],Tab_Def_Flows[Process_ID_I],,0,)</f>
        <v>01_Raw_</v>
      </c>
      <c r="I119" s="58">
        <f>_xlfn.XLOOKUP(C119,Tab_Def_Flows[Name(EN)],Tab_Def_Flows[Value_Source],,0,)</f>
        <v>0</v>
      </c>
      <c r="J119" s="58" t="str">
        <f>_xlfn.XLOOKUP(C119,Tab_Def_Flows[Name(EN)],Tab_Def_Flows[WC?],,0,)</f>
        <v>Yes</v>
      </c>
      <c r="K119" s="58" t="str">
        <f>_xlfn.XLOOKUP(C119,Tab_Def_Flows[Name(EN)],Tab_Def_Flows[DM?],,0,)</f>
        <v>Yes</v>
      </c>
      <c r="L119" s="58" t="str">
        <f>_xlfn.XLOOKUP(C119,Tab_Def_Flows[Name(EN)],Tab_Def_Flows[CC?],,0,)</f>
        <v>Yes</v>
      </c>
      <c r="M119" s="50">
        <v>2037</v>
      </c>
      <c r="N119" s="50" t="s">
        <v>82</v>
      </c>
      <c r="O119" s="108">
        <v>6.4</v>
      </c>
      <c r="P119" s="50" t="s">
        <v>85</v>
      </c>
      <c r="Q119" s="50" t="s">
        <v>83</v>
      </c>
      <c r="R119" s="50"/>
      <c r="S119" s="50"/>
      <c r="T119" s="50"/>
      <c r="U119" s="50"/>
      <c r="V119" s="50"/>
      <c r="W119" s="50"/>
      <c r="X119" s="50" t="s">
        <v>84</v>
      </c>
      <c r="Y119" s="98"/>
      <c r="Z119" s="50"/>
      <c r="AA119" s="80">
        <f t="shared" si="5"/>
        <v>6.4</v>
      </c>
      <c r="AB119" s="50" t="s">
        <v>85</v>
      </c>
      <c r="AC119" s="101">
        <f>INDEX(Tab_Def_Flows[[Flow_ID]:[CC_DM_source]],MATCH(Tab_Data_Flows[[#This Row],[Name(EN)]],Tab_Def_Flows[Name(EN)],0),14)</f>
        <v>0</v>
      </c>
      <c r="AD119" s="102">
        <f>IF(J119="Yes",AA119*Tab_Data_Flows[[#This Row],[WC_'[%']]],"N.A.")</f>
        <v>0</v>
      </c>
      <c r="AE119" s="58" t="str">
        <f>Tab_Data_Flows[[#This Row],[UoM_Flow_Py]]</f>
        <v>Mg</v>
      </c>
      <c r="AF119" s="101">
        <f>INDEX(Tab_Def_Flows[[Flow_ID]:[CC_DM_source]],MATCH(Tab_Data_Flows[[#This Row],[Name(EN)]],Tab_Def_Flows[Name(EN)],0),16)</f>
        <v>1</v>
      </c>
      <c r="AG119" s="102" t="e">
        <f>IF(K119="Yes",AF119*Tab_Data_Flows[[#This Row],[Flow_Py]]-#REF!,"N.A.")</f>
        <v>#REF!</v>
      </c>
      <c r="AH119" s="58" t="str">
        <f>Tab_Data_Flows[[#This Row],[UoM_Flow_Py]]</f>
        <v>Mg</v>
      </c>
      <c r="AI119" s="101">
        <f>INDEX(Tab_Def_Flows[[Flow_ID]:[CC_DM_source]],MATCH(Tab_Data_Flows[[#This Row],[Name(EN)]],Tab_Def_Flows[Name(EN)],0),18)</f>
        <v>0.5</v>
      </c>
      <c r="AJ119" s="102">
        <f>IF(L119="Yes",AI119*Tab_Data_Flows[[#This Row],[Flow_Py]]*Tab_Data_Flows[[#This Row],[DM_'[%']]],"N.A.")</f>
        <v>3.2</v>
      </c>
      <c r="AK119" s="58" t="str">
        <f>Tab_Data_Flows[[#This Row],[UoM_Flow_Py]]</f>
        <v>Mg</v>
      </c>
    </row>
    <row r="120" spans="1:37" x14ac:dyDescent="0.25">
      <c r="A120" s="57">
        <f t="shared" si="4"/>
        <v>119</v>
      </c>
      <c r="B120" s="48" t="str">
        <f>_xlfn.XLOOKUP(C120,Tab_Def_Flows[Name(EN)],Tab_Def_Flows[Flow_ID],,0,)</f>
        <v>F_00_01</v>
      </c>
      <c r="C120" s="50" t="s">
        <v>107</v>
      </c>
      <c r="D120" s="48">
        <f>_xlfn.XLOOKUP(C120,Tab_Def_Flows[Name(EN)],Tab_Def_Flows[Type_Biomass],,0,)</f>
        <v>0</v>
      </c>
      <c r="E120" s="48" t="str">
        <f>_xlfn.XLOOKUP(C120,Tab_Def_Flows[Name(EN)],Tab_Def_Flows[Output_Process],,0,)</f>
        <v>Biosphere</v>
      </c>
      <c r="F120" s="48" t="str">
        <f>_xlfn.XLOOKUP(C120,Tab_Def_Flows[Name(EN)],Tab_Def_Flows[Process_ID_O],,0,)</f>
        <v>00_Bio_</v>
      </c>
      <c r="G120" s="48" t="str">
        <f>_xlfn.XLOOKUP(C120,Tab_Def_Flows[Name(EN)],Tab_Def_Flows[Input_Process],,0,)</f>
        <v>Raw Material Extraction</v>
      </c>
      <c r="H120" s="58" t="str">
        <f>_xlfn.XLOOKUP(C120,Tab_Def_Flows[Name(EN)],Tab_Def_Flows[Process_ID_I],,0,)</f>
        <v>01_Raw_</v>
      </c>
      <c r="I120" s="58">
        <f>_xlfn.XLOOKUP(C120,Tab_Def_Flows[Name(EN)],Tab_Def_Flows[Value_Source],,0,)</f>
        <v>0</v>
      </c>
      <c r="J120" s="58" t="str">
        <f>_xlfn.XLOOKUP(C120,Tab_Def_Flows[Name(EN)],Tab_Def_Flows[WC?],,0,)</f>
        <v>Yes</v>
      </c>
      <c r="K120" s="58" t="str">
        <f>_xlfn.XLOOKUP(C120,Tab_Def_Flows[Name(EN)],Tab_Def_Flows[DM?],,0,)</f>
        <v>Yes</v>
      </c>
      <c r="L120" s="58" t="str">
        <f>_xlfn.XLOOKUP(C120,Tab_Def_Flows[Name(EN)],Tab_Def_Flows[CC?],,0,)</f>
        <v>Yes</v>
      </c>
      <c r="M120" s="50">
        <v>2038</v>
      </c>
      <c r="N120" s="50" t="s">
        <v>82</v>
      </c>
      <c r="O120" s="108">
        <v>6.4</v>
      </c>
      <c r="P120" s="50" t="s">
        <v>85</v>
      </c>
      <c r="Q120" s="50" t="s">
        <v>83</v>
      </c>
      <c r="R120" s="50"/>
      <c r="S120" s="50"/>
      <c r="T120" s="50"/>
      <c r="U120" s="50"/>
      <c r="V120" s="50"/>
      <c r="W120" s="50"/>
      <c r="X120" s="50" t="s">
        <v>84</v>
      </c>
      <c r="Y120" s="98"/>
      <c r="Z120" s="50"/>
      <c r="AA120" s="80">
        <f t="shared" si="5"/>
        <v>6.4</v>
      </c>
      <c r="AB120" s="50" t="s">
        <v>85</v>
      </c>
      <c r="AC120" s="101">
        <f>INDEX(Tab_Def_Flows[[Flow_ID]:[CC_DM_source]],MATCH(Tab_Data_Flows[[#This Row],[Name(EN)]],Tab_Def_Flows[Name(EN)],0),14)</f>
        <v>0</v>
      </c>
      <c r="AD120" s="102">
        <f>IF(J120="Yes",AA120*Tab_Data_Flows[[#This Row],[WC_'[%']]],"N.A.")</f>
        <v>0</v>
      </c>
      <c r="AE120" s="58" t="str">
        <f>Tab_Data_Flows[[#This Row],[UoM_Flow_Py]]</f>
        <v>Mg</v>
      </c>
      <c r="AF120" s="101">
        <f>INDEX(Tab_Def_Flows[[Flow_ID]:[CC_DM_source]],MATCH(Tab_Data_Flows[[#This Row],[Name(EN)]],Tab_Def_Flows[Name(EN)],0),16)</f>
        <v>1</v>
      </c>
      <c r="AG120" s="102" t="e">
        <f>IF(K120="Yes",AF120*Tab_Data_Flows[[#This Row],[Flow_Py]]-#REF!,"N.A.")</f>
        <v>#REF!</v>
      </c>
      <c r="AH120" s="58" t="str">
        <f>Tab_Data_Flows[[#This Row],[UoM_Flow_Py]]</f>
        <v>Mg</v>
      </c>
      <c r="AI120" s="101">
        <f>INDEX(Tab_Def_Flows[[Flow_ID]:[CC_DM_source]],MATCH(Tab_Data_Flows[[#This Row],[Name(EN)]],Tab_Def_Flows[Name(EN)],0),18)</f>
        <v>0.5</v>
      </c>
      <c r="AJ120" s="102">
        <f>IF(L120="Yes",AI120*Tab_Data_Flows[[#This Row],[Flow_Py]]*Tab_Data_Flows[[#This Row],[DM_'[%']]],"N.A.")</f>
        <v>3.2</v>
      </c>
      <c r="AK120" s="58" t="str">
        <f>Tab_Data_Flows[[#This Row],[UoM_Flow_Py]]</f>
        <v>Mg</v>
      </c>
    </row>
    <row r="121" spans="1:37" x14ac:dyDescent="0.25">
      <c r="A121" s="57">
        <f t="shared" si="4"/>
        <v>120</v>
      </c>
      <c r="B121" s="48" t="str">
        <f>_xlfn.XLOOKUP(C121,Tab_Def_Flows[Name(EN)],Tab_Def_Flows[Flow_ID],,0,)</f>
        <v>F_00_01</v>
      </c>
      <c r="C121" s="50" t="s">
        <v>107</v>
      </c>
      <c r="D121" s="48">
        <f>_xlfn.XLOOKUP(C121,Tab_Def_Flows[Name(EN)],Tab_Def_Flows[Type_Biomass],,0,)</f>
        <v>0</v>
      </c>
      <c r="E121" s="48" t="str">
        <f>_xlfn.XLOOKUP(C121,Tab_Def_Flows[Name(EN)],Tab_Def_Flows[Output_Process],,0,)</f>
        <v>Biosphere</v>
      </c>
      <c r="F121" s="48" t="str">
        <f>_xlfn.XLOOKUP(C121,Tab_Def_Flows[Name(EN)],Tab_Def_Flows[Process_ID_O],,0,)</f>
        <v>00_Bio_</v>
      </c>
      <c r="G121" s="48" t="str">
        <f>_xlfn.XLOOKUP(C121,Tab_Def_Flows[Name(EN)],Tab_Def_Flows[Input_Process],,0,)</f>
        <v>Raw Material Extraction</v>
      </c>
      <c r="H121" s="58" t="str">
        <f>_xlfn.XLOOKUP(C121,Tab_Def_Flows[Name(EN)],Tab_Def_Flows[Process_ID_I],,0,)</f>
        <v>01_Raw_</v>
      </c>
      <c r="I121" s="58">
        <f>_xlfn.XLOOKUP(C121,Tab_Def_Flows[Name(EN)],Tab_Def_Flows[Value_Source],,0,)</f>
        <v>0</v>
      </c>
      <c r="J121" s="58" t="str">
        <f>_xlfn.XLOOKUP(C121,Tab_Def_Flows[Name(EN)],Tab_Def_Flows[WC?],,0,)</f>
        <v>Yes</v>
      </c>
      <c r="K121" s="58" t="str">
        <f>_xlfn.XLOOKUP(C121,Tab_Def_Flows[Name(EN)],Tab_Def_Flows[DM?],,0,)</f>
        <v>Yes</v>
      </c>
      <c r="L121" s="58" t="str">
        <f>_xlfn.XLOOKUP(C121,Tab_Def_Flows[Name(EN)],Tab_Def_Flows[CC?],,0,)</f>
        <v>Yes</v>
      </c>
      <c r="M121" s="50">
        <v>2039</v>
      </c>
      <c r="N121" s="50" t="s">
        <v>82</v>
      </c>
      <c r="O121" s="108">
        <v>32.200000000000003</v>
      </c>
      <c r="P121" s="50" t="s">
        <v>85</v>
      </c>
      <c r="Q121" s="50" t="s">
        <v>83</v>
      </c>
      <c r="R121" s="50"/>
      <c r="S121" s="50"/>
      <c r="T121" s="50"/>
      <c r="U121" s="50"/>
      <c r="V121" s="50"/>
      <c r="W121" s="50"/>
      <c r="X121" s="50" t="s">
        <v>84</v>
      </c>
      <c r="Y121" s="98"/>
      <c r="Z121" s="50"/>
      <c r="AA121" s="80">
        <f t="shared" si="5"/>
        <v>32.200000000000003</v>
      </c>
      <c r="AB121" s="50" t="s">
        <v>85</v>
      </c>
      <c r="AC121" s="101">
        <f>INDEX(Tab_Def_Flows[[Flow_ID]:[CC_DM_source]],MATCH(Tab_Data_Flows[[#This Row],[Name(EN)]],Tab_Def_Flows[Name(EN)],0),14)</f>
        <v>0</v>
      </c>
      <c r="AD121" s="102">
        <f>IF(J121="Yes",AA121*Tab_Data_Flows[[#This Row],[WC_'[%']]],"N.A.")</f>
        <v>0</v>
      </c>
      <c r="AE121" s="58" t="str">
        <f>Tab_Data_Flows[[#This Row],[UoM_Flow_Py]]</f>
        <v>Mg</v>
      </c>
      <c r="AF121" s="101">
        <f>INDEX(Tab_Def_Flows[[Flow_ID]:[CC_DM_source]],MATCH(Tab_Data_Flows[[#This Row],[Name(EN)]],Tab_Def_Flows[Name(EN)],0),16)</f>
        <v>1</v>
      </c>
      <c r="AG121" s="102" t="e">
        <f>IF(K121="Yes",AF121*Tab_Data_Flows[[#This Row],[Flow_Py]]-#REF!,"N.A.")</f>
        <v>#REF!</v>
      </c>
      <c r="AH121" s="58" t="str">
        <f>Tab_Data_Flows[[#This Row],[UoM_Flow_Py]]</f>
        <v>Mg</v>
      </c>
      <c r="AI121" s="101">
        <f>INDEX(Tab_Def_Flows[[Flow_ID]:[CC_DM_source]],MATCH(Tab_Data_Flows[[#This Row],[Name(EN)]],Tab_Def_Flows[Name(EN)],0),18)</f>
        <v>0.5</v>
      </c>
      <c r="AJ121" s="102">
        <f>IF(L121="Yes",AI121*Tab_Data_Flows[[#This Row],[Flow_Py]]*Tab_Data_Flows[[#This Row],[DM_'[%']]],"N.A.")</f>
        <v>16.100000000000001</v>
      </c>
      <c r="AK121" s="58" t="str">
        <f>Tab_Data_Flows[[#This Row],[UoM_Flow_Py]]</f>
        <v>Mg</v>
      </c>
    </row>
    <row r="122" spans="1:37" x14ac:dyDescent="0.25">
      <c r="A122" s="57">
        <f t="shared" si="4"/>
        <v>121</v>
      </c>
      <c r="B122" s="48" t="str">
        <f>_xlfn.XLOOKUP(C122,Tab_Def_Flows[Name(EN)],Tab_Def_Flows[Flow_ID],,0,)</f>
        <v>F_00_01</v>
      </c>
      <c r="C122" s="50" t="s">
        <v>107</v>
      </c>
      <c r="D122" s="48">
        <f>_xlfn.XLOOKUP(C122,Tab_Def_Flows[Name(EN)],Tab_Def_Flows[Type_Biomass],,0,)</f>
        <v>0</v>
      </c>
      <c r="E122" s="48" t="str">
        <f>_xlfn.XLOOKUP(C122,Tab_Def_Flows[Name(EN)],Tab_Def_Flows[Output_Process],,0,)</f>
        <v>Biosphere</v>
      </c>
      <c r="F122" s="48" t="str">
        <f>_xlfn.XLOOKUP(C122,Tab_Def_Flows[Name(EN)],Tab_Def_Flows[Process_ID_O],,0,)</f>
        <v>00_Bio_</v>
      </c>
      <c r="G122" s="48" t="str">
        <f>_xlfn.XLOOKUP(C122,Tab_Def_Flows[Name(EN)],Tab_Def_Flows[Input_Process],,0,)</f>
        <v>Raw Material Extraction</v>
      </c>
      <c r="H122" s="58" t="str">
        <f>_xlfn.XLOOKUP(C122,Tab_Def_Flows[Name(EN)],Tab_Def_Flows[Process_ID_I],,0,)</f>
        <v>01_Raw_</v>
      </c>
      <c r="I122" s="58">
        <f>_xlfn.XLOOKUP(C122,Tab_Def_Flows[Name(EN)],Tab_Def_Flows[Value_Source],,0,)</f>
        <v>0</v>
      </c>
      <c r="J122" s="58" t="str">
        <f>_xlfn.XLOOKUP(C122,Tab_Def_Flows[Name(EN)],Tab_Def_Flows[WC?],,0,)</f>
        <v>Yes</v>
      </c>
      <c r="K122" s="58" t="str">
        <f>_xlfn.XLOOKUP(C122,Tab_Def_Flows[Name(EN)],Tab_Def_Flows[DM?],,0,)</f>
        <v>Yes</v>
      </c>
      <c r="L122" s="58" t="str">
        <f>_xlfn.XLOOKUP(C122,Tab_Def_Flows[Name(EN)],Tab_Def_Flows[CC?],,0,)</f>
        <v>Yes</v>
      </c>
      <c r="M122" s="50">
        <v>2040</v>
      </c>
      <c r="N122" s="50" t="s">
        <v>82</v>
      </c>
      <c r="O122" s="108">
        <v>0</v>
      </c>
      <c r="P122" s="50" t="s">
        <v>85</v>
      </c>
      <c r="Q122" s="50" t="s">
        <v>83</v>
      </c>
      <c r="R122" s="50"/>
      <c r="S122" s="50"/>
      <c r="T122" s="50"/>
      <c r="U122" s="50"/>
      <c r="V122" s="50"/>
      <c r="W122" s="50"/>
      <c r="X122" s="50" t="s">
        <v>84</v>
      </c>
      <c r="Y122" s="98"/>
      <c r="Z122" s="50"/>
      <c r="AA122" s="80">
        <f t="shared" si="5"/>
        <v>0</v>
      </c>
      <c r="AB122" s="50" t="s">
        <v>85</v>
      </c>
      <c r="AC122" s="101">
        <f>INDEX(Tab_Def_Flows[[Flow_ID]:[CC_DM_source]],MATCH(Tab_Data_Flows[[#This Row],[Name(EN)]],Tab_Def_Flows[Name(EN)],0),14)</f>
        <v>0</v>
      </c>
      <c r="AD122" s="102">
        <f>IF(J122="Yes",AA122*Tab_Data_Flows[[#This Row],[WC_'[%']]],"N.A.")</f>
        <v>0</v>
      </c>
      <c r="AE122" s="58" t="str">
        <f>Tab_Data_Flows[[#This Row],[UoM_Flow_Py]]</f>
        <v>Mg</v>
      </c>
      <c r="AF122" s="101">
        <f>INDEX(Tab_Def_Flows[[Flow_ID]:[CC_DM_source]],MATCH(Tab_Data_Flows[[#This Row],[Name(EN)]],Tab_Def_Flows[Name(EN)],0),16)</f>
        <v>1</v>
      </c>
      <c r="AG122" s="102" t="e">
        <f>IF(K122="Yes",AF122*Tab_Data_Flows[[#This Row],[Flow_Py]]-#REF!,"N.A.")</f>
        <v>#REF!</v>
      </c>
      <c r="AH122" s="58" t="str">
        <f>Tab_Data_Flows[[#This Row],[UoM_Flow_Py]]</f>
        <v>Mg</v>
      </c>
      <c r="AI122" s="101">
        <f>INDEX(Tab_Def_Flows[[Flow_ID]:[CC_DM_source]],MATCH(Tab_Data_Flows[[#This Row],[Name(EN)]],Tab_Def_Flows[Name(EN)],0),18)</f>
        <v>0.5</v>
      </c>
      <c r="AJ122" s="102">
        <f>IF(L122="Yes",AI122*Tab_Data_Flows[[#This Row],[Flow_Py]]*Tab_Data_Flows[[#This Row],[DM_'[%']]],"N.A.")</f>
        <v>0</v>
      </c>
      <c r="AK122" s="58" t="str">
        <f>Tab_Data_Flows[[#This Row],[UoM_Flow_Py]]</f>
        <v>Mg</v>
      </c>
    </row>
    <row r="123" spans="1:37" x14ac:dyDescent="0.25">
      <c r="A123" s="57">
        <f t="shared" si="4"/>
        <v>122</v>
      </c>
      <c r="B123" s="48" t="str">
        <f>_xlfn.XLOOKUP(C123,Tab_Def_Flows[Name(EN)],Tab_Def_Flows[Flow_ID],,0,)</f>
        <v>F_00_01</v>
      </c>
      <c r="C123" s="50" t="s">
        <v>107</v>
      </c>
      <c r="D123" s="48"/>
      <c r="E123" s="48" t="str">
        <f>_xlfn.XLOOKUP(C123,Tab_Def_Flows[Name(EN)],Tab_Def_Flows[Output_Process],,0,)</f>
        <v>Biosphere</v>
      </c>
      <c r="F123" s="48" t="str">
        <f>_xlfn.XLOOKUP(C123,Tab_Def_Flows[Name(EN)],Tab_Def_Flows[Process_ID_O],,0,)</f>
        <v>00_Bio_</v>
      </c>
      <c r="G123" s="48" t="str">
        <f>_xlfn.XLOOKUP(C123,Tab_Def_Flows[Name(EN)],Tab_Def_Flows[Input_Process],,0,)</f>
        <v>Raw Material Extraction</v>
      </c>
      <c r="H123" s="58" t="str">
        <f>_xlfn.XLOOKUP(C123,Tab_Def_Flows[Name(EN)],Tab_Def_Flows[Process_ID_I],,0,)</f>
        <v>01_Raw_</v>
      </c>
      <c r="I123" s="48">
        <f>_xlfn.XLOOKUP(C123,Tab_Def_Flows[Name(EN)],Tab_Def_Flows[Value_Source],,0,)</f>
        <v>0</v>
      </c>
      <c r="J123" s="48" t="str">
        <f>_xlfn.XLOOKUP(C123,Tab_Def_Flows[Name(EN)],Tab_Def_Flows[WC?],,0,)</f>
        <v>Yes</v>
      </c>
      <c r="K123" s="48" t="str">
        <f>_xlfn.XLOOKUP(C123,Tab_Def_Flows[Name(EN)],Tab_Def_Flows[DM?],,0,)</f>
        <v>Yes</v>
      </c>
      <c r="L123" s="48" t="str">
        <f>_xlfn.XLOOKUP(C123,Tab_Def_Flows[Name(EN)],Tab_Def_Flows[CC?],,0,)</f>
        <v>Yes</v>
      </c>
      <c r="M123" s="50">
        <v>2041</v>
      </c>
      <c r="N123" s="50"/>
      <c r="O123" s="108">
        <v>6.4</v>
      </c>
      <c r="P123" s="50" t="s">
        <v>85</v>
      </c>
      <c r="Q123" s="50"/>
      <c r="R123" s="50" t="e">
        <f>INDEX(Tab_WC_DM_CC[[Flow_ID]:[CC_source]],MATCH(Tab_Data_Flows[[#This Row],[Name(EN)]],Tab_WC_DM_CC[Name(EN)],0),12)</f>
        <v>#N/A</v>
      </c>
      <c r="S123" s="50" t="e">
        <f>MATCH(Tab_Data_Flows[[#This Row],[Name(EN)]],Tab_WC_DM_CC[Name(EN)],0)</f>
        <v>#N/A</v>
      </c>
      <c r="T123" s="50"/>
      <c r="U123" s="50"/>
      <c r="V123" s="50"/>
      <c r="W123" s="50"/>
      <c r="X123" s="50" t="s">
        <v>84</v>
      </c>
      <c r="Y123" s="50"/>
      <c r="Z123" s="50"/>
      <c r="AA123" s="80">
        <f t="shared" si="5"/>
        <v>6.4</v>
      </c>
      <c r="AB123" s="50" t="s">
        <v>85</v>
      </c>
      <c r="AC123" s="101">
        <f>INDEX(Tab_Def_Flows[[Flow_ID]:[CC_DM_source]],MATCH(Tab_Data_Flows[[#This Row],[Name(EN)]],Tab_Def_Flows[Name(EN)],0),14)</f>
        <v>0</v>
      </c>
      <c r="AD123" s="102">
        <f>IF(J123="Yes",AA123*Tab_Data_Flows[[#This Row],[WC_'[%']]],"N.A.")</f>
        <v>0</v>
      </c>
      <c r="AE123" s="58" t="str">
        <f>Tab_Data_Flows[[#This Row],[UoM_Flow_Py]]</f>
        <v>Mg</v>
      </c>
      <c r="AF123" s="101">
        <f>INDEX(Tab_Def_Flows[[Flow_ID]:[CC_DM_source]],MATCH(Tab_Data_Flows[[#This Row],[Name(EN)]],Tab_Def_Flows[Name(EN)],0),16)</f>
        <v>1</v>
      </c>
      <c r="AG123" s="102" t="e">
        <f>IF(K123="Yes",AF123*Tab_Data_Flows[[#This Row],[Flow_Py]]-#REF!,"N.A.")</f>
        <v>#REF!</v>
      </c>
      <c r="AH123" s="58" t="str">
        <f>Tab_Data_Flows[[#This Row],[UoM_Flow_Py]]</f>
        <v>Mg</v>
      </c>
      <c r="AI123" s="101">
        <f>INDEX(Tab_Def_Flows[[Flow_ID]:[CC_DM_source]],MATCH(Tab_Data_Flows[[#This Row],[Name(EN)]],Tab_Def_Flows[Name(EN)],0),18)</f>
        <v>0.5</v>
      </c>
      <c r="AJ123" s="102">
        <f>IF(L123="Yes",AI123*Tab_Data_Flows[[#This Row],[Flow_Py]]*Tab_Data_Flows[[#This Row],[DM_'[%']]],"N.A.")</f>
        <v>3.2</v>
      </c>
      <c r="AK123" s="58" t="str">
        <f>Tab_Data_Flows[[#This Row],[UoM_Flow_Py]]</f>
        <v>Mg</v>
      </c>
    </row>
    <row r="124" spans="1:37" x14ac:dyDescent="0.25">
      <c r="A124" s="57">
        <f t="shared" si="4"/>
        <v>123</v>
      </c>
      <c r="B124" s="48" t="str">
        <f>_xlfn.XLOOKUP(C124,Tab_Def_Flows[Name(EN)],Tab_Def_Flows[Flow_ID],,0,)</f>
        <v>F_00_01</v>
      </c>
      <c r="C124" s="50" t="s">
        <v>107</v>
      </c>
      <c r="D124" s="48"/>
      <c r="E124" s="48" t="str">
        <f>_xlfn.XLOOKUP(C124,Tab_Def_Flows[Name(EN)],Tab_Def_Flows[Output_Process],,0,)</f>
        <v>Biosphere</v>
      </c>
      <c r="F124" s="48" t="str">
        <f>_xlfn.XLOOKUP(C124,Tab_Def_Flows[Name(EN)],Tab_Def_Flows[Process_ID_O],,0,)</f>
        <v>00_Bio_</v>
      </c>
      <c r="G124" s="48" t="str">
        <f>_xlfn.XLOOKUP(C124,Tab_Def_Flows[Name(EN)],Tab_Def_Flows[Input_Process],,0,)</f>
        <v>Raw Material Extraction</v>
      </c>
      <c r="H124" s="58" t="str">
        <f>_xlfn.XLOOKUP(C124,Tab_Def_Flows[Name(EN)],Tab_Def_Flows[Process_ID_I],,0,)</f>
        <v>01_Raw_</v>
      </c>
      <c r="I124" s="48">
        <f>_xlfn.XLOOKUP(C124,Tab_Def_Flows[Name(EN)],Tab_Def_Flows[Value_Source],,0,)</f>
        <v>0</v>
      </c>
      <c r="J124" s="48" t="str">
        <f>_xlfn.XLOOKUP(C124,Tab_Def_Flows[Name(EN)],Tab_Def_Flows[WC?],,0,)</f>
        <v>Yes</v>
      </c>
      <c r="K124" s="48" t="str">
        <f>_xlfn.XLOOKUP(C124,Tab_Def_Flows[Name(EN)],Tab_Def_Flows[DM?],,0,)</f>
        <v>Yes</v>
      </c>
      <c r="L124" s="48" t="str">
        <f>_xlfn.XLOOKUP(C124,Tab_Def_Flows[Name(EN)],Tab_Def_Flows[CC?],,0,)</f>
        <v>Yes</v>
      </c>
      <c r="M124" s="50">
        <v>2042</v>
      </c>
      <c r="N124" s="50"/>
      <c r="O124" s="108">
        <v>0</v>
      </c>
      <c r="P124" s="50" t="s">
        <v>85</v>
      </c>
      <c r="Q124" s="50"/>
      <c r="R124" s="50" t="e">
        <f>INDEX(Tab_WC_DM_CC[[Flow_ID]:[CC_source]],MATCH(Tab_Data_Flows[[#This Row],[Name(EN)]],Tab_WC_DM_CC[Name(EN)],0),12)</f>
        <v>#N/A</v>
      </c>
      <c r="S124" s="50" t="e">
        <f>MATCH(Tab_Data_Flows[[#This Row],[Name(EN)]],Tab_WC_DM_CC[Name(EN)],0)</f>
        <v>#N/A</v>
      </c>
      <c r="T124" s="50"/>
      <c r="U124" s="50"/>
      <c r="V124" s="50"/>
      <c r="W124" s="50"/>
      <c r="X124" s="50" t="s">
        <v>84</v>
      </c>
      <c r="Y124" s="50"/>
      <c r="Z124" s="50"/>
      <c r="AA124" s="80">
        <f t="shared" si="5"/>
        <v>0</v>
      </c>
      <c r="AB124" s="50" t="s">
        <v>85</v>
      </c>
      <c r="AC124" s="101">
        <f>INDEX(Tab_Def_Flows[[Flow_ID]:[CC_DM_source]],MATCH(Tab_Data_Flows[[#This Row],[Name(EN)]],Tab_Def_Flows[Name(EN)],0),14)</f>
        <v>0</v>
      </c>
      <c r="AD124" s="102">
        <f>IF(J124="Yes",AA124*Tab_Data_Flows[[#This Row],[WC_'[%']]],"N.A.")</f>
        <v>0</v>
      </c>
      <c r="AE124" s="58" t="str">
        <f>Tab_Data_Flows[[#This Row],[UoM_Flow_Py]]</f>
        <v>Mg</v>
      </c>
      <c r="AF124" s="101">
        <f>INDEX(Tab_Def_Flows[[Flow_ID]:[CC_DM_source]],MATCH(Tab_Data_Flows[[#This Row],[Name(EN)]],Tab_Def_Flows[Name(EN)],0),16)</f>
        <v>1</v>
      </c>
      <c r="AG124" s="102" t="e">
        <f>IF(K124="Yes",AF124*Tab_Data_Flows[[#This Row],[Flow_Py]]-#REF!,"N.A.")</f>
        <v>#REF!</v>
      </c>
      <c r="AH124" s="58" t="str">
        <f>Tab_Data_Flows[[#This Row],[UoM_Flow_Py]]</f>
        <v>Mg</v>
      </c>
      <c r="AI124" s="101">
        <f>INDEX(Tab_Def_Flows[[Flow_ID]:[CC_DM_source]],MATCH(Tab_Data_Flows[[#This Row],[Name(EN)]],Tab_Def_Flows[Name(EN)],0),18)</f>
        <v>0.5</v>
      </c>
      <c r="AJ124" s="102">
        <f>IF(L124="Yes",AI124*Tab_Data_Flows[[#This Row],[Flow_Py]]*Tab_Data_Flows[[#This Row],[DM_'[%']]],"N.A.")</f>
        <v>0</v>
      </c>
      <c r="AK124" s="58" t="str">
        <f>Tab_Data_Flows[[#This Row],[UoM_Flow_Py]]</f>
        <v>Mg</v>
      </c>
    </row>
    <row r="125" spans="1:37" x14ac:dyDescent="0.25">
      <c r="A125" s="57">
        <f t="shared" si="4"/>
        <v>124</v>
      </c>
      <c r="B125" s="48" t="str">
        <f>_xlfn.XLOOKUP(C125,Tab_Def_Flows[Name(EN)],Tab_Def_Flows[Flow_ID],,0,)</f>
        <v>F_00_01</v>
      </c>
      <c r="C125" s="50" t="s">
        <v>107</v>
      </c>
      <c r="D125" s="48"/>
      <c r="E125" s="48" t="str">
        <f>_xlfn.XLOOKUP(C125,Tab_Def_Flows[Name(EN)],Tab_Def_Flows[Output_Process],,0,)</f>
        <v>Biosphere</v>
      </c>
      <c r="F125" s="48" t="str">
        <f>_xlfn.XLOOKUP(C125,Tab_Def_Flows[Name(EN)],Tab_Def_Flows[Process_ID_O],,0,)</f>
        <v>00_Bio_</v>
      </c>
      <c r="G125" s="48" t="str">
        <f>_xlfn.XLOOKUP(C125,Tab_Def_Flows[Name(EN)],Tab_Def_Flows[Input_Process],,0,)</f>
        <v>Raw Material Extraction</v>
      </c>
      <c r="H125" s="58" t="str">
        <f>_xlfn.XLOOKUP(C125,Tab_Def_Flows[Name(EN)],Tab_Def_Flows[Process_ID_I],,0,)</f>
        <v>01_Raw_</v>
      </c>
      <c r="I125" s="48">
        <f>_xlfn.XLOOKUP(C125,Tab_Def_Flows[Name(EN)],Tab_Def_Flows[Value_Source],,0,)</f>
        <v>0</v>
      </c>
      <c r="J125" s="48" t="str">
        <f>_xlfn.XLOOKUP(C125,Tab_Def_Flows[Name(EN)],Tab_Def_Flows[WC?],,0,)</f>
        <v>Yes</v>
      </c>
      <c r="K125" s="48" t="str">
        <f>_xlfn.XLOOKUP(C125,Tab_Def_Flows[Name(EN)],Tab_Def_Flows[DM?],,0,)</f>
        <v>Yes</v>
      </c>
      <c r="L125" s="48" t="str">
        <f>_xlfn.XLOOKUP(C125,Tab_Def_Flows[Name(EN)],Tab_Def_Flows[CC?],,0,)</f>
        <v>Yes</v>
      </c>
      <c r="M125" s="50">
        <v>2043</v>
      </c>
      <c r="N125" s="50"/>
      <c r="O125" s="108">
        <v>25.8</v>
      </c>
      <c r="P125" s="50" t="s">
        <v>85</v>
      </c>
      <c r="Q125" s="50"/>
      <c r="R125" s="50" t="e">
        <f>INDEX(Tab_WC_DM_CC[[Flow_ID]:[CC_source]],MATCH(Tab_Data_Flows[[#This Row],[Name(EN)]],Tab_WC_DM_CC[Name(EN)],0),12)</f>
        <v>#N/A</v>
      </c>
      <c r="S125" s="50" t="e">
        <f>MATCH(Tab_Data_Flows[[#This Row],[Name(EN)]],Tab_WC_DM_CC[Name(EN)],0)</f>
        <v>#N/A</v>
      </c>
      <c r="T125" s="50"/>
      <c r="U125" s="50"/>
      <c r="V125" s="50"/>
      <c r="W125" s="50"/>
      <c r="X125" s="50" t="s">
        <v>84</v>
      </c>
      <c r="Y125" s="50"/>
      <c r="Z125" s="50"/>
      <c r="AA125" s="80">
        <f t="shared" si="5"/>
        <v>25.8</v>
      </c>
      <c r="AB125" s="50" t="s">
        <v>85</v>
      </c>
      <c r="AC125" s="101">
        <f>INDEX(Tab_Def_Flows[[Flow_ID]:[CC_DM_source]],MATCH(Tab_Data_Flows[[#This Row],[Name(EN)]],Tab_Def_Flows[Name(EN)],0),14)</f>
        <v>0</v>
      </c>
      <c r="AD125" s="102">
        <f>IF(J125="Yes",AA125*Tab_Data_Flows[[#This Row],[WC_'[%']]],"N.A.")</f>
        <v>0</v>
      </c>
      <c r="AE125" s="58" t="str">
        <f>Tab_Data_Flows[[#This Row],[UoM_Flow_Py]]</f>
        <v>Mg</v>
      </c>
      <c r="AF125" s="101">
        <f>INDEX(Tab_Def_Flows[[Flow_ID]:[CC_DM_source]],MATCH(Tab_Data_Flows[[#This Row],[Name(EN)]],Tab_Def_Flows[Name(EN)],0),16)</f>
        <v>1</v>
      </c>
      <c r="AG125" s="102" t="e">
        <f>IF(K125="Yes",AF125*Tab_Data_Flows[[#This Row],[Flow_Py]]-#REF!,"N.A.")</f>
        <v>#REF!</v>
      </c>
      <c r="AH125" s="58" t="str">
        <f>Tab_Data_Flows[[#This Row],[UoM_Flow_Py]]</f>
        <v>Mg</v>
      </c>
      <c r="AI125" s="101">
        <f>INDEX(Tab_Def_Flows[[Flow_ID]:[CC_DM_source]],MATCH(Tab_Data_Flows[[#This Row],[Name(EN)]],Tab_Def_Flows[Name(EN)],0),18)</f>
        <v>0.5</v>
      </c>
      <c r="AJ125" s="102">
        <f>IF(L125="Yes",AI125*Tab_Data_Flows[[#This Row],[Flow_Py]]*Tab_Data_Flows[[#This Row],[DM_'[%']]],"N.A.")</f>
        <v>12.9</v>
      </c>
      <c r="AK125" s="58" t="str">
        <f>Tab_Data_Flows[[#This Row],[UoM_Flow_Py]]</f>
        <v>Mg</v>
      </c>
    </row>
    <row r="126" spans="1:37" x14ac:dyDescent="0.25">
      <c r="A126" s="57">
        <f t="shared" si="4"/>
        <v>125</v>
      </c>
      <c r="B126" s="48" t="str">
        <f>_xlfn.XLOOKUP(C126,Tab_Def_Flows[Name(EN)],Tab_Def_Flows[Flow_ID],,0,)</f>
        <v>F_00_01</v>
      </c>
      <c r="C126" s="50" t="s">
        <v>107</v>
      </c>
      <c r="D126" s="48"/>
      <c r="E126" s="48" t="str">
        <f>_xlfn.XLOOKUP(C126,Tab_Def_Flows[Name(EN)],Tab_Def_Flows[Output_Process],,0,)</f>
        <v>Biosphere</v>
      </c>
      <c r="F126" s="48" t="str">
        <f>_xlfn.XLOOKUP(C126,Tab_Def_Flows[Name(EN)],Tab_Def_Flows[Process_ID_O],,0,)</f>
        <v>00_Bio_</v>
      </c>
      <c r="G126" s="48" t="str">
        <f>_xlfn.XLOOKUP(C126,Tab_Def_Flows[Name(EN)],Tab_Def_Flows[Input_Process],,0,)</f>
        <v>Raw Material Extraction</v>
      </c>
      <c r="H126" s="58" t="str">
        <f>_xlfn.XLOOKUP(C126,Tab_Def_Flows[Name(EN)],Tab_Def_Flows[Process_ID_I],,0,)</f>
        <v>01_Raw_</v>
      </c>
      <c r="I126" s="48">
        <f>_xlfn.XLOOKUP(C126,Tab_Def_Flows[Name(EN)],Tab_Def_Flows[Value_Source],,0,)</f>
        <v>0</v>
      </c>
      <c r="J126" s="48" t="str">
        <f>_xlfn.XLOOKUP(C126,Tab_Def_Flows[Name(EN)],Tab_Def_Flows[WC?],,0,)</f>
        <v>Yes</v>
      </c>
      <c r="K126" s="48" t="str">
        <f>_xlfn.XLOOKUP(C126,Tab_Def_Flows[Name(EN)],Tab_Def_Flows[DM?],,0,)</f>
        <v>Yes</v>
      </c>
      <c r="L126" s="48" t="str">
        <f>_xlfn.XLOOKUP(C126,Tab_Def_Flows[Name(EN)],Tab_Def_Flows[CC?],,0,)</f>
        <v>Yes</v>
      </c>
      <c r="M126" s="50">
        <v>2044</v>
      </c>
      <c r="N126" s="50"/>
      <c r="O126" s="108">
        <v>25.8</v>
      </c>
      <c r="P126" s="50" t="s">
        <v>85</v>
      </c>
      <c r="Q126" s="50"/>
      <c r="R126" s="50" t="e">
        <f>INDEX(Tab_WC_DM_CC[[Flow_ID]:[CC_source]],MATCH(Tab_Data_Flows[[#This Row],[Name(EN)]],Tab_WC_DM_CC[Name(EN)],0),12)</f>
        <v>#N/A</v>
      </c>
      <c r="S126" s="50" t="e">
        <f>MATCH(Tab_Data_Flows[[#This Row],[Name(EN)]],Tab_WC_DM_CC[Name(EN)],0)</f>
        <v>#N/A</v>
      </c>
      <c r="T126" s="50"/>
      <c r="U126" s="50"/>
      <c r="V126" s="50"/>
      <c r="W126" s="50"/>
      <c r="X126" s="50" t="s">
        <v>84</v>
      </c>
      <c r="Y126" s="50"/>
      <c r="Z126" s="50"/>
      <c r="AA126" s="80">
        <f t="shared" si="5"/>
        <v>25.8</v>
      </c>
      <c r="AB126" s="50" t="s">
        <v>85</v>
      </c>
      <c r="AC126" s="101">
        <f>INDEX(Tab_Def_Flows[[Flow_ID]:[CC_DM_source]],MATCH(Tab_Data_Flows[[#This Row],[Name(EN)]],Tab_Def_Flows[Name(EN)],0),14)</f>
        <v>0</v>
      </c>
      <c r="AD126" s="102">
        <f>IF(J126="Yes",AA126*Tab_Data_Flows[[#This Row],[WC_'[%']]],"N.A.")</f>
        <v>0</v>
      </c>
      <c r="AE126" s="58" t="str">
        <f>Tab_Data_Flows[[#This Row],[UoM_Flow_Py]]</f>
        <v>Mg</v>
      </c>
      <c r="AF126" s="101">
        <f>INDEX(Tab_Def_Flows[[Flow_ID]:[CC_DM_source]],MATCH(Tab_Data_Flows[[#This Row],[Name(EN)]],Tab_Def_Flows[Name(EN)],0),16)</f>
        <v>1</v>
      </c>
      <c r="AG126" s="102" t="e">
        <f>IF(K126="Yes",AF126*Tab_Data_Flows[[#This Row],[Flow_Py]]-#REF!,"N.A.")</f>
        <v>#REF!</v>
      </c>
      <c r="AH126" s="58" t="str">
        <f>Tab_Data_Flows[[#This Row],[UoM_Flow_Py]]</f>
        <v>Mg</v>
      </c>
      <c r="AI126" s="101">
        <f>INDEX(Tab_Def_Flows[[Flow_ID]:[CC_DM_source]],MATCH(Tab_Data_Flows[[#This Row],[Name(EN)]],Tab_Def_Flows[Name(EN)],0),18)</f>
        <v>0.5</v>
      </c>
      <c r="AJ126" s="102">
        <f>IF(L126="Yes",AI126*Tab_Data_Flows[[#This Row],[Flow_Py]]*Tab_Data_Flows[[#This Row],[DM_'[%']]],"N.A.")</f>
        <v>12.9</v>
      </c>
      <c r="AK126" s="58" t="str">
        <f>Tab_Data_Flows[[#This Row],[UoM_Flow_Py]]</f>
        <v>Mg</v>
      </c>
    </row>
    <row r="127" spans="1:37" x14ac:dyDescent="0.25">
      <c r="A127" s="57">
        <f t="shared" si="4"/>
        <v>126</v>
      </c>
      <c r="B127" s="48" t="str">
        <f>_xlfn.XLOOKUP(C127,Tab_Def_Flows[Name(EN)],Tab_Def_Flows[Flow_ID],,0,)</f>
        <v>F_00_01</v>
      </c>
      <c r="C127" s="50" t="s">
        <v>107</v>
      </c>
      <c r="D127" s="50" t="s">
        <v>107</v>
      </c>
      <c r="E127" s="50" t="s">
        <v>107</v>
      </c>
      <c r="F127" s="50" t="s">
        <v>107</v>
      </c>
      <c r="G127" s="50" t="s">
        <v>107</v>
      </c>
      <c r="H127" s="50" t="s">
        <v>107</v>
      </c>
      <c r="I127" s="50" t="s">
        <v>107</v>
      </c>
      <c r="J127" s="50" t="s">
        <v>107</v>
      </c>
      <c r="K127" s="50" t="s">
        <v>107</v>
      </c>
      <c r="L127" s="50" t="s">
        <v>107</v>
      </c>
      <c r="M127" s="50">
        <v>2045</v>
      </c>
      <c r="N127" s="50"/>
      <c r="O127" s="108">
        <v>6.4</v>
      </c>
      <c r="P127" s="50" t="s">
        <v>85</v>
      </c>
      <c r="Q127" s="50"/>
      <c r="R127" s="50" t="e">
        <f>INDEX(Tab_WC_DM_CC[[Flow_ID]:[CC_source]],MATCH(Tab_Data_Flows[[#This Row],[Name(EN)]],Tab_WC_DM_CC[Name(EN)],0),12)</f>
        <v>#N/A</v>
      </c>
      <c r="S127" s="50" t="e">
        <f>MATCH(Tab_Data_Flows[[#This Row],[Name(EN)]],Tab_WC_DM_CC[Name(EN)],0)</f>
        <v>#N/A</v>
      </c>
      <c r="T127" s="50"/>
      <c r="U127" s="50"/>
      <c r="V127" s="50"/>
      <c r="W127" s="50"/>
      <c r="X127" s="50" t="s">
        <v>84</v>
      </c>
      <c r="Y127" s="50"/>
      <c r="Z127" s="50"/>
      <c r="AA127" s="80">
        <f t="shared" si="5"/>
        <v>6.4</v>
      </c>
      <c r="AB127" s="50" t="s">
        <v>85</v>
      </c>
      <c r="AC127" s="101">
        <f>INDEX(Tab_Def_Flows[[Flow_ID]:[CC_DM_source]],MATCH(Tab_Data_Flows[[#This Row],[Name(EN)]],Tab_Def_Flows[Name(EN)],0),14)</f>
        <v>0</v>
      </c>
      <c r="AD127" s="102" t="str">
        <f>IF(J127="Yes",AA127*Tab_Data_Flows[[#This Row],[WC_'[%']]],"N.A.")</f>
        <v>N.A.</v>
      </c>
      <c r="AE127" s="58" t="str">
        <f>Tab_Data_Flows[[#This Row],[UoM_Flow_Py]]</f>
        <v>Mg</v>
      </c>
      <c r="AF127" s="101">
        <f>INDEX(Tab_Def_Flows[[Flow_ID]:[CC_DM_source]],MATCH(Tab_Data_Flows[[#This Row],[Name(EN)]],Tab_Def_Flows[Name(EN)],0),16)</f>
        <v>1</v>
      </c>
      <c r="AG127" s="102" t="str">
        <f>IF(K127="Yes",AF127*Tab_Data_Flows[[#This Row],[Flow_Py]]-#REF!,"N.A.")</f>
        <v>N.A.</v>
      </c>
      <c r="AH127" s="58" t="str">
        <f>Tab_Data_Flows[[#This Row],[UoM_Flow_Py]]</f>
        <v>Mg</v>
      </c>
      <c r="AI127" s="101">
        <f>INDEX(Tab_Def_Flows[[Flow_ID]:[CC_DM_source]],MATCH(Tab_Data_Flows[[#This Row],[Name(EN)]],Tab_Def_Flows[Name(EN)],0),18)</f>
        <v>0.5</v>
      </c>
      <c r="AJ127" s="102" t="str">
        <f>IF(L127="Yes",AI127*Tab_Data_Flows[[#This Row],[Flow_Py]]*Tab_Data_Flows[[#This Row],[DM_'[%']]],"N.A.")</f>
        <v>N.A.</v>
      </c>
      <c r="AK127" s="58" t="str">
        <f>Tab_Data_Flows[[#This Row],[UoM_Flow_Py]]</f>
        <v>Mg</v>
      </c>
    </row>
    <row r="128" spans="1:37" x14ac:dyDescent="0.25">
      <c r="AF128" s="104"/>
      <c r="AK128" s="100"/>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X2:X127</xm:sqref>
        </x14:dataValidation>
        <x14:dataValidation type="list" allowBlank="1" showInputMessage="1" showErrorMessage="1" xr:uid="{A030A264-E9C5-4840-932B-125C397F8D0A}">
          <x14:formula1>
            <xm:f>'1_1_Definition_Flows'!$D$2:$D$15</xm:f>
          </x14:formula1>
          <xm:sqref>C2:C127 D127:L127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B10"/>
  <sheetViews>
    <sheetView zoomScaleNormal="115" workbookViewId="0">
      <pane xSplit="4" topLeftCell="I1" activePane="topRight" state="frozen"/>
      <selection pane="topRight" activeCell="L10" sqref="L10"/>
    </sheetView>
  </sheetViews>
  <sheetFormatPr defaultColWidth="10.85546875" defaultRowHeight="15" x14ac:dyDescent="0.25"/>
  <cols>
    <col min="2" max="2" width="6.85546875" customWidth="1"/>
    <col min="3" max="3" width="12" bestFit="1" customWidth="1"/>
    <col min="4" max="4" width="22.42578125" customWidth="1"/>
    <col min="5" max="5" width="33.140625" hidden="1" customWidth="1"/>
    <col min="6" max="6" width="32.42578125" hidden="1" customWidth="1"/>
    <col min="7" max="7" width="33.5703125" hidden="1" customWidth="1"/>
    <col min="8" max="8" width="16.42578125" hidden="1" customWidth="1"/>
    <col min="9" max="9" width="21.42578125" customWidth="1"/>
    <col min="10" max="10" width="9.42578125" customWidth="1"/>
    <col min="11" max="12" width="15.5703125" customWidth="1"/>
    <col min="13" max="13" width="26.85546875" hidden="1" customWidth="1"/>
    <col min="14" max="14" width="15.5703125" hidden="1" customWidth="1"/>
    <col min="15" max="15" width="21" hidden="1" customWidth="1"/>
    <col min="16" max="22" width="15.5703125" hidden="1" customWidth="1"/>
    <col min="23" max="23" width="27.85546875" customWidth="1"/>
    <col min="24" max="24" width="15.5703125" customWidth="1"/>
    <col min="25" max="25" width="26.5703125" customWidth="1"/>
    <col min="26" max="26" width="15.5703125" customWidth="1"/>
    <col min="27" max="27" width="31.42578125" customWidth="1"/>
    <col min="28" max="28" width="14.85546875" bestFit="1" customWidth="1"/>
  </cols>
  <sheetData>
    <row r="1" spans="1:28" ht="15.75" thickBot="1" x14ac:dyDescent="0.3">
      <c r="A1" s="8" t="s">
        <v>20</v>
      </c>
      <c r="B1" s="8" t="s">
        <v>21</v>
      </c>
      <c r="C1" t="s">
        <v>86</v>
      </c>
      <c r="D1" t="s">
        <v>23</v>
      </c>
      <c r="E1" t="s">
        <v>24</v>
      </c>
      <c r="F1" t="s">
        <v>87</v>
      </c>
      <c r="G1" t="s">
        <v>88</v>
      </c>
      <c r="H1" s="47" t="s">
        <v>89</v>
      </c>
      <c r="I1" s="24" t="s">
        <v>90</v>
      </c>
      <c r="J1" s="25" t="s">
        <v>56</v>
      </c>
      <c r="K1" s="25" t="s">
        <v>120</v>
      </c>
      <c r="L1" s="31" t="s">
        <v>91</v>
      </c>
      <c r="M1" s="54" t="s">
        <v>92</v>
      </c>
      <c r="N1" s="54" t="s">
        <v>93</v>
      </c>
      <c r="O1" s="54" t="s">
        <v>94</v>
      </c>
      <c r="P1" s="54" t="s">
        <v>95</v>
      </c>
      <c r="Q1" s="54" t="s">
        <v>121</v>
      </c>
      <c r="R1" s="55" t="s">
        <v>122</v>
      </c>
      <c r="S1" s="54" t="s">
        <v>123</v>
      </c>
      <c r="T1" s="54" t="s">
        <v>124</v>
      </c>
      <c r="U1" s="54" t="s">
        <v>125</v>
      </c>
      <c r="V1" s="85" t="s">
        <v>126</v>
      </c>
      <c r="W1" s="67" t="s">
        <v>96</v>
      </c>
      <c r="X1" s="67" t="s">
        <v>97</v>
      </c>
      <c r="Y1" s="53" t="s">
        <v>98</v>
      </c>
      <c r="Z1" s="53" t="s">
        <v>99</v>
      </c>
      <c r="AA1" s="53" t="s">
        <v>100</v>
      </c>
      <c r="AB1" s="53" t="s">
        <v>101</v>
      </c>
    </row>
    <row r="2" spans="1:28" x14ac:dyDescent="0.25">
      <c r="A2" s="87" t="b">
        <v>1</v>
      </c>
      <c r="B2" s="103" t="s">
        <v>102</v>
      </c>
      <c r="C2" s="48" t="str">
        <f>LEFT(B2,2)&amp;"_"&amp;LEFT(D2,3)&amp;"_"&amp;LEFT(E2,3)</f>
        <v>00_Bio_</v>
      </c>
      <c r="D2" s="50" t="s">
        <v>104</v>
      </c>
      <c r="E2" s="50"/>
      <c r="F2" s="50"/>
      <c r="G2" s="50"/>
      <c r="H2" s="83"/>
      <c r="I2" s="86" t="s">
        <v>106</v>
      </c>
      <c r="J2" s="50" t="s">
        <v>44</v>
      </c>
      <c r="K2" s="50" t="s">
        <v>84</v>
      </c>
      <c r="L2" s="89" t="s">
        <v>44</v>
      </c>
      <c r="M2" s="50" t="s">
        <v>55</v>
      </c>
      <c r="N2" s="49" t="e">
        <f>_xlfn.XLOOKUP(M2,Tab_Def_Flows[Name(EN)],Tab_Def_Flows[Flow_ID],,0,)</f>
        <v>#N/A</v>
      </c>
      <c r="O2" s="50" t="s">
        <v>55</v>
      </c>
      <c r="P2" s="49" t="e">
        <f>_xlfn.XLOOKUP(O2,Tab_Def_Flows[Name(EN)],Tab_Def_Flows[Flow_ID],,0,)</f>
        <v>#N/A</v>
      </c>
      <c r="Q2" s="50" t="s">
        <v>55</v>
      </c>
      <c r="R2" s="49" t="e">
        <f>_xlfn.XLOOKUP(Q2,Tab_Def_Flows[Name(EN)],Tab_Def_Flows[Flow_ID],,0,)</f>
        <v>#N/A</v>
      </c>
      <c r="S2" s="50" t="s">
        <v>55</v>
      </c>
      <c r="T2" s="49" t="e">
        <f>_xlfn.XLOOKUP(S2,Tab_Def_Flows[Name(EN)],Tab_Def_Flows[Flow_ID],,0,)</f>
        <v>#N/A</v>
      </c>
      <c r="U2" s="50" t="s">
        <v>55</v>
      </c>
      <c r="V2" s="56" t="e">
        <f>_xlfn.XLOOKUP(U2,Tab_Def_Flows[Name(EN)],Tab_Def_Flows[Flow_ID],,0,)</f>
        <v>#N/A</v>
      </c>
      <c r="W2" s="50" t="s">
        <v>107</v>
      </c>
      <c r="X2" s="51" t="str">
        <f>_xlfn.XLOOKUP(W2,Tab_Def_Flows[Name(EN)],Tab_Def_Flows[Flow_ID],,0,)</f>
        <v>F_00_01</v>
      </c>
      <c r="Y2" s="50"/>
      <c r="Z2" s="51" t="e">
        <f>_xlfn.XLOOKUP(Y2,Tab_Def_Flows[Name(EN)],Tab_Def_Flows[Flow_ID],,0,)</f>
        <v>#N/A</v>
      </c>
      <c r="AA2" s="50"/>
      <c r="AB2" s="51" t="e">
        <f>_xlfn.XLOOKUP(AA2,Tab_Def_Flows[Name(EN)],Tab_Def_Flows[Flow_ID],,0,)</f>
        <v>#N/A</v>
      </c>
    </row>
    <row r="3" spans="1:28" x14ac:dyDescent="0.25">
      <c r="A3" s="87" t="b">
        <v>1</v>
      </c>
      <c r="B3" s="103" t="s">
        <v>47</v>
      </c>
      <c r="C3" s="48" t="str">
        <f>LEFT(B3,2)&amp;"_"&amp;LEFT(D3,3)&amp;"_"&amp;LEFT(E3,3)</f>
        <v>01_Raw_</v>
      </c>
      <c r="D3" s="50" t="s">
        <v>103</v>
      </c>
      <c r="E3" s="50"/>
      <c r="F3" s="50"/>
      <c r="G3" s="50"/>
      <c r="H3" s="83"/>
      <c r="I3" s="86" t="s">
        <v>106</v>
      </c>
      <c r="J3" s="50" t="s">
        <v>44</v>
      </c>
      <c r="K3" s="50" t="s">
        <v>84</v>
      </c>
      <c r="L3" s="89" t="s">
        <v>84</v>
      </c>
      <c r="M3" s="50" t="s">
        <v>55</v>
      </c>
      <c r="N3" s="48" t="e">
        <f>_xlfn.XLOOKUP(M3,Tab_Def_Flows[Name(EN)],Tab_Def_Flows[Flow_ID],,0,)</f>
        <v>#N/A</v>
      </c>
      <c r="O3" s="50" t="s">
        <v>55</v>
      </c>
      <c r="P3" s="48" t="e">
        <f>_xlfn.XLOOKUP(O3,Tab_Def_Flows[Name(EN)],Tab_Def_Flows[Flow_ID],,0,)</f>
        <v>#N/A</v>
      </c>
      <c r="Q3" s="50" t="s">
        <v>55</v>
      </c>
      <c r="R3" s="48" t="e">
        <f>_xlfn.XLOOKUP(Q3,Tab_Def_Flows[Name(EN)],Tab_Def_Flows[Flow_ID],,0,)</f>
        <v>#N/A</v>
      </c>
      <c r="S3" s="50" t="s">
        <v>55</v>
      </c>
      <c r="T3" s="48" t="e">
        <f>_xlfn.XLOOKUP(S3,Tab_Def_Flows[Name(EN)],Tab_Def_Flows[Flow_ID],,0,)</f>
        <v>#N/A</v>
      </c>
      <c r="U3" s="50" t="s">
        <v>55</v>
      </c>
      <c r="V3" s="52" t="e">
        <f>_xlfn.XLOOKUP(U3,Tab_Def_Flows[Name(EN)],Tab_Def_Flows[Flow_ID],,0,)</f>
        <v>#N/A</v>
      </c>
      <c r="W3" s="50" t="s">
        <v>509</v>
      </c>
      <c r="X3" s="48" t="str">
        <f>_xlfn.XLOOKUP(W3,Tab_Def_Flows[Name(EN)],Tab_Def_Flows[Flow_ID],,0,)</f>
        <v>F_01_02</v>
      </c>
      <c r="Y3" s="50" t="s">
        <v>525</v>
      </c>
      <c r="Z3" s="48" t="str">
        <f>_xlfn.XLOOKUP(Y3,Tab_Def_Flows[Name(EN)],Tab_Def_Flows[Flow_ID],,0,)</f>
        <v>F_01_00</v>
      </c>
      <c r="AA3" s="50"/>
      <c r="AB3" s="48" t="e">
        <f>_xlfn.XLOOKUP(AA3,Tab_Def_Flows[Name(EN)],Tab_Def_Flows[Flow_ID],,0,)</f>
        <v>#N/A</v>
      </c>
    </row>
    <row r="4" spans="1:28" x14ac:dyDescent="0.25">
      <c r="A4" s="87" t="b">
        <v>1</v>
      </c>
      <c r="B4" s="103" t="s">
        <v>48</v>
      </c>
      <c r="C4" s="48" t="str">
        <f t="shared" ref="C4:C10" si="0">LEFT(B4,2)&amp;"_"&amp;LEFT(D4,3)&amp;"_"&amp;LEFT(E4,3)</f>
        <v>02_Pro_</v>
      </c>
      <c r="D4" s="50" t="s">
        <v>108</v>
      </c>
      <c r="E4" s="50"/>
      <c r="F4" s="50"/>
      <c r="G4" s="50"/>
      <c r="H4" s="83"/>
      <c r="I4" s="86" t="s">
        <v>106</v>
      </c>
      <c r="J4" s="50" t="s">
        <v>44</v>
      </c>
      <c r="K4" s="50" t="s">
        <v>84</v>
      </c>
      <c r="L4" s="89" t="s">
        <v>44</v>
      </c>
      <c r="M4" s="50" t="s">
        <v>55</v>
      </c>
      <c r="N4" s="48" t="e">
        <f>_xlfn.XLOOKUP(M4,Tab_Def_Flows[Name(EN)],Tab_Def_Flows[Flow_ID],,0,)</f>
        <v>#N/A</v>
      </c>
      <c r="O4" s="50" t="s">
        <v>55</v>
      </c>
      <c r="P4" s="48" t="e">
        <f>_xlfn.XLOOKUP(O4,Tab_Def_Flows[Name(EN)],Tab_Def_Flows[Flow_ID],,0,)</f>
        <v>#N/A</v>
      </c>
      <c r="Q4" s="50" t="s">
        <v>55</v>
      </c>
      <c r="R4" s="48" t="e">
        <f>_xlfn.XLOOKUP(Q4,Tab_Def_Flows[Name(EN)],Tab_Def_Flows[Flow_ID],,0,)</f>
        <v>#N/A</v>
      </c>
      <c r="S4" s="50" t="s">
        <v>55</v>
      </c>
      <c r="T4" s="48" t="e">
        <f>_xlfn.XLOOKUP(S4,Tab_Def_Flows[Name(EN)],Tab_Def_Flows[Flow_ID],,0,)</f>
        <v>#N/A</v>
      </c>
      <c r="U4" s="50" t="s">
        <v>55</v>
      </c>
      <c r="V4" s="52" t="e">
        <f>_xlfn.XLOOKUP(U4,Tab_Def_Flows[Name(EN)],Tab_Def_Flows[Flow_ID],,0,)</f>
        <v>#N/A</v>
      </c>
      <c r="W4" s="50" t="s">
        <v>111</v>
      </c>
      <c r="X4" s="48" t="str">
        <f>_xlfn.XLOOKUP(W4,Tab_Def_Flows[Name(EN)],Tab_Def_Flows[Flow_ID],,0,)</f>
        <v>F_02_03</v>
      </c>
      <c r="Y4" s="50" t="s">
        <v>530</v>
      </c>
      <c r="Z4" s="48" t="str">
        <f>_xlfn.XLOOKUP(Y4,Tab_Def_Flows[Name(EN)],Tab_Def_Flows[Flow_ID],,0,)</f>
        <v>F_02_08</v>
      </c>
      <c r="AA4" s="50"/>
      <c r="AB4" s="48" t="e">
        <f>_xlfn.XLOOKUP(AA4,Tab_Def_Flows[Name(EN)],Tab_Def_Flows[Flow_ID],,0,)</f>
        <v>#N/A</v>
      </c>
    </row>
    <row r="5" spans="1:28" x14ac:dyDescent="0.25">
      <c r="A5" s="87" t="b">
        <v>1</v>
      </c>
      <c r="B5" s="103" t="s">
        <v>49</v>
      </c>
      <c r="C5" s="48" t="str">
        <f t="shared" si="0"/>
        <v>03_Use_</v>
      </c>
      <c r="D5" s="50" t="s">
        <v>112</v>
      </c>
      <c r="E5" s="50"/>
      <c r="F5" s="50"/>
      <c r="G5" s="50"/>
      <c r="H5" s="83"/>
      <c r="I5" s="86" t="s">
        <v>106</v>
      </c>
      <c r="J5" s="50" t="s">
        <v>44</v>
      </c>
      <c r="K5" s="50" t="s">
        <v>84</v>
      </c>
      <c r="L5" s="89" t="s">
        <v>44</v>
      </c>
      <c r="M5" s="50" t="s">
        <v>55</v>
      </c>
      <c r="N5" s="51" t="e">
        <f>_xlfn.XLOOKUP(M5,Tab_Def_Flows[Name(EN)],Tab_Def_Flows[Flow_ID],,0,)</f>
        <v>#N/A</v>
      </c>
      <c r="O5" s="50" t="s">
        <v>55</v>
      </c>
      <c r="P5" s="51" t="e">
        <f>_xlfn.XLOOKUP(O5,Tab_Def_Flows[Name(EN)],Tab_Def_Flows[Flow_ID],,0,)</f>
        <v>#N/A</v>
      </c>
      <c r="Q5" s="50" t="s">
        <v>55</v>
      </c>
      <c r="R5" s="51" t="e">
        <f>_xlfn.XLOOKUP(Q5,Tab_Def_Flows[Name(EN)],Tab_Def_Flows[Flow_ID],,0,)</f>
        <v>#N/A</v>
      </c>
      <c r="S5" s="50" t="s">
        <v>55</v>
      </c>
      <c r="T5" s="51" t="e">
        <f>_xlfn.XLOOKUP(S5,Tab_Def_Flows[Name(EN)],Tab_Def_Flows[Flow_ID],,0,)</f>
        <v>#N/A</v>
      </c>
      <c r="U5" s="50" t="s">
        <v>55</v>
      </c>
      <c r="V5" s="52" t="e">
        <f>_xlfn.XLOOKUP(U5,Tab_Def_Flows[Name(EN)],Tab_Def_Flows[Flow_ID],,0,)</f>
        <v>#N/A</v>
      </c>
      <c r="W5" s="50" t="s">
        <v>111</v>
      </c>
      <c r="X5" s="51" t="str">
        <f>_xlfn.XLOOKUP(W5,Tab_Def_Flows[Name(EN)],Tab_Def_Flows[Flow_ID],,0,)</f>
        <v>F_02_03</v>
      </c>
      <c r="Y5" s="50" t="s">
        <v>114</v>
      </c>
      <c r="Z5" s="51" t="str">
        <f>_xlfn.XLOOKUP(Y5,Tab_Def_Flows[Name(EN)],Tab_Def_Flows[Flow_ID],,0,)</f>
        <v>F_03_04</v>
      </c>
      <c r="AA5" s="50" t="s">
        <v>403</v>
      </c>
      <c r="AB5" s="51" t="str">
        <f>_xlfn.XLOOKUP(AA5,Tab_Def_Flows[Name(EN)],Tab_Def_Flows[Flow_ID],,0,)</f>
        <v>F_03_05</v>
      </c>
    </row>
    <row r="6" spans="1:28" x14ac:dyDescent="0.25">
      <c r="A6" s="87" t="b">
        <v>1</v>
      </c>
      <c r="B6" s="103" t="s">
        <v>50</v>
      </c>
      <c r="C6" s="48" t="str">
        <f t="shared" si="0"/>
        <v>04_Ref_</v>
      </c>
      <c r="D6" s="50" t="s">
        <v>115</v>
      </c>
      <c r="E6" s="50"/>
      <c r="F6" s="50"/>
      <c r="G6" s="50"/>
      <c r="H6" s="83"/>
      <c r="I6" s="86" t="s">
        <v>106</v>
      </c>
      <c r="J6" s="50" t="s">
        <v>44</v>
      </c>
      <c r="K6" s="50" t="s">
        <v>84</v>
      </c>
      <c r="L6" s="89" t="s">
        <v>84</v>
      </c>
      <c r="M6" s="50" t="s">
        <v>55</v>
      </c>
      <c r="N6" s="51" t="e">
        <f>_xlfn.XLOOKUP(M6,Tab_Def_Flows[Name(EN)],Tab_Def_Flows[Flow_ID],,0,)</f>
        <v>#N/A</v>
      </c>
      <c r="O6" s="50" t="s">
        <v>55</v>
      </c>
      <c r="P6" s="51" t="e">
        <f>_xlfn.XLOOKUP(O6,Tab_Def_Flows[Name(EN)],Tab_Def_Flows[Flow_ID],,0,)</f>
        <v>#N/A</v>
      </c>
      <c r="Q6" s="50" t="s">
        <v>55</v>
      </c>
      <c r="R6" s="51" t="e">
        <f>_xlfn.XLOOKUP(Q6,Tab_Def_Flows[Name(EN)],Tab_Def_Flows[Flow_ID],,0,)</f>
        <v>#N/A</v>
      </c>
      <c r="S6" s="50" t="s">
        <v>55</v>
      </c>
      <c r="T6" s="51" t="e">
        <f>_xlfn.XLOOKUP(S6,Tab_Def_Flows[Name(EN)],Tab_Def_Flows[Flow_ID],,0,)</f>
        <v>#N/A</v>
      </c>
      <c r="U6" s="50" t="s">
        <v>55</v>
      </c>
      <c r="V6" s="52" t="e">
        <f>_xlfn.XLOOKUP(U6,Tab_Def_Flows[Name(EN)],Tab_Def_Flows[Flow_ID],,0,)</f>
        <v>#N/A</v>
      </c>
      <c r="W6" s="50" t="s">
        <v>508</v>
      </c>
      <c r="X6" s="51" t="str">
        <f>_xlfn.XLOOKUP(W6,Tab_Def_Flows[Name(EN)],Tab_Def_Flows[Flow_ID],,0,)</f>
        <v>F_04_03</v>
      </c>
      <c r="Y6" s="50" t="s">
        <v>532</v>
      </c>
      <c r="Z6" s="51" t="str">
        <f>_xlfn.XLOOKUP(Y6,Tab_Def_Flows[Name(EN)],Tab_Def_Flows[Flow_ID],,0,)</f>
        <v>F_04_08</v>
      </c>
      <c r="AA6" s="50"/>
      <c r="AB6" s="51" t="e">
        <f>_xlfn.XLOOKUP(AA6,Tab_Def_Flows[Name(EN)],Tab_Def_Flows[Flow_ID],,0,)</f>
        <v>#N/A</v>
      </c>
    </row>
    <row r="7" spans="1:28" x14ac:dyDescent="0.25">
      <c r="A7" s="87" t="b">
        <v>1</v>
      </c>
      <c r="B7" s="103" t="s">
        <v>51</v>
      </c>
      <c r="C7" s="48" t="str">
        <f t="shared" si="0"/>
        <v>05_Deg_</v>
      </c>
      <c r="D7" s="50" t="s">
        <v>119</v>
      </c>
      <c r="E7" s="50"/>
      <c r="F7" s="50"/>
      <c r="G7" s="50"/>
      <c r="H7" s="83"/>
      <c r="I7" s="86" t="s">
        <v>106</v>
      </c>
      <c r="J7" s="50" t="s">
        <v>44</v>
      </c>
      <c r="K7" s="50" t="s">
        <v>84</v>
      </c>
      <c r="L7" s="89" t="s">
        <v>84</v>
      </c>
      <c r="M7" s="50" t="s">
        <v>55</v>
      </c>
      <c r="N7" s="48" t="e">
        <f>_xlfn.XLOOKUP(M7,Tab_Def_Flows[Name(EN)],Tab_Def_Flows[Flow_ID],,0,)</f>
        <v>#N/A</v>
      </c>
      <c r="O7" s="50" t="s">
        <v>55</v>
      </c>
      <c r="P7" s="48" t="e">
        <f>_xlfn.XLOOKUP(O7,Tab_Def_Flows[Name(EN)],Tab_Def_Flows[Flow_ID],,0,)</f>
        <v>#N/A</v>
      </c>
      <c r="Q7" s="50" t="s">
        <v>55</v>
      </c>
      <c r="R7" s="48" t="e">
        <f>_xlfn.XLOOKUP(Q7,Tab_Def_Flows[Name(EN)],Tab_Def_Flows[Flow_ID],,0,)</f>
        <v>#N/A</v>
      </c>
      <c r="S7" s="50" t="s">
        <v>55</v>
      </c>
      <c r="T7" s="48" t="e">
        <f>_xlfn.XLOOKUP(S7,Tab_Def_Flows[Name(EN)],Tab_Def_Flows[Flow_ID],,0,)</f>
        <v>#N/A</v>
      </c>
      <c r="U7" s="50" t="s">
        <v>55</v>
      </c>
      <c r="V7" s="61" t="e">
        <f>_xlfn.XLOOKUP(U7,Tab_Def_Flows[Name(EN)],Tab_Def_Flows[Flow_ID],,0,)</f>
        <v>#N/A</v>
      </c>
      <c r="W7" s="50" t="s">
        <v>526</v>
      </c>
      <c r="X7" s="48" t="str">
        <f>_xlfn.XLOOKUP(W7,Tab_Def_Flows[Name(EN)],Tab_Def_Flows[Flow_ID],,0,)</f>
        <v>F_05_07</v>
      </c>
      <c r="Y7" s="50" t="s">
        <v>527</v>
      </c>
      <c r="Z7" s="48" t="str">
        <f>_xlfn.XLOOKUP(Y7,Tab_Def_Flows[Name(EN)],Tab_Def_Flows[Flow_ID],,0,)</f>
        <v>F_05_00</v>
      </c>
      <c r="AA7" s="50"/>
      <c r="AB7" s="48" t="e">
        <f>_xlfn.XLOOKUP(AA7,Tab_Def_Flows[Name(EN)],Tab_Def_Flows[Flow_ID],,0,)</f>
        <v>#N/A</v>
      </c>
    </row>
    <row r="8" spans="1:28" x14ac:dyDescent="0.25">
      <c r="A8" s="87" t="b">
        <v>1</v>
      </c>
      <c r="B8" s="103" t="s">
        <v>52</v>
      </c>
      <c r="C8" s="48" t="str">
        <f t="shared" ref="C8:C9" si="1">LEFT(B8,2)&amp;"_"&amp;LEFT(D8,3)&amp;"_"&amp;LEFT(E8,3)</f>
        <v>06_Inc_</v>
      </c>
      <c r="D8" s="50" t="s">
        <v>117</v>
      </c>
      <c r="E8" s="50"/>
      <c r="F8" s="50"/>
      <c r="G8" s="50"/>
      <c r="H8" s="83"/>
      <c r="I8" s="86" t="s">
        <v>106</v>
      </c>
      <c r="J8" s="50" t="s">
        <v>44</v>
      </c>
      <c r="K8" s="50" t="s">
        <v>84</v>
      </c>
      <c r="L8" s="89" t="s">
        <v>84</v>
      </c>
      <c r="M8" s="50" t="s">
        <v>55</v>
      </c>
      <c r="N8" s="48" t="e">
        <f>_xlfn.XLOOKUP(M8,Tab_Def_Flows[Name(EN)],Tab_Def_Flows[Flow_ID],,0,)</f>
        <v>#N/A</v>
      </c>
      <c r="O8" s="50" t="s">
        <v>55</v>
      </c>
      <c r="P8" s="48" t="e">
        <f>_xlfn.XLOOKUP(O8,Tab_Def_Flows[Name(EN)],Tab_Def_Flows[Flow_ID],,0,)</f>
        <v>#N/A</v>
      </c>
      <c r="Q8" s="50" t="s">
        <v>55</v>
      </c>
      <c r="R8" s="48" t="e">
        <f>_xlfn.XLOOKUP(Q8,Tab_Def_Flows[Name(EN)],Tab_Def_Flows[Flow_ID],,0,)</f>
        <v>#N/A</v>
      </c>
      <c r="S8" s="50" t="s">
        <v>55</v>
      </c>
      <c r="T8" s="48" t="e">
        <f>_xlfn.XLOOKUP(S8,Tab_Def_Flows[Name(EN)],Tab_Def_Flows[Flow_ID],,0,)</f>
        <v>#N/A</v>
      </c>
      <c r="U8" s="50" t="s">
        <v>55</v>
      </c>
      <c r="V8" s="52" t="e">
        <f>_xlfn.XLOOKUP(U8,Tab_Def_Flows[Name(EN)],Tab_Def_Flows[Flow_ID],,0,)</f>
        <v>#N/A</v>
      </c>
      <c r="W8" s="50" t="s">
        <v>529</v>
      </c>
      <c r="X8" s="48" t="str">
        <f>_xlfn.XLOOKUP(W8,Tab_Def_Flows[Name(EN)],Tab_Def_Flows[Flow_ID],,0,)</f>
        <v>F_06_08</v>
      </c>
      <c r="Y8" s="50" t="s">
        <v>528</v>
      </c>
      <c r="Z8" s="48" t="str">
        <f>_xlfn.XLOOKUP(Y8,Tab_Def_Flows[Name(EN)],Tab_Def_Flows[Flow_ID],,0,)</f>
        <v>F_06_07</v>
      </c>
      <c r="AA8" s="50"/>
      <c r="AB8" s="48" t="e">
        <f>_xlfn.XLOOKUP(AA8,Tab_Def_Flows[Name(EN)],Tab_Def_Flows[Flow_ID],,0,)</f>
        <v>#N/A</v>
      </c>
    </row>
    <row r="9" spans="1:28" x14ac:dyDescent="0.25">
      <c r="A9" s="87" t="b">
        <v>1</v>
      </c>
      <c r="B9" s="103" t="s">
        <v>53</v>
      </c>
      <c r="C9" s="48" t="str">
        <f t="shared" si="1"/>
        <v>07_Atm_</v>
      </c>
      <c r="D9" s="50" t="s">
        <v>43</v>
      </c>
      <c r="E9" s="50"/>
      <c r="F9" s="50"/>
      <c r="G9" s="50"/>
      <c r="H9" s="83"/>
      <c r="I9" s="86" t="s">
        <v>106</v>
      </c>
      <c r="J9" s="50" t="s">
        <v>84</v>
      </c>
      <c r="K9" s="50" t="s">
        <v>84</v>
      </c>
      <c r="L9" s="89" t="s">
        <v>44</v>
      </c>
      <c r="M9" s="50" t="s">
        <v>55</v>
      </c>
      <c r="N9" s="48" t="e">
        <f>_xlfn.XLOOKUP(M9,Tab_Def_Flows[Name(EN)],Tab_Def_Flows[Flow_ID],,0,)</f>
        <v>#N/A</v>
      </c>
      <c r="O9" s="50" t="s">
        <v>55</v>
      </c>
      <c r="P9" s="48" t="e">
        <f>_xlfn.XLOOKUP(O9,Tab_Def_Flows[Name(EN)],Tab_Def_Flows[Flow_ID],,0,)</f>
        <v>#N/A</v>
      </c>
      <c r="Q9" s="50" t="s">
        <v>55</v>
      </c>
      <c r="R9" s="48" t="e">
        <f>_xlfn.XLOOKUP(Q9,Tab_Def_Flows[Name(EN)],Tab_Def_Flows[Flow_ID],,0,)</f>
        <v>#N/A</v>
      </c>
      <c r="S9" s="50" t="s">
        <v>55</v>
      </c>
      <c r="T9" s="48" t="e">
        <f>_xlfn.XLOOKUP(S9,Tab_Def_Flows[Name(EN)],Tab_Def_Flows[Flow_ID],,0,)</f>
        <v>#N/A</v>
      </c>
      <c r="U9" s="50" t="s">
        <v>55</v>
      </c>
      <c r="V9" s="52" t="e">
        <f>_xlfn.XLOOKUP(U9,Tab_Def_Flows[Name(EN)],Tab_Def_Flows[Flow_ID],,0,)</f>
        <v>#N/A</v>
      </c>
      <c r="W9" s="50" t="s">
        <v>531</v>
      </c>
      <c r="X9" s="48" t="str">
        <f>_xlfn.XLOOKUP(W9,Tab_Def_Flows[Name(EN)],Tab_Def_Flows[Flow_ID],,0,)</f>
        <v>F_07_00</v>
      </c>
      <c r="Y9" s="50"/>
      <c r="Z9" s="48" t="e">
        <f>_xlfn.XLOOKUP(Y9,Tab_Def_Flows[Name(EN)],Tab_Def_Flows[Flow_ID],,0,)</f>
        <v>#N/A</v>
      </c>
      <c r="AA9" s="50"/>
      <c r="AB9" s="48" t="e">
        <f>_xlfn.XLOOKUP(AA9,Tab_Def_Flows[Name(EN)],Tab_Def_Flows[Flow_ID],,0,)</f>
        <v>#N/A</v>
      </c>
    </row>
    <row r="10" spans="1:28" x14ac:dyDescent="0.25">
      <c r="A10" s="87" t="b">
        <v>1</v>
      </c>
      <c r="B10" s="103" t="s">
        <v>54</v>
      </c>
      <c r="C10" s="48" t="str">
        <f t="shared" si="0"/>
        <v>08_Ant_</v>
      </c>
      <c r="D10" s="50" t="s">
        <v>109</v>
      </c>
      <c r="E10" s="50"/>
      <c r="F10" s="50"/>
      <c r="G10" s="50"/>
      <c r="H10" s="83"/>
      <c r="I10" s="86" t="s">
        <v>106</v>
      </c>
      <c r="J10" s="50" t="s">
        <v>84</v>
      </c>
      <c r="K10" s="50" t="s">
        <v>84</v>
      </c>
      <c r="L10" s="89" t="s">
        <v>84</v>
      </c>
      <c r="M10" s="50" t="s">
        <v>55</v>
      </c>
      <c r="N10" s="48" t="e">
        <f>_xlfn.XLOOKUP(M10,Tab_Def_Flows[Name(EN)],Tab_Def_Flows[Flow_ID],,0,)</f>
        <v>#N/A</v>
      </c>
      <c r="O10" s="50" t="s">
        <v>55</v>
      </c>
      <c r="P10" s="48" t="e">
        <f>_xlfn.XLOOKUP(O10,Tab_Def_Flows[Name(EN)],Tab_Def_Flows[Flow_ID],,0,)</f>
        <v>#N/A</v>
      </c>
      <c r="Q10" s="50" t="s">
        <v>55</v>
      </c>
      <c r="R10" s="48" t="e">
        <f>_xlfn.XLOOKUP(Q10,Tab_Def_Flows[Name(EN)],Tab_Def_Flows[Flow_ID],,0,)</f>
        <v>#N/A</v>
      </c>
      <c r="S10" s="50" t="s">
        <v>55</v>
      </c>
      <c r="T10" s="48" t="e">
        <f>_xlfn.XLOOKUP(S10,Tab_Def_Flows[Name(EN)],Tab_Def_Flows[Flow_ID],,0,)</f>
        <v>#N/A</v>
      </c>
      <c r="U10" s="50" t="s">
        <v>55</v>
      </c>
      <c r="V10" s="58" t="e">
        <f>_xlfn.XLOOKUP(U10,Tab_Def_Flows[Name(EN)],Tab_Def_Flows[Flow_ID],,0,)</f>
        <v>#N/A</v>
      </c>
      <c r="W10" s="50"/>
      <c r="X10" s="48" t="e">
        <f>_xlfn.XLOOKUP(W10,Tab_Def_Flows[Name(EN)],Tab_Def_Flows[Flow_ID],,0,)</f>
        <v>#N/A</v>
      </c>
      <c r="Y10" s="50"/>
      <c r="Z10" s="48" t="e">
        <f>_xlfn.XLOOKUP(Y10,Tab_Def_Flows[Name(EN)],Tab_Def_Flows[Flow_ID],,0,)</f>
        <v>#N/A</v>
      </c>
      <c r="AA10" s="50"/>
      <c r="AB10" s="48" t="e">
        <f>_xlfn.XLOOKUP(AA10,Tab_Def_Flows[Name(EN)],Tab_Def_Flows[Flow_ID],,0,)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C5B0F1E-89DB-490F-A576-ABEBF4D98051}">
          <x14:formula1>
            <xm:f>'4_1 Codelists'!$O$4:$O$5</xm:f>
          </x14:formula1>
          <xm:sqref>J2:L10</xm:sqref>
        </x14:dataValidation>
        <x14:dataValidation type="list" allowBlank="1" showInputMessage="1" showErrorMessage="1" xr:uid="{56152067-6CEA-441E-B290-B5CA24D3608F}">
          <x14:formula1>
            <xm:f>'4_1 Codelists'!$K$4:$K$9</xm:f>
          </x14:formula1>
          <xm:sqref>F2:F10</xm:sqref>
        </x14:dataValidation>
        <x14:dataValidation type="list" allowBlank="1" showInputMessage="1" showErrorMessage="1" xr:uid="{0B6559FC-6BA5-474A-9290-C66996DA9F0D}">
          <x14:formula1>
            <xm:f>'4_1 Codelists'!$G$4:$G$8</xm:f>
          </x14:formula1>
          <xm:sqref>G2:G10</xm:sqref>
        </x14:dataValidation>
        <x14:dataValidation type="list" allowBlank="1" showInputMessage="1" showErrorMessage="1" xr:uid="{352DC256-B5CA-4775-B41E-D06A6C1541F5}">
          <x14:formula1>
            <xm:f>'4_1 Codelists'!$C$16:$C$18</xm:f>
          </x14:formula1>
          <xm:sqref>I2:I10</xm:sqref>
        </x14:dataValidation>
        <x14:dataValidation type="list" allowBlank="1" showInputMessage="1" showErrorMessage="1" xr:uid="{291A32E8-7F61-4A8B-A05D-9A0A09455503}">
          <x14:formula1>
            <xm:f>'1_1_Definition_Flows'!$D$12:$D$15</xm:f>
          </x14:formula1>
          <xm:sqref>Y1 M2:M10 O1:O1048576 Q1:Q1048576 U1:U1048576 S1:S1048576</xm:sqref>
        </x14:dataValidation>
        <x14:dataValidation type="list" allowBlank="1" showInputMessage="1" showErrorMessage="1" xr:uid="{8DF3ECE9-D30E-4FE2-972E-2E3AB2A320AE}">
          <x14:formula1>
            <xm:f>'1_1_Definition_Flows'!$D$2:$D$15</xm:f>
          </x14:formula1>
          <xm:sqref>Y2:Y10 AA2:AA10</xm:sqref>
        </x14:dataValidation>
        <x14:dataValidation type="list" allowBlank="1" showInputMessage="1" showErrorMessage="1" xr:uid="{A39CB916-FBC1-4098-9A3A-58152EE429B6}">
          <x14:formula1>
            <xm:f>'1_1_Definition_Flows'!$D$2:$D$16</xm:f>
          </x14:formula1>
          <xm:sqref>W2:W10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topLeftCell="F1" workbookViewId="0">
      <selection activeCell="L2" sqref="L2"/>
    </sheetView>
  </sheetViews>
  <sheetFormatPr defaultColWidth="10.85546875" defaultRowHeight="15" x14ac:dyDescent="0.25"/>
  <cols>
    <col min="2" max="4" width="16.42578125" customWidth="1"/>
    <col min="5" max="5" width="35" customWidth="1"/>
    <col min="6" max="6" width="14.5703125" customWidth="1"/>
    <col min="7" max="7" width="32.42578125" customWidth="1"/>
    <col min="8" max="9" width="15.5703125" customWidth="1"/>
    <col min="10" max="10" width="21.42578125" customWidth="1"/>
    <col min="11" max="11" width="15.5703125" customWidth="1"/>
  </cols>
  <sheetData>
    <row r="1" spans="1:13" x14ac:dyDescent="0.25">
      <c r="A1" s="62" t="s">
        <v>134</v>
      </c>
      <c r="B1" s="8" t="s">
        <v>21</v>
      </c>
      <c r="C1" s="47" t="s">
        <v>346</v>
      </c>
      <c r="D1" t="s">
        <v>86</v>
      </c>
      <c r="E1" s="62" t="s">
        <v>347</v>
      </c>
      <c r="F1" t="s">
        <v>23</v>
      </c>
      <c r="G1" t="s">
        <v>24</v>
      </c>
      <c r="H1" t="s">
        <v>87</v>
      </c>
      <c r="I1" t="s">
        <v>88</v>
      </c>
      <c r="J1" s="47" t="s">
        <v>89</v>
      </c>
      <c r="K1" s="24" t="s">
        <v>136</v>
      </c>
      <c r="L1" s="25" t="s">
        <v>56</v>
      </c>
      <c r="M1" s="31" t="s">
        <v>91</v>
      </c>
    </row>
    <row r="2" spans="1:13" x14ac:dyDescent="0.25">
      <c r="A2" s="87" t="b">
        <v>0</v>
      </c>
      <c r="B2" s="48">
        <f t="shared" ref="B2:B33" si="0">ROW()-1</f>
        <v>1</v>
      </c>
      <c r="C2" s="48" t="str">
        <f t="shared" ref="C2:C33" si="1">"D"&amp;LEFT(B2,2)&amp;"_"&amp;LEFT(D2,3)&amp;"_"&amp;LEFT(F2,3)&amp;"_"&amp;LEFT(G2,3)&amp;"_"&amp;LEFT(H2,3)</f>
        <v>D1_00__Bio__0</v>
      </c>
      <c r="D2" s="48" t="str">
        <f>_xlfn.XLOOKUP($F2,Tab_Def_Processes[Name(EN)],Tab_Def_Processes[Process_ID],,0,)</f>
        <v>00_Bio_</v>
      </c>
      <c r="E2" s="48" t="e">
        <f>_xlfn.XLOOKUP(F2,Tab_Def_Processes[Name(EN)],#REF!,,0,)</f>
        <v>#REF!</v>
      </c>
      <c r="F2" s="50" t="s">
        <v>104</v>
      </c>
      <c r="G2" s="48"/>
      <c r="H2" s="48">
        <f>_xlfn.XLOOKUP(F2,Tab_Def_Processes[Name(EN)],Tab_Def_Processes[Carbon_Stock],,0,)</f>
        <v>0</v>
      </c>
      <c r="I2" s="48">
        <f>_xlfn.XLOOKUP(F2,Tab_Def_Processes[Name(EN)],Tab_Def_Processes[Life_Phase],,0,)</f>
        <v>0</v>
      </c>
      <c r="J2" s="48">
        <f>_xlfn.XLOOKUP(F2,Tab_Def_Processes[Name(EN)],Tab_Def_Processes[Description],,0,)</f>
        <v>0</v>
      </c>
      <c r="K2" s="48" t="str">
        <f>_xlfn.XLOOKUP($F2,Tab_Def_Processes[Name(EN)],Tab_Def_Processes[Process_Type],,0,)</f>
        <v>Process</v>
      </c>
      <c r="L2" s="48" t="str">
        <f>_xlfn.XLOOKUP($F2,Tab_Def_Processes[Name(EN)],Tab_Def_Processes[TC?],,0,)</f>
        <v>Yes</v>
      </c>
      <c r="M2" s="48" t="str">
        <f>_xlfn.XLOOKUP($F2,Tab_Def_Processes[Name(EN)],Tab_Def_Processes[Stock?],,0,)</f>
        <v>Yes</v>
      </c>
    </row>
    <row r="3" spans="1:13" x14ac:dyDescent="0.25">
      <c r="A3" s="87" t="b">
        <v>0</v>
      </c>
      <c r="B3" s="48">
        <f t="shared" si="0"/>
        <v>2</v>
      </c>
      <c r="C3" s="48" t="str">
        <f t="shared" si="1"/>
        <v>D2_01__Raw__0</v>
      </c>
      <c r="D3" s="48" t="str">
        <f>_xlfn.XLOOKUP($F3,Tab_Def_Processes[Name(EN)],Tab_Def_Processes[Process_ID],,0,)</f>
        <v>01_Raw_</v>
      </c>
      <c r="E3" s="48" t="e">
        <f>_xlfn.XLOOKUP(F3,Tab_Def_Processes[Name(EN)],#REF!,,0,)</f>
        <v>#REF!</v>
      </c>
      <c r="F3" s="50" t="s">
        <v>103</v>
      </c>
      <c r="G3" s="48"/>
      <c r="H3" s="48">
        <f>_xlfn.XLOOKUP(F3,Tab_Def_Processes[Name(EN)],Tab_Def_Processes[Carbon_Stock],,0,)</f>
        <v>0</v>
      </c>
      <c r="I3" s="48">
        <f>_xlfn.XLOOKUP(F3,Tab_Def_Processes[Name(EN)],Tab_Def_Processes[Life_Phase],,0,)</f>
        <v>0</v>
      </c>
      <c r="J3" s="48">
        <f>_xlfn.XLOOKUP(F3,Tab_Def_Processes[Name(EN)],Tab_Def_Processes[Description],,0,)</f>
        <v>0</v>
      </c>
      <c r="K3" s="48" t="str">
        <f>_xlfn.XLOOKUP($F3,Tab_Def_Processes[Name(EN)],Tab_Def_Processes[Process_Type],,0,)</f>
        <v>Process</v>
      </c>
      <c r="L3" s="48" t="str">
        <f>_xlfn.XLOOKUP($F3,Tab_Def_Processes[Name(EN)],Tab_Def_Processes[TC?],,0,)</f>
        <v>Yes</v>
      </c>
      <c r="M3" s="48" t="str">
        <f>_xlfn.XLOOKUP($F3,Tab_Def_Processes[Name(EN)],Tab_Def_Processes[Stock?],,0,)</f>
        <v>No</v>
      </c>
    </row>
    <row r="4" spans="1:13" x14ac:dyDescent="0.25">
      <c r="A4" s="87" t="b">
        <v>0</v>
      </c>
      <c r="B4" s="48">
        <f t="shared" si="0"/>
        <v>3</v>
      </c>
      <c r="C4" s="48" t="str">
        <f t="shared" si="1"/>
        <v>D3_02__Pro__0</v>
      </c>
      <c r="D4" s="48" t="str">
        <f>_xlfn.XLOOKUP($F4,Tab_Def_Processes[Name(EN)],Tab_Def_Processes[Process_ID],,0,)</f>
        <v>02_Pro_</v>
      </c>
      <c r="E4" s="48" t="e">
        <f>_xlfn.XLOOKUP(F4,Tab_Def_Processes[Name(EN)],#REF!,,0,)</f>
        <v>#REF!</v>
      </c>
      <c r="F4" s="50" t="s">
        <v>108</v>
      </c>
      <c r="G4" s="48"/>
      <c r="H4" s="48">
        <f>_xlfn.XLOOKUP(F4,Tab_Def_Processes[Name(EN)],Tab_Def_Processes[Carbon_Stock],,0,)</f>
        <v>0</v>
      </c>
      <c r="I4" s="48">
        <f>_xlfn.XLOOKUP(F4,Tab_Def_Processes[Name(EN)],Tab_Def_Processes[Life_Phase],,0,)</f>
        <v>0</v>
      </c>
      <c r="J4" s="48">
        <f>_xlfn.XLOOKUP(F4,Tab_Def_Processes[Name(EN)],Tab_Def_Processes[Description],,0,)</f>
        <v>0</v>
      </c>
      <c r="K4" s="48" t="str">
        <f>_xlfn.XLOOKUP($F4,Tab_Def_Processes[Name(EN)],Tab_Def_Processes[Process_Type],,0,)</f>
        <v>Process</v>
      </c>
      <c r="L4" s="48" t="str">
        <f>_xlfn.XLOOKUP($F4,Tab_Def_Processes[Name(EN)],Tab_Def_Processes[TC?],,0,)</f>
        <v>Yes</v>
      </c>
      <c r="M4" s="48" t="str">
        <f>_xlfn.XLOOKUP($F4,Tab_Def_Processes[Name(EN)],Tab_Def_Processes[Stock?],,0,)</f>
        <v>Yes</v>
      </c>
    </row>
    <row r="5" spans="1:13" x14ac:dyDescent="0.25">
      <c r="A5" s="87" t="b">
        <v>0</v>
      </c>
      <c r="B5" s="48">
        <f t="shared" si="0"/>
        <v>4</v>
      </c>
      <c r="C5" s="48" t="str">
        <f t="shared" si="1"/>
        <v>D4_03__Use__0</v>
      </c>
      <c r="D5" s="48" t="str">
        <f>_xlfn.XLOOKUP($F5,Tab_Def_Processes[Name(EN)],Tab_Def_Processes[Process_ID],,0,)</f>
        <v>03_Use_</v>
      </c>
      <c r="E5" s="48" t="e">
        <f>_xlfn.XLOOKUP(F5,Tab_Def_Processes[Name(EN)],#REF!,,0,)</f>
        <v>#REF!</v>
      </c>
      <c r="F5" s="50" t="s">
        <v>112</v>
      </c>
      <c r="G5" s="48"/>
      <c r="H5" s="48">
        <f>_xlfn.XLOOKUP(F5,Tab_Def_Processes[Name(EN)],Tab_Def_Processes[Carbon_Stock],,0,)</f>
        <v>0</v>
      </c>
      <c r="I5" s="48">
        <f>_xlfn.XLOOKUP(F5,Tab_Def_Processes[Name(EN)],Tab_Def_Processes[Life_Phase],,0,)</f>
        <v>0</v>
      </c>
      <c r="J5" s="48">
        <f>_xlfn.XLOOKUP(F5,Tab_Def_Processes[Name(EN)],Tab_Def_Processes[Description],,0,)</f>
        <v>0</v>
      </c>
      <c r="K5" s="48" t="str">
        <f>_xlfn.XLOOKUP($F5,Tab_Def_Processes[Name(EN)],Tab_Def_Processes[Process_Type],,0,)</f>
        <v>Process</v>
      </c>
      <c r="L5" s="48" t="str">
        <f>_xlfn.XLOOKUP($F5,Tab_Def_Processes[Name(EN)],Tab_Def_Processes[TC?],,0,)</f>
        <v>Yes</v>
      </c>
      <c r="M5" s="48" t="str">
        <f>_xlfn.XLOOKUP($F5,Tab_Def_Processes[Name(EN)],Tab_Def_Processes[Stock?],,0,)</f>
        <v>Yes</v>
      </c>
    </row>
    <row r="6" spans="1:13" x14ac:dyDescent="0.25">
      <c r="A6" s="87" t="b">
        <v>0</v>
      </c>
      <c r="B6" s="48">
        <f t="shared" si="0"/>
        <v>5</v>
      </c>
      <c r="C6" s="48" t="str">
        <f t="shared" si="1"/>
        <v>D5_04__Ref__0</v>
      </c>
      <c r="D6" s="48" t="str">
        <f>_xlfn.XLOOKUP($F6,Tab_Def_Processes[Name(EN)],Tab_Def_Processes[Process_ID],,0,)</f>
        <v>04_Ref_</v>
      </c>
      <c r="E6" s="48" t="e">
        <f>_xlfn.XLOOKUP(F6,Tab_Def_Processes[Name(EN)],#REF!,,0,)</f>
        <v>#REF!</v>
      </c>
      <c r="F6" s="50" t="s">
        <v>115</v>
      </c>
      <c r="G6" s="48"/>
      <c r="H6" s="48">
        <f>_xlfn.XLOOKUP(F6,Tab_Def_Processes[Name(EN)],Tab_Def_Processes[Carbon_Stock],,0,)</f>
        <v>0</v>
      </c>
      <c r="I6" s="48">
        <f>_xlfn.XLOOKUP(F6,Tab_Def_Processes[Name(EN)],Tab_Def_Processes[Life_Phase],,0,)</f>
        <v>0</v>
      </c>
      <c r="J6" s="48">
        <f>_xlfn.XLOOKUP(F6,Tab_Def_Processes[Name(EN)],Tab_Def_Processes[Description],,0,)</f>
        <v>0</v>
      </c>
      <c r="K6" s="48" t="str">
        <f>_xlfn.XLOOKUP($F6,Tab_Def_Processes[Name(EN)],Tab_Def_Processes[Process_Type],,0,)</f>
        <v>Process</v>
      </c>
      <c r="L6" s="48" t="str">
        <f>_xlfn.XLOOKUP($F6,Tab_Def_Processes[Name(EN)],Tab_Def_Processes[TC?],,0,)</f>
        <v>Yes</v>
      </c>
      <c r="M6" s="48" t="str">
        <f>_xlfn.XLOOKUP($F6,Tab_Def_Processes[Name(EN)],Tab_Def_Processes[Stock?],,0,)</f>
        <v>No</v>
      </c>
    </row>
    <row r="7" spans="1:13" x14ac:dyDescent="0.25">
      <c r="A7" s="87" t="b">
        <v>0</v>
      </c>
      <c r="B7" s="48">
        <f t="shared" si="0"/>
        <v>6</v>
      </c>
      <c r="C7" s="48" t="str">
        <f t="shared" si="1"/>
        <v>D6_05__Deg__0</v>
      </c>
      <c r="D7" s="48" t="str">
        <f>_xlfn.XLOOKUP($F7,Tab_Def_Processes[Name(EN)],Tab_Def_Processes[Process_ID],,0,)</f>
        <v>05_Deg_</v>
      </c>
      <c r="E7" s="48" t="e">
        <f>_xlfn.XLOOKUP(F7,Tab_Def_Processes[Name(EN)],#REF!,,0,)</f>
        <v>#REF!</v>
      </c>
      <c r="F7" s="50" t="s">
        <v>119</v>
      </c>
      <c r="G7" s="48"/>
      <c r="H7" s="48">
        <f>_xlfn.XLOOKUP(F7,Tab_Def_Processes[Name(EN)],Tab_Def_Processes[Carbon_Stock],,0,)</f>
        <v>0</v>
      </c>
      <c r="I7" s="48">
        <f>_xlfn.XLOOKUP(F7,Tab_Def_Processes[Name(EN)],Tab_Def_Processes[Life_Phase],,0,)</f>
        <v>0</v>
      </c>
      <c r="J7" s="48">
        <f>_xlfn.XLOOKUP(F7,Tab_Def_Processes[Name(EN)],Tab_Def_Processes[Description],,0,)</f>
        <v>0</v>
      </c>
      <c r="K7" s="48" t="str">
        <f>_xlfn.XLOOKUP($F7,Tab_Def_Processes[Name(EN)],Tab_Def_Processes[Process_Type],,0,)</f>
        <v>Process</v>
      </c>
      <c r="L7" s="48" t="str">
        <f>_xlfn.XLOOKUP($F7,Tab_Def_Processes[Name(EN)],Tab_Def_Processes[TC?],,0,)</f>
        <v>Yes</v>
      </c>
      <c r="M7" s="48" t="str">
        <f>_xlfn.XLOOKUP($F7,Tab_Def_Processes[Name(EN)],Tab_Def_Processes[Stock?],,0,)</f>
        <v>No</v>
      </c>
    </row>
    <row r="8" spans="1:13" x14ac:dyDescent="0.25">
      <c r="A8" s="87" t="b">
        <v>0</v>
      </c>
      <c r="B8" s="48">
        <f t="shared" si="0"/>
        <v>7</v>
      </c>
      <c r="C8" s="48" t="str">
        <f t="shared" si="1"/>
        <v>D7_06__Inc__0</v>
      </c>
      <c r="D8" s="48" t="str">
        <f>_xlfn.XLOOKUP($F8,Tab_Def_Processes[Name(EN)],Tab_Def_Processes[Process_ID],,0,)</f>
        <v>06_Inc_</v>
      </c>
      <c r="E8" s="48" t="e">
        <f>_xlfn.XLOOKUP(F8,Tab_Def_Processes[Name(EN)],#REF!,,0,)</f>
        <v>#REF!</v>
      </c>
      <c r="F8" s="50" t="s">
        <v>117</v>
      </c>
      <c r="G8" s="48"/>
      <c r="H8" s="48">
        <f>_xlfn.XLOOKUP(F8,Tab_Def_Processes[Name(EN)],Tab_Def_Processes[Carbon_Stock],,0,)</f>
        <v>0</v>
      </c>
      <c r="I8" s="48">
        <f>_xlfn.XLOOKUP(F8,Tab_Def_Processes[Name(EN)],Tab_Def_Processes[Life_Phase],,0,)</f>
        <v>0</v>
      </c>
      <c r="J8" s="48">
        <f>_xlfn.XLOOKUP(F8,Tab_Def_Processes[Name(EN)],Tab_Def_Processes[Description],,0,)</f>
        <v>0</v>
      </c>
      <c r="K8" s="48" t="str">
        <f>_xlfn.XLOOKUP($F8,Tab_Def_Processes[Name(EN)],Tab_Def_Processes[Process_Type],,0,)</f>
        <v>Process</v>
      </c>
      <c r="L8" s="48" t="str">
        <f>_xlfn.XLOOKUP($F8,Tab_Def_Processes[Name(EN)],Tab_Def_Processes[TC?],,0,)</f>
        <v>Yes</v>
      </c>
      <c r="M8" s="48" t="str">
        <f>_xlfn.XLOOKUP($F8,Tab_Def_Processes[Name(EN)],Tab_Def_Processes[Stock?],,0,)</f>
        <v>No</v>
      </c>
    </row>
    <row r="9" spans="1:13" x14ac:dyDescent="0.25">
      <c r="A9" s="87" t="b">
        <v>0</v>
      </c>
      <c r="B9" s="48">
        <f t="shared" si="0"/>
        <v>8</v>
      </c>
      <c r="C9" s="48" t="str">
        <f t="shared" si="1"/>
        <v>D8_07__Atm__0</v>
      </c>
      <c r="D9" s="48" t="str">
        <f>_xlfn.XLOOKUP($F9,Tab_Def_Processes[Name(EN)],Tab_Def_Processes[Process_ID],,0,)</f>
        <v>07_Atm_</v>
      </c>
      <c r="E9" s="48" t="e">
        <f>_xlfn.XLOOKUP(F9,Tab_Def_Processes[Name(EN)],#REF!,,0,)</f>
        <v>#REF!</v>
      </c>
      <c r="F9" s="50" t="s">
        <v>43</v>
      </c>
      <c r="G9" s="48"/>
      <c r="H9" s="48">
        <f>_xlfn.XLOOKUP(F9,Tab_Def_Processes[Name(EN)],Tab_Def_Processes[Carbon_Stock],,0,)</f>
        <v>0</v>
      </c>
      <c r="I9" s="48">
        <f>_xlfn.XLOOKUP(F9,Tab_Def_Processes[Name(EN)],Tab_Def_Processes[Life_Phase],,0,)</f>
        <v>0</v>
      </c>
      <c r="J9" s="48">
        <f>_xlfn.XLOOKUP(F9,Tab_Def_Processes[Name(EN)],Tab_Def_Processes[Description],,0,)</f>
        <v>0</v>
      </c>
      <c r="K9" s="48" t="str">
        <f>_xlfn.XLOOKUP($F9,Tab_Def_Processes[Name(EN)],Tab_Def_Processes[Process_Type],,0,)</f>
        <v>Process</v>
      </c>
      <c r="L9" s="48" t="str">
        <f>_xlfn.XLOOKUP($F9,Tab_Def_Processes[Name(EN)],Tab_Def_Processes[TC?],,0,)</f>
        <v>No</v>
      </c>
      <c r="M9" s="48" t="str">
        <f>_xlfn.XLOOKUP($F9,Tab_Def_Processes[Name(EN)],Tab_Def_Processes[Stock?],,0,)</f>
        <v>Yes</v>
      </c>
    </row>
    <row r="10" spans="1:13" x14ac:dyDescent="0.25">
      <c r="A10" s="87" t="b">
        <v>0</v>
      </c>
      <c r="B10" s="48">
        <f t="shared" si="0"/>
        <v>9</v>
      </c>
      <c r="C10" s="48" t="str">
        <f t="shared" si="1"/>
        <v>D9_08__Ant__0</v>
      </c>
      <c r="D10" s="48" t="str">
        <f>_xlfn.XLOOKUP($F10,Tab_Def_Processes[Name(EN)],Tab_Def_Processes[Process_ID],,0,)</f>
        <v>08_Ant_</v>
      </c>
      <c r="E10" s="48" t="e">
        <f>_xlfn.XLOOKUP(F10,Tab_Def_Processes[Name(EN)],#REF!,,0,)</f>
        <v>#REF!</v>
      </c>
      <c r="F10" s="50" t="s">
        <v>109</v>
      </c>
      <c r="G10" s="48"/>
      <c r="H10" s="48">
        <f>_xlfn.XLOOKUP(F10,Tab_Def_Processes[Name(EN)],Tab_Def_Processes[Carbon_Stock],,0,)</f>
        <v>0</v>
      </c>
      <c r="I10" s="48">
        <f>_xlfn.XLOOKUP(F10,Tab_Def_Processes[Name(EN)],Tab_Def_Processes[Life_Phase],,0,)</f>
        <v>0</v>
      </c>
      <c r="J10" s="48">
        <f>_xlfn.XLOOKUP(F10,Tab_Def_Processes[Name(EN)],Tab_Def_Processes[Description],,0,)</f>
        <v>0</v>
      </c>
      <c r="K10" s="48" t="str">
        <f>_xlfn.XLOOKUP($F10,Tab_Def_Processes[Name(EN)],Tab_Def_Processes[Process_Type],,0,)</f>
        <v>Process</v>
      </c>
      <c r="L10" s="48" t="str">
        <f>_xlfn.XLOOKUP($F10,Tab_Def_Processes[Name(EN)],Tab_Def_Processes[TC?],,0,)</f>
        <v>No</v>
      </c>
      <c r="M10" s="48" t="str">
        <f>_xlfn.XLOOKUP($F10,Tab_Def_Processes[Name(EN)],Tab_Def_Processes[Stock?],,0,)</f>
        <v>No</v>
      </c>
    </row>
    <row r="11" spans="1:13" x14ac:dyDescent="0.25">
      <c r="A11" s="87" t="b">
        <v>0</v>
      </c>
      <c r="B11" s="48">
        <f t="shared" si="0"/>
        <v>10</v>
      </c>
      <c r="C11" s="48" t="e">
        <f t="shared" si="1"/>
        <v>#N/A</v>
      </c>
      <c r="D11" s="48" t="e">
        <f>_xlfn.XLOOKUP($F11,Tab_Def_Processes[Name(EN)],Tab_Def_Processes[Process_ID],,0,)</f>
        <v>#N/A</v>
      </c>
      <c r="E11" s="48" t="e">
        <f>_xlfn.XLOOKUP(F11,Tab_Def_Processes[Name(EN)],#REF!,,0,)</f>
        <v>#REF!</v>
      </c>
      <c r="F11" s="50" t="s">
        <v>55</v>
      </c>
      <c r="G11" s="48"/>
      <c r="H11" s="48" t="e">
        <f>_xlfn.XLOOKUP(F11,Tab_Def_Processes[Name(EN)],Tab_Def_Processes[Carbon_Stock],,0,)</f>
        <v>#N/A</v>
      </c>
      <c r="I11" s="48" t="e">
        <f>_xlfn.XLOOKUP(F11,Tab_Def_Processes[Name(EN)],Tab_Def_Processes[Life_Phase],,0,)</f>
        <v>#N/A</v>
      </c>
      <c r="J11" s="48" t="e">
        <f>_xlfn.XLOOKUP(F11,Tab_Def_Processes[Name(EN)],Tab_Def_Processes[Description],,0,)</f>
        <v>#N/A</v>
      </c>
      <c r="K11" s="48" t="e">
        <f>_xlfn.XLOOKUP($F11,Tab_Def_Processes[Name(EN)],Tab_Def_Processes[Process_Type],,0,)</f>
        <v>#N/A</v>
      </c>
      <c r="L11" s="48" t="e">
        <f>_xlfn.XLOOKUP($F11,Tab_Def_Processes[Name(EN)],Tab_Def_Processes[TC?],,0,)</f>
        <v>#N/A</v>
      </c>
      <c r="M11" s="48" t="e">
        <f>_xlfn.XLOOKUP($F11,Tab_Def_Processes[Name(EN)],Tab_Def_Processes[Stock?],,0,)</f>
        <v>#N/A</v>
      </c>
    </row>
    <row r="12" spans="1:13" x14ac:dyDescent="0.25">
      <c r="A12" s="87" t="b">
        <v>0</v>
      </c>
      <c r="B12" s="48">
        <f t="shared" si="0"/>
        <v>11</v>
      </c>
      <c r="C12" s="48" t="e">
        <f t="shared" si="1"/>
        <v>#N/A</v>
      </c>
      <c r="D12" s="48" t="e">
        <f>_xlfn.XLOOKUP($F12,Tab_Def_Processes[Name(EN)],Tab_Def_Processes[Process_ID],,0,)</f>
        <v>#N/A</v>
      </c>
      <c r="E12" s="48" t="e">
        <f>_xlfn.XLOOKUP(F12,Tab_Def_Processes[Name(EN)],#REF!,,0,)</f>
        <v>#REF!</v>
      </c>
      <c r="F12" s="50" t="s">
        <v>55</v>
      </c>
      <c r="G12" s="48"/>
      <c r="H12" s="48" t="e">
        <f>_xlfn.XLOOKUP(F12,Tab_Def_Processes[Name(EN)],Tab_Def_Processes[Carbon_Stock],,0,)</f>
        <v>#N/A</v>
      </c>
      <c r="I12" s="48" t="e">
        <f>_xlfn.XLOOKUP(F12,Tab_Def_Processes[Name(EN)],Tab_Def_Processes[Life_Phase],,0,)</f>
        <v>#N/A</v>
      </c>
      <c r="J12" s="48" t="e">
        <f>_xlfn.XLOOKUP(F12,Tab_Def_Processes[Name(EN)],Tab_Def_Processes[Description],,0,)</f>
        <v>#N/A</v>
      </c>
      <c r="K12" s="48" t="e">
        <f>_xlfn.XLOOKUP($F12,Tab_Def_Processes[Name(EN)],Tab_Def_Processes[Process_Type],,0,)</f>
        <v>#N/A</v>
      </c>
      <c r="L12" s="48" t="e">
        <f>_xlfn.XLOOKUP($F12,Tab_Def_Processes[Name(EN)],Tab_Def_Processes[TC?],,0,)</f>
        <v>#N/A</v>
      </c>
      <c r="M12" s="48" t="e">
        <f>_xlfn.XLOOKUP($F12,Tab_Def_Processes[Name(EN)],Tab_Def_Processes[Stock?],,0,)</f>
        <v>#N/A</v>
      </c>
    </row>
    <row r="13" spans="1:13" x14ac:dyDescent="0.25">
      <c r="A13" s="87" t="b">
        <v>0</v>
      </c>
      <c r="B13" s="48">
        <f t="shared" si="0"/>
        <v>12</v>
      </c>
      <c r="C13" s="48" t="e">
        <f t="shared" si="1"/>
        <v>#N/A</v>
      </c>
      <c r="D13" s="48" t="e">
        <f>_xlfn.XLOOKUP($F13,Tab_Def_Processes[Name(EN)],Tab_Def_Processes[Process_ID],,0,)</f>
        <v>#N/A</v>
      </c>
      <c r="E13" s="48" t="e">
        <f>_xlfn.XLOOKUP(F13,Tab_Def_Processes[Name(EN)],#REF!,,0,)</f>
        <v>#REF!</v>
      </c>
      <c r="F13" s="50" t="s">
        <v>55</v>
      </c>
      <c r="G13" s="48"/>
      <c r="H13" s="48" t="e">
        <f>_xlfn.XLOOKUP(F13,Tab_Def_Processes[Name(EN)],Tab_Def_Processes[Carbon_Stock],,0,)</f>
        <v>#N/A</v>
      </c>
      <c r="I13" s="48" t="e">
        <f>_xlfn.XLOOKUP(F13,Tab_Def_Processes[Name(EN)],Tab_Def_Processes[Life_Phase],,0,)</f>
        <v>#N/A</v>
      </c>
      <c r="J13" s="48" t="e">
        <f>_xlfn.XLOOKUP(F13,Tab_Def_Processes[Name(EN)],Tab_Def_Processes[Description],,0,)</f>
        <v>#N/A</v>
      </c>
      <c r="K13" s="48" t="e">
        <f>_xlfn.XLOOKUP($F13,Tab_Def_Processes[Name(EN)],Tab_Def_Processes[Process_Type],,0,)</f>
        <v>#N/A</v>
      </c>
      <c r="L13" s="48" t="e">
        <f>_xlfn.XLOOKUP($F13,Tab_Def_Processes[Name(EN)],Tab_Def_Processes[TC?],,0,)</f>
        <v>#N/A</v>
      </c>
      <c r="M13" s="48" t="e">
        <f>_xlfn.XLOOKUP($F13,Tab_Def_Processes[Name(EN)],Tab_Def_Processes[Stock?],,0,)</f>
        <v>#N/A</v>
      </c>
    </row>
    <row r="14" spans="1:13" x14ac:dyDescent="0.25">
      <c r="A14" s="87" t="b">
        <v>0</v>
      </c>
      <c r="B14" s="48">
        <f t="shared" si="0"/>
        <v>13</v>
      </c>
      <c r="C14" s="48" t="e">
        <f t="shared" si="1"/>
        <v>#N/A</v>
      </c>
      <c r="D14" s="48" t="e">
        <f>_xlfn.XLOOKUP($F14,Tab_Def_Processes[Name(EN)],Tab_Def_Processes[Process_ID],,0,)</f>
        <v>#N/A</v>
      </c>
      <c r="E14" s="48" t="e">
        <f>_xlfn.XLOOKUP(F14,Tab_Def_Processes[Name(EN)],#REF!,,0,)</f>
        <v>#REF!</v>
      </c>
      <c r="F14" s="50" t="s">
        <v>55</v>
      </c>
      <c r="G14" s="48"/>
      <c r="H14" s="48" t="e">
        <f>_xlfn.XLOOKUP(F14,Tab_Def_Processes[Name(EN)],Tab_Def_Processes[Carbon_Stock],,0,)</f>
        <v>#N/A</v>
      </c>
      <c r="I14" s="48" t="e">
        <f>_xlfn.XLOOKUP(F14,Tab_Def_Processes[Name(EN)],Tab_Def_Processes[Life_Phase],,0,)</f>
        <v>#N/A</v>
      </c>
      <c r="J14" s="48" t="e">
        <f>_xlfn.XLOOKUP(F14,Tab_Def_Processes[Name(EN)],Tab_Def_Processes[Description],,0,)</f>
        <v>#N/A</v>
      </c>
      <c r="K14" s="48" t="e">
        <f>_xlfn.XLOOKUP($F14,Tab_Def_Processes[Name(EN)],Tab_Def_Processes[Process_Type],,0,)</f>
        <v>#N/A</v>
      </c>
      <c r="L14" s="48" t="e">
        <f>_xlfn.XLOOKUP($F14,Tab_Def_Processes[Name(EN)],Tab_Def_Processes[TC?],,0,)</f>
        <v>#N/A</v>
      </c>
      <c r="M14" s="48" t="e">
        <f>_xlfn.XLOOKUP($F14,Tab_Def_Processes[Name(EN)],Tab_Def_Processes[Stock?],,0,)</f>
        <v>#N/A</v>
      </c>
    </row>
    <row r="15" spans="1:13" x14ac:dyDescent="0.25">
      <c r="A15" s="87" t="b">
        <v>0</v>
      </c>
      <c r="B15" s="48">
        <f t="shared" si="0"/>
        <v>14</v>
      </c>
      <c r="C15" s="48" t="e">
        <f t="shared" si="1"/>
        <v>#N/A</v>
      </c>
      <c r="D15" s="48" t="e">
        <f>_xlfn.XLOOKUP($F15,Tab_Def_Processes[Name(EN)],Tab_Def_Processes[Process_ID],,0,)</f>
        <v>#N/A</v>
      </c>
      <c r="E15" s="48" t="e">
        <f>_xlfn.XLOOKUP(F15,Tab_Def_Processes[Name(EN)],#REF!,,0,)</f>
        <v>#REF!</v>
      </c>
      <c r="F15" s="50" t="s">
        <v>55</v>
      </c>
      <c r="G15" s="48"/>
      <c r="H15" s="48" t="e">
        <f>_xlfn.XLOOKUP(F15,Tab_Def_Processes[Name(EN)],Tab_Def_Processes[Carbon_Stock],,0,)</f>
        <v>#N/A</v>
      </c>
      <c r="I15" s="48" t="e">
        <f>_xlfn.XLOOKUP(F15,Tab_Def_Processes[Name(EN)],Tab_Def_Processes[Life_Phase],,0,)</f>
        <v>#N/A</v>
      </c>
      <c r="J15" s="48" t="e">
        <f>_xlfn.XLOOKUP(F15,Tab_Def_Processes[Name(EN)],Tab_Def_Processes[Description],,0,)</f>
        <v>#N/A</v>
      </c>
      <c r="K15" s="48" t="e">
        <f>_xlfn.XLOOKUP($F15,Tab_Def_Processes[Name(EN)],Tab_Def_Processes[Process_Type],,0,)</f>
        <v>#N/A</v>
      </c>
      <c r="L15" s="48" t="e">
        <f>_xlfn.XLOOKUP($F15,Tab_Def_Processes[Name(EN)],Tab_Def_Processes[TC?],,0,)</f>
        <v>#N/A</v>
      </c>
      <c r="M15" s="48" t="e">
        <f>_xlfn.XLOOKUP($F15,Tab_Def_Processes[Name(EN)],Tab_Def_Processes[Stock?],,0,)</f>
        <v>#N/A</v>
      </c>
    </row>
    <row r="16" spans="1:13" x14ac:dyDescent="0.25">
      <c r="A16" s="87" t="b">
        <v>0</v>
      </c>
      <c r="B16" s="48">
        <f t="shared" si="0"/>
        <v>15</v>
      </c>
      <c r="C16" s="48" t="e">
        <f t="shared" si="1"/>
        <v>#N/A</v>
      </c>
      <c r="D16" s="48" t="e">
        <f>_xlfn.XLOOKUP($F16,Tab_Def_Processes[Name(EN)],Tab_Def_Processes[Process_ID],,0,)</f>
        <v>#N/A</v>
      </c>
      <c r="E16" s="48" t="e">
        <f>_xlfn.XLOOKUP(F16,Tab_Def_Processes[Name(EN)],#REF!,,0,)</f>
        <v>#REF!</v>
      </c>
      <c r="F16" s="50" t="s">
        <v>55</v>
      </c>
      <c r="G16" s="48"/>
      <c r="H16" s="48" t="e">
        <f>_xlfn.XLOOKUP(F16,Tab_Def_Processes[Name(EN)],Tab_Def_Processes[Carbon_Stock],,0,)</f>
        <v>#N/A</v>
      </c>
      <c r="I16" s="48" t="e">
        <f>_xlfn.XLOOKUP(F16,Tab_Def_Processes[Name(EN)],Tab_Def_Processes[Life_Phase],,0,)</f>
        <v>#N/A</v>
      </c>
      <c r="J16" s="48" t="e">
        <f>_xlfn.XLOOKUP(F16,Tab_Def_Processes[Name(EN)],Tab_Def_Processes[Description],,0,)</f>
        <v>#N/A</v>
      </c>
      <c r="K16" s="48" t="e">
        <f>_xlfn.XLOOKUP($F16,Tab_Def_Processes[Name(EN)],Tab_Def_Processes[Process_Type],,0,)</f>
        <v>#N/A</v>
      </c>
      <c r="L16" s="48" t="e">
        <f>_xlfn.XLOOKUP($F16,Tab_Def_Processes[Name(EN)],Tab_Def_Processes[TC?],,0,)</f>
        <v>#N/A</v>
      </c>
      <c r="M16" s="48" t="e">
        <f>_xlfn.XLOOKUP($F16,Tab_Def_Processes[Name(EN)],Tab_Def_Processes[Stock?],,0,)</f>
        <v>#N/A</v>
      </c>
    </row>
    <row r="17" spans="1:13" x14ac:dyDescent="0.25">
      <c r="A17" s="87" t="b">
        <v>0</v>
      </c>
      <c r="B17" s="48">
        <f t="shared" si="0"/>
        <v>16</v>
      </c>
      <c r="C17" s="48" t="e">
        <f t="shared" si="1"/>
        <v>#N/A</v>
      </c>
      <c r="D17" s="48" t="e">
        <f>_xlfn.XLOOKUP($F17,Tab_Def_Processes[Name(EN)],Tab_Def_Processes[Process_ID],,0,)</f>
        <v>#N/A</v>
      </c>
      <c r="E17" s="48" t="e">
        <f>_xlfn.XLOOKUP(F17,Tab_Def_Processes[Name(EN)],#REF!,,0,)</f>
        <v>#REF!</v>
      </c>
      <c r="F17" s="50" t="s">
        <v>55</v>
      </c>
      <c r="G17" s="48"/>
      <c r="H17" s="48" t="e">
        <f>_xlfn.XLOOKUP(F17,Tab_Def_Processes[Name(EN)],Tab_Def_Processes[Carbon_Stock],,0,)</f>
        <v>#N/A</v>
      </c>
      <c r="I17" s="48" t="e">
        <f>_xlfn.XLOOKUP(F17,Tab_Def_Processes[Name(EN)],Tab_Def_Processes[Life_Phase],,0,)</f>
        <v>#N/A</v>
      </c>
      <c r="J17" s="48" t="e">
        <f>_xlfn.XLOOKUP(F17,Tab_Def_Processes[Name(EN)],Tab_Def_Processes[Description],,0,)</f>
        <v>#N/A</v>
      </c>
      <c r="K17" s="48" t="e">
        <f>_xlfn.XLOOKUP($F17,Tab_Def_Processes[Name(EN)],Tab_Def_Processes[Process_Type],,0,)</f>
        <v>#N/A</v>
      </c>
      <c r="L17" s="48" t="e">
        <f>_xlfn.XLOOKUP($F17,Tab_Def_Processes[Name(EN)],Tab_Def_Processes[TC?],,0,)</f>
        <v>#N/A</v>
      </c>
      <c r="M17" s="48" t="e">
        <f>_xlfn.XLOOKUP($F17,Tab_Def_Processes[Name(EN)],Tab_Def_Processes[Stock?],,0,)</f>
        <v>#N/A</v>
      </c>
    </row>
    <row r="18" spans="1:13" x14ac:dyDescent="0.25">
      <c r="A18" s="87" t="b">
        <v>0</v>
      </c>
      <c r="B18" s="48">
        <f t="shared" si="0"/>
        <v>17</v>
      </c>
      <c r="C18" s="48" t="e">
        <f t="shared" si="1"/>
        <v>#N/A</v>
      </c>
      <c r="D18" s="48" t="e">
        <f>_xlfn.XLOOKUP($F18,Tab_Def_Processes[Name(EN)],Tab_Def_Processes[Process_ID],,0,)</f>
        <v>#N/A</v>
      </c>
      <c r="E18" s="48" t="e">
        <f>_xlfn.XLOOKUP(F18,Tab_Def_Processes[Name(EN)],#REF!,,0,)</f>
        <v>#REF!</v>
      </c>
      <c r="F18" s="50" t="s">
        <v>55</v>
      </c>
      <c r="G18" s="48"/>
      <c r="H18" s="48" t="e">
        <f>_xlfn.XLOOKUP(F18,Tab_Def_Processes[Name(EN)],Tab_Def_Processes[Carbon_Stock],,0,)</f>
        <v>#N/A</v>
      </c>
      <c r="I18" s="48" t="e">
        <f>_xlfn.XLOOKUP(F18,Tab_Def_Processes[Name(EN)],Tab_Def_Processes[Life_Phase],,0,)</f>
        <v>#N/A</v>
      </c>
      <c r="J18" s="48" t="e">
        <f>_xlfn.XLOOKUP(F18,Tab_Def_Processes[Name(EN)],Tab_Def_Processes[Description],,0,)</f>
        <v>#N/A</v>
      </c>
      <c r="K18" s="48" t="e">
        <f>_xlfn.XLOOKUP($F18,Tab_Def_Processes[Name(EN)],Tab_Def_Processes[Process_Type],,0,)</f>
        <v>#N/A</v>
      </c>
      <c r="L18" s="48" t="e">
        <f>_xlfn.XLOOKUP($F18,Tab_Def_Processes[Name(EN)],Tab_Def_Processes[TC?],,0,)</f>
        <v>#N/A</v>
      </c>
      <c r="M18" s="48" t="e">
        <f>_xlfn.XLOOKUP($F18,Tab_Def_Processes[Name(EN)],Tab_Def_Processes[Stock?],,0,)</f>
        <v>#N/A</v>
      </c>
    </row>
    <row r="19" spans="1:13" x14ac:dyDescent="0.25">
      <c r="A19" s="87" t="b">
        <v>0</v>
      </c>
      <c r="B19" s="48">
        <f t="shared" si="0"/>
        <v>18</v>
      </c>
      <c r="C19" s="48" t="e">
        <f t="shared" si="1"/>
        <v>#N/A</v>
      </c>
      <c r="D19" s="48" t="e">
        <f>_xlfn.XLOOKUP($F19,Tab_Def_Processes[Name(EN)],Tab_Def_Processes[Process_ID],,0,)</f>
        <v>#N/A</v>
      </c>
      <c r="E19" s="48" t="e">
        <f>_xlfn.XLOOKUP(F19,Tab_Def_Processes[Name(EN)],#REF!,,0,)</f>
        <v>#REF!</v>
      </c>
      <c r="F19" s="50" t="s">
        <v>55</v>
      </c>
      <c r="G19" s="48"/>
      <c r="H19" s="48" t="e">
        <f>_xlfn.XLOOKUP(F19,Tab_Def_Processes[Name(EN)],Tab_Def_Processes[Carbon_Stock],,0,)</f>
        <v>#N/A</v>
      </c>
      <c r="I19" s="48" t="e">
        <f>_xlfn.XLOOKUP(F19,Tab_Def_Processes[Name(EN)],Tab_Def_Processes[Life_Phase],,0,)</f>
        <v>#N/A</v>
      </c>
      <c r="J19" s="48" t="e">
        <f>_xlfn.XLOOKUP(F19,Tab_Def_Processes[Name(EN)],Tab_Def_Processes[Description],,0,)</f>
        <v>#N/A</v>
      </c>
      <c r="K19" s="48" t="e">
        <f>_xlfn.XLOOKUP($F19,Tab_Def_Processes[Name(EN)],Tab_Def_Processes[Process_Type],,0,)</f>
        <v>#N/A</v>
      </c>
      <c r="L19" s="48" t="e">
        <f>_xlfn.XLOOKUP($F19,Tab_Def_Processes[Name(EN)],Tab_Def_Processes[TC?],,0,)</f>
        <v>#N/A</v>
      </c>
      <c r="M19" s="48" t="e">
        <f>_xlfn.XLOOKUP($F19,Tab_Def_Processes[Name(EN)],Tab_Def_Processes[Stock?],,0,)</f>
        <v>#N/A</v>
      </c>
    </row>
    <row r="20" spans="1:13" x14ac:dyDescent="0.25">
      <c r="A20" s="87" t="b">
        <v>0</v>
      </c>
      <c r="B20" s="48">
        <f t="shared" si="0"/>
        <v>19</v>
      </c>
      <c r="C20" s="48" t="e">
        <f t="shared" si="1"/>
        <v>#N/A</v>
      </c>
      <c r="D20" s="48" t="e">
        <f>_xlfn.XLOOKUP($F20,Tab_Def_Processes[Name(EN)],Tab_Def_Processes[Process_ID],,0,)</f>
        <v>#N/A</v>
      </c>
      <c r="E20" s="48" t="e">
        <f>_xlfn.XLOOKUP(F20,Tab_Def_Processes[Name(EN)],#REF!,,0,)</f>
        <v>#REF!</v>
      </c>
      <c r="F20" s="50" t="s">
        <v>55</v>
      </c>
      <c r="G20" s="48"/>
      <c r="H20" s="48" t="e">
        <f>_xlfn.XLOOKUP(F20,Tab_Def_Processes[Name(EN)],Tab_Def_Processes[Carbon_Stock],,0,)</f>
        <v>#N/A</v>
      </c>
      <c r="I20" s="48" t="e">
        <f>_xlfn.XLOOKUP(F20,Tab_Def_Processes[Name(EN)],Tab_Def_Processes[Life_Phase],,0,)</f>
        <v>#N/A</v>
      </c>
      <c r="J20" s="48" t="e">
        <f>_xlfn.XLOOKUP(F20,Tab_Def_Processes[Name(EN)],Tab_Def_Processes[Description],,0,)</f>
        <v>#N/A</v>
      </c>
      <c r="K20" s="48" t="e">
        <f>_xlfn.XLOOKUP($F20,Tab_Def_Processes[Name(EN)],Tab_Def_Processes[Process_Type],,0,)</f>
        <v>#N/A</v>
      </c>
      <c r="L20" s="48" t="e">
        <f>_xlfn.XLOOKUP($F20,Tab_Def_Processes[Name(EN)],Tab_Def_Processes[TC?],,0,)</f>
        <v>#N/A</v>
      </c>
      <c r="M20" s="48" t="e">
        <f>_xlfn.XLOOKUP($F20,Tab_Def_Processes[Name(EN)],Tab_Def_Processes[Stock?],,0,)</f>
        <v>#N/A</v>
      </c>
    </row>
    <row r="21" spans="1:13" x14ac:dyDescent="0.25">
      <c r="A21" s="87" t="b">
        <v>0</v>
      </c>
      <c r="B21" s="48">
        <f t="shared" si="0"/>
        <v>20</v>
      </c>
      <c r="C21" s="48" t="e">
        <f t="shared" si="1"/>
        <v>#N/A</v>
      </c>
      <c r="D21" s="48" t="e">
        <f>_xlfn.XLOOKUP($F21,Tab_Def_Processes[Name(EN)],Tab_Def_Processes[Process_ID],,0,)</f>
        <v>#N/A</v>
      </c>
      <c r="E21" s="48" t="e">
        <f>_xlfn.XLOOKUP(F21,Tab_Def_Processes[Name(EN)],#REF!,,0,)</f>
        <v>#REF!</v>
      </c>
      <c r="F21" s="50" t="s">
        <v>55</v>
      </c>
      <c r="G21" s="48"/>
      <c r="H21" s="48" t="e">
        <f>_xlfn.XLOOKUP(F21,Tab_Def_Processes[Name(EN)],Tab_Def_Processes[Carbon_Stock],,0,)</f>
        <v>#N/A</v>
      </c>
      <c r="I21" s="48" t="e">
        <f>_xlfn.XLOOKUP(F21,Tab_Def_Processes[Name(EN)],Tab_Def_Processes[Life_Phase],,0,)</f>
        <v>#N/A</v>
      </c>
      <c r="J21" s="48" t="e">
        <f>_xlfn.XLOOKUP(F21,Tab_Def_Processes[Name(EN)],Tab_Def_Processes[Description],,0,)</f>
        <v>#N/A</v>
      </c>
      <c r="K21" s="48" t="e">
        <f>_xlfn.XLOOKUP($F21,Tab_Def_Processes[Name(EN)],Tab_Def_Processes[Process_Type],,0,)</f>
        <v>#N/A</v>
      </c>
      <c r="L21" s="48" t="e">
        <f>_xlfn.XLOOKUP($F21,Tab_Def_Processes[Name(EN)],Tab_Def_Processes[TC?],,0,)</f>
        <v>#N/A</v>
      </c>
      <c r="M21" s="48" t="e">
        <f>_xlfn.XLOOKUP($F21,Tab_Def_Processes[Name(EN)],Tab_Def_Processes[Stock?],,0,)</f>
        <v>#N/A</v>
      </c>
    </row>
    <row r="22" spans="1:13" x14ac:dyDescent="0.25">
      <c r="A22" s="87" t="b">
        <v>0</v>
      </c>
      <c r="B22" s="48">
        <f t="shared" si="0"/>
        <v>21</v>
      </c>
      <c r="C22" s="48" t="e">
        <f t="shared" si="1"/>
        <v>#N/A</v>
      </c>
      <c r="D22" s="48" t="e">
        <f>_xlfn.XLOOKUP($F22,Tab_Def_Processes[Name(EN)],Tab_Def_Processes[Process_ID],,0,)</f>
        <v>#N/A</v>
      </c>
      <c r="E22" s="48" t="e">
        <f>_xlfn.XLOOKUP(F22,Tab_Def_Processes[Name(EN)],#REF!,,0,)</f>
        <v>#REF!</v>
      </c>
      <c r="F22" s="50" t="s">
        <v>55</v>
      </c>
      <c r="G22" s="48"/>
      <c r="H22" s="48" t="e">
        <f>_xlfn.XLOOKUP(F22,Tab_Def_Processes[Name(EN)],Tab_Def_Processes[Carbon_Stock],,0,)</f>
        <v>#N/A</v>
      </c>
      <c r="I22" s="48" t="e">
        <f>_xlfn.XLOOKUP(F22,Tab_Def_Processes[Name(EN)],Tab_Def_Processes[Life_Phase],,0,)</f>
        <v>#N/A</v>
      </c>
      <c r="J22" s="48" t="e">
        <f>_xlfn.XLOOKUP(F22,Tab_Def_Processes[Name(EN)],Tab_Def_Processes[Description],,0,)</f>
        <v>#N/A</v>
      </c>
      <c r="K22" s="48" t="e">
        <f>_xlfn.XLOOKUP($F22,Tab_Def_Processes[Name(EN)],Tab_Def_Processes[Process_Type],,0,)</f>
        <v>#N/A</v>
      </c>
      <c r="L22" s="48" t="e">
        <f>_xlfn.XLOOKUP($F22,Tab_Def_Processes[Name(EN)],Tab_Def_Processes[TC?],,0,)</f>
        <v>#N/A</v>
      </c>
      <c r="M22" s="48" t="e">
        <f>_xlfn.XLOOKUP($F22,Tab_Def_Processes[Name(EN)],Tab_Def_Processes[Stock?],,0,)</f>
        <v>#N/A</v>
      </c>
    </row>
    <row r="23" spans="1:13" x14ac:dyDescent="0.25">
      <c r="A23" s="87" t="b">
        <v>0</v>
      </c>
      <c r="B23" s="48">
        <f t="shared" si="0"/>
        <v>22</v>
      </c>
      <c r="C23" s="48" t="e">
        <f t="shared" si="1"/>
        <v>#N/A</v>
      </c>
      <c r="D23" s="48" t="e">
        <f>_xlfn.XLOOKUP($F23,Tab_Def_Processes[Name(EN)],Tab_Def_Processes[Process_ID],,0,)</f>
        <v>#N/A</v>
      </c>
      <c r="E23" s="48" t="e">
        <f>_xlfn.XLOOKUP(F23,Tab_Def_Processes[Name(EN)],#REF!,,0,)</f>
        <v>#REF!</v>
      </c>
      <c r="F23" s="50" t="s">
        <v>55</v>
      </c>
      <c r="G23" s="48"/>
      <c r="H23" s="48" t="e">
        <f>_xlfn.XLOOKUP(F23,Tab_Def_Processes[Name(EN)],Tab_Def_Processes[Carbon_Stock],,0,)</f>
        <v>#N/A</v>
      </c>
      <c r="I23" s="48" t="e">
        <f>_xlfn.XLOOKUP(F23,Tab_Def_Processes[Name(EN)],Tab_Def_Processes[Life_Phase],,0,)</f>
        <v>#N/A</v>
      </c>
      <c r="J23" s="48" t="e">
        <f>_xlfn.XLOOKUP(F23,Tab_Def_Processes[Name(EN)],Tab_Def_Processes[Description],,0,)</f>
        <v>#N/A</v>
      </c>
      <c r="K23" s="48" t="e">
        <f>_xlfn.XLOOKUP($F23,Tab_Def_Processes[Name(EN)],Tab_Def_Processes[Process_Type],,0,)</f>
        <v>#N/A</v>
      </c>
      <c r="L23" s="48" t="e">
        <f>_xlfn.XLOOKUP($F23,Tab_Def_Processes[Name(EN)],Tab_Def_Processes[TC?],,0,)</f>
        <v>#N/A</v>
      </c>
      <c r="M23" s="48" t="e">
        <f>_xlfn.XLOOKUP($F23,Tab_Def_Processes[Name(EN)],Tab_Def_Processes[Stock?],,0,)</f>
        <v>#N/A</v>
      </c>
    </row>
    <row r="24" spans="1:13" x14ac:dyDescent="0.25">
      <c r="A24" s="87" t="b">
        <v>0</v>
      </c>
      <c r="B24" s="48">
        <f t="shared" si="0"/>
        <v>23</v>
      </c>
      <c r="C24" s="48" t="e">
        <f t="shared" si="1"/>
        <v>#N/A</v>
      </c>
      <c r="D24" s="48" t="e">
        <f>_xlfn.XLOOKUP($F24,Tab_Def_Processes[Name(EN)],Tab_Def_Processes[Process_ID],,0,)</f>
        <v>#N/A</v>
      </c>
      <c r="E24" s="48" t="e">
        <f>_xlfn.XLOOKUP(F24,Tab_Def_Processes[Name(EN)],#REF!,,0,)</f>
        <v>#REF!</v>
      </c>
      <c r="F24" s="50" t="s">
        <v>55</v>
      </c>
      <c r="G24" s="48"/>
      <c r="H24" s="48" t="e">
        <f>_xlfn.XLOOKUP(F24,Tab_Def_Processes[Name(EN)],Tab_Def_Processes[Carbon_Stock],,0,)</f>
        <v>#N/A</v>
      </c>
      <c r="I24" s="48" t="e">
        <f>_xlfn.XLOOKUP(F24,Tab_Def_Processes[Name(EN)],Tab_Def_Processes[Life_Phase],,0,)</f>
        <v>#N/A</v>
      </c>
      <c r="J24" s="48" t="e">
        <f>_xlfn.XLOOKUP(F24,Tab_Def_Processes[Name(EN)],Tab_Def_Processes[Description],,0,)</f>
        <v>#N/A</v>
      </c>
      <c r="K24" s="48" t="e">
        <f>_xlfn.XLOOKUP($F24,Tab_Def_Processes[Name(EN)],Tab_Def_Processes[Process_Type],,0,)</f>
        <v>#N/A</v>
      </c>
      <c r="L24" s="48" t="e">
        <f>_xlfn.XLOOKUP($F24,Tab_Def_Processes[Name(EN)],Tab_Def_Processes[TC?],,0,)</f>
        <v>#N/A</v>
      </c>
      <c r="M24" s="48" t="e">
        <f>_xlfn.XLOOKUP($F24,Tab_Def_Processes[Name(EN)],Tab_Def_Processes[Stock?],,0,)</f>
        <v>#N/A</v>
      </c>
    </row>
    <row r="25" spans="1:13" x14ac:dyDescent="0.25">
      <c r="A25" s="87" t="b">
        <v>0</v>
      </c>
      <c r="B25" s="48">
        <f t="shared" si="0"/>
        <v>24</v>
      </c>
      <c r="C25" s="48" t="e">
        <f t="shared" si="1"/>
        <v>#N/A</v>
      </c>
      <c r="D25" s="48" t="e">
        <f>_xlfn.XLOOKUP($F25,Tab_Def_Processes[Name(EN)],Tab_Def_Processes[Process_ID],,0,)</f>
        <v>#N/A</v>
      </c>
      <c r="E25" s="48" t="e">
        <f>_xlfn.XLOOKUP(F25,Tab_Def_Processes[Name(EN)],#REF!,,0,)</f>
        <v>#REF!</v>
      </c>
      <c r="F25" s="50" t="s">
        <v>55</v>
      </c>
      <c r="G25" s="48"/>
      <c r="H25" s="48" t="e">
        <f>_xlfn.XLOOKUP(F25,Tab_Def_Processes[Name(EN)],Tab_Def_Processes[Carbon_Stock],,0,)</f>
        <v>#N/A</v>
      </c>
      <c r="I25" s="48" t="e">
        <f>_xlfn.XLOOKUP(F25,Tab_Def_Processes[Name(EN)],Tab_Def_Processes[Life_Phase],,0,)</f>
        <v>#N/A</v>
      </c>
      <c r="J25" s="48" t="e">
        <f>_xlfn.XLOOKUP(F25,Tab_Def_Processes[Name(EN)],Tab_Def_Processes[Description],,0,)</f>
        <v>#N/A</v>
      </c>
      <c r="K25" s="48" t="e">
        <f>_xlfn.XLOOKUP($F25,Tab_Def_Processes[Name(EN)],Tab_Def_Processes[Process_Type],,0,)</f>
        <v>#N/A</v>
      </c>
      <c r="L25" s="48" t="e">
        <f>_xlfn.XLOOKUP($F25,Tab_Def_Processes[Name(EN)],Tab_Def_Processes[TC?],,0,)</f>
        <v>#N/A</v>
      </c>
      <c r="M25" s="48" t="e">
        <f>_xlfn.XLOOKUP($F25,Tab_Def_Processes[Name(EN)],Tab_Def_Processes[Stock?],,0,)</f>
        <v>#N/A</v>
      </c>
    </row>
    <row r="26" spans="1:13" x14ac:dyDescent="0.25">
      <c r="A26" s="87" t="b">
        <v>0</v>
      </c>
      <c r="B26" s="48">
        <f t="shared" si="0"/>
        <v>25</v>
      </c>
      <c r="C26" s="48" t="e">
        <f t="shared" si="1"/>
        <v>#N/A</v>
      </c>
      <c r="D26" s="48" t="e">
        <f>_xlfn.XLOOKUP($F26,Tab_Def_Processes[Name(EN)],Tab_Def_Processes[Process_ID],,0,)</f>
        <v>#N/A</v>
      </c>
      <c r="E26" s="48" t="e">
        <f>_xlfn.XLOOKUP(F26,Tab_Def_Processes[Name(EN)],#REF!,,0,)</f>
        <v>#REF!</v>
      </c>
      <c r="F26" s="50" t="s">
        <v>55</v>
      </c>
      <c r="G26" s="48"/>
      <c r="H26" s="48" t="e">
        <f>_xlfn.XLOOKUP(F26,Tab_Def_Processes[Name(EN)],Tab_Def_Processes[Carbon_Stock],,0,)</f>
        <v>#N/A</v>
      </c>
      <c r="I26" s="48" t="e">
        <f>_xlfn.XLOOKUP(F26,Tab_Def_Processes[Name(EN)],Tab_Def_Processes[Life_Phase],,0,)</f>
        <v>#N/A</v>
      </c>
      <c r="J26" s="48" t="e">
        <f>_xlfn.XLOOKUP(F26,Tab_Def_Processes[Name(EN)],Tab_Def_Processes[Description],,0,)</f>
        <v>#N/A</v>
      </c>
      <c r="K26" s="48" t="e">
        <f>_xlfn.XLOOKUP($F26,Tab_Def_Processes[Name(EN)],Tab_Def_Processes[Process_Type],,0,)</f>
        <v>#N/A</v>
      </c>
      <c r="L26" s="48" t="e">
        <f>_xlfn.XLOOKUP($F26,Tab_Def_Processes[Name(EN)],Tab_Def_Processes[TC?],,0,)</f>
        <v>#N/A</v>
      </c>
      <c r="M26" s="48" t="e">
        <f>_xlfn.XLOOKUP($F26,Tab_Def_Processes[Name(EN)],Tab_Def_Processes[Stock?],,0,)</f>
        <v>#N/A</v>
      </c>
    </row>
    <row r="27" spans="1:13" x14ac:dyDescent="0.25">
      <c r="A27" s="87" t="b">
        <v>0</v>
      </c>
      <c r="B27" s="48">
        <f t="shared" si="0"/>
        <v>26</v>
      </c>
      <c r="C27" s="48" t="e">
        <f t="shared" si="1"/>
        <v>#N/A</v>
      </c>
      <c r="D27" s="48" t="e">
        <f>_xlfn.XLOOKUP($F27,Tab_Def_Processes[Name(EN)],Tab_Def_Processes[Process_ID],,0,)</f>
        <v>#N/A</v>
      </c>
      <c r="E27" s="48" t="e">
        <f>_xlfn.XLOOKUP(F27,Tab_Def_Processes[Name(EN)],#REF!,,0,)</f>
        <v>#REF!</v>
      </c>
      <c r="F27" s="50" t="s">
        <v>55</v>
      </c>
      <c r="G27" s="48"/>
      <c r="H27" s="48" t="e">
        <f>_xlfn.XLOOKUP(F27,Tab_Def_Processes[Name(EN)],Tab_Def_Processes[Carbon_Stock],,0,)</f>
        <v>#N/A</v>
      </c>
      <c r="I27" s="48" t="e">
        <f>_xlfn.XLOOKUP(F27,Tab_Def_Processes[Name(EN)],Tab_Def_Processes[Life_Phase],,0,)</f>
        <v>#N/A</v>
      </c>
      <c r="J27" s="48" t="e">
        <f>_xlfn.XLOOKUP(F27,Tab_Def_Processes[Name(EN)],Tab_Def_Processes[Description],,0,)</f>
        <v>#N/A</v>
      </c>
      <c r="K27" s="48" t="e">
        <f>_xlfn.XLOOKUP($F27,Tab_Def_Processes[Name(EN)],Tab_Def_Processes[Process_Type],,0,)</f>
        <v>#N/A</v>
      </c>
      <c r="L27" s="48" t="e">
        <f>_xlfn.XLOOKUP($F27,Tab_Def_Processes[Name(EN)],Tab_Def_Processes[TC?],,0,)</f>
        <v>#N/A</v>
      </c>
      <c r="M27" s="48" t="e">
        <f>_xlfn.XLOOKUP($F27,Tab_Def_Processes[Name(EN)],Tab_Def_Processes[Stock?],,0,)</f>
        <v>#N/A</v>
      </c>
    </row>
    <row r="28" spans="1:13" x14ac:dyDescent="0.25">
      <c r="A28" s="87" t="b">
        <v>0</v>
      </c>
      <c r="B28" s="48">
        <f t="shared" si="0"/>
        <v>27</v>
      </c>
      <c r="C28" s="48" t="e">
        <f t="shared" si="1"/>
        <v>#N/A</v>
      </c>
      <c r="D28" s="48" t="e">
        <f>_xlfn.XLOOKUP($F28,Tab_Def_Processes[Name(EN)],Tab_Def_Processes[Process_ID],,0,)</f>
        <v>#N/A</v>
      </c>
      <c r="E28" s="48" t="e">
        <f>_xlfn.XLOOKUP(F28,Tab_Def_Processes[Name(EN)],#REF!,,0,)</f>
        <v>#REF!</v>
      </c>
      <c r="F28" s="50" t="s">
        <v>55</v>
      </c>
      <c r="G28" s="48"/>
      <c r="H28" s="48" t="e">
        <f>_xlfn.XLOOKUP(F28,Tab_Def_Processes[Name(EN)],Tab_Def_Processes[Carbon_Stock],,0,)</f>
        <v>#N/A</v>
      </c>
      <c r="I28" s="48" t="e">
        <f>_xlfn.XLOOKUP(F28,Tab_Def_Processes[Name(EN)],Tab_Def_Processes[Life_Phase],,0,)</f>
        <v>#N/A</v>
      </c>
      <c r="J28" s="48" t="e">
        <f>_xlfn.XLOOKUP(F28,Tab_Def_Processes[Name(EN)],Tab_Def_Processes[Description],,0,)</f>
        <v>#N/A</v>
      </c>
      <c r="K28" s="48" t="e">
        <f>_xlfn.XLOOKUP($F28,Tab_Def_Processes[Name(EN)],Tab_Def_Processes[Process_Type],,0,)</f>
        <v>#N/A</v>
      </c>
      <c r="L28" s="48" t="e">
        <f>_xlfn.XLOOKUP($F28,Tab_Def_Processes[Name(EN)],Tab_Def_Processes[TC?],,0,)</f>
        <v>#N/A</v>
      </c>
      <c r="M28" s="48" t="e">
        <f>_xlfn.XLOOKUP($F28,Tab_Def_Processes[Name(EN)],Tab_Def_Processes[Stock?],,0,)</f>
        <v>#N/A</v>
      </c>
    </row>
    <row r="29" spans="1:13" x14ac:dyDescent="0.25">
      <c r="A29" s="87" t="b">
        <v>0</v>
      </c>
      <c r="B29" s="48">
        <f t="shared" si="0"/>
        <v>28</v>
      </c>
      <c r="C29" s="48" t="e">
        <f t="shared" si="1"/>
        <v>#N/A</v>
      </c>
      <c r="D29" s="48" t="e">
        <f>_xlfn.XLOOKUP($F29,Tab_Def_Processes[Name(EN)],Tab_Def_Processes[Process_ID],,0,)</f>
        <v>#N/A</v>
      </c>
      <c r="E29" s="48" t="e">
        <f>_xlfn.XLOOKUP(F29,Tab_Def_Processes[Name(EN)],#REF!,,0,)</f>
        <v>#REF!</v>
      </c>
      <c r="F29" s="50" t="s">
        <v>55</v>
      </c>
      <c r="G29" s="48"/>
      <c r="H29" s="48" t="e">
        <f>_xlfn.XLOOKUP(F29,Tab_Def_Processes[Name(EN)],Tab_Def_Processes[Carbon_Stock],,0,)</f>
        <v>#N/A</v>
      </c>
      <c r="I29" s="48" t="e">
        <f>_xlfn.XLOOKUP(F29,Tab_Def_Processes[Name(EN)],Tab_Def_Processes[Life_Phase],,0,)</f>
        <v>#N/A</v>
      </c>
      <c r="J29" s="48" t="e">
        <f>_xlfn.XLOOKUP(F29,Tab_Def_Processes[Name(EN)],Tab_Def_Processes[Description],,0,)</f>
        <v>#N/A</v>
      </c>
      <c r="K29" s="48" t="e">
        <f>_xlfn.XLOOKUP($F29,Tab_Def_Processes[Name(EN)],Tab_Def_Processes[Process_Type],,0,)</f>
        <v>#N/A</v>
      </c>
      <c r="L29" s="48" t="e">
        <f>_xlfn.XLOOKUP($F29,Tab_Def_Processes[Name(EN)],Tab_Def_Processes[TC?],,0,)</f>
        <v>#N/A</v>
      </c>
      <c r="M29" s="48" t="e">
        <f>_xlfn.XLOOKUP($F29,Tab_Def_Processes[Name(EN)],Tab_Def_Processes[Stock?],,0,)</f>
        <v>#N/A</v>
      </c>
    </row>
    <row r="30" spans="1:13" x14ac:dyDescent="0.25">
      <c r="A30" s="87" t="b">
        <v>0</v>
      </c>
      <c r="B30" s="48">
        <f t="shared" si="0"/>
        <v>29</v>
      </c>
      <c r="C30" s="48" t="e">
        <f t="shared" si="1"/>
        <v>#N/A</v>
      </c>
      <c r="D30" s="48" t="e">
        <f>_xlfn.XLOOKUP($F30,Tab_Def_Processes[Name(EN)],Tab_Def_Processes[Process_ID],,0,)</f>
        <v>#N/A</v>
      </c>
      <c r="E30" s="48" t="e">
        <f>_xlfn.XLOOKUP(F30,Tab_Def_Processes[Name(EN)],#REF!,,0,)</f>
        <v>#REF!</v>
      </c>
      <c r="F30" s="50" t="s">
        <v>55</v>
      </c>
      <c r="G30" s="48"/>
      <c r="H30" s="48" t="e">
        <f>_xlfn.XLOOKUP(F30,Tab_Def_Processes[Name(EN)],Tab_Def_Processes[Carbon_Stock],,0,)</f>
        <v>#N/A</v>
      </c>
      <c r="I30" s="48" t="e">
        <f>_xlfn.XLOOKUP(F30,Tab_Def_Processes[Name(EN)],Tab_Def_Processes[Life_Phase],,0,)</f>
        <v>#N/A</v>
      </c>
      <c r="J30" s="48" t="e">
        <f>_xlfn.XLOOKUP(F30,Tab_Def_Processes[Name(EN)],Tab_Def_Processes[Description],,0,)</f>
        <v>#N/A</v>
      </c>
      <c r="K30" s="48" t="e">
        <f>_xlfn.XLOOKUP($F30,Tab_Def_Processes[Name(EN)],Tab_Def_Processes[Process_Type],,0,)</f>
        <v>#N/A</v>
      </c>
      <c r="L30" s="48" t="e">
        <f>_xlfn.XLOOKUP($F30,Tab_Def_Processes[Name(EN)],Tab_Def_Processes[TC?],,0,)</f>
        <v>#N/A</v>
      </c>
      <c r="M30" s="48" t="e">
        <f>_xlfn.XLOOKUP($F30,Tab_Def_Processes[Name(EN)],Tab_Def_Processes[Stock?],,0,)</f>
        <v>#N/A</v>
      </c>
    </row>
    <row r="31" spans="1:13" x14ac:dyDescent="0.25">
      <c r="A31" s="87" t="b">
        <v>0</v>
      </c>
      <c r="B31" s="48">
        <f t="shared" si="0"/>
        <v>30</v>
      </c>
      <c r="C31" s="48" t="e">
        <f t="shared" si="1"/>
        <v>#N/A</v>
      </c>
      <c r="D31" s="48" t="e">
        <f>_xlfn.XLOOKUP($F31,Tab_Def_Processes[Name(EN)],Tab_Def_Processes[Process_ID],,0,)</f>
        <v>#N/A</v>
      </c>
      <c r="E31" s="48" t="e">
        <f>_xlfn.XLOOKUP(F31,Tab_Def_Processes[Name(EN)],#REF!,,0,)</f>
        <v>#REF!</v>
      </c>
      <c r="F31" s="50" t="s">
        <v>55</v>
      </c>
      <c r="G31" s="48"/>
      <c r="H31" s="48" t="e">
        <f>_xlfn.XLOOKUP(F31,Tab_Def_Processes[Name(EN)],Tab_Def_Processes[Carbon_Stock],,0,)</f>
        <v>#N/A</v>
      </c>
      <c r="I31" s="48" t="e">
        <f>_xlfn.XLOOKUP(F31,Tab_Def_Processes[Name(EN)],Tab_Def_Processes[Life_Phase],,0,)</f>
        <v>#N/A</v>
      </c>
      <c r="J31" s="48" t="e">
        <f>_xlfn.XLOOKUP(F31,Tab_Def_Processes[Name(EN)],Tab_Def_Processes[Description],,0,)</f>
        <v>#N/A</v>
      </c>
      <c r="K31" s="48" t="e">
        <f>_xlfn.XLOOKUP($F31,Tab_Def_Processes[Name(EN)],Tab_Def_Processes[Process_Type],,0,)</f>
        <v>#N/A</v>
      </c>
      <c r="L31" s="48" t="e">
        <f>_xlfn.XLOOKUP($F31,Tab_Def_Processes[Name(EN)],Tab_Def_Processes[TC?],,0,)</f>
        <v>#N/A</v>
      </c>
      <c r="M31" s="48" t="e">
        <f>_xlfn.XLOOKUP($F31,Tab_Def_Processes[Name(EN)],Tab_Def_Processes[Stock?],,0,)</f>
        <v>#N/A</v>
      </c>
    </row>
    <row r="32" spans="1:13" x14ac:dyDescent="0.25">
      <c r="A32" s="87" t="b">
        <v>0</v>
      </c>
      <c r="B32" s="48">
        <f t="shared" si="0"/>
        <v>31</v>
      </c>
      <c r="C32" s="48" t="e">
        <f t="shared" si="1"/>
        <v>#N/A</v>
      </c>
      <c r="D32" s="48" t="e">
        <f>_xlfn.XLOOKUP($F32,Tab_Def_Processes[Name(EN)],Tab_Def_Processes[Process_ID],,0,)</f>
        <v>#N/A</v>
      </c>
      <c r="E32" s="48" t="e">
        <f>_xlfn.XLOOKUP(F32,Tab_Def_Processes[Name(EN)],#REF!,,0,)</f>
        <v>#REF!</v>
      </c>
      <c r="F32" s="50" t="s">
        <v>55</v>
      </c>
      <c r="G32" s="48"/>
      <c r="H32" s="48" t="e">
        <f>_xlfn.XLOOKUP(F32,Tab_Def_Processes[Name(EN)],Tab_Def_Processes[Carbon_Stock],,0,)</f>
        <v>#N/A</v>
      </c>
      <c r="I32" s="48" t="e">
        <f>_xlfn.XLOOKUP(F32,Tab_Def_Processes[Name(EN)],Tab_Def_Processes[Life_Phase],,0,)</f>
        <v>#N/A</v>
      </c>
      <c r="J32" s="48" t="e">
        <f>_xlfn.XLOOKUP(F32,Tab_Def_Processes[Name(EN)],Tab_Def_Processes[Description],,0,)</f>
        <v>#N/A</v>
      </c>
      <c r="K32" s="48" t="e">
        <f>_xlfn.XLOOKUP($F32,Tab_Def_Processes[Name(EN)],Tab_Def_Processes[Process_Type],,0,)</f>
        <v>#N/A</v>
      </c>
      <c r="L32" s="48" t="e">
        <f>_xlfn.XLOOKUP($F32,Tab_Def_Processes[Name(EN)],Tab_Def_Processes[TC?],,0,)</f>
        <v>#N/A</v>
      </c>
      <c r="M32" s="48" t="e">
        <f>_xlfn.XLOOKUP($F32,Tab_Def_Processes[Name(EN)],Tab_Def_Processes[Stock?],,0,)</f>
        <v>#N/A</v>
      </c>
    </row>
    <row r="33" spans="1:13" x14ac:dyDescent="0.25">
      <c r="A33" s="87" t="b">
        <v>0</v>
      </c>
      <c r="B33" s="48">
        <f t="shared" si="0"/>
        <v>32</v>
      </c>
      <c r="C33" s="48" t="e">
        <f t="shared" si="1"/>
        <v>#N/A</v>
      </c>
      <c r="D33" s="48" t="e">
        <f>_xlfn.XLOOKUP($F33,Tab_Def_Processes[Name(EN)],Tab_Def_Processes[Process_ID],,0,)</f>
        <v>#N/A</v>
      </c>
      <c r="E33" s="48" t="e">
        <f>_xlfn.XLOOKUP(F33,Tab_Def_Processes[Name(EN)],#REF!,,0,)</f>
        <v>#REF!</v>
      </c>
      <c r="F33" s="50" t="s">
        <v>55</v>
      </c>
      <c r="G33" s="48"/>
      <c r="H33" s="48" t="e">
        <f>_xlfn.XLOOKUP(F33,Tab_Def_Processes[Name(EN)],Tab_Def_Processes[Carbon_Stock],,0,)</f>
        <v>#N/A</v>
      </c>
      <c r="I33" s="48" t="e">
        <f>_xlfn.XLOOKUP(F33,Tab_Def_Processes[Name(EN)],Tab_Def_Processes[Life_Phase],,0,)</f>
        <v>#N/A</v>
      </c>
      <c r="J33" s="48" t="e">
        <f>_xlfn.XLOOKUP(F33,Tab_Def_Processes[Name(EN)],Tab_Def_Processes[Description],,0,)</f>
        <v>#N/A</v>
      </c>
      <c r="K33" s="48" t="e">
        <f>_xlfn.XLOOKUP($F33,Tab_Def_Processes[Name(EN)],Tab_Def_Processes[Process_Type],,0,)</f>
        <v>#N/A</v>
      </c>
      <c r="L33" s="48" t="e">
        <f>_xlfn.XLOOKUP($F33,Tab_Def_Processes[Name(EN)],Tab_Def_Processes[TC?],,0,)</f>
        <v>#N/A</v>
      </c>
      <c r="M33" s="48" t="e">
        <f>_xlfn.XLOOKUP($F33,Tab_Def_Processes[Name(EN)],Tab_Def_Processes[Stock?],,0,)</f>
        <v>#N/A</v>
      </c>
    </row>
    <row r="34" spans="1:13" x14ac:dyDescent="0.25">
      <c r="A34" s="87" t="b">
        <v>0</v>
      </c>
      <c r="B34" s="48">
        <f t="shared" ref="B34:B63" si="2">ROW()-1</f>
        <v>33</v>
      </c>
      <c r="C34" s="48" t="e">
        <f t="shared" ref="C34:C63" si="3">"D"&amp;LEFT(B34,2)&amp;"_"&amp;LEFT(D34,3)&amp;"_"&amp;LEFT(F34,3)&amp;"_"&amp;LEFT(G34,3)&amp;"_"&amp;LEFT(H34,3)</f>
        <v>#N/A</v>
      </c>
      <c r="D34" s="48" t="e">
        <f>_xlfn.XLOOKUP($F34,Tab_Def_Processes[Name(EN)],Tab_Def_Processes[Process_ID],,0,)</f>
        <v>#N/A</v>
      </c>
      <c r="E34" s="48" t="e">
        <f>_xlfn.XLOOKUP(F34,Tab_Def_Processes[Name(EN)],#REF!,,0,)</f>
        <v>#REF!</v>
      </c>
      <c r="F34" s="50" t="s">
        <v>55</v>
      </c>
      <c r="G34" s="48"/>
      <c r="H34" s="48" t="e">
        <f>_xlfn.XLOOKUP(F34,Tab_Def_Processes[Name(EN)],Tab_Def_Processes[Carbon_Stock],,0,)</f>
        <v>#N/A</v>
      </c>
      <c r="I34" s="48" t="e">
        <f>_xlfn.XLOOKUP(F34,Tab_Def_Processes[Name(EN)],Tab_Def_Processes[Life_Phase],,0,)</f>
        <v>#N/A</v>
      </c>
      <c r="J34" s="48" t="e">
        <f>_xlfn.XLOOKUP(F34,Tab_Def_Processes[Name(EN)],Tab_Def_Processes[Description],,0,)</f>
        <v>#N/A</v>
      </c>
      <c r="K34" s="48" t="e">
        <f>_xlfn.XLOOKUP($F34,Tab_Def_Processes[Name(EN)],Tab_Def_Processes[Process_Type],,0,)</f>
        <v>#N/A</v>
      </c>
      <c r="L34" s="48" t="e">
        <f>_xlfn.XLOOKUP($F34,Tab_Def_Processes[Name(EN)],Tab_Def_Processes[TC?],,0,)</f>
        <v>#N/A</v>
      </c>
      <c r="M34" s="48" t="e">
        <f>_xlfn.XLOOKUP($F34,Tab_Def_Processes[Name(EN)],Tab_Def_Processes[Stock?],,0,)</f>
        <v>#N/A</v>
      </c>
    </row>
    <row r="35" spans="1:13" x14ac:dyDescent="0.25">
      <c r="A35" s="87" t="b">
        <v>0</v>
      </c>
      <c r="B35" s="48">
        <f t="shared" si="2"/>
        <v>34</v>
      </c>
      <c r="C35" s="48" t="e">
        <f t="shared" si="3"/>
        <v>#N/A</v>
      </c>
      <c r="D35" s="48" t="e">
        <f>_xlfn.XLOOKUP($F35,Tab_Def_Processes[Name(EN)],Tab_Def_Processes[Process_ID],,0,)</f>
        <v>#N/A</v>
      </c>
      <c r="E35" s="48" t="e">
        <f>_xlfn.XLOOKUP(F35,Tab_Def_Processes[Name(EN)],#REF!,,0,)</f>
        <v>#REF!</v>
      </c>
      <c r="F35" s="50" t="s">
        <v>55</v>
      </c>
      <c r="G35" s="48"/>
      <c r="H35" s="48" t="e">
        <f>_xlfn.XLOOKUP(F35,Tab_Def_Processes[Name(EN)],Tab_Def_Processes[Carbon_Stock],,0,)</f>
        <v>#N/A</v>
      </c>
      <c r="I35" s="48" t="e">
        <f>_xlfn.XLOOKUP(F35,Tab_Def_Processes[Name(EN)],Tab_Def_Processes[Life_Phase],,0,)</f>
        <v>#N/A</v>
      </c>
      <c r="J35" s="48" t="e">
        <f>_xlfn.XLOOKUP(F35,Tab_Def_Processes[Name(EN)],Tab_Def_Processes[Description],,0,)</f>
        <v>#N/A</v>
      </c>
      <c r="K35" s="48" t="e">
        <f>_xlfn.XLOOKUP($F35,Tab_Def_Processes[Name(EN)],Tab_Def_Processes[Process_Type],,0,)</f>
        <v>#N/A</v>
      </c>
      <c r="L35" s="48" t="e">
        <f>_xlfn.XLOOKUP($F35,Tab_Def_Processes[Name(EN)],Tab_Def_Processes[TC?],,0,)</f>
        <v>#N/A</v>
      </c>
      <c r="M35" s="48" t="e">
        <f>_xlfn.XLOOKUP($F35,Tab_Def_Processes[Name(EN)],Tab_Def_Processes[Stock?],,0,)</f>
        <v>#N/A</v>
      </c>
    </row>
    <row r="36" spans="1:13" x14ac:dyDescent="0.25">
      <c r="A36" s="87" t="b">
        <v>0</v>
      </c>
      <c r="B36" s="48">
        <f t="shared" si="2"/>
        <v>35</v>
      </c>
      <c r="C36" s="48" t="e">
        <f t="shared" si="3"/>
        <v>#N/A</v>
      </c>
      <c r="D36" s="48" t="e">
        <f>_xlfn.XLOOKUP($F36,Tab_Def_Processes[Name(EN)],Tab_Def_Processes[Process_ID],,0,)</f>
        <v>#N/A</v>
      </c>
      <c r="E36" s="48" t="e">
        <f>_xlfn.XLOOKUP(F36,Tab_Def_Processes[Name(EN)],#REF!,,0,)</f>
        <v>#REF!</v>
      </c>
      <c r="F36" s="50" t="s">
        <v>55</v>
      </c>
      <c r="G36" s="48"/>
      <c r="H36" s="48" t="e">
        <f>_xlfn.XLOOKUP(F36,Tab_Def_Processes[Name(EN)],Tab_Def_Processes[Carbon_Stock],,0,)</f>
        <v>#N/A</v>
      </c>
      <c r="I36" s="48" t="e">
        <f>_xlfn.XLOOKUP(F36,Tab_Def_Processes[Name(EN)],Tab_Def_Processes[Life_Phase],,0,)</f>
        <v>#N/A</v>
      </c>
      <c r="J36" s="48" t="e">
        <f>_xlfn.XLOOKUP(F36,Tab_Def_Processes[Name(EN)],Tab_Def_Processes[Description],,0,)</f>
        <v>#N/A</v>
      </c>
      <c r="K36" s="48" t="e">
        <f>_xlfn.XLOOKUP($F36,Tab_Def_Processes[Name(EN)],Tab_Def_Processes[Process_Type],,0,)</f>
        <v>#N/A</v>
      </c>
      <c r="L36" s="48" t="e">
        <f>_xlfn.XLOOKUP($F36,Tab_Def_Processes[Name(EN)],Tab_Def_Processes[TC?],,0,)</f>
        <v>#N/A</v>
      </c>
      <c r="M36" s="48" t="e">
        <f>_xlfn.XLOOKUP($F36,Tab_Def_Processes[Name(EN)],Tab_Def_Processes[Stock?],,0,)</f>
        <v>#N/A</v>
      </c>
    </row>
    <row r="37" spans="1:13" x14ac:dyDescent="0.25">
      <c r="A37" s="87" t="b">
        <v>0</v>
      </c>
      <c r="B37" s="48">
        <f t="shared" si="2"/>
        <v>36</v>
      </c>
      <c r="C37" s="48" t="e">
        <f t="shared" si="3"/>
        <v>#N/A</v>
      </c>
      <c r="D37" s="48" t="e">
        <f>_xlfn.XLOOKUP($F37,Tab_Def_Processes[Name(EN)],Tab_Def_Processes[Process_ID],,0,)</f>
        <v>#N/A</v>
      </c>
      <c r="E37" s="48" t="e">
        <f>_xlfn.XLOOKUP(F37,Tab_Def_Processes[Name(EN)],#REF!,,0,)</f>
        <v>#REF!</v>
      </c>
      <c r="F37" s="50" t="s">
        <v>55</v>
      </c>
      <c r="G37" s="48"/>
      <c r="H37" s="48" t="e">
        <f>_xlfn.XLOOKUP(F37,Tab_Def_Processes[Name(EN)],Tab_Def_Processes[Carbon_Stock],,0,)</f>
        <v>#N/A</v>
      </c>
      <c r="I37" s="48" t="e">
        <f>_xlfn.XLOOKUP(F37,Tab_Def_Processes[Name(EN)],Tab_Def_Processes[Life_Phase],,0,)</f>
        <v>#N/A</v>
      </c>
      <c r="J37" s="48" t="e">
        <f>_xlfn.XLOOKUP(F37,Tab_Def_Processes[Name(EN)],Tab_Def_Processes[Description],,0,)</f>
        <v>#N/A</v>
      </c>
      <c r="K37" s="48" t="e">
        <f>_xlfn.XLOOKUP($F37,Tab_Def_Processes[Name(EN)],Tab_Def_Processes[Process_Type],,0,)</f>
        <v>#N/A</v>
      </c>
      <c r="L37" s="48" t="e">
        <f>_xlfn.XLOOKUP($F37,Tab_Def_Processes[Name(EN)],Tab_Def_Processes[TC?],,0,)</f>
        <v>#N/A</v>
      </c>
      <c r="M37" s="48" t="e">
        <f>_xlfn.XLOOKUP($F37,Tab_Def_Processes[Name(EN)],Tab_Def_Processes[Stock?],,0,)</f>
        <v>#N/A</v>
      </c>
    </row>
    <row r="38" spans="1:13" x14ac:dyDescent="0.25">
      <c r="A38" s="87" t="b">
        <v>0</v>
      </c>
      <c r="B38" s="48">
        <f t="shared" si="2"/>
        <v>37</v>
      </c>
      <c r="C38" s="48" t="e">
        <f t="shared" si="3"/>
        <v>#N/A</v>
      </c>
      <c r="D38" s="48" t="e">
        <f>_xlfn.XLOOKUP($F38,Tab_Def_Processes[Name(EN)],Tab_Def_Processes[Process_ID],,0,)</f>
        <v>#N/A</v>
      </c>
      <c r="E38" s="48" t="e">
        <f>_xlfn.XLOOKUP(F38,Tab_Def_Processes[Name(EN)],#REF!,,0,)</f>
        <v>#REF!</v>
      </c>
      <c r="F38" s="50" t="s">
        <v>55</v>
      </c>
      <c r="G38" s="48"/>
      <c r="H38" s="48" t="e">
        <f>_xlfn.XLOOKUP(F38,Tab_Def_Processes[Name(EN)],Tab_Def_Processes[Carbon_Stock],,0,)</f>
        <v>#N/A</v>
      </c>
      <c r="I38" s="48" t="e">
        <f>_xlfn.XLOOKUP(F38,Tab_Def_Processes[Name(EN)],Tab_Def_Processes[Life_Phase],,0,)</f>
        <v>#N/A</v>
      </c>
      <c r="J38" s="48" t="e">
        <f>_xlfn.XLOOKUP(F38,Tab_Def_Processes[Name(EN)],Tab_Def_Processes[Description],,0,)</f>
        <v>#N/A</v>
      </c>
      <c r="K38" s="48" t="e">
        <f>_xlfn.XLOOKUP($F38,Tab_Def_Processes[Name(EN)],Tab_Def_Processes[Process_Type],,0,)</f>
        <v>#N/A</v>
      </c>
      <c r="L38" s="48" t="e">
        <f>_xlfn.XLOOKUP($F38,Tab_Def_Processes[Name(EN)],Tab_Def_Processes[TC?],,0,)</f>
        <v>#N/A</v>
      </c>
      <c r="M38" s="48" t="e">
        <f>_xlfn.XLOOKUP($F38,Tab_Def_Processes[Name(EN)],Tab_Def_Processes[Stock?],,0,)</f>
        <v>#N/A</v>
      </c>
    </row>
    <row r="39" spans="1:13" x14ac:dyDescent="0.25">
      <c r="A39" s="87" t="b">
        <v>0</v>
      </c>
      <c r="B39" s="48">
        <f t="shared" si="2"/>
        <v>38</v>
      </c>
      <c r="C39" s="48" t="e">
        <f t="shared" si="3"/>
        <v>#N/A</v>
      </c>
      <c r="D39" s="48" t="e">
        <f>_xlfn.XLOOKUP($F39,Tab_Def_Processes[Name(EN)],Tab_Def_Processes[Process_ID],,0,)</f>
        <v>#N/A</v>
      </c>
      <c r="E39" s="48" t="e">
        <f>_xlfn.XLOOKUP(F39,Tab_Def_Processes[Name(EN)],#REF!,,0,)</f>
        <v>#REF!</v>
      </c>
      <c r="F39" s="50" t="s">
        <v>55</v>
      </c>
      <c r="G39" s="48"/>
      <c r="H39" s="48" t="e">
        <f>_xlfn.XLOOKUP(F39,Tab_Def_Processes[Name(EN)],Tab_Def_Processes[Carbon_Stock],,0,)</f>
        <v>#N/A</v>
      </c>
      <c r="I39" s="48" t="e">
        <f>_xlfn.XLOOKUP(F39,Tab_Def_Processes[Name(EN)],Tab_Def_Processes[Life_Phase],,0,)</f>
        <v>#N/A</v>
      </c>
      <c r="J39" s="48" t="e">
        <f>_xlfn.XLOOKUP(F39,Tab_Def_Processes[Name(EN)],Tab_Def_Processes[Description],,0,)</f>
        <v>#N/A</v>
      </c>
      <c r="K39" s="48" t="e">
        <f>_xlfn.XLOOKUP($F39,Tab_Def_Processes[Name(EN)],Tab_Def_Processes[Process_Type],,0,)</f>
        <v>#N/A</v>
      </c>
      <c r="L39" s="48" t="e">
        <f>_xlfn.XLOOKUP($F39,Tab_Def_Processes[Name(EN)],Tab_Def_Processes[TC?],,0,)</f>
        <v>#N/A</v>
      </c>
      <c r="M39" s="48" t="e">
        <f>_xlfn.XLOOKUP($F39,Tab_Def_Processes[Name(EN)],Tab_Def_Processes[Stock?],,0,)</f>
        <v>#N/A</v>
      </c>
    </row>
    <row r="40" spans="1:13" x14ac:dyDescent="0.25">
      <c r="A40" s="87" t="b">
        <v>0</v>
      </c>
      <c r="B40" s="48">
        <f t="shared" si="2"/>
        <v>39</v>
      </c>
      <c r="C40" s="48" t="e">
        <f t="shared" si="3"/>
        <v>#N/A</v>
      </c>
      <c r="D40" s="48" t="e">
        <f>_xlfn.XLOOKUP($F40,Tab_Def_Processes[Name(EN)],Tab_Def_Processes[Process_ID],,0,)</f>
        <v>#N/A</v>
      </c>
      <c r="E40" s="48" t="e">
        <f>_xlfn.XLOOKUP(F40,Tab_Def_Processes[Name(EN)],#REF!,,0,)</f>
        <v>#REF!</v>
      </c>
      <c r="F40" s="50" t="s">
        <v>55</v>
      </c>
      <c r="G40" s="48"/>
      <c r="H40" s="48" t="e">
        <f>_xlfn.XLOOKUP(F40,Tab_Def_Processes[Name(EN)],Tab_Def_Processes[Carbon_Stock],,0,)</f>
        <v>#N/A</v>
      </c>
      <c r="I40" s="48" t="e">
        <f>_xlfn.XLOOKUP(F40,Tab_Def_Processes[Name(EN)],Tab_Def_Processes[Life_Phase],,0,)</f>
        <v>#N/A</v>
      </c>
      <c r="J40" s="48" t="e">
        <f>_xlfn.XLOOKUP(F40,Tab_Def_Processes[Name(EN)],Tab_Def_Processes[Description],,0,)</f>
        <v>#N/A</v>
      </c>
      <c r="K40" s="48" t="e">
        <f>_xlfn.XLOOKUP($F40,Tab_Def_Processes[Name(EN)],Tab_Def_Processes[Process_Type],,0,)</f>
        <v>#N/A</v>
      </c>
      <c r="L40" s="48" t="e">
        <f>_xlfn.XLOOKUP($F40,Tab_Def_Processes[Name(EN)],Tab_Def_Processes[TC?],,0,)</f>
        <v>#N/A</v>
      </c>
      <c r="M40" s="48" t="e">
        <f>_xlfn.XLOOKUP($F40,Tab_Def_Processes[Name(EN)],Tab_Def_Processes[Stock?],,0,)</f>
        <v>#N/A</v>
      </c>
    </row>
    <row r="41" spans="1:13" x14ac:dyDescent="0.25">
      <c r="A41" s="87" t="b">
        <v>0</v>
      </c>
      <c r="B41" s="48">
        <f t="shared" si="2"/>
        <v>40</v>
      </c>
      <c r="C41" s="48" t="e">
        <f t="shared" si="3"/>
        <v>#N/A</v>
      </c>
      <c r="D41" s="48" t="e">
        <f>_xlfn.XLOOKUP($F41,Tab_Def_Processes[Name(EN)],Tab_Def_Processes[Process_ID],,0,)</f>
        <v>#N/A</v>
      </c>
      <c r="E41" s="48" t="e">
        <f>_xlfn.XLOOKUP(F41,Tab_Def_Processes[Name(EN)],#REF!,,0,)</f>
        <v>#REF!</v>
      </c>
      <c r="F41" s="50" t="s">
        <v>55</v>
      </c>
      <c r="G41" s="48"/>
      <c r="H41" s="48" t="e">
        <f>_xlfn.XLOOKUP(F41,Tab_Def_Processes[Name(EN)],Tab_Def_Processes[Carbon_Stock],,0,)</f>
        <v>#N/A</v>
      </c>
      <c r="I41" s="48" t="e">
        <f>_xlfn.XLOOKUP(F41,Tab_Def_Processes[Name(EN)],Tab_Def_Processes[Life_Phase],,0,)</f>
        <v>#N/A</v>
      </c>
      <c r="J41" s="48" t="e">
        <f>_xlfn.XLOOKUP(F41,Tab_Def_Processes[Name(EN)],Tab_Def_Processes[Description],,0,)</f>
        <v>#N/A</v>
      </c>
      <c r="K41" s="48" t="e">
        <f>_xlfn.XLOOKUP($F41,Tab_Def_Processes[Name(EN)],Tab_Def_Processes[Process_Type],,0,)</f>
        <v>#N/A</v>
      </c>
      <c r="L41" s="48" t="e">
        <f>_xlfn.XLOOKUP($F41,Tab_Def_Processes[Name(EN)],Tab_Def_Processes[TC?],,0,)</f>
        <v>#N/A</v>
      </c>
      <c r="M41" s="48" t="e">
        <f>_xlfn.XLOOKUP($F41,Tab_Def_Processes[Name(EN)],Tab_Def_Processes[Stock?],,0,)</f>
        <v>#N/A</v>
      </c>
    </row>
    <row r="42" spans="1:13" x14ac:dyDescent="0.25">
      <c r="A42" s="87" t="b">
        <v>0</v>
      </c>
      <c r="B42" s="48">
        <f t="shared" si="2"/>
        <v>41</v>
      </c>
      <c r="C42" s="48" t="e">
        <f t="shared" si="3"/>
        <v>#N/A</v>
      </c>
      <c r="D42" s="48" t="e">
        <f>_xlfn.XLOOKUP($F42,Tab_Def_Processes[Name(EN)],Tab_Def_Processes[Process_ID],,0,)</f>
        <v>#N/A</v>
      </c>
      <c r="E42" s="48" t="e">
        <f>_xlfn.XLOOKUP(F42,Tab_Def_Processes[Name(EN)],#REF!,,0,)</f>
        <v>#REF!</v>
      </c>
      <c r="F42" s="50" t="s">
        <v>55</v>
      </c>
      <c r="G42" s="48"/>
      <c r="H42" s="48" t="e">
        <f>_xlfn.XLOOKUP(F42,Tab_Def_Processes[Name(EN)],Tab_Def_Processes[Carbon_Stock],,0,)</f>
        <v>#N/A</v>
      </c>
      <c r="I42" s="48" t="e">
        <f>_xlfn.XLOOKUP(F42,Tab_Def_Processes[Name(EN)],Tab_Def_Processes[Life_Phase],,0,)</f>
        <v>#N/A</v>
      </c>
      <c r="J42" s="48" t="e">
        <f>_xlfn.XLOOKUP(F42,Tab_Def_Processes[Name(EN)],Tab_Def_Processes[Description],,0,)</f>
        <v>#N/A</v>
      </c>
      <c r="K42" s="48" t="e">
        <f>_xlfn.XLOOKUP($F42,Tab_Def_Processes[Name(EN)],Tab_Def_Processes[Process_Type],,0,)</f>
        <v>#N/A</v>
      </c>
      <c r="L42" s="48" t="e">
        <f>_xlfn.XLOOKUP($F42,Tab_Def_Processes[Name(EN)],Tab_Def_Processes[TC?],,0,)</f>
        <v>#N/A</v>
      </c>
      <c r="M42" s="48" t="e">
        <f>_xlfn.XLOOKUP($F42,Tab_Def_Processes[Name(EN)],Tab_Def_Processes[Stock?],,0,)</f>
        <v>#N/A</v>
      </c>
    </row>
    <row r="43" spans="1:13" x14ac:dyDescent="0.25">
      <c r="A43" s="87" t="b">
        <v>0</v>
      </c>
      <c r="B43" s="48">
        <f t="shared" si="2"/>
        <v>42</v>
      </c>
      <c r="C43" s="48" t="e">
        <f t="shared" si="3"/>
        <v>#N/A</v>
      </c>
      <c r="D43" s="48" t="e">
        <f>_xlfn.XLOOKUP($F43,Tab_Def_Processes[Name(EN)],Tab_Def_Processes[Process_ID],,0,)</f>
        <v>#N/A</v>
      </c>
      <c r="E43" s="48" t="e">
        <f>_xlfn.XLOOKUP(F43,Tab_Def_Processes[Name(EN)],#REF!,,0,)</f>
        <v>#REF!</v>
      </c>
      <c r="F43" s="50" t="s">
        <v>55</v>
      </c>
      <c r="G43" s="48"/>
      <c r="H43" s="48" t="e">
        <f>_xlfn.XLOOKUP(F43,Tab_Def_Processes[Name(EN)],Tab_Def_Processes[Carbon_Stock],,0,)</f>
        <v>#N/A</v>
      </c>
      <c r="I43" s="48" t="e">
        <f>_xlfn.XLOOKUP(F43,Tab_Def_Processes[Name(EN)],Tab_Def_Processes[Life_Phase],,0,)</f>
        <v>#N/A</v>
      </c>
      <c r="J43" s="48" t="e">
        <f>_xlfn.XLOOKUP(F43,Tab_Def_Processes[Name(EN)],Tab_Def_Processes[Description],,0,)</f>
        <v>#N/A</v>
      </c>
      <c r="K43" s="48" t="e">
        <f>_xlfn.XLOOKUP($F43,Tab_Def_Processes[Name(EN)],Tab_Def_Processes[Process_Type],,0,)</f>
        <v>#N/A</v>
      </c>
      <c r="L43" s="48" t="e">
        <f>_xlfn.XLOOKUP($F43,Tab_Def_Processes[Name(EN)],Tab_Def_Processes[TC?],,0,)</f>
        <v>#N/A</v>
      </c>
      <c r="M43" s="48" t="e">
        <f>_xlfn.XLOOKUP($F43,Tab_Def_Processes[Name(EN)],Tab_Def_Processes[Stock?],,0,)</f>
        <v>#N/A</v>
      </c>
    </row>
    <row r="44" spans="1:13" x14ac:dyDescent="0.25">
      <c r="A44" s="87" t="b">
        <v>0</v>
      </c>
      <c r="B44" s="48">
        <f t="shared" si="2"/>
        <v>43</v>
      </c>
      <c r="C44" s="48" t="e">
        <f t="shared" si="3"/>
        <v>#N/A</v>
      </c>
      <c r="D44" s="48" t="e">
        <f>_xlfn.XLOOKUP($F44,Tab_Def_Processes[Name(EN)],Tab_Def_Processes[Process_ID],,0,)</f>
        <v>#N/A</v>
      </c>
      <c r="E44" s="48" t="e">
        <f>_xlfn.XLOOKUP(F44,Tab_Def_Processes[Name(EN)],#REF!,,0,)</f>
        <v>#REF!</v>
      </c>
      <c r="F44" s="50" t="s">
        <v>55</v>
      </c>
      <c r="G44" s="48"/>
      <c r="H44" s="48" t="e">
        <f>_xlfn.XLOOKUP(F44,Tab_Def_Processes[Name(EN)],Tab_Def_Processes[Carbon_Stock],,0,)</f>
        <v>#N/A</v>
      </c>
      <c r="I44" s="48" t="e">
        <f>_xlfn.XLOOKUP(F44,Tab_Def_Processes[Name(EN)],Tab_Def_Processes[Life_Phase],,0,)</f>
        <v>#N/A</v>
      </c>
      <c r="J44" s="48" t="e">
        <f>_xlfn.XLOOKUP(F44,Tab_Def_Processes[Name(EN)],Tab_Def_Processes[Description],,0,)</f>
        <v>#N/A</v>
      </c>
      <c r="K44" s="48" t="e">
        <f>_xlfn.XLOOKUP($F44,Tab_Def_Processes[Name(EN)],Tab_Def_Processes[Process_Type],,0,)</f>
        <v>#N/A</v>
      </c>
      <c r="L44" s="48" t="e">
        <f>_xlfn.XLOOKUP($F44,Tab_Def_Processes[Name(EN)],Tab_Def_Processes[TC?],,0,)</f>
        <v>#N/A</v>
      </c>
      <c r="M44" s="48" t="e">
        <f>_xlfn.XLOOKUP($F44,Tab_Def_Processes[Name(EN)],Tab_Def_Processes[Stock?],,0,)</f>
        <v>#N/A</v>
      </c>
    </row>
    <row r="45" spans="1:13" x14ac:dyDescent="0.25">
      <c r="A45" s="87" t="b">
        <v>0</v>
      </c>
      <c r="B45" s="48">
        <f t="shared" si="2"/>
        <v>44</v>
      </c>
      <c r="C45" s="48" t="e">
        <f t="shared" si="3"/>
        <v>#N/A</v>
      </c>
      <c r="D45" s="48" t="e">
        <f>_xlfn.XLOOKUP($F45,Tab_Def_Processes[Name(EN)],Tab_Def_Processes[Process_ID],,0,)</f>
        <v>#N/A</v>
      </c>
      <c r="E45" s="48" t="e">
        <f>_xlfn.XLOOKUP(F45,Tab_Def_Processes[Name(EN)],#REF!,,0,)</f>
        <v>#REF!</v>
      </c>
      <c r="F45" s="50" t="s">
        <v>55</v>
      </c>
      <c r="G45" s="48"/>
      <c r="H45" s="48" t="e">
        <f>_xlfn.XLOOKUP(F45,Tab_Def_Processes[Name(EN)],Tab_Def_Processes[Carbon_Stock],,0,)</f>
        <v>#N/A</v>
      </c>
      <c r="I45" s="48" t="e">
        <f>_xlfn.XLOOKUP(F45,Tab_Def_Processes[Name(EN)],Tab_Def_Processes[Life_Phase],,0,)</f>
        <v>#N/A</v>
      </c>
      <c r="J45" s="48" t="e">
        <f>_xlfn.XLOOKUP(F45,Tab_Def_Processes[Name(EN)],Tab_Def_Processes[Description],,0,)</f>
        <v>#N/A</v>
      </c>
      <c r="K45" s="48" t="e">
        <f>_xlfn.XLOOKUP($F45,Tab_Def_Processes[Name(EN)],Tab_Def_Processes[Process_Type],,0,)</f>
        <v>#N/A</v>
      </c>
      <c r="L45" s="48" t="e">
        <f>_xlfn.XLOOKUP($F45,Tab_Def_Processes[Name(EN)],Tab_Def_Processes[TC?],,0,)</f>
        <v>#N/A</v>
      </c>
      <c r="M45" s="48" t="e">
        <f>_xlfn.XLOOKUP($F45,Tab_Def_Processes[Name(EN)],Tab_Def_Processes[Stock?],,0,)</f>
        <v>#N/A</v>
      </c>
    </row>
    <row r="46" spans="1:13" x14ac:dyDescent="0.25">
      <c r="A46" s="87" t="b">
        <v>0</v>
      </c>
      <c r="B46" s="48">
        <f t="shared" si="2"/>
        <v>45</v>
      </c>
      <c r="C46" s="48" t="e">
        <f t="shared" si="3"/>
        <v>#N/A</v>
      </c>
      <c r="D46" s="48" t="e">
        <f>_xlfn.XLOOKUP($F46,Tab_Def_Processes[Name(EN)],Tab_Def_Processes[Process_ID],,0,)</f>
        <v>#N/A</v>
      </c>
      <c r="E46" s="48" t="e">
        <f>_xlfn.XLOOKUP(F46,Tab_Def_Processes[Name(EN)],#REF!,,0,)</f>
        <v>#REF!</v>
      </c>
      <c r="F46" s="50" t="s">
        <v>55</v>
      </c>
      <c r="G46" s="48"/>
      <c r="H46" s="48" t="e">
        <f>_xlfn.XLOOKUP(F46,Tab_Def_Processes[Name(EN)],Tab_Def_Processes[Carbon_Stock],,0,)</f>
        <v>#N/A</v>
      </c>
      <c r="I46" s="48" t="e">
        <f>_xlfn.XLOOKUP(F46,Tab_Def_Processes[Name(EN)],Tab_Def_Processes[Life_Phase],,0,)</f>
        <v>#N/A</v>
      </c>
      <c r="J46" s="48" t="e">
        <f>_xlfn.XLOOKUP(F46,Tab_Def_Processes[Name(EN)],Tab_Def_Processes[Description],,0,)</f>
        <v>#N/A</v>
      </c>
      <c r="K46" s="48" t="e">
        <f>_xlfn.XLOOKUP($F46,Tab_Def_Processes[Name(EN)],Tab_Def_Processes[Process_Type],,0,)</f>
        <v>#N/A</v>
      </c>
      <c r="L46" s="48" t="e">
        <f>_xlfn.XLOOKUP($F46,Tab_Def_Processes[Name(EN)],Tab_Def_Processes[TC?],,0,)</f>
        <v>#N/A</v>
      </c>
      <c r="M46" s="48" t="e">
        <f>_xlfn.XLOOKUP($F46,Tab_Def_Processes[Name(EN)],Tab_Def_Processes[Stock?],,0,)</f>
        <v>#N/A</v>
      </c>
    </row>
    <row r="47" spans="1:13" x14ac:dyDescent="0.25">
      <c r="A47" s="87" t="b">
        <v>0</v>
      </c>
      <c r="B47" s="48">
        <f t="shared" si="2"/>
        <v>46</v>
      </c>
      <c r="C47" s="48" t="e">
        <f t="shared" si="3"/>
        <v>#N/A</v>
      </c>
      <c r="D47" s="48" t="e">
        <f>_xlfn.XLOOKUP($F47,Tab_Def_Processes[Name(EN)],Tab_Def_Processes[Process_ID],,0,)</f>
        <v>#N/A</v>
      </c>
      <c r="E47" s="48" t="e">
        <f>_xlfn.XLOOKUP(F47,Tab_Def_Processes[Name(EN)],#REF!,,0,)</f>
        <v>#REF!</v>
      </c>
      <c r="F47" s="50" t="s">
        <v>55</v>
      </c>
      <c r="G47" s="48"/>
      <c r="H47" s="48" t="e">
        <f>_xlfn.XLOOKUP(F47,Tab_Def_Processes[Name(EN)],Tab_Def_Processes[Carbon_Stock],,0,)</f>
        <v>#N/A</v>
      </c>
      <c r="I47" s="48" t="e">
        <f>_xlfn.XLOOKUP(F47,Tab_Def_Processes[Name(EN)],Tab_Def_Processes[Life_Phase],,0,)</f>
        <v>#N/A</v>
      </c>
      <c r="J47" s="48" t="e">
        <f>_xlfn.XLOOKUP(F47,Tab_Def_Processes[Name(EN)],Tab_Def_Processes[Description],,0,)</f>
        <v>#N/A</v>
      </c>
      <c r="K47" s="48" t="e">
        <f>_xlfn.XLOOKUP($F47,Tab_Def_Processes[Name(EN)],Tab_Def_Processes[Process_Type],,0,)</f>
        <v>#N/A</v>
      </c>
      <c r="L47" s="48" t="e">
        <f>_xlfn.XLOOKUP($F47,Tab_Def_Processes[Name(EN)],Tab_Def_Processes[TC?],,0,)</f>
        <v>#N/A</v>
      </c>
      <c r="M47" s="48" t="e">
        <f>_xlfn.XLOOKUP($F47,Tab_Def_Processes[Name(EN)],Tab_Def_Processes[Stock?],,0,)</f>
        <v>#N/A</v>
      </c>
    </row>
    <row r="48" spans="1:13" x14ac:dyDescent="0.25">
      <c r="A48" s="87" t="b">
        <v>0</v>
      </c>
      <c r="B48" s="48">
        <f t="shared" si="2"/>
        <v>47</v>
      </c>
      <c r="C48" s="48" t="e">
        <f t="shared" si="3"/>
        <v>#N/A</v>
      </c>
      <c r="D48" s="48" t="e">
        <f>_xlfn.XLOOKUP($F48,Tab_Def_Processes[Name(EN)],Tab_Def_Processes[Process_ID],,0,)</f>
        <v>#N/A</v>
      </c>
      <c r="E48" s="48" t="e">
        <f>_xlfn.XLOOKUP(F48,Tab_Def_Processes[Name(EN)],#REF!,,0,)</f>
        <v>#REF!</v>
      </c>
      <c r="F48" s="50" t="s">
        <v>55</v>
      </c>
      <c r="G48" s="48"/>
      <c r="H48" s="48" t="e">
        <f>_xlfn.XLOOKUP(F48,Tab_Def_Processes[Name(EN)],Tab_Def_Processes[Carbon_Stock],,0,)</f>
        <v>#N/A</v>
      </c>
      <c r="I48" s="48" t="e">
        <f>_xlfn.XLOOKUP(F48,Tab_Def_Processes[Name(EN)],Tab_Def_Processes[Life_Phase],,0,)</f>
        <v>#N/A</v>
      </c>
      <c r="J48" s="48" t="e">
        <f>_xlfn.XLOOKUP(F48,Tab_Def_Processes[Name(EN)],Tab_Def_Processes[Description],,0,)</f>
        <v>#N/A</v>
      </c>
      <c r="K48" s="48" t="e">
        <f>_xlfn.XLOOKUP($F48,Tab_Def_Processes[Name(EN)],Tab_Def_Processes[Process_Type],,0,)</f>
        <v>#N/A</v>
      </c>
      <c r="L48" s="48" t="e">
        <f>_xlfn.XLOOKUP($F48,Tab_Def_Processes[Name(EN)],Tab_Def_Processes[TC?],,0,)</f>
        <v>#N/A</v>
      </c>
      <c r="M48" s="48" t="e">
        <f>_xlfn.XLOOKUP($F48,Tab_Def_Processes[Name(EN)],Tab_Def_Processes[Stock?],,0,)</f>
        <v>#N/A</v>
      </c>
    </row>
    <row r="49" spans="1:13" x14ac:dyDescent="0.25">
      <c r="A49" s="87" t="b">
        <v>0</v>
      </c>
      <c r="B49" s="48">
        <f t="shared" si="2"/>
        <v>48</v>
      </c>
      <c r="C49" s="48" t="e">
        <f t="shared" si="3"/>
        <v>#N/A</v>
      </c>
      <c r="D49" s="48" t="e">
        <f>_xlfn.XLOOKUP($F49,Tab_Def_Processes[Name(EN)],Tab_Def_Processes[Process_ID],,0,)</f>
        <v>#N/A</v>
      </c>
      <c r="E49" s="48" t="e">
        <f>_xlfn.XLOOKUP(F49,Tab_Def_Processes[Name(EN)],#REF!,,0,)</f>
        <v>#REF!</v>
      </c>
      <c r="F49" s="50" t="s">
        <v>55</v>
      </c>
      <c r="G49" s="48"/>
      <c r="H49" s="48" t="e">
        <f>_xlfn.XLOOKUP(F49,Tab_Def_Processes[Name(EN)],Tab_Def_Processes[Carbon_Stock],,0,)</f>
        <v>#N/A</v>
      </c>
      <c r="I49" s="48" t="e">
        <f>_xlfn.XLOOKUP(F49,Tab_Def_Processes[Name(EN)],Tab_Def_Processes[Life_Phase],,0,)</f>
        <v>#N/A</v>
      </c>
      <c r="J49" s="48" t="e">
        <f>_xlfn.XLOOKUP(F49,Tab_Def_Processes[Name(EN)],Tab_Def_Processes[Description],,0,)</f>
        <v>#N/A</v>
      </c>
      <c r="K49" s="48" t="e">
        <f>_xlfn.XLOOKUP($F49,Tab_Def_Processes[Name(EN)],Tab_Def_Processes[Process_Type],,0,)</f>
        <v>#N/A</v>
      </c>
      <c r="L49" s="48" t="e">
        <f>_xlfn.XLOOKUP($F49,Tab_Def_Processes[Name(EN)],Tab_Def_Processes[TC?],,0,)</f>
        <v>#N/A</v>
      </c>
      <c r="M49" s="48" t="e">
        <f>_xlfn.XLOOKUP($F49,Tab_Def_Processes[Name(EN)],Tab_Def_Processes[Stock?],,0,)</f>
        <v>#N/A</v>
      </c>
    </row>
    <row r="50" spans="1:13" x14ac:dyDescent="0.25">
      <c r="A50" s="87" t="b">
        <v>0</v>
      </c>
      <c r="B50" s="48">
        <f t="shared" si="2"/>
        <v>49</v>
      </c>
      <c r="C50" s="48" t="e">
        <f t="shared" si="3"/>
        <v>#N/A</v>
      </c>
      <c r="D50" s="48" t="e">
        <f>_xlfn.XLOOKUP($F50,Tab_Def_Processes[Name(EN)],Tab_Def_Processes[Process_ID],,0,)</f>
        <v>#N/A</v>
      </c>
      <c r="E50" s="48" t="e">
        <f>_xlfn.XLOOKUP(F50,Tab_Def_Processes[Name(EN)],#REF!,,0,)</f>
        <v>#REF!</v>
      </c>
      <c r="F50" s="50" t="s">
        <v>55</v>
      </c>
      <c r="G50" s="48"/>
      <c r="H50" s="48" t="e">
        <f>_xlfn.XLOOKUP(F50,Tab_Def_Processes[Name(EN)],Tab_Def_Processes[Carbon_Stock],,0,)</f>
        <v>#N/A</v>
      </c>
      <c r="I50" s="48" t="e">
        <f>_xlfn.XLOOKUP(F50,Tab_Def_Processes[Name(EN)],Tab_Def_Processes[Life_Phase],,0,)</f>
        <v>#N/A</v>
      </c>
      <c r="J50" s="48" t="e">
        <f>_xlfn.XLOOKUP(F50,Tab_Def_Processes[Name(EN)],Tab_Def_Processes[Description],,0,)</f>
        <v>#N/A</v>
      </c>
      <c r="K50" s="48" t="e">
        <f>_xlfn.XLOOKUP($F50,Tab_Def_Processes[Name(EN)],Tab_Def_Processes[Process_Type],,0,)</f>
        <v>#N/A</v>
      </c>
      <c r="L50" s="48" t="e">
        <f>_xlfn.XLOOKUP($F50,Tab_Def_Processes[Name(EN)],Tab_Def_Processes[TC?],,0,)</f>
        <v>#N/A</v>
      </c>
      <c r="M50" s="48" t="e">
        <f>_xlfn.XLOOKUP($F50,Tab_Def_Processes[Name(EN)],Tab_Def_Processes[Stock?],,0,)</f>
        <v>#N/A</v>
      </c>
    </row>
    <row r="51" spans="1:13" x14ac:dyDescent="0.25">
      <c r="A51" s="87" t="b">
        <v>0</v>
      </c>
      <c r="B51" s="48">
        <f t="shared" si="2"/>
        <v>50</v>
      </c>
      <c r="C51" s="48" t="e">
        <f t="shared" si="3"/>
        <v>#N/A</v>
      </c>
      <c r="D51" s="48" t="e">
        <f>_xlfn.XLOOKUP($F51,Tab_Def_Processes[Name(EN)],Tab_Def_Processes[Process_ID],,0,)</f>
        <v>#N/A</v>
      </c>
      <c r="E51" s="48" t="e">
        <f>_xlfn.XLOOKUP(F51,Tab_Def_Processes[Name(EN)],#REF!,,0,)</f>
        <v>#REF!</v>
      </c>
      <c r="F51" s="50" t="s">
        <v>55</v>
      </c>
      <c r="G51" s="48"/>
      <c r="H51" s="48" t="e">
        <f>_xlfn.XLOOKUP(F51,Tab_Def_Processes[Name(EN)],Tab_Def_Processes[Carbon_Stock],,0,)</f>
        <v>#N/A</v>
      </c>
      <c r="I51" s="48" t="e">
        <f>_xlfn.XLOOKUP(F51,Tab_Def_Processes[Name(EN)],Tab_Def_Processes[Life_Phase],,0,)</f>
        <v>#N/A</v>
      </c>
      <c r="J51" s="48" t="e">
        <f>_xlfn.XLOOKUP(F51,Tab_Def_Processes[Name(EN)],Tab_Def_Processes[Description],,0,)</f>
        <v>#N/A</v>
      </c>
      <c r="K51" s="48" t="e">
        <f>_xlfn.XLOOKUP($F51,Tab_Def_Processes[Name(EN)],Tab_Def_Processes[Process_Type],,0,)</f>
        <v>#N/A</v>
      </c>
      <c r="L51" s="48" t="e">
        <f>_xlfn.XLOOKUP($F51,Tab_Def_Processes[Name(EN)],Tab_Def_Processes[TC?],,0,)</f>
        <v>#N/A</v>
      </c>
      <c r="M51" s="48" t="e">
        <f>_xlfn.XLOOKUP($F51,Tab_Def_Processes[Name(EN)],Tab_Def_Processes[Stock?],,0,)</f>
        <v>#N/A</v>
      </c>
    </row>
    <row r="52" spans="1:13" x14ac:dyDescent="0.25">
      <c r="A52" s="87" t="b">
        <v>0</v>
      </c>
      <c r="B52" s="48">
        <f t="shared" si="2"/>
        <v>51</v>
      </c>
      <c r="C52" s="48" t="e">
        <f t="shared" si="3"/>
        <v>#N/A</v>
      </c>
      <c r="D52" s="48" t="e">
        <f>_xlfn.XLOOKUP($F52,Tab_Def_Processes[Name(EN)],Tab_Def_Processes[Process_ID],,0,)</f>
        <v>#N/A</v>
      </c>
      <c r="E52" s="48" t="e">
        <f>_xlfn.XLOOKUP(F52,Tab_Def_Processes[Name(EN)],#REF!,,0,)</f>
        <v>#REF!</v>
      </c>
      <c r="F52" s="50"/>
      <c r="G52" s="48"/>
      <c r="H52" s="48" t="e">
        <f>_xlfn.XLOOKUP(F52,Tab_Def_Processes[Name(EN)],Tab_Def_Processes[Carbon_Stock],,0,)</f>
        <v>#N/A</v>
      </c>
      <c r="I52" s="48" t="e">
        <f>_xlfn.XLOOKUP(F52,Tab_Def_Processes[Name(EN)],Tab_Def_Processes[Life_Phase],,0,)</f>
        <v>#N/A</v>
      </c>
      <c r="J52" s="48" t="e">
        <f>_xlfn.XLOOKUP(F52,Tab_Def_Processes[Name(EN)],Tab_Def_Processes[Description],,0,)</f>
        <v>#N/A</v>
      </c>
      <c r="K52" s="48" t="e">
        <f>_xlfn.XLOOKUP($F52,Tab_Def_Processes[Name(EN)],Tab_Def_Processes[Process_Type],,0,)</f>
        <v>#N/A</v>
      </c>
      <c r="L52" s="48" t="e">
        <f>_xlfn.XLOOKUP($F52,Tab_Def_Processes[Name(EN)],Tab_Def_Processes[TC?],,0,)</f>
        <v>#N/A</v>
      </c>
      <c r="M52" s="48" t="e">
        <f>_xlfn.XLOOKUP($F52,Tab_Def_Processes[Name(EN)],Tab_Def_Processes[Stock?],,0,)</f>
        <v>#N/A</v>
      </c>
    </row>
    <row r="53" spans="1:13" x14ac:dyDescent="0.25">
      <c r="A53" s="87" t="b">
        <v>0</v>
      </c>
      <c r="B53" s="48">
        <f t="shared" si="2"/>
        <v>52</v>
      </c>
      <c r="C53" s="48" t="e">
        <f t="shared" si="3"/>
        <v>#N/A</v>
      </c>
      <c r="D53" s="48" t="e">
        <f>_xlfn.XLOOKUP($F53,Tab_Def_Processes[Name(EN)],Tab_Def_Processes[Process_ID],,0,)</f>
        <v>#N/A</v>
      </c>
      <c r="E53" s="48" t="e">
        <f>_xlfn.XLOOKUP(F53,Tab_Def_Processes[Name(EN)],#REF!,,0,)</f>
        <v>#REF!</v>
      </c>
      <c r="F53" s="50"/>
      <c r="G53" s="48"/>
      <c r="H53" s="48" t="e">
        <f>_xlfn.XLOOKUP(F53,Tab_Def_Processes[Name(EN)],Tab_Def_Processes[Carbon_Stock],,0,)</f>
        <v>#N/A</v>
      </c>
      <c r="I53" s="48" t="e">
        <f>_xlfn.XLOOKUP(F53,Tab_Def_Processes[Name(EN)],Tab_Def_Processes[Life_Phase],,0,)</f>
        <v>#N/A</v>
      </c>
      <c r="J53" s="48" t="e">
        <f>_xlfn.XLOOKUP(F53,Tab_Def_Processes[Name(EN)],Tab_Def_Processes[Description],,0,)</f>
        <v>#N/A</v>
      </c>
      <c r="K53" s="48" t="e">
        <f>_xlfn.XLOOKUP($F53,Tab_Def_Processes[Name(EN)],Tab_Def_Processes[Process_Type],,0,)</f>
        <v>#N/A</v>
      </c>
      <c r="L53" s="48" t="e">
        <f>_xlfn.XLOOKUP($F53,Tab_Def_Processes[Name(EN)],Tab_Def_Processes[TC?],,0,)</f>
        <v>#N/A</v>
      </c>
      <c r="M53" s="48" t="e">
        <f>_xlfn.XLOOKUP($F53,Tab_Def_Processes[Name(EN)],Tab_Def_Processes[Stock?],,0,)</f>
        <v>#N/A</v>
      </c>
    </row>
    <row r="54" spans="1:13" x14ac:dyDescent="0.25">
      <c r="A54" s="87" t="b">
        <v>0</v>
      </c>
      <c r="B54" s="48">
        <f t="shared" si="2"/>
        <v>53</v>
      </c>
      <c r="C54" s="48" t="e">
        <f t="shared" si="3"/>
        <v>#N/A</v>
      </c>
      <c r="D54" s="48" t="e">
        <f>_xlfn.XLOOKUP($F54,Tab_Def_Processes[Name(EN)],Tab_Def_Processes[Process_ID],,0,)</f>
        <v>#N/A</v>
      </c>
      <c r="E54" s="48" t="e">
        <f>_xlfn.XLOOKUP(F54,Tab_Def_Processes[Name(EN)],#REF!,,0,)</f>
        <v>#REF!</v>
      </c>
      <c r="F54" s="50"/>
      <c r="G54" s="48"/>
      <c r="H54" s="48" t="e">
        <f>_xlfn.XLOOKUP(F54,Tab_Def_Processes[Name(EN)],Tab_Def_Processes[Carbon_Stock],,0,)</f>
        <v>#N/A</v>
      </c>
      <c r="I54" s="48" t="e">
        <f>_xlfn.XLOOKUP(F54,Tab_Def_Processes[Name(EN)],Tab_Def_Processes[Life_Phase],,0,)</f>
        <v>#N/A</v>
      </c>
      <c r="J54" s="48" t="e">
        <f>_xlfn.XLOOKUP(F54,Tab_Def_Processes[Name(EN)],Tab_Def_Processes[Description],,0,)</f>
        <v>#N/A</v>
      </c>
      <c r="K54" s="48" t="e">
        <f>_xlfn.XLOOKUP($F54,Tab_Def_Processes[Name(EN)],Tab_Def_Processes[Process_Type],,0,)</f>
        <v>#N/A</v>
      </c>
      <c r="L54" s="48" t="e">
        <f>_xlfn.XLOOKUP($F54,Tab_Def_Processes[Name(EN)],Tab_Def_Processes[TC?],,0,)</f>
        <v>#N/A</v>
      </c>
      <c r="M54" s="48" t="e">
        <f>_xlfn.XLOOKUP($F54,Tab_Def_Processes[Name(EN)],Tab_Def_Processes[Stock?],,0,)</f>
        <v>#N/A</v>
      </c>
    </row>
    <row r="55" spans="1:13" x14ac:dyDescent="0.25">
      <c r="A55" s="87" t="b">
        <v>0</v>
      </c>
      <c r="B55" s="48">
        <f t="shared" si="2"/>
        <v>54</v>
      </c>
      <c r="C55" s="48" t="e">
        <f t="shared" si="3"/>
        <v>#N/A</v>
      </c>
      <c r="D55" s="48" t="e">
        <f>_xlfn.XLOOKUP($F55,Tab_Def_Processes[Name(EN)],Tab_Def_Processes[Process_ID],,0,)</f>
        <v>#N/A</v>
      </c>
      <c r="E55" s="48" t="e">
        <f>_xlfn.XLOOKUP(F55,Tab_Def_Processes[Name(EN)],#REF!,,0,)</f>
        <v>#REF!</v>
      </c>
      <c r="F55" s="50"/>
      <c r="G55" s="48"/>
      <c r="H55" s="48" t="e">
        <f>_xlfn.XLOOKUP(F55,Tab_Def_Processes[Name(EN)],Tab_Def_Processes[Carbon_Stock],,0,)</f>
        <v>#N/A</v>
      </c>
      <c r="I55" s="48" t="e">
        <f>_xlfn.XLOOKUP(F55,Tab_Def_Processes[Name(EN)],Tab_Def_Processes[Life_Phase],,0,)</f>
        <v>#N/A</v>
      </c>
      <c r="J55" s="48" t="e">
        <f>_xlfn.XLOOKUP(F55,Tab_Def_Processes[Name(EN)],Tab_Def_Processes[Description],,0,)</f>
        <v>#N/A</v>
      </c>
      <c r="K55" s="48" t="e">
        <f>_xlfn.XLOOKUP($F55,Tab_Def_Processes[Name(EN)],Tab_Def_Processes[Process_Type],,0,)</f>
        <v>#N/A</v>
      </c>
      <c r="L55" s="48" t="e">
        <f>_xlfn.XLOOKUP($F55,Tab_Def_Processes[Name(EN)],Tab_Def_Processes[TC?],,0,)</f>
        <v>#N/A</v>
      </c>
      <c r="M55" s="48" t="e">
        <f>_xlfn.XLOOKUP($F55,Tab_Def_Processes[Name(EN)],Tab_Def_Processes[Stock?],,0,)</f>
        <v>#N/A</v>
      </c>
    </row>
    <row r="56" spans="1:13" x14ac:dyDescent="0.25">
      <c r="A56" s="87" t="b">
        <v>0</v>
      </c>
      <c r="B56" s="48">
        <f t="shared" si="2"/>
        <v>55</v>
      </c>
      <c r="C56" s="48" t="e">
        <f t="shared" si="3"/>
        <v>#N/A</v>
      </c>
      <c r="D56" s="48" t="e">
        <f>_xlfn.XLOOKUP($F56,Tab_Def_Processes[Name(EN)],Tab_Def_Processes[Process_ID],,0,)</f>
        <v>#N/A</v>
      </c>
      <c r="E56" s="48" t="e">
        <f>_xlfn.XLOOKUP(F56,Tab_Def_Processes[Name(EN)],#REF!,,0,)</f>
        <v>#REF!</v>
      </c>
      <c r="F56" s="50"/>
      <c r="G56" s="48"/>
      <c r="H56" s="48" t="e">
        <f>_xlfn.XLOOKUP(F56,Tab_Def_Processes[Name(EN)],Tab_Def_Processes[Carbon_Stock],,0,)</f>
        <v>#N/A</v>
      </c>
      <c r="I56" s="48" t="e">
        <f>_xlfn.XLOOKUP(F56,Tab_Def_Processes[Name(EN)],Tab_Def_Processes[Life_Phase],,0,)</f>
        <v>#N/A</v>
      </c>
      <c r="J56" s="48" t="e">
        <f>_xlfn.XLOOKUP(F56,Tab_Def_Processes[Name(EN)],Tab_Def_Processes[Description],,0,)</f>
        <v>#N/A</v>
      </c>
      <c r="K56" s="48" t="e">
        <f>_xlfn.XLOOKUP($F56,Tab_Def_Processes[Name(EN)],Tab_Def_Processes[Process_Type],,0,)</f>
        <v>#N/A</v>
      </c>
      <c r="L56" s="48" t="e">
        <f>_xlfn.XLOOKUP($F56,Tab_Def_Processes[Name(EN)],Tab_Def_Processes[TC?],,0,)</f>
        <v>#N/A</v>
      </c>
      <c r="M56" s="48" t="e">
        <f>_xlfn.XLOOKUP($F56,Tab_Def_Processes[Name(EN)],Tab_Def_Processes[Stock?],,0,)</f>
        <v>#N/A</v>
      </c>
    </row>
    <row r="57" spans="1:13" x14ac:dyDescent="0.25">
      <c r="A57" s="87" t="b">
        <v>0</v>
      </c>
      <c r="B57" s="48">
        <f t="shared" si="2"/>
        <v>56</v>
      </c>
      <c r="C57" s="48" t="e">
        <f t="shared" si="3"/>
        <v>#N/A</v>
      </c>
      <c r="D57" s="48" t="e">
        <f>_xlfn.XLOOKUP($F57,Tab_Def_Processes[Name(EN)],Tab_Def_Processes[Process_ID],,0,)</f>
        <v>#N/A</v>
      </c>
      <c r="E57" s="48" t="e">
        <f>_xlfn.XLOOKUP(F57,Tab_Def_Processes[Name(EN)],#REF!,,0,)</f>
        <v>#REF!</v>
      </c>
      <c r="F57" s="50"/>
      <c r="G57" s="48"/>
      <c r="H57" s="48" t="e">
        <f>_xlfn.XLOOKUP(F57,Tab_Def_Processes[Name(EN)],Tab_Def_Processes[Carbon_Stock],,0,)</f>
        <v>#N/A</v>
      </c>
      <c r="I57" s="48" t="e">
        <f>_xlfn.XLOOKUP(F57,Tab_Def_Processes[Name(EN)],Tab_Def_Processes[Life_Phase],,0,)</f>
        <v>#N/A</v>
      </c>
      <c r="J57" s="48" t="e">
        <f>_xlfn.XLOOKUP(F57,Tab_Def_Processes[Name(EN)],Tab_Def_Processes[Description],,0,)</f>
        <v>#N/A</v>
      </c>
      <c r="K57" s="48" t="e">
        <f>_xlfn.XLOOKUP($F57,Tab_Def_Processes[Name(EN)],Tab_Def_Processes[Process_Type],,0,)</f>
        <v>#N/A</v>
      </c>
      <c r="L57" s="48" t="e">
        <f>_xlfn.XLOOKUP($F57,Tab_Def_Processes[Name(EN)],Tab_Def_Processes[TC?],,0,)</f>
        <v>#N/A</v>
      </c>
      <c r="M57" s="48" t="e">
        <f>_xlfn.XLOOKUP($F57,Tab_Def_Processes[Name(EN)],Tab_Def_Processes[Stock?],,0,)</f>
        <v>#N/A</v>
      </c>
    </row>
    <row r="58" spans="1:13" x14ac:dyDescent="0.25">
      <c r="A58" s="87" t="b">
        <v>0</v>
      </c>
      <c r="B58" s="48">
        <f t="shared" si="2"/>
        <v>57</v>
      </c>
      <c r="C58" s="48" t="e">
        <f t="shared" si="3"/>
        <v>#N/A</v>
      </c>
      <c r="D58" s="48" t="e">
        <f>_xlfn.XLOOKUP($F58,Tab_Def_Processes[Name(EN)],Tab_Def_Processes[Process_ID],,0,)</f>
        <v>#N/A</v>
      </c>
      <c r="E58" s="48" t="e">
        <f>_xlfn.XLOOKUP(F58,Tab_Def_Processes[Name(EN)],#REF!,,0,)</f>
        <v>#REF!</v>
      </c>
      <c r="F58" s="50"/>
      <c r="G58" s="48"/>
      <c r="H58" s="48" t="e">
        <f>_xlfn.XLOOKUP(F58,Tab_Def_Processes[Name(EN)],Tab_Def_Processes[Carbon_Stock],,0,)</f>
        <v>#N/A</v>
      </c>
      <c r="I58" s="48" t="e">
        <f>_xlfn.XLOOKUP(F58,Tab_Def_Processes[Name(EN)],Tab_Def_Processes[Life_Phase],,0,)</f>
        <v>#N/A</v>
      </c>
      <c r="J58" s="48" t="e">
        <f>_xlfn.XLOOKUP(F58,Tab_Def_Processes[Name(EN)],Tab_Def_Processes[Description],,0,)</f>
        <v>#N/A</v>
      </c>
      <c r="K58" s="48" t="e">
        <f>_xlfn.XLOOKUP($F58,Tab_Def_Processes[Name(EN)],Tab_Def_Processes[Process_Type],,0,)</f>
        <v>#N/A</v>
      </c>
      <c r="L58" s="48" t="e">
        <f>_xlfn.XLOOKUP($F58,Tab_Def_Processes[Name(EN)],Tab_Def_Processes[TC?],,0,)</f>
        <v>#N/A</v>
      </c>
      <c r="M58" s="48" t="e">
        <f>_xlfn.XLOOKUP($F58,Tab_Def_Processes[Name(EN)],Tab_Def_Processes[Stock?],,0,)</f>
        <v>#N/A</v>
      </c>
    </row>
    <row r="59" spans="1:13" x14ac:dyDescent="0.25">
      <c r="A59" s="87" t="b">
        <v>0</v>
      </c>
      <c r="B59" s="48">
        <f t="shared" si="2"/>
        <v>58</v>
      </c>
      <c r="C59" s="48" t="e">
        <f t="shared" si="3"/>
        <v>#N/A</v>
      </c>
      <c r="D59" s="48" t="e">
        <f>_xlfn.XLOOKUP($F59,Tab_Def_Processes[Name(EN)],Tab_Def_Processes[Process_ID],,0,)</f>
        <v>#N/A</v>
      </c>
      <c r="E59" s="48" t="e">
        <f>_xlfn.XLOOKUP(F59,Tab_Def_Processes[Name(EN)],#REF!,,0,)</f>
        <v>#REF!</v>
      </c>
      <c r="F59" s="50"/>
      <c r="G59" s="48"/>
      <c r="H59" s="48" t="e">
        <f>_xlfn.XLOOKUP(F59,Tab_Def_Processes[Name(EN)],Tab_Def_Processes[Carbon_Stock],,0,)</f>
        <v>#N/A</v>
      </c>
      <c r="I59" s="48" t="e">
        <f>_xlfn.XLOOKUP(F59,Tab_Def_Processes[Name(EN)],Tab_Def_Processes[Life_Phase],,0,)</f>
        <v>#N/A</v>
      </c>
      <c r="J59" s="48" t="e">
        <f>_xlfn.XLOOKUP(F59,Tab_Def_Processes[Name(EN)],Tab_Def_Processes[Description],,0,)</f>
        <v>#N/A</v>
      </c>
      <c r="K59" s="48" t="e">
        <f>_xlfn.XLOOKUP($F59,Tab_Def_Processes[Name(EN)],Tab_Def_Processes[Process_Type],,0,)</f>
        <v>#N/A</v>
      </c>
      <c r="L59" s="48" t="e">
        <f>_xlfn.XLOOKUP($F59,Tab_Def_Processes[Name(EN)],Tab_Def_Processes[TC?],,0,)</f>
        <v>#N/A</v>
      </c>
      <c r="M59" s="48" t="e">
        <f>_xlfn.XLOOKUP($F59,Tab_Def_Processes[Name(EN)],Tab_Def_Processes[Stock?],,0,)</f>
        <v>#N/A</v>
      </c>
    </row>
    <row r="60" spans="1:13" x14ac:dyDescent="0.25">
      <c r="A60" s="87" t="b">
        <v>0</v>
      </c>
      <c r="B60" s="48">
        <f t="shared" si="2"/>
        <v>59</v>
      </c>
      <c r="C60" s="48" t="e">
        <f t="shared" si="3"/>
        <v>#N/A</v>
      </c>
      <c r="D60" s="48" t="e">
        <f>_xlfn.XLOOKUP($F60,Tab_Def_Processes[Name(EN)],Tab_Def_Processes[Process_ID],,0,)</f>
        <v>#N/A</v>
      </c>
      <c r="E60" s="48" t="e">
        <f>_xlfn.XLOOKUP(F60,Tab_Def_Processes[Name(EN)],#REF!,,0,)</f>
        <v>#REF!</v>
      </c>
      <c r="F60" s="50"/>
      <c r="G60" s="48"/>
      <c r="H60" s="48" t="e">
        <f>_xlfn.XLOOKUP(F60,Tab_Def_Processes[Name(EN)],Tab_Def_Processes[Carbon_Stock],,0,)</f>
        <v>#N/A</v>
      </c>
      <c r="I60" s="48" t="e">
        <f>_xlfn.XLOOKUP(F60,Tab_Def_Processes[Name(EN)],Tab_Def_Processes[Life_Phase],,0,)</f>
        <v>#N/A</v>
      </c>
      <c r="J60" s="48" t="e">
        <f>_xlfn.XLOOKUP(F60,Tab_Def_Processes[Name(EN)],Tab_Def_Processes[Description],,0,)</f>
        <v>#N/A</v>
      </c>
      <c r="K60" s="48" t="e">
        <f>_xlfn.XLOOKUP($F60,Tab_Def_Processes[Name(EN)],Tab_Def_Processes[Process_Type],,0,)</f>
        <v>#N/A</v>
      </c>
      <c r="L60" s="48" t="e">
        <f>_xlfn.XLOOKUP($F60,Tab_Def_Processes[Name(EN)],Tab_Def_Processes[TC?],,0,)</f>
        <v>#N/A</v>
      </c>
      <c r="M60" s="48" t="e">
        <f>_xlfn.XLOOKUP($F60,Tab_Def_Processes[Name(EN)],Tab_Def_Processes[Stock?],,0,)</f>
        <v>#N/A</v>
      </c>
    </row>
    <row r="61" spans="1:13" x14ac:dyDescent="0.25">
      <c r="A61" s="87" t="b">
        <v>0</v>
      </c>
      <c r="B61" s="48">
        <f t="shared" si="2"/>
        <v>60</v>
      </c>
      <c r="C61" s="48" t="e">
        <f t="shared" si="3"/>
        <v>#N/A</v>
      </c>
      <c r="D61" s="48" t="e">
        <f>_xlfn.XLOOKUP($F61,Tab_Def_Processes[Name(EN)],Tab_Def_Processes[Process_ID],,0,)</f>
        <v>#N/A</v>
      </c>
      <c r="E61" s="48" t="e">
        <f>_xlfn.XLOOKUP(F61,Tab_Def_Processes[Name(EN)],#REF!,,0,)</f>
        <v>#REF!</v>
      </c>
      <c r="F61" s="50"/>
      <c r="G61" s="48"/>
      <c r="H61" s="48" t="e">
        <f>_xlfn.XLOOKUP(F61,Tab_Def_Processes[Name(EN)],Tab_Def_Processes[Carbon_Stock],,0,)</f>
        <v>#N/A</v>
      </c>
      <c r="I61" s="48" t="e">
        <f>_xlfn.XLOOKUP(F61,Tab_Def_Processes[Name(EN)],Tab_Def_Processes[Life_Phase],,0,)</f>
        <v>#N/A</v>
      </c>
      <c r="J61" s="48" t="e">
        <f>_xlfn.XLOOKUP(F61,Tab_Def_Processes[Name(EN)],Tab_Def_Processes[Description],,0,)</f>
        <v>#N/A</v>
      </c>
      <c r="K61" s="48" t="e">
        <f>_xlfn.XLOOKUP($F61,Tab_Def_Processes[Name(EN)],Tab_Def_Processes[Process_Type],,0,)</f>
        <v>#N/A</v>
      </c>
      <c r="L61" s="48" t="e">
        <f>_xlfn.XLOOKUP($F61,Tab_Def_Processes[Name(EN)],Tab_Def_Processes[TC?],,0,)</f>
        <v>#N/A</v>
      </c>
      <c r="M61" s="48" t="e">
        <f>_xlfn.XLOOKUP($F61,Tab_Def_Processes[Name(EN)],Tab_Def_Processes[Stock?],,0,)</f>
        <v>#N/A</v>
      </c>
    </row>
    <row r="62" spans="1:13" x14ac:dyDescent="0.25">
      <c r="A62" s="87" t="b">
        <v>0</v>
      </c>
      <c r="B62" s="48">
        <f t="shared" si="2"/>
        <v>61</v>
      </c>
      <c r="C62" s="48" t="e">
        <f t="shared" si="3"/>
        <v>#N/A</v>
      </c>
      <c r="D62" s="48" t="e">
        <f>_xlfn.XLOOKUP($F62,Tab_Def_Processes[Name(EN)],Tab_Def_Processes[Process_ID],,0,)</f>
        <v>#N/A</v>
      </c>
      <c r="E62" s="48" t="e">
        <f>_xlfn.XLOOKUP(F62,Tab_Def_Processes[Name(EN)],#REF!,,0,)</f>
        <v>#REF!</v>
      </c>
      <c r="F62" s="50"/>
      <c r="G62" s="48"/>
      <c r="H62" s="48" t="e">
        <f>_xlfn.XLOOKUP(F62,Tab_Def_Processes[Name(EN)],Tab_Def_Processes[Carbon_Stock],,0,)</f>
        <v>#N/A</v>
      </c>
      <c r="I62" s="48" t="e">
        <f>_xlfn.XLOOKUP(F62,Tab_Def_Processes[Name(EN)],Tab_Def_Processes[Life_Phase],,0,)</f>
        <v>#N/A</v>
      </c>
      <c r="J62" s="48" t="e">
        <f>_xlfn.XLOOKUP(F62,Tab_Def_Processes[Name(EN)],Tab_Def_Processes[Description],,0,)</f>
        <v>#N/A</v>
      </c>
      <c r="K62" s="48" t="e">
        <f>_xlfn.XLOOKUP($F62,Tab_Def_Processes[Name(EN)],Tab_Def_Processes[Process_Type],,0,)</f>
        <v>#N/A</v>
      </c>
      <c r="L62" s="48" t="e">
        <f>_xlfn.XLOOKUP($F62,Tab_Def_Processes[Name(EN)],Tab_Def_Processes[TC?],,0,)</f>
        <v>#N/A</v>
      </c>
      <c r="M62" s="48" t="e">
        <f>_xlfn.XLOOKUP($F62,Tab_Def_Processes[Name(EN)],Tab_Def_Processes[Stock?],,0,)</f>
        <v>#N/A</v>
      </c>
    </row>
    <row r="63" spans="1:13" x14ac:dyDescent="0.25">
      <c r="A63" s="87" t="b">
        <v>0</v>
      </c>
      <c r="B63" s="48">
        <f t="shared" si="2"/>
        <v>62</v>
      </c>
      <c r="C63" s="48" t="e">
        <f t="shared" si="3"/>
        <v>#N/A</v>
      </c>
      <c r="D63" s="48" t="e">
        <f>_xlfn.XLOOKUP($F63,Tab_Def_Processes[Name(EN)],Tab_Def_Processes[Process_ID],,0,)</f>
        <v>#N/A</v>
      </c>
      <c r="E63" s="48" t="e">
        <f>_xlfn.XLOOKUP(F63,Tab_Def_Processes[Name(EN)],#REF!,,0,)</f>
        <v>#REF!</v>
      </c>
      <c r="F63" s="50"/>
      <c r="G63" s="48"/>
      <c r="H63" s="48" t="e">
        <f>_xlfn.XLOOKUP(F63,Tab_Def_Processes[Name(EN)],Tab_Def_Processes[Carbon_Stock],,0,)</f>
        <v>#N/A</v>
      </c>
      <c r="I63" s="48" t="e">
        <f>_xlfn.XLOOKUP(F63,Tab_Def_Processes[Name(EN)],Tab_Def_Processes[Life_Phase],,0,)</f>
        <v>#N/A</v>
      </c>
      <c r="J63" s="48" t="e">
        <f>_xlfn.XLOOKUP(F63,Tab_Def_Processes[Name(EN)],Tab_Def_Processes[Description],,0,)</f>
        <v>#N/A</v>
      </c>
      <c r="K63" s="48" t="e">
        <f>_xlfn.XLOOKUP($F63,Tab_Def_Processes[Name(EN)],Tab_Def_Processes[Process_Type],,0,)</f>
        <v>#N/A</v>
      </c>
      <c r="L63" s="48" t="e">
        <f>_xlfn.XLOOKUP($F63,Tab_Def_Processes[Name(EN)],Tab_Def_Processes[TC?],,0,)</f>
        <v>#N/A</v>
      </c>
      <c r="M63" s="48" t="e">
        <f>_xlfn.XLOOKUP($F63,Tab_Def_Processes[Name(EN)],Tab_Def_Processes[Stock?],,0,)</f>
        <v>#N/A</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'2_1_Definition_Processes'!$D$2:$D$10</xm:f>
          </x14:formula1>
          <xm:sqref>F2:G63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AU10"/>
  <sheetViews>
    <sheetView zoomScale="130" zoomScaleNormal="130" workbookViewId="0">
      <pane xSplit="5" topLeftCell="AE1" activePane="topRight" state="frozen"/>
      <selection pane="topRight" activeCell="AH2" sqref="AH2"/>
    </sheetView>
  </sheetViews>
  <sheetFormatPr defaultColWidth="10.85546875" defaultRowHeight="15" x14ac:dyDescent="0.25"/>
  <cols>
    <col min="2" max="2" width="4.85546875" bestFit="1" customWidth="1"/>
    <col min="3" max="3" width="11.5703125" bestFit="1" customWidth="1"/>
    <col min="4" max="4" width="10" style="106" bestFit="1" customWidth="1"/>
    <col min="5" max="5" width="21.140625" bestFit="1" customWidth="1"/>
    <col min="6" max="6" width="32.42578125" hidden="1" customWidth="1"/>
    <col min="7" max="8" width="15.5703125" hidden="1" customWidth="1"/>
    <col min="9" max="9" width="12.5703125" bestFit="1" customWidth="1"/>
    <col min="10" max="10" width="15.5703125" customWidth="1"/>
    <col min="11" max="12" width="15.42578125" customWidth="1"/>
    <col min="13" max="13" width="12.42578125" customWidth="1"/>
    <col min="14" max="14" width="17" hidden="1" customWidth="1"/>
    <col min="15" max="15" width="16.42578125" hidden="1" customWidth="1"/>
    <col min="16" max="16" width="16.140625" hidden="1" customWidth="1"/>
    <col min="17" max="17" width="15.570312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14" customWidth="1"/>
    <col min="34" max="34" width="28.140625" style="114" customWidth="1"/>
    <col min="35" max="37" width="18.42578125" style="114" customWidth="1"/>
    <col min="38" max="38" width="26.140625" style="114" customWidth="1"/>
    <col min="39" max="42" width="17.85546875" style="114" customWidth="1"/>
    <col min="43" max="45" width="17.85546875" customWidth="1"/>
  </cols>
  <sheetData>
    <row r="1" spans="1:47" x14ac:dyDescent="0.25">
      <c r="A1" s="63" t="s">
        <v>134</v>
      </c>
      <c r="B1" s="8" t="s">
        <v>21</v>
      </c>
      <c r="C1" s="47" t="s">
        <v>135</v>
      </c>
      <c r="D1" s="106" t="s">
        <v>86</v>
      </c>
      <c r="E1" t="s">
        <v>23</v>
      </c>
      <c r="F1" t="s">
        <v>24</v>
      </c>
      <c r="G1" t="s">
        <v>87</v>
      </c>
      <c r="H1" t="s">
        <v>88</v>
      </c>
      <c r="I1" s="47" t="s">
        <v>89</v>
      </c>
      <c r="J1" s="24" t="s">
        <v>136</v>
      </c>
      <c r="K1" s="25" t="s">
        <v>56</v>
      </c>
      <c r="L1" s="25" t="s">
        <v>120</v>
      </c>
      <c r="M1" s="31" t="s">
        <v>91</v>
      </c>
      <c r="N1" s="54" t="s">
        <v>92</v>
      </c>
      <c r="O1" s="54" t="s">
        <v>93</v>
      </c>
      <c r="P1" s="69" t="s">
        <v>137</v>
      </c>
      <c r="Q1" s="54" t="s">
        <v>94</v>
      </c>
      <c r="R1" s="54" t="s">
        <v>122</v>
      </c>
      <c r="S1" s="69" t="s">
        <v>138</v>
      </c>
      <c r="T1" s="70" t="s">
        <v>121</v>
      </c>
      <c r="U1" s="66" t="s">
        <v>139</v>
      </c>
      <c r="V1" s="73" t="s">
        <v>140</v>
      </c>
      <c r="W1" s="70" t="s">
        <v>123</v>
      </c>
      <c r="X1" s="65" t="s">
        <v>141</v>
      </c>
      <c r="Y1" s="69" t="s">
        <v>142</v>
      </c>
      <c r="Z1" s="70" t="s">
        <v>125</v>
      </c>
      <c r="AA1" s="65" t="s">
        <v>143</v>
      </c>
      <c r="AB1" s="69" t="s">
        <v>144</v>
      </c>
      <c r="AC1" s="68" t="s">
        <v>145</v>
      </c>
      <c r="AD1" s="240" t="s">
        <v>96</v>
      </c>
      <c r="AE1" s="240" t="s">
        <v>97</v>
      </c>
      <c r="AF1" s="240" t="s">
        <v>146</v>
      </c>
      <c r="AG1" s="241" t="s">
        <v>147</v>
      </c>
      <c r="AH1" s="242" t="s">
        <v>98</v>
      </c>
      <c r="AI1" s="242" t="s">
        <v>99</v>
      </c>
      <c r="AJ1" s="240" t="s">
        <v>148</v>
      </c>
      <c r="AK1" s="241" t="s">
        <v>149</v>
      </c>
      <c r="AL1" s="242" t="s">
        <v>100</v>
      </c>
      <c r="AM1" s="242" t="s">
        <v>101</v>
      </c>
      <c r="AN1" s="240" t="s">
        <v>150</v>
      </c>
      <c r="AO1" s="242" t="s">
        <v>151</v>
      </c>
      <c r="AP1" s="111" t="s">
        <v>157</v>
      </c>
      <c r="AQ1" s="81" t="s">
        <v>158</v>
      </c>
      <c r="AR1" s="81" t="s">
        <v>159</v>
      </c>
      <c r="AS1" s="81" t="s">
        <v>160</v>
      </c>
      <c r="AT1" s="81" t="s">
        <v>161</v>
      </c>
      <c r="AU1" s="82" t="s">
        <v>67</v>
      </c>
    </row>
    <row r="2" spans="1:47" ht="19.5" customHeight="1" x14ac:dyDescent="0.25">
      <c r="A2" s="87" t="b">
        <v>1</v>
      </c>
      <c r="B2" s="48">
        <f>ROW()-1</f>
        <v>1</v>
      </c>
      <c r="C2" s="48" t="str">
        <f>"TC"&amp;LEFT(B2,2)&amp;"_"&amp;LEFT(D2,3)&amp;"_"&amp;LEFT(E2,3)</f>
        <v>TC1_00_Bio</v>
      </c>
      <c r="D2" s="107" t="str">
        <f>_xlfn.XLOOKUP($E2,Tab_Def_Processes[Name(EN)],Tab_Def_Processes[ID],,0,)</f>
        <v>00</v>
      </c>
      <c r="E2" s="50" t="s">
        <v>104</v>
      </c>
      <c r="F2" s="48"/>
      <c r="G2" s="48">
        <f>_xlfn.XLOOKUP(E2,Tab_Def_Processes[Name(EN)],Tab_Def_Processes[Carbon_Stock],,0,)</f>
        <v>0</v>
      </c>
      <c r="H2" s="48">
        <f>_xlfn.XLOOKUP(E2,Tab_Def_Processes[Name(EN)],Tab_Def_Processes[Life_Phase],,0,)</f>
        <v>0</v>
      </c>
      <c r="I2" s="48">
        <f>_xlfn.XLOOKUP(E2,Tab_Def_Processes[Name(EN)],Tab_Def_Processes[Description],,0,)</f>
        <v>0</v>
      </c>
      <c r="J2" s="48" t="str">
        <f>_xlfn.XLOOKUP($E2,Tab_Def_Processes[Name(EN)],Tab_Def_Processes[Process_Type],,0,)</f>
        <v>Process</v>
      </c>
      <c r="K2" s="48" t="s">
        <v>84</v>
      </c>
      <c r="L2" s="48" t="str">
        <f>_xlfn.XLOOKUP($E2,Tab_Def_Processes[Name(EN)],Tab_Def_Processes[Dyn_TC?],,0,)</f>
        <v>No</v>
      </c>
      <c r="M2" s="48" t="str">
        <f>_xlfn.XLOOKUP($E2,Tab_Def_Processes[Name(EN)],Tab_Def_Processes[Stock?],,0,)</f>
        <v>Yes</v>
      </c>
      <c r="N2" s="57" t="str">
        <f>_xlfn.XLOOKUP($E2,Tab_Def_Processes[Name(EN)],Tab_Def_Processes[Input_Flow_I_1],,0,)</f>
        <v>N.A.</v>
      </c>
      <c r="O2" s="48" t="e">
        <f>_xlfn.XLOOKUP($E2,Tab_Def_Processes[Name(EN)],Tab_Def_Processes[Flow_ID_I_1],,0,)</f>
        <v>#N/A</v>
      </c>
      <c r="P2" s="243"/>
      <c r="Q2" s="71" t="str">
        <f>_xlfn.XLOOKUP($E2,Tab_Def_Processes[Name(EN)],Tab_Def_Processes[Input_Flow_I_2],,0,)</f>
        <v>N.A.</v>
      </c>
      <c r="R2" s="48" t="e">
        <f>_xlfn.XLOOKUP($E2,Tab_Def_Processes[Name(EN)],Tab_Def_Processes[Flow_ID_I_2],,0,)</f>
        <v>#N/A</v>
      </c>
      <c r="S2" s="243"/>
      <c r="T2" s="71" t="str">
        <f>_xlfn.XLOOKUP($E2,Tab_Def_Processes[Name(EN)],Tab_Def_Processes[Input_Flow_I_3],,0,)</f>
        <v>N.A.</v>
      </c>
      <c r="U2" s="48" t="e">
        <f>_xlfn.XLOOKUP($E2,Tab_Def_Processes[Name(EN)],Tab_Def_Processes[Flow_ID_I_3],,0,)</f>
        <v>#N/A</v>
      </c>
      <c r="V2" s="244"/>
      <c r="W2" s="71" t="str">
        <f>_xlfn.XLOOKUP($E2,Tab_Def_Processes[Name(EN)],Tab_Def_Processes[Input_Flow_I_4],,0,)</f>
        <v>N.A.</v>
      </c>
      <c r="X2" s="48" t="e">
        <f>_xlfn.XLOOKUP($E2,Tab_Def_Processes[Name(EN)],Tab_Def_Processes[Flow_ID_I_4],,0,)</f>
        <v>#N/A</v>
      </c>
      <c r="Y2" s="243"/>
      <c r="Z2" s="71" t="str">
        <f>_xlfn.XLOOKUP($E2,Tab_Def_Processes[Name(EN)],Tab_Def_Processes[Input_Flow_I_5],,0,)</f>
        <v>N.A.</v>
      </c>
      <c r="AA2" s="48" t="e">
        <f>_xlfn.XLOOKUP($E2,Tab_Def_Processes[Name(EN)],Tab_Def_Processes[Flow_ID_I_5],,0,)</f>
        <v>#N/A</v>
      </c>
      <c r="AB2" s="243"/>
      <c r="AC2" s="245">
        <f>Tab_Process_TCs[[#This Row],[Flow_TC_I_1_'[%']]]+Tab_Process_TCs[[#This Row],[Flow_TC_I_2_'[%']]]+Tab_Process_TCs[[#This Row],[Flow_TC_I_3_'[%']]]+Tab_Process_TCs[[#This Row],[Flow_TC_I_4_'[%']]]+Tab_Process_TCs[[#This Row],[Flow_TC_I_5_'[%']]]</f>
        <v>0</v>
      </c>
      <c r="AD2" s="48" t="str">
        <f>_xlfn.XLOOKUP($E2,Tab_Def_Processes[Name(EN)],Tab_Def_Processes[Output_Flow_O_1],,0,)</f>
        <v>Wood</v>
      </c>
      <c r="AE2" s="237" t="str">
        <f>_xlfn.XLOOKUP($E2,Tab_Def_Processes[Name(EN)],Tab_Def_Processes[Flow_ID_O_1],,0,)</f>
        <v>F_00_01</v>
      </c>
      <c r="AF2" s="100" t="str">
        <f>"TC"&amp;"_"&amp;RIGHT(AE2,5)</f>
        <v>TC_00_01</v>
      </c>
      <c r="AG2" s="239">
        <v>1</v>
      </c>
      <c r="AH2" s="229">
        <f>_xlfn.XLOOKUP($E2,Tab_Def_Processes[Name(EN)],Tab_Def_Processes[Output_Flow_O_2],,0,)</f>
        <v>0</v>
      </c>
      <c r="AI2" s="230" t="e">
        <f>_xlfn.XLOOKUP($E2,Tab_Def_Processes[Name(EN)],Tab_Def_Processes[Flow_ID_O_2],,0,)</f>
        <v>#N/A</v>
      </c>
      <c r="AJ2" s="100" t="e">
        <f>"TC"&amp;"_"&amp;RIGHT(AI2,5)</f>
        <v>#N/A</v>
      </c>
      <c r="AK2" s="227"/>
      <c r="AL2" s="113">
        <f>_xlfn.XLOOKUP($E2,Tab_Def_Processes[Name(EN)],Tab_Def_Processes[Output_Flow_O_3],,0,)</f>
        <v>0</v>
      </c>
      <c r="AM2" s="113" t="e">
        <f>_xlfn.XLOOKUP($E2,Tab_Def_Processes[Name(EN)],Tab_Def_Processes[Flow_ID_O_3],,0,)</f>
        <v>#N/A</v>
      </c>
      <c r="AN2" s="100" t="e">
        <f>"TC"&amp;"_"&amp;RIGHT(AM2,5)</f>
        <v>#N/A</v>
      </c>
      <c r="AO2" s="109"/>
      <c r="AP2" s="74">
        <f>SUM(Tab_Process_TCs[[#This Row],[TC_O_1_'[%']]],Tab_Process_TCs[[#This Row],[TC_O_3_'[%']]],Tab_Process_TCs[[#This Row],[TC_O_2_'[%']]])</f>
        <v>1</v>
      </c>
      <c r="AQ2" s="50"/>
      <c r="AR2" s="50"/>
      <c r="AS2" s="50"/>
      <c r="AT2" s="50"/>
      <c r="AU2" s="50"/>
    </row>
    <row r="3" spans="1:47" x14ac:dyDescent="0.25">
      <c r="A3" s="87" t="b">
        <v>1</v>
      </c>
      <c r="B3" s="48">
        <f t="shared" ref="B3:B10" si="0">ROW()-1</f>
        <v>2</v>
      </c>
      <c r="C3" s="48" t="str">
        <f t="shared" ref="C3" si="1">"TC"&amp;LEFT(B3,2)&amp;"_"&amp;LEFT(D3,3)&amp;"_"&amp;LEFT(E3,3)</f>
        <v>TC2_01_Raw</v>
      </c>
      <c r="D3" s="107" t="str">
        <f>_xlfn.XLOOKUP($E3,Tab_Def_Processes[Name(EN)],Tab_Def_Processes[ID],,0,)</f>
        <v>01</v>
      </c>
      <c r="E3" s="50" t="s">
        <v>103</v>
      </c>
      <c r="F3" s="48"/>
      <c r="G3" s="48">
        <f>_xlfn.XLOOKUP(E3,Tab_Def_Processes[Name(EN)],Tab_Def_Processes[Carbon_Stock],,0,)</f>
        <v>0</v>
      </c>
      <c r="H3" s="48">
        <f>_xlfn.XLOOKUP(E3,Tab_Def_Processes[Name(EN)],Tab_Def_Processes[Life_Phase],,0,)</f>
        <v>0</v>
      </c>
      <c r="I3" s="48">
        <f>_xlfn.XLOOKUP(E3,Tab_Def_Processes[Name(EN)],Tab_Def_Processes[Description],,0,)</f>
        <v>0</v>
      </c>
      <c r="J3" s="48" t="str">
        <f>_xlfn.XLOOKUP($E3,Tab_Def_Processes[Name(EN)],Tab_Def_Processes[Process_Type],,0,)</f>
        <v>Process</v>
      </c>
      <c r="K3" s="48" t="str">
        <f>_xlfn.XLOOKUP($E3,Tab_Def_Processes[Name(EN)],Tab_Def_Processes[TC?],,0,)</f>
        <v>Yes</v>
      </c>
      <c r="L3" s="48" t="str">
        <f>_xlfn.XLOOKUP($E3,Tab_Def_Processes[Name(EN)],Tab_Def_Processes[Dyn_TC?],,0,)</f>
        <v>No</v>
      </c>
      <c r="M3" s="48" t="str">
        <f>_xlfn.XLOOKUP($E3,Tab_Def_Processes[Name(EN)],Tab_Def_Processes[Stock?],,0,)</f>
        <v>No</v>
      </c>
      <c r="N3" s="57" t="str">
        <f>_xlfn.XLOOKUP($E3,Tab_Def_Processes[Name(EN)],Tab_Def_Processes[Input_Flow_I_1],,0,)</f>
        <v>N.A.</v>
      </c>
      <c r="O3" s="48" t="e">
        <f>_xlfn.XLOOKUP($E3,Tab_Def_Processes[Name(EN)],Tab_Def_Processes[Flow_ID_I_1],,0,)</f>
        <v>#N/A</v>
      </c>
      <c r="P3" s="75"/>
      <c r="Q3" s="71" t="str">
        <f>_xlfn.XLOOKUP($E3,Tab_Def_Processes[Name(EN)],Tab_Def_Processes[Input_Flow_I_2],,0,)</f>
        <v>N.A.</v>
      </c>
      <c r="R3" s="48" t="e">
        <f>_xlfn.XLOOKUP($E3,Tab_Def_Processes[Name(EN)],Tab_Def_Processes[Flow_ID_I_2],,0,)</f>
        <v>#N/A</v>
      </c>
      <c r="S3" s="75"/>
      <c r="T3" s="71" t="str">
        <f>_xlfn.XLOOKUP($E3,Tab_Def_Processes[Name(EN)],Tab_Def_Processes[Input_Flow_I_3],,0,)</f>
        <v>N.A.</v>
      </c>
      <c r="U3" s="48" t="e">
        <f>_xlfn.XLOOKUP($E3,Tab_Def_Processes[Name(EN)],Tab_Def_Processes[Flow_ID_I_3],,0,)</f>
        <v>#N/A</v>
      </c>
      <c r="V3" s="75"/>
      <c r="W3" s="71" t="str">
        <f>_xlfn.XLOOKUP($E3,Tab_Def_Processes[Name(EN)],Tab_Def_Processes[Input_Flow_I_4],,0,)</f>
        <v>N.A.</v>
      </c>
      <c r="X3" s="48" t="e">
        <f>_xlfn.XLOOKUP($E3,Tab_Def_Processes[Name(EN)],Tab_Def_Processes[Flow_ID_I_4],,0,)</f>
        <v>#N/A</v>
      </c>
      <c r="Y3" s="75"/>
      <c r="Z3" s="71" t="str">
        <f>_xlfn.XLOOKUP($E3,Tab_Def_Processes[Name(EN)],Tab_Def_Processes[Input_Flow_I_5],,0,)</f>
        <v>N.A.</v>
      </c>
      <c r="AA3" s="48" t="e">
        <f>_xlfn.XLOOKUP($E3,Tab_Def_Processes[Name(EN)],Tab_Def_Processes[Flow_ID_I_5],,0,)</f>
        <v>#N/A</v>
      </c>
      <c r="AB3" s="75"/>
      <c r="AC3" s="74">
        <f>Tab_Process_TCs[[#This Row],[Flow_TC_I_1_'[%']]]+Tab_Process_TCs[[#This Row],[Flow_TC_I_2_'[%']]]+Tab_Process_TCs[[#This Row],[Flow_TC_I_3_'[%']]]+Tab_Process_TCs[[#This Row],[Flow_TC_I_4_'[%']]]+Tab_Process_TCs[[#This Row],[Flow_TC_I_5_'[%']]]</f>
        <v>0</v>
      </c>
      <c r="AD3" s="48" t="str">
        <f>_xlfn.XLOOKUP($E3,Tab_Def_Processes[Name(EN)],Tab_Def_Processes[Output_Flow_O_1],,0,)</f>
        <v>Logs</v>
      </c>
      <c r="AE3" s="57" t="str">
        <f>_xlfn.XLOOKUP($E3,Tab_Def_Processes[Name(EN)],Tab_Def_Processes[Flow_ID_O_1],,0,)</f>
        <v>F_01_02</v>
      </c>
      <c r="AF3" s="100" t="str">
        <f t="shared" ref="AF3" si="2">"TC"&amp;"_"&amp;RIGHT(AE3,5)</f>
        <v>TC_01_02</v>
      </c>
      <c r="AG3" s="239">
        <v>0.7</v>
      </c>
      <c r="AH3" s="231" t="str">
        <f>_xlfn.XLOOKUP($E3,Tab_Def_Processes[Name(EN)],Tab_Def_Processes[Output_Flow_O_2],,0,)</f>
        <v>Forestry Resiudes</v>
      </c>
      <c r="AI3" s="113" t="str">
        <f>_xlfn.XLOOKUP($E3,Tab_Def_Processes[Name(EN)],Tab_Def_Processes[Flow_ID_O_2],,0,)</f>
        <v>F_01_00</v>
      </c>
      <c r="AJ3" s="100" t="str">
        <f t="shared" ref="AJ3" si="3">"TC"&amp;"_"&amp;RIGHT(AI3,5)</f>
        <v>TC_01_00</v>
      </c>
      <c r="AK3" s="228">
        <v>0.3</v>
      </c>
      <c r="AL3" s="113">
        <f>_xlfn.XLOOKUP($E3,Tab_Def_Processes[Name(EN)],Tab_Def_Processes[Output_Flow_O_3],,0,)</f>
        <v>0</v>
      </c>
      <c r="AM3" s="113" t="e">
        <f>_xlfn.XLOOKUP($E3,Tab_Def_Processes[Name(EN)],Tab_Def_Processes[Flow_ID_O_3],,0,)</f>
        <v>#N/A</v>
      </c>
      <c r="AN3" s="100" t="e">
        <f t="shared" ref="AN3" si="4">"TC"&amp;"_"&amp;RIGHT(AM3,5)</f>
        <v>#N/A</v>
      </c>
      <c r="AO3" s="109"/>
      <c r="AP3" s="74">
        <f>SUM(Tab_Process_TCs[[#This Row],[TC_O_1_'[%']]],Tab_Process_TCs[[#This Row],[TC_O_3_'[%']]],Tab_Process_TCs[[#This Row],[TC_O_2_'[%']]])</f>
        <v>1</v>
      </c>
      <c r="AQ3" s="50"/>
      <c r="AR3" s="50"/>
      <c r="AS3" s="50"/>
      <c r="AT3" s="50"/>
      <c r="AU3" s="50"/>
    </row>
    <row r="4" spans="1:47" x14ac:dyDescent="0.25">
      <c r="A4" s="87" t="b">
        <v>1</v>
      </c>
      <c r="B4" s="48">
        <f t="shared" si="0"/>
        <v>3</v>
      </c>
      <c r="C4" s="48" t="str">
        <f t="shared" ref="C4:C7" si="5">"TC"&amp;LEFT(B4,2)&amp;"_"&amp;LEFT(D4,3)&amp;"_"&amp;LEFT(E4,3)</f>
        <v>TC3_02_Pro</v>
      </c>
      <c r="D4" s="107" t="str">
        <f>_xlfn.XLOOKUP($E4,Tab_Def_Processes[Name(EN)],Tab_Def_Processes[ID],,0,)</f>
        <v>02</v>
      </c>
      <c r="E4" s="50" t="s">
        <v>108</v>
      </c>
      <c r="F4" s="48"/>
      <c r="G4" s="48">
        <f>_xlfn.XLOOKUP(E4,Tab_Def_Processes[Name(EN)],Tab_Def_Processes[Carbon_Stock],,0,)</f>
        <v>0</v>
      </c>
      <c r="H4" s="48">
        <f>_xlfn.XLOOKUP(E4,Tab_Def_Processes[Name(EN)],Tab_Def_Processes[Life_Phase],,0,)</f>
        <v>0</v>
      </c>
      <c r="I4" s="48">
        <f>_xlfn.XLOOKUP(E4,Tab_Def_Processes[Name(EN)],Tab_Def_Processes[Description],,0,)</f>
        <v>0</v>
      </c>
      <c r="J4" s="48" t="str">
        <f>_xlfn.XLOOKUP($E4,Tab_Def_Processes[Name(EN)],Tab_Def_Processes[Process_Type],,0,)</f>
        <v>Process</v>
      </c>
      <c r="K4" s="48" t="str">
        <f>_xlfn.XLOOKUP($E4,Tab_Def_Processes[Name(EN)],Tab_Def_Processes[TC?],,0,)</f>
        <v>Yes</v>
      </c>
      <c r="L4" s="48" t="str">
        <f>_xlfn.XLOOKUP($E4,Tab_Def_Processes[Name(EN)],Tab_Def_Processes[Dyn_TC?],,0,)</f>
        <v>No</v>
      </c>
      <c r="M4" s="48" t="str">
        <f>_xlfn.XLOOKUP($E4,Tab_Def_Processes[Name(EN)],Tab_Def_Processes[Stock?],,0,)</f>
        <v>Yes</v>
      </c>
      <c r="N4" s="57" t="str">
        <f>_xlfn.XLOOKUP($E4,Tab_Def_Processes[Name(EN)],Tab_Def_Processes[Input_Flow_I_1],,0,)</f>
        <v>N.A.</v>
      </c>
      <c r="O4" s="48" t="e">
        <f>_xlfn.XLOOKUP($E4,Tab_Def_Processes[Name(EN)],Tab_Def_Processes[Flow_ID_I_1],,0,)</f>
        <v>#N/A</v>
      </c>
      <c r="P4" s="75"/>
      <c r="Q4" s="71" t="str">
        <f>_xlfn.XLOOKUP($E4,Tab_Def_Processes[Name(EN)],Tab_Def_Processes[Input_Flow_I_2],,0,)</f>
        <v>N.A.</v>
      </c>
      <c r="R4" s="48" t="e">
        <f>_xlfn.XLOOKUP($E4,Tab_Def_Processes[Name(EN)],Tab_Def_Processes[Flow_ID_I_2],,0,)</f>
        <v>#N/A</v>
      </c>
      <c r="S4" s="75"/>
      <c r="T4" s="71" t="str">
        <f>_xlfn.XLOOKUP($E4,Tab_Def_Processes[Name(EN)],Tab_Def_Processes[Input_Flow_I_3],,0,)</f>
        <v>N.A.</v>
      </c>
      <c r="U4" s="48" t="e">
        <f>_xlfn.XLOOKUP($E4,Tab_Def_Processes[Name(EN)],Tab_Def_Processes[Flow_ID_I_3],,0,)</f>
        <v>#N/A</v>
      </c>
      <c r="V4" s="75"/>
      <c r="W4" s="71" t="str">
        <f>_xlfn.XLOOKUP($E4,Tab_Def_Processes[Name(EN)],Tab_Def_Processes[Input_Flow_I_4],,0,)</f>
        <v>N.A.</v>
      </c>
      <c r="X4" s="48" t="e">
        <f>_xlfn.XLOOKUP($E4,Tab_Def_Processes[Name(EN)],Tab_Def_Processes[Flow_ID_I_4],,0,)</f>
        <v>#N/A</v>
      </c>
      <c r="Y4" s="75"/>
      <c r="Z4" s="71" t="str">
        <f>_xlfn.XLOOKUP($E4,Tab_Def_Processes[Name(EN)],Tab_Def_Processes[Input_Flow_I_5],,0,)</f>
        <v>N.A.</v>
      </c>
      <c r="AA4" s="48" t="e">
        <f>_xlfn.XLOOKUP($E4,Tab_Def_Processes[Name(EN)],Tab_Def_Processes[Flow_ID_I_5],,0,)</f>
        <v>#N/A</v>
      </c>
      <c r="AB4" s="75"/>
      <c r="AC4" s="74">
        <f>Tab_Process_TCs[[#This Row],[Flow_TC_I_1_'[%']]]+Tab_Process_TCs[[#This Row],[Flow_TC_I_2_'[%']]]+Tab_Process_TCs[[#This Row],[Flow_TC_I_3_'[%']]]+Tab_Process_TCs[[#This Row],[Flow_TC_I_4_'[%']]]+Tab_Process_TCs[[#This Row],[Flow_TC_I_5_'[%']]]</f>
        <v>0</v>
      </c>
      <c r="AD4" s="48" t="str">
        <f>_xlfn.XLOOKUP($E4,Tab_Def_Processes[Name(EN)],Tab_Def_Processes[Output_Flow_O_1],,0,)</f>
        <v>Timber Truss</v>
      </c>
      <c r="AE4" s="57" t="str">
        <f>_xlfn.XLOOKUP($E4,Tab_Def_Processes[Name(EN)],Tab_Def_Processes[Flow_ID_O_1],,0,)</f>
        <v>F_02_03</v>
      </c>
      <c r="AF4" s="100" t="str">
        <f t="shared" ref="AF4:AF7" si="6">"TC"&amp;"_"&amp;RIGHT(AE4,5)</f>
        <v>TC_02_03</v>
      </c>
      <c r="AG4" s="239">
        <v>0.6</v>
      </c>
      <c r="AH4" s="231" t="str">
        <f>_xlfn.XLOOKUP($E4,Tab_Def_Processes[Name(EN)],Tab_Def_Processes[Output_Flow_O_2],,0,)</f>
        <v>Proc_Wood Cuttings</v>
      </c>
      <c r="AI4" s="113" t="str">
        <f>_xlfn.XLOOKUP($E4,Tab_Def_Processes[Name(EN)],Tab_Def_Processes[Flow_ID_O_2],,0,)</f>
        <v>F_02_08</v>
      </c>
      <c r="AJ4" s="100" t="str">
        <f t="shared" ref="AJ4:AJ7" si="7">"TC"&amp;"_"&amp;RIGHT(AI4,5)</f>
        <v>TC_02_08</v>
      </c>
      <c r="AK4" s="228">
        <v>0.4</v>
      </c>
      <c r="AL4" s="113">
        <f>_xlfn.XLOOKUP($E4,Tab_Def_Processes[Name(EN)],Tab_Def_Processes[Output_Flow_O_3],,0,)</f>
        <v>0</v>
      </c>
      <c r="AM4" s="113" t="e">
        <f>_xlfn.XLOOKUP($E4,Tab_Def_Processes[Name(EN)],Tab_Def_Processes[Flow_ID_O_3],,0,)</f>
        <v>#N/A</v>
      </c>
      <c r="AN4" s="100" t="e">
        <f t="shared" ref="AN4:AN7" si="8">"TC"&amp;"_"&amp;RIGHT(AM4,5)</f>
        <v>#N/A</v>
      </c>
      <c r="AO4" s="109"/>
      <c r="AP4" s="74">
        <f>SUM(Tab_Process_TCs[[#This Row],[TC_O_1_'[%']]],Tab_Process_TCs[[#This Row],[TC_O_3_'[%']]],Tab_Process_TCs[[#This Row],[TC_O_2_'[%']]])</f>
        <v>1</v>
      </c>
      <c r="AQ4" s="50"/>
      <c r="AR4" s="50"/>
      <c r="AS4" s="50"/>
      <c r="AT4" s="50"/>
      <c r="AU4" s="50"/>
    </row>
    <row r="5" spans="1:47" x14ac:dyDescent="0.25">
      <c r="A5" s="87" t="b">
        <v>1</v>
      </c>
      <c r="B5" s="48">
        <f t="shared" si="0"/>
        <v>4</v>
      </c>
      <c r="C5" s="48" t="str">
        <f t="shared" si="5"/>
        <v>TC4_03_Use</v>
      </c>
      <c r="D5" s="107" t="str">
        <f>_xlfn.XLOOKUP($E5,Tab_Def_Processes[Name(EN)],Tab_Def_Processes[ID],,0,)</f>
        <v>03</v>
      </c>
      <c r="E5" s="50" t="s">
        <v>112</v>
      </c>
      <c r="F5" s="48"/>
      <c r="G5" s="48">
        <f>_xlfn.XLOOKUP(E5,Tab_Def_Processes[Name(EN)],Tab_Def_Processes[Carbon_Stock],,0,)</f>
        <v>0</v>
      </c>
      <c r="H5" s="48">
        <f>_xlfn.XLOOKUP(E5,Tab_Def_Processes[Name(EN)],Tab_Def_Processes[Life_Phase],,0,)</f>
        <v>0</v>
      </c>
      <c r="I5" s="48">
        <f>_xlfn.XLOOKUP(E5,Tab_Def_Processes[Name(EN)],Tab_Def_Processes[Description],,0,)</f>
        <v>0</v>
      </c>
      <c r="J5" s="48" t="str">
        <f>_xlfn.XLOOKUP($E5,Tab_Def_Processes[Name(EN)],Tab_Def_Processes[Process_Type],,0,)</f>
        <v>Process</v>
      </c>
      <c r="K5" s="48" t="str">
        <f>_xlfn.XLOOKUP($E5,Tab_Def_Processes[Name(EN)],Tab_Def_Processes[TC?],,0,)</f>
        <v>Yes</v>
      </c>
      <c r="L5" s="48" t="str">
        <f>_xlfn.XLOOKUP($E5,Tab_Def_Processes[Name(EN)],Tab_Def_Processes[Dyn_TC?],,0,)</f>
        <v>No</v>
      </c>
      <c r="M5" s="48" t="str">
        <f>_xlfn.XLOOKUP($E5,Tab_Def_Processes[Name(EN)],Tab_Def_Processes[Stock?],,0,)</f>
        <v>Yes</v>
      </c>
      <c r="N5" s="57" t="str">
        <f>_xlfn.XLOOKUP($E5,Tab_Def_Processes[Name(EN)],Tab_Def_Processes[Input_Flow_I_1],,0,)</f>
        <v>N.A.</v>
      </c>
      <c r="O5" s="48" t="e">
        <f>_xlfn.XLOOKUP($E5,Tab_Def_Processes[Name(EN)],Tab_Def_Processes[Flow_ID_I_1],,0,)</f>
        <v>#N/A</v>
      </c>
      <c r="P5" s="75"/>
      <c r="Q5" s="71" t="str">
        <f>_xlfn.XLOOKUP($E5,Tab_Def_Processes[Name(EN)],Tab_Def_Processes[Input_Flow_I_2],,0,)</f>
        <v>N.A.</v>
      </c>
      <c r="R5" s="48" t="e">
        <f>_xlfn.XLOOKUP($E5,Tab_Def_Processes[Name(EN)],Tab_Def_Processes[Flow_ID_I_2],,0,)</f>
        <v>#N/A</v>
      </c>
      <c r="S5" s="75"/>
      <c r="T5" s="71" t="str">
        <f>_xlfn.XLOOKUP($E5,Tab_Def_Processes[Name(EN)],Tab_Def_Processes[Input_Flow_I_3],,0,)</f>
        <v>N.A.</v>
      </c>
      <c r="U5" s="48" t="e">
        <f>_xlfn.XLOOKUP($E5,Tab_Def_Processes[Name(EN)],Tab_Def_Processes[Flow_ID_I_3],,0,)</f>
        <v>#N/A</v>
      </c>
      <c r="V5" s="75"/>
      <c r="W5" s="71" t="str">
        <f>_xlfn.XLOOKUP($E5,Tab_Def_Processes[Name(EN)],Tab_Def_Processes[Input_Flow_I_4],,0,)</f>
        <v>N.A.</v>
      </c>
      <c r="X5" s="48" t="e">
        <f>_xlfn.XLOOKUP($E5,Tab_Def_Processes[Name(EN)],Tab_Def_Processes[Flow_ID_I_4],,0,)</f>
        <v>#N/A</v>
      </c>
      <c r="Y5" s="75"/>
      <c r="Z5" s="71" t="str">
        <f>_xlfn.XLOOKUP($E5,Tab_Def_Processes[Name(EN)],Tab_Def_Processes[Input_Flow_I_5],,0,)</f>
        <v>N.A.</v>
      </c>
      <c r="AA5" s="48" t="e">
        <f>_xlfn.XLOOKUP($E5,Tab_Def_Processes[Name(EN)],Tab_Def_Processes[Flow_ID_I_5],,0,)</f>
        <v>#N/A</v>
      </c>
      <c r="AB5" s="75"/>
      <c r="AC5" s="74">
        <f>Tab_Process_TCs[[#This Row],[Flow_TC_I_1_'[%']]]+Tab_Process_TCs[[#This Row],[Flow_TC_I_2_'[%']]]+Tab_Process_TCs[[#This Row],[Flow_TC_I_3_'[%']]]+Tab_Process_TCs[[#This Row],[Flow_TC_I_4_'[%']]]+Tab_Process_TCs[[#This Row],[Flow_TC_I_5_'[%']]]</f>
        <v>0</v>
      </c>
      <c r="AD5" s="48" t="str">
        <f>_xlfn.XLOOKUP($E5,Tab_Def_Processes[Name(EN)],Tab_Def_Processes[Output_Flow_O_1],,0,)</f>
        <v>Timber Truss</v>
      </c>
      <c r="AE5" s="57" t="str">
        <f>_xlfn.XLOOKUP($E5,Tab_Def_Processes[Name(EN)],Tab_Def_Processes[Flow_ID_O_1],,0,)</f>
        <v>F_02_03</v>
      </c>
      <c r="AF5" s="100" t="str">
        <f t="shared" si="6"/>
        <v>TC_02_03</v>
      </c>
      <c r="AG5" s="239">
        <v>0.1</v>
      </c>
      <c r="AH5" s="231" t="str">
        <f>_xlfn.XLOOKUP($E5,Tab_Def_Processes[Name(EN)],Tab_Def_Processes[Output_Flow_O_2],,0,)</f>
        <v>Wood Beam for Reuse</v>
      </c>
      <c r="AI5" s="113" t="str">
        <f>_xlfn.XLOOKUP($E5,Tab_Def_Processes[Name(EN)],Tab_Def_Processes[Flow_ID_O_2],,0,)</f>
        <v>F_03_04</v>
      </c>
      <c r="AJ5" s="100" t="str">
        <f t="shared" si="7"/>
        <v>TC_03_04</v>
      </c>
      <c r="AK5" s="228">
        <v>0.01</v>
      </c>
      <c r="AL5" s="113" t="str">
        <f>_xlfn.XLOOKUP($E5,Tab_Def_Processes[Name(EN)],Tab_Def_Processes[Output_Flow_O_3],,0,)</f>
        <v>Waste Wood</v>
      </c>
      <c r="AM5" s="113" t="str">
        <f>_xlfn.XLOOKUP($E5,Tab_Def_Processes[Name(EN)],Tab_Def_Processes[Flow_ID_O_3],,0,)</f>
        <v>F_03_05</v>
      </c>
      <c r="AN5" s="100" t="str">
        <f t="shared" si="8"/>
        <v>TC_03_05</v>
      </c>
      <c r="AO5" s="109">
        <v>0.89</v>
      </c>
      <c r="AP5" s="74">
        <f>SUM(Tab_Process_TCs[[#This Row],[TC_O_1_'[%']]],Tab_Process_TCs[[#This Row],[TC_O_3_'[%']]],Tab_Process_TCs[[#This Row],[TC_O_2_'[%']]])</f>
        <v>1</v>
      </c>
      <c r="AQ5" s="50"/>
      <c r="AR5" s="50"/>
      <c r="AS5" s="50"/>
      <c r="AT5" s="50"/>
      <c r="AU5" s="50"/>
    </row>
    <row r="6" spans="1:47" x14ac:dyDescent="0.25">
      <c r="A6" s="87" t="b">
        <v>1</v>
      </c>
      <c r="B6" s="48">
        <f t="shared" si="0"/>
        <v>5</v>
      </c>
      <c r="C6" s="48" t="str">
        <f t="shared" si="5"/>
        <v>TC5_04_Ref</v>
      </c>
      <c r="D6" s="107" t="str">
        <f>_xlfn.XLOOKUP($E6,Tab_Def_Processes[Name(EN)],Tab_Def_Processes[ID],,0,)</f>
        <v>04</v>
      </c>
      <c r="E6" s="50" t="s">
        <v>115</v>
      </c>
      <c r="F6" s="48"/>
      <c r="G6" s="48">
        <f>_xlfn.XLOOKUP(E6,Tab_Def_Processes[Name(EN)],Tab_Def_Processes[Carbon_Stock],,0,)</f>
        <v>0</v>
      </c>
      <c r="H6" s="48">
        <f>_xlfn.XLOOKUP(E6,Tab_Def_Processes[Name(EN)],Tab_Def_Processes[Life_Phase],,0,)</f>
        <v>0</v>
      </c>
      <c r="I6" s="48">
        <f>_xlfn.XLOOKUP(E6,Tab_Def_Processes[Name(EN)],Tab_Def_Processes[Description],,0,)</f>
        <v>0</v>
      </c>
      <c r="J6" s="48" t="str">
        <f>_xlfn.XLOOKUP($E6,Tab_Def_Processes[Name(EN)],Tab_Def_Processes[Process_Type],,0,)</f>
        <v>Process</v>
      </c>
      <c r="K6" s="48" t="str">
        <f>_xlfn.XLOOKUP($E6,Tab_Def_Processes[Name(EN)],Tab_Def_Processes[TC?],,0,)</f>
        <v>Yes</v>
      </c>
      <c r="L6" s="48" t="str">
        <f>_xlfn.XLOOKUP($E6,Tab_Def_Processes[Name(EN)],Tab_Def_Processes[Dyn_TC?],,0,)</f>
        <v>No</v>
      </c>
      <c r="M6" s="48" t="str">
        <f>_xlfn.XLOOKUP($E6,Tab_Def_Processes[Name(EN)],Tab_Def_Processes[Stock?],,0,)</f>
        <v>No</v>
      </c>
      <c r="N6" s="57" t="str">
        <f>_xlfn.XLOOKUP($E6,Tab_Def_Processes[Name(EN)],Tab_Def_Processes[Input_Flow_I_1],,0,)</f>
        <v>N.A.</v>
      </c>
      <c r="O6" s="48" t="e">
        <f>_xlfn.XLOOKUP($E6,Tab_Def_Processes[Name(EN)],Tab_Def_Processes[Flow_ID_I_1],,0,)</f>
        <v>#N/A</v>
      </c>
      <c r="P6" s="75"/>
      <c r="Q6" s="71" t="str">
        <f>_xlfn.XLOOKUP($E6,Tab_Def_Processes[Name(EN)],Tab_Def_Processes[Input_Flow_I_2],,0,)</f>
        <v>N.A.</v>
      </c>
      <c r="R6" s="48" t="e">
        <f>_xlfn.XLOOKUP($E6,Tab_Def_Processes[Name(EN)],Tab_Def_Processes[Flow_ID_I_2],,0,)</f>
        <v>#N/A</v>
      </c>
      <c r="S6" s="75"/>
      <c r="T6" s="71" t="str">
        <f>_xlfn.XLOOKUP($E6,Tab_Def_Processes[Name(EN)],Tab_Def_Processes[Input_Flow_I_3],,0,)</f>
        <v>N.A.</v>
      </c>
      <c r="U6" s="48" t="e">
        <f>_xlfn.XLOOKUP($E6,Tab_Def_Processes[Name(EN)],Tab_Def_Processes[Flow_ID_I_3],,0,)</f>
        <v>#N/A</v>
      </c>
      <c r="V6" s="75"/>
      <c r="W6" s="71" t="str">
        <f>_xlfn.XLOOKUP($E6,Tab_Def_Processes[Name(EN)],Tab_Def_Processes[Input_Flow_I_4],,0,)</f>
        <v>N.A.</v>
      </c>
      <c r="X6" s="48" t="e">
        <f>_xlfn.XLOOKUP($E6,Tab_Def_Processes[Name(EN)],Tab_Def_Processes[Flow_ID_I_4],,0,)</f>
        <v>#N/A</v>
      </c>
      <c r="Y6" s="75"/>
      <c r="Z6" s="71" t="str">
        <f>_xlfn.XLOOKUP($E6,Tab_Def_Processes[Name(EN)],Tab_Def_Processes[Input_Flow_I_5],,0,)</f>
        <v>N.A.</v>
      </c>
      <c r="AA6" s="48" t="e">
        <f>_xlfn.XLOOKUP($E6,Tab_Def_Processes[Name(EN)],Tab_Def_Processes[Flow_ID_I_5],,0,)</f>
        <v>#N/A</v>
      </c>
      <c r="AB6" s="75"/>
      <c r="AC6" s="74">
        <f>Tab_Process_TCs[[#This Row],[Flow_TC_I_1_'[%']]]+Tab_Process_TCs[[#This Row],[Flow_TC_I_2_'[%']]]+Tab_Process_TCs[[#This Row],[Flow_TC_I_3_'[%']]]+Tab_Process_TCs[[#This Row],[Flow_TC_I_4_'[%']]]+Tab_Process_TCs[[#This Row],[Flow_TC_I_5_'[%']]]</f>
        <v>0</v>
      </c>
      <c r="AD6" s="48" t="str">
        <f>_xlfn.XLOOKUP($E6,Tab_Def_Processes[Name(EN)],Tab_Def_Processes[Output_Flow_O_1],,0,)</f>
        <v>Refurbished wood</v>
      </c>
      <c r="AE6" s="57" t="str">
        <f>_xlfn.XLOOKUP($E6,Tab_Def_Processes[Name(EN)],Tab_Def_Processes[Flow_ID_O_1],,0,)</f>
        <v>F_04_03</v>
      </c>
      <c r="AF6" s="100" t="str">
        <f t="shared" si="6"/>
        <v>TC_04_03</v>
      </c>
      <c r="AG6" s="239">
        <v>0.95</v>
      </c>
      <c r="AH6" s="231" t="str">
        <f>_xlfn.XLOOKUP($E6,Tab_Def_Processes[Name(EN)],Tab_Def_Processes[Output_Flow_O_2],,0,)</f>
        <v>SecMaterial</v>
      </c>
      <c r="AI6" s="113" t="str">
        <f>_xlfn.XLOOKUP($E6,Tab_Def_Processes[Name(EN)],Tab_Def_Processes[Flow_ID_O_2],,0,)</f>
        <v>F_04_08</v>
      </c>
      <c r="AJ6" s="100" t="str">
        <f t="shared" si="7"/>
        <v>TC_04_08</v>
      </c>
      <c r="AK6" s="228">
        <v>0.05</v>
      </c>
      <c r="AL6" s="113">
        <f>_xlfn.XLOOKUP($E6,Tab_Def_Processes[Name(EN)],Tab_Def_Processes[Output_Flow_O_3],,0,)</f>
        <v>0</v>
      </c>
      <c r="AM6" s="113" t="e">
        <f>_xlfn.XLOOKUP($E6,Tab_Def_Processes[Name(EN)],Tab_Def_Processes[Flow_ID_O_3],,0,)</f>
        <v>#N/A</v>
      </c>
      <c r="AN6" s="100" t="e">
        <f t="shared" si="8"/>
        <v>#N/A</v>
      </c>
      <c r="AO6" s="109"/>
      <c r="AP6" s="74">
        <f>SUM(Tab_Process_TCs[[#This Row],[TC_O_1_'[%']]],Tab_Process_TCs[[#This Row],[TC_O_3_'[%']]],Tab_Process_TCs[[#This Row],[TC_O_2_'[%']]])</f>
        <v>1</v>
      </c>
      <c r="AQ6" s="50"/>
      <c r="AR6" s="50"/>
      <c r="AS6" s="50"/>
      <c r="AT6" s="50"/>
      <c r="AU6" s="50"/>
    </row>
    <row r="7" spans="1:47" x14ac:dyDescent="0.25">
      <c r="A7" s="87" t="b">
        <v>1</v>
      </c>
      <c r="B7" s="48">
        <f t="shared" si="0"/>
        <v>6</v>
      </c>
      <c r="C7" s="48" t="str">
        <f t="shared" si="5"/>
        <v>TC6_05_Deg</v>
      </c>
      <c r="D7" s="107" t="str">
        <f>_xlfn.XLOOKUP($E7,Tab_Def_Processes[Name(EN)],Tab_Def_Processes[ID],,0,)</f>
        <v>05</v>
      </c>
      <c r="E7" s="50" t="s">
        <v>119</v>
      </c>
      <c r="F7" s="48"/>
      <c r="G7" s="48">
        <f>_xlfn.XLOOKUP(E7,Tab_Def_Processes[Name(EN)],Tab_Def_Processes[Carbon_Stock],,0,)</f>
        <v>0</v>
      </c>
      <c r="H7" s="48">
        <f>_xlfn.XLOOKUP(E7,Tab_Def_Processes[Name(EN)],Tab_Def_Processes[Life_Phase],,0,)</f>
        <v>0</v>
      </c>
      <c r="I7" s="48">
        <f>_xlfn.XLOOKUP(E7,Tab_Def_Processes[Name(EN)],Tab_Def_Processes[Description],,0,)</f>
        <v>0</v>
      </c>
      <c r="J7" s="48" t="str">
        <f>_xlfn.XLOOKUP($E7,Tab_Def_Processes[Name(EN)],Tab_Def_Processes[Process_Type],,0,)</f>
        <v>Process</v>
      </c>
      <c r="K7" s="48" t="str">
        <f>_xlfn.XLOOKUP($E7,Tab_Def_Processes[Name(EN)],Tab_Def_Processes[TC?],,0,)</f>
        <v>Yes</v>
      </c>
      <c r="L7" s="48" t="str">
        <f>_xlfn.XLOOKUP($E7,Tab_Def_Processes[Name(EN)],Tab_Def_Processes[Dyn_TC?],,0,)</f>
        <v>No</v>
      </c>
      <c r="M7" s="48" t="str">
        <f>_xlfn.XLOOKUP($E7,Tab_Def_Processes[Name(EN)],Tab_Def_Processes[Stock?],,0,)</f>
        <v>No</v>
      </c>
      <c r="N7" s="57" t="str">
        <f>_xlfn.XLOOKUP($E7,Tab_Def_Processes[Name(EN)],Tab_Def_Processes[Input_Flow_I_1],,0,)</f>
        <v>N.A.</v>
      </c>
      <c r="O7" s="48" t="e">
        <f>_xlfn.XLOOKUP($E7,Tab_Def_Processes[Name(EN)],Tab_Def_Processes[Flow_ID_I_1],,0,)</f>
        <v>#N/A</v>
      </c>
      <c r="P7" s="75"/>
      <c r="Q7" s="71" t="str">
        <f>_xlfn.XLOOKUP($E7,Tab_Def_Processes[Name(EN)],Tab_Def_Processes[Input_Flow_I_2],,0,)</f>
        <v>N.A.</v>
      </c>
      <c r="R7" s="48" t="e">
        <f>_xlfn.XLOOKUP($E7,Tab_Def_Processes[Name(EN)],Tab_Def_Processes[Flow_ID_I_2],,0,)</f>
        <v>#N/A</v>
      </c>
      <c r="S7" s="75"/>
      <c r="T7" s="71" t="str">
        <f>_xlfn.XLOOKUP($E7,Tab_Def_Processes[Name(EN)],Tab_Def_Processes[Input_Flow_I_3],,0,)</f>
        <v>N.A.</v>
      </c>
      <c r="U7" s="48" t="e">
        <f>_xlfn.XLOOKUP($E7,Tab_Def_Processes[Name(EN)],Tab_Def_Processes[Flow_ID_I_3],,0,)</f>
        <v>#N/A</v>
      </c>
      <c r="V7" s="75"/>
      <c r="W7" s="71" t="str">
        <f>_xlfn.XLOOKUP($E7,Tab_Def_Processes[Name(EN)],Tab_Def_Processes[Input_Flow_I_4],,0,)</f>
        <v>N.A.</v>
      </c>
      <c r="X7" s="48" t="e">
        <f>_xlfn.XLOOKUP($E7,Tab_Def_Processes[Name(EN)],Tab_Def_Processes[Flow_ID_I_4],,0,)</f>
        <v>#N/A</v>
      </c>
      <c r="Y7" s="75"/>
      <c r="Z7" s="71" t="str">
        <f>_xlfn.XLOOKUP($E7,Tab_Def_Processes[Name(EN)],Tab_Def_Processes[Input_Flow_I_5],,0,)</f>
        <v>N.A.</v>
      </c>
      <c r="AA7" s="48" t="e">
        <f>_xlfn.XLOOKUP($E7,Tab_Def_Processes[Name(EN)],Tab_Def_Processes[Flow_ID_I_5],,0,)</f>
        <v>#N/A</v>
      </c>
      <c r="AB7" s="75"/>
      <c r="AC7" s="74">
        <f>Tab_Process_TCs[[#This Row],[Flow_TC_I_1_'[%']]]+Tab_Process_TCs[[#This Row],[Flow_TC_I_2_'[%']]]+Tab_Process_TCs[[#This Row],[Flow_TC_I_3_'[%']]]+Tab_Process_TCs[[#This Row],[Flow_TC_I_4_'[%']]]+Tab_Process_TCs[[#This Row],[Flow_TC_I_5_'[%']]]</f>
        <v>0</v>
      </c>
      <c r="AD7" s="48" t="str">
        <f>_xlfn.XLOOKUP($E7,Tab_Def_Processes[Name(EN)],Tab_Def_Processes[Output_Flow_O_1],,0,)</f>
        <v>Deg_Atm_Carbon</v>
      </c>
      <c r="AE7" s="57" t="str">
        <f>_xlfn.XLOOKUP($E7,Tab_Def_Processes[Name(EN)],Tab_Def_Processes[Flow_ID_O_1],,0,)</f>
        <v>F_05_07</v>
      </c>
      <c r="AF7" s="100" t="str">
        <f t="shared" si="6"/>
        <v>TC_05_07</v>
      </c>
      <c r="AG7" s="239">
        <v>0.05</v>
      </c>
      <c r="AH7" s="231" t="str">
        <f>_xlfn.XLOOKUP($E7,Tab_Def_Processes[Name(EN)],Tab_Def_Processes[Output_Flow_O_2],,0,)</f>
        <v>Deg_Bio</v>
      </c>
      <c r="AI7" s="113" t="str">
        <f>_xlfn.XLOOKUP($E7,Tab_Def_Processes[Name(EN)],Tab_Def_Processes[Flow_ID_O_2],,0,)</f>
        <v>F_05_00</v>
      </c>
      <c r="AJ7" s="100" t="str">
        <f t="shared" si="7"/>
        <v>TC_05_00</v>
      </c>
      <c r="AK7" s="228">
        <v>0.95</v>
      </c>
      <c r="AL7" s="113">
        <f>_xlfn.XLOOKUP($E7,Tab_Def_Processes[Name(EN)],Tab_Def_Processes[Output_Flow_O_3],,0,)</f>
        <v>0</v>
      </c>
      <c r="AM7" s="113" t="e">
        <f>_xlfn.XLOOKUP($E7,Tab_Def_Processes[Name(EN)],Tab_Def_Processes[Flow_ID_O_3],,0,)</f>
        <v>#N/A</v>
      </c>
      <c r="AN7" s="100" t="e">
        <f t="shared" si="8"/>
        <v>#N/A</v>
      </c>
      <c r="AO7" s="109"/>
      <c r="AP7" s="74">
        <f>SUM(Tab_Process_TCs[[#This Row],[TC_O_1_'[%']]],Tab_Process_TCs[[#This Row],[TC_O_3_'[%']]],Tab_Process_TCs[[#This Row],[TC_O_2_'[%']]])</f>
        <v>1</v>
      </c>
      <c r="AQ7" s="50"/>
      <c r="AR7" s="50"/>
      <c r="AS7" s="50"/>
      <c r="AT7" s="50"/>
      <c r="AU7" s="50"/>
    </row>
    <row r="8" spans="1:47" x14ac:dyDescent="0.25">
      <c r="A8" s="87" t="b">
        <v>1</v>
      </c>
      <c r="B8" s="48">
        <f t="shared" si="0"/>
        <v>7</v>
      </c>
      <c r="C8" s="48" t="str">
        <f t="shared" ref="C8:C10" si="9">"TC"&amp;LEFT(B8,2)&amp;"_"&amp;LEFT(D8,3)&amp;"_"&amp;LEFT(E8,3)</f>
        <v>TC7_06_Inc</v>
      </c>
      <c r="D8" s="107" t="str">
        <f>_xlfn.XLOOKUP($E8,Tab_Def_Processes[Name(EN)],Tab_Def_Processes[ID],,0,)</f>
        <v>06</v>
      </c>
      <c r="E8" s="50" t="s">
        <v>117</v>
      </c>
      <c r="F8" s="48"/>
      <c r="G8" s="48">
        <f>_xlfn.XLOOKUP(E8,Tab_Def_Processes[Name(EN)],Tab_Def_Processes[Carbon_Stock],,0,)</f>
        <v>0</v>
      </c>
      <c r="H8" s="48">
        <f>_xlfn.XLOOKUP(E8,Tab_Def_Processes[Name(EN)],Tab_Def_Processes[Life_Phase],,0,)</f>
        <v>0</v>
      </c>
      <c r="I8" s="48">
        <f>_xlfn.XLOOKUP(E8,Tab_Def_Processes[Name(EN)],Tab_Def_Processes[Description],,0,)</f>
        <v>0</v>
      </c>
      <c r="J8" s="48" t="str">
        <f>_xlfn.XLOOKUP($E8,Tab_Def_Processes[Name(EN)],Tab_Def_Processes[Process_Type],,0,)</f>
        <v>Process</v>
      </c>
      <c r="K8" s="48" t="str">
        <f>_xlfn.XLOOKUP($E8,Tab_Def_Processes[Name(EN)],Tab_Def_Processes[TC?],,0,)</f>
        <v>Yes</v>
      </c>
      <c r="L8" s="48" t="str">
        <f>_xlfn.XLOOKUP($E8,Tab_Def_Processes[Name(EN)],Tab_Def_Processes[Dyn_TC?],,0,)</f>
        <v>No</v>
      </c>
      <c r="M8" s="48" t="str">
        <f>_xlfn.XLOOKUP($E8,Tab_Def_Processes[Name(EN)],Tab_Def_Processes[Stock?],,0,)</f>
        <v>No</v>
      </c>
      <c r="N8" s="57" t="str">
        <f>_xlfn.XLOOKUP($E8,Tab_Def_Processes[Name(EN)],Tab_Def_Processes[Input_Flow_I_1],,0,)</f>
        <v>N.A.</v>
      </c>
      <c r="O8" s="48" t="e">
        <f>_xlfn.XLOOKUP($E8,Tab_Def_Processes[Name(EN)],Tab_Def_Processes[Flow_ID_I_1],,0,)</f>
        <v>#N/A</v>
      </c>
      <c r="P8" s="75"/>
      <c r="Q8" s="71" t="str">
        <f>_xlfn.XLOOKUP($E8,Tab_Def_Processes[Name(EN)],Tab_Def_Processes[Input_Flow_I_2],,0,)</f>
        <v>N.A.</v>
      </c>
      <c r="R8" s="48" t="e">
        <f>_xlfn.XLOOKUP($E8,Tab_Def_Processes[Name(EN)],Tab_Def_Processes[Flow_ID_I_2],,0,)</f>
        <v>#N/A</v>
      </c>
      <c r="S8" s="75"/>
      <c r="T8" s="71" t="str">
        <f>_xlfn.XLOOKUP($E8,Tab_Def_Processes[Name(EN)],Tab_Def_Processes[Input_Flow_I_3],,0,)</f>
        <v>N.A.</v>
      </c>
      <c r="U8" s="48" t="e">
        <f>_xlfn.XLOOKUP($E8,Tab_Def_Processes[Name(EN)],Tab_Def_Processes[Flow_ID_I_3],,0,)</f>
        <v>#N/A</v>
      </c>
      <c r="V8" s="75"/>
      <c r="W8" s="71" t="str">
        <f>_xlfn.XLOOKUP($E8,Tab_Def_Processes[Name(EN)],Tab_Def_Processes[Input_Flow_I_4],,0,)</f>
        <v>N.A.</v>
      </c>
      <c r="X8" s="48" t="e">
        <f>_xlfn.XLOOKUP($E8,Tab_Def_Processes[Name(EN)],Tab_Def_Processes[Flow_ID_I_4],,0,)</f>
        <v>#N/A</v>
      </c>
      <c r="Y8" s="75"/>
      <c r="Z8" s="71" t="str">
        <f>_xlfn.XLOOKUP($E8,Tab_Def_Processes[Name(EN)],Tab_Def_Processes[Input_Flow_I_5],,0,)</f>
        <v>N.A.</v>
      </c>
      <c r="AA8" s="48" t="e">
        <f>_xlfn.XLOOKUP($E8,Tab_Def_Processes[Name(EN)],Tab_Def_Processes[Flow_ID_I_5],,0,)</f>
        <v>#N/A</v>
      </c>
      <c r="AB8" s="75"/>
      <c r="AC8" s="74">
        <f>Tab_Process_TCs[[#This Row],[Flow_TC_I_1_'[%']]]+Tab_Process_TCs[[#This Row],[Flow_TC_I_2_'[%']]]+Tab_Process_TCs[[#This Row],[Flow_TC_I_3_'[%']]]+Tab_Process_TCs[[#This Row],[Flow_TC_I_4_'[%']]]+Tab_Process_TCs[[#This Row],[Flow_TC_I_5_'[%']]]</f>
        <v>0</v>
      </c>
      <c r="AD8" s="48" t="str">
        <f>_xlfn.XLOOKUP($E8,Tab_Def_Processes[Name(EN)],Tab_Def_Processes[Output_Flow_O_1],,0,)</f>
        <v>Inc_Ash_Ant</v>
      </c>
      <c r="AE8" s="57" t="str">
        <f>_xlfn.XLOOKUP($E8,Tab_Def_Processes[Name(EN)],Tab_Def_Processes[Flow_ID_O_1],,0,)</f>
        <v>F_06_08</v>
      </c>
      <c r="AF8" s="100" t="str">
        <f t="shared" ref="AF8:AF10" si="10">"TC"&amp;"_"&amp;RIGHT(AE8,5)</f>
        <v>TC_06_08</v>
      </c>
      <c r="AG8" s="239">
        <v>0.99</v>
      </c>
      <c r="AH8" s="231" t="str">
        <f>_xlfn.XLOOKUP($E8,Tab_Def_Processes[Name(EN)],Tab_Def_Processes[Output_Flow_O_2],,0,)</f>
        <v>Inc_Carbon_Atm</v>
      </c>
      <c r="AI8" s="113" t="str">
        <f>_xlfn.XLOOKUP($E8,Tab_Def_Processes[Name(EN)],Tab_Def_Processes[Flow_ID_O_2],,0,)</f>
        <v>F_06_07</v>
      </c>
      <c r="AJ8" s="100" t="str">
        <f t="shared" ref="AJ8:AJ10" si="11">"TC"&amp;"_"&amp;RIGHT(AI8,5)</f>
        <v>TC_06_07</v>
      </c>
      <c r="AK8" s="228">
        <v>0.01</v>
      </c>
      <c r="AL8" s="113">
        <f>_xlfn.XLOOKUP($E8,Tab_Def_Processes[Name(EN)],Tab_Def_Processes[Output_Flow_O_3],,0,)</f>
        <v>0</v>
      </c>
      <c r="AM8" s="113" t="e">
        <f>_xlfn.XLOOKUP($E8,Tab_Def_Processes[Name(EN)],Tab_Def_Processes[Flow_ID_O_3],,0,)</f>
        <v>#N/A</v>
      </c>
      <c r="AN8" s="100" t="e">
        <f t="shared" ref="AN8:AN10" si="12">"TC"&amp;"_"&amp;RIGHT(AM8,5)</f>
        <v>#N/A</v>
      </c>
      <c r="AO8" s="109"/>
      <c r="AP8" s="74">
        <f>SUM(Tab_Process_TCs[[#This Row],[TC_O_1_'[%']]],Tab_Process_TCs[[#This Row],[TC_O_3_'[%']]],Tab_Process_TCs[[#This Row],[TC_O_2_'[%']]])</f>
        <v>1</v>
      </c>
      <c r="AQ8" s="50"/>
      <c r="AR8" s="50"/>
      <c r="AS8" s="50"/>
      <c r="AT8" s="50"/>
      <c r="AU8" s="50"/>
    </row>
    <row r="9" spans="1:47" hidden="1" x14ac:dyDescent="0.25">
      <c r="A9" s="87" t="b">
        <v>1</v>
      </c>
      <c r="B9" s="48">
        <f t="shared" si="0"/>
        <v>8</v>
      </c>
      <c r="C9" s="48" t="str">
        <f t="shared" si="9"/>
        <v>TC8_07_Atm</v>
      </c>
      <c r="D9" s="107" t="str">
        <f>_xlfn.XLOOKUP($E9,Tab_Def_Processes[Name(EN)],Tab_Def_Processes[ID],,0,)</f>
        <v>07</v>
      </c>
      <c r="E9" s="50" t="s">
        <v>43</v>
      </c>
      <c r="F9" s="48"/>
      <c r="G9" s="48">
        <f>_xlfn.XLOOKUP(E9,Tab_Def_Processes[Name(EN)],Tab_Def_Processes[Carbon_Stock],,0,)</f>
        <v>0</v>
      </c>
      <c r="H9" s="48">
        <f>_xlfn.XLOOKUP(E9,Tab_Def_Processes[Name(EN)],Tab_Def_Processes[Life_Phase],,0,)</f>
        <v>0</v>
      </c>
      <c r="I9" s="48">
        <f>_xlfn.XLOOKUP(E9,Tab_Def_Processes[Name(EN)],Tab_Def_Processes[Description],,0,)</f>
        <v>0</v>
      </c>
      <c r="J9" s="48" t="str">
        <f>_xlfn.XLOOKUP($E9,Tab_Def_Processes[Name(EN)],Tab_Def_Processes[Process_Type],,0,)</f>
        <v>Process</v>
      </c>
      <c r="K9" s="48" t="str">
        <f>_xlfn.XLOOKUP($E9,Tab_Def_Processes[Name(EN)],Tab_Def_Processes[TC?],,0,)</f>
        <v>No</v>
      </c>
      <c r="L9" s="48" t="str">
        <f>_xlfn.XLOOKUP($E9,Tab_Def_Processes[Name(EN)],Tab_Def_Processes[Dyn_TC?],,0,)</f>
        <v>No</v>
      </c>
      <c r="M9" s="48" t="str">
        <f>_xlfn.XLOOKUP($E9,Tab_Def_Processes[Name(EN)],Tab_Def_Processes[Stock?],,0,)</f>
        <v>Yes</v>
      </c>
      <c r="N9" s="57" t="str">
        <f>_xlfn.XLOOKUP($E9,Tab_Def_Processes[Name(EN)],Tab_Def_Processes[Input_Flow_I_1],,0,)</f>
        <v>N.A.</v>
      </c>
      <c r="O9" s="48" t="e">
        <f>_xlfn.XLOOKUP($E9,Tab_Def_Processes[Name(EN)],Tab_Def_Processes[Flow_ID_I_1],,0,)</f>
        <v>#N/A</v>
      </c>
      <c r="P9" s="75"/>
      <c r="Q9" s="71" t="str">
        <f>_xlfn.XLOOKUP($E9,Tab_Def_Processes[Name(EN)],Tab_Def_Processes[Input_Flow_I_2],,0,)</f>
        <v>N.A.</v>
      </c>
      <c r="R9" s="48" t="e">
        <f>_xlfn.XLOOKUP($E9,Tab_Def_Processes[Name(EN)],Tab_Def_Processes[Flow_ID_I_2],,0,)</f>
        <v>#N/A</v>
      </c>
      <c r="S9" s="75"/>
      <c r="T9" s="71" t="str">
        <f>_xlfn.XLOOKUP($E9,Tab_Def_Processes[Name(EN)],Tab_Def_Processes[Input_Flow_I_3],,0,)</f>
        <v>N.A.</v>
      </c>
      <c r="U9" s="48" t="e">
        <f>_xlfn.XLOOKUP($E9,Tab_Def_Processes[Name(EN)],Tab_Def_Processes[Flow_ID_I_3],,0,)</f>
        <v>#N/A</v>
      </c>
      <c r="V9" s="75"/>
      <c r="W9" s="71" t="str">
        <f>_xlfn.XLOOKUP($E9,Tab_Def_Processes[Name(EN)],Tab_Def_Processes[Input_Flow_I_4],,0,)</f>
        <v>N.A.</v>
      </c>
      <c r="X9" s="48" t="e">
        <f>_xlfn.XLOOKUP($E9,Tab_Def_Processes[Name(EN)],Tab_Def_Processes[Flow_ID_I_4],,0,)</f>
        <v>#N/A</v>
      </c>
      <c r="Y9" s="75"/>
      <c r="Z9" s="71" t="str">
        <f>_xlfn.XLOOKUP($E9,Tab_Def_Processes[Name(EN)],Tab_Def_Processes[Input_Flow_I_5],,0,)</f>
        <v>N.A.</v>
      </c>
      <c r="AA9" s="48" t="e">
        <f>_xlfn.XLOOKUP($E9,Tab_Def_Processes[Name(EN)],Tab_Def_Processes[Flow_ID_I_5],,0,)</f>
        <v>#N/A</v>
      </c>
      <c r="AB9" s="75"/>
      <c r="AC9" s="74">
        <f>Tab_Process_TCs[[#This Row],[Flow_TC_I_1_'[%']]]+Tab_Process_TCs[[#This Row],[Flow_TC_I_2_'[%']]]+Tab_Process_TCs[[#This Row],[Flow_TC_I_3_'[%']]]+Tab_Process_TCs[[#This Row],[Flow_TC_I_4_'[%']]]+Tab_Process_TCs[[#This Row],[Flow_TC_I_5_'[%']]]</f>
        <v>0</v>
      </c>
      <c r="AD9" s="48" t="str">
        <f>_xlfn.XLOOKUP($E9,Tab_Def_Processes[Name(EN)],Tab_Def_Processes[Output_Flow_O_1],,0,)</f>
        <v>Atm_Bio</v>
      </c>
      <c r="AE9" s="57" t="str">
        <f>_xlfn.XLOOKUP($E9,Tab_Def_Processes[Name(EN)],Tab_Def_Processes[Flow_ID_O_1],,0,)</f>
        <v>F_07_00</v>
      </c>
      <c r="AF9" s="100" t="str">
        <f t="shared" si="10"/>
        <v>TC_07_00</v>
      </c>
      <c r="AG9" s="239">
        <v>1</v>
      </c>
      <c r="AH9" s="231">
        <f>_xlfn.XLOOKUP($E9,Tab_Def_Processes[Name(EN)],Tab_Def_Processes[Output_Flow_O_2],,0,)</f>
        <v>0</v>
      </c>
      <c r="AI9" s="113" t="e">
        <f>_xlfn.XLOOKUP($E9,Tab_Def_Processes[Name(EN)],Tab_Def_Processes[Flow_ID_O_2],,0,)</f>
        <v>#N/A</v>
      </c>
      <c r="AJ9" s="100" t="e">
        <f t="shared" si="11"/>
        <v>#N/A</v>
      </c>
      <c r="AK9" s="228"/>
      <c r="AL9" s="113">
        <f>_xlfn.XLOOKUP($E9,Tab_Def_Processes[Name(EN)],Tab_Def_Processes[Output_Flow_O_3],,0,)</f>
        <v>0</v>
      </c>
      <c r="AM9" s="113" t="e">
        <f>_xlfn.XLOOKUP($E9,Tab_Def_Processes[Name(EN)],Tab_Def_Processes[Flow_ID_O_3],,0,)</f>
        <v>#N/A</v>
      </c>
      <c r="AN9" s="100" t="e">
        <f t="shared" si="12"/>
        <v>#N/A</v>
      </c>
      <c r="AO9" s="109"/>
      <c r="AP9" s="74">
        <f>SUM(Tab_Process_TCs[[#This Row],[TC_O_1_'[%']]],Tab_Process_TCs[[#This Row],[TC_O_3_'[%']]],Tab_Process_TCs[[#This Row],[TC_O_2_'[%']]])</f>
        <v>1</v>
      </c>
      <c r="AQ9" s="50"/>
      <c r="AR9" s="50"/>
      <c r="AS9" s="50"/>
      <c r="AT9" s="50"/>
      <c r="AU9" s="50"/>
    </row>
    <row r="10" spans="1:47" ht="16.5" customHeight="1" x14ac:dyDescent="0.25">
      <c r="A10" s="87" t="b">
        <v>1</v>
      </c>
      <c r="B10" s="48">
        <f t="shared" si="0"/>
        <v>9</v>
      </c>
      <c r="C10" s="48" t="str">
        <f t="shared" si="9"/>
        <v>TC9_08_Ant</v>
      </c>
      <c r="D10" s="107" t="str">
        <f>_xlfn.XLOOKUP($E10,Tab_Def_Processes[Name(EN)],Tab_Def_Processes[ID],,0,)</f>
        <v>08</v>
      </c>
      <c r="E10" s="50" t="s">
        <v>109</v>
      </c>
      <c r="F10" s="48"/>
      <c r="G10" s="48">
        <f>_xlfn.XLOOKUP(E10,Tab_Def_Processes[Name(EN)],Tab_Def_Processes[Carbon_Stock],,0,)</f>
        <v>0</v>
      </c>
      <c r="H10" s="48">
        <f>_xlfn.XLOOKUP(E10,Tab_Def_Processes[Name(EN)],Tab_Def_Processes[Life_Phase],,0,)</f>
        <v>0</v>
      </c>
      <c r="I10" s="48">
        <f>_xlfn.XLOOKUP(E10,Tab_Def_Processes[Name(EN)],Tab_Def_Processes[Description],,0,)</f>
        <v>0</v>
      </c>
      <c r="J10" s="48" t="str">
        <f>_xlfn.XLOOKUP($E10,Tab_Def_Processes[Name(EN)],Tab_Def_Processes[Process_Type],,0,)</f>
        <v>Process</v>
      </c>
      <c r="K10" s="48" t="str">
        <f>_xlfn.XLOOKUP($E10,Tab_Def_Processes[Name(EN)],Tab_Def_Processes[TC?],,0,)</f>
        <v>No</v>
      </c>
      <c r="L10" s="48" t="str">
        <f>_xlfn.XLOOKUP($E10,Tab_Def_Processes[Name(EN)],Tab_Def_Processes[Dyn_TC?],,0,)</f>
        <v>No</v>
      </c>
      <c r="M10" s="48" t="str">
        <f>_xlfn.XLOOKUP($E10,Tab_Def_Processes[Name(EN)],Tab_Def_Processes[Stock?],,0,)</f>
        <v>No</v>
      </c>
      <c r="N10" s="57" t="str">
        <f>_xlfn.XLOOKUP($E10,Tab_Def_Processes[Name(EN)],Tab_Def_Processes[Input_Flow_I_1],,0,)</f>
        <v>N.A.</v>
      </c>
      <c r="O10" s="48" t="e">
        <f>_xlfn.XLOOKUP($E10,Tab_Def_Processes[Name(EN)],Tab_Def_Processes[Flow_ID_I_1],,0,)</f>
        <v>#N/A</v>
      </c>
      <c r="P10" s="75"/>
      <c r="Q10" s="71" t="str">
        <f>_xlfn.XLOOKUP($E10,Tab_Def_Processes[Name(EN)],Tab_Def_Processes[Input_Flow_I_2],,0,)</f>
        <v>N.A.</v>
      </c>
      <c r="R10" s="48" t="e">
        <f>_xlfn.XLOOKUP($E10,Tab_Def_Processes[Name(EN)],Tab_Def_Processes[Flow_ID_I_2],,0,)</f>
        <v>#N/A</v>
      </c>
      <c r="S10" s="75"/>
      <c r="T10" s="71" t="str">
        <f>_xlfn.XLOOKUP($E10,Tab_Def_Processes[Name(EN)],Tab_Def_Processes[Input_Flow_I_3],,0,)</f>
        <v>N.A.</v>
      </c>
      <c r="U10" s="48" t="e">
        <f>_xlfn.XLOOKUP($E10,Tab_Def_Processes[Name(EN)],Tab_Def_Processes[Flow_ID_I_3],,0,)</f>
        <v>#N/A</v>
      </c>
      <c r="V10" s="75"/>
      <c r="W10" s="71" t="str">
        <f>_xlfn.XLOOKUP($E10,Tab_Def_Processes[Name(EN)],Tab_Def_Processes[Input_Flow_I_4],,0,)</f>
        <v>N.A.</v>
      </c>
      <c r="X10" s="48" t="e">
        <f>_xlfn.XLOOKUP($E10,Tab_Def_Processes[Name(EN)],Tab_Def_Processes[Flow_ID_I_4],,0,)</f>
        <v>#N/A</v>
      </c>
      <c r="Y10" s="75"/>
      <c r="Z10" s="71" t="str">
        <f>_xlfn.XLOOKUP($E10,Tab_Def_Processes[Name(EN)],Tab_Def_Processes[Input_Flow_I_5],,0,)</f>
        <v>N.A.</v>
      </c>
      <c r="AA10" s="48" t="e">
        <f>_xlfn.XLOOKUP($E10,Tab_Def_Processes[Name(EN)],Tab_Def_Processes[Flow_ID_I_5],,0,)</f>
        <v>#N/A</v>
      </c>
      <c r="AB10" s="75"/>
      <c r="AC10" s="74">
        <f>Tab_Process_TCs[[#This Row],[Flow_TC_I_1_'[%']]]+Tab_Process_TCs[[#This Row],[Flow_TC_I_2_'[%']]]+Tab_Process_TCs[[#This Row],[Flow_TC_I_3_'[%']]]+Tab_Process_TCs[[#This Row],[Flow_TC_I_4_'[%']]]+Tab_Process_TCs[[#This Row],[Flow_TC_I_5_'[%']]]</f>
        <v>0</v>
      </c>
      <c r="AD10" s="48">
        <f>_xlfn.XLOOKUP($E10,Tab_Def_Processes[Name(EN)],Tab_Def_Processes[Output_Flow_O_1],,0,)</f>
        <v>0</v>
      </c>
      <c r="AE10" s="57" t="e">
        <f>_xlfn.XLOOKUP($E10,Tab_Def_Processes[Name(EN)],Tab_Def_Processes[Flow_ID_O_1],,0,)</f>
        <v>#N/A</v>
      </c>
      <c r="AF10" s="100" t="e">
        <f t="shared" si="10"/>
        <v>#N/A</v>
      </c>
      <c r="AG10" s="239">
        <v>1</v>
      </c>
      <c r="AH10" s="231">
        <f>_xlfn.XLOOKUP($E10,Tab_Def_Processes[Name(EN)],Tab_Def_Processes[Output_Flow_O_2],,0,)</f>
        <v>0</v>
      </c>
      <c r="AI10" s="113" t="e">
        <f>_xlfn.XLOOKUP($E10,Tab_Def_Processes[Name(EN)],Tab_Def_Processes[Flow_ID_O_2],,0,)</f>
        <v>#N/A</v>
      </c>
      <c r="AJ10" s="100" t="e">
        <f t="shared" si="11"/>
        <v>#N/A</v>
      </c>
      <c r="AK10" s="228"/>
      <c r="AL10" s="113">
        <f>_xlfn.XLOOKUP($E10,Tab_Def_Processes[Name(EN)],Tab_Def_Processes[Output_Flow_O_3],,0,)</f>
        <v>0</v>
      </c>
      <c r="AM10" s="113" t="e">
        <f>_xlfn.XLOOKUP($E10,Tab_Def_Processes[Name(EN)],Tab_Def_Processes[Flow_ID_O_3],,0,)</f>
        <v>#N/A</v>
      </c>
      <c r="AN10" s="100" t="e">
        <f t="shared" si="12"/>
        <v>#N/A</v>
      </c>
      <c r="AO10" s="109"/>
      <c r="AP10" s="74">
        <f>SUM(Tab_Process_TCs[[#This Row],[TC_O_1_'[%']]],Tab_Process_TCs[[#This Row],[TC_O_3_'[%']]],Tab_Process_TCs[[#This Row],[TC_O_2_'[%']]])</f>
        <v>1</v>
      </c>
      <c r="AQ10" s="50"/>
      <c r="AR10" s="50"/>
      <c r="AS10" s="50"/>
      <c r="AT10" s="50"/>
      <c r="AU10" s="50"/>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D660546-B6E2-4E7D-B18F-B330E78B22EC}">
          <x14:formula1>
            <xm:f>'2_1_Definition_Processes'!$D$2:$D$10</xm:f>
          </x14:formula1>
          <xm:sqref>F2:F10 E1:E1048576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10"/>
  <sheetViews>
    <sheetView tabSelected="1" topLeftCell="I1" zoomScale="115" zoomScaleNormal="115" workbookViewId="0">
      <selection activeCell="M14" sqref="M14"/>
    </sheetView>
  </sheetViews>
  <sheetFormatPr defaultColWidth="10.85546875" defaultRowHeight="15" x14ac:dyDescent="0.25"/>
  <cols>
    <col min="2" max="2" width="5.140625" bestFit="1" customWidth="1"/>
    <col min="3" max="3" width="20.42578125" customWidth="1"/>
    <col min="4" max="4" width="20.5703125" customWidth="1"/>
    <col min="5" max="6" width="14.5703125" customWidth="1"/>
    <col min="7" max="7" width="32.42578125" customWidth="1"/>
    <col min="8" max="9" width="15.5703125" customWidth="1"/>
    <col min="10" max="10" width="21.42578125" customWidth="1"/>
    <col min="11" max="11" width="15.5703125" customWidth="1"/>
    <col min="13" max="13" width="25.85546875" customWidth="1"/>
    <col min="14" max="14" width="22.5703125" customWidth="1"/>
    <col min="17" max="17" width="21.42578125" customWidth="1"/>
    <col min="18" max="18" width="20" customWidth="1"/>
    <col min="19" max="19" width="32.85546875" customWidth="1"/>
    <col min="23" max="23" width="17.85546875" customWidth="1"/>
  </cols>
  <sheetData>
    <row r="1" spans="1:24" x14ac:dyDescent="0.25">
      <c r="A1" s="63" t="s">
        <v>243</v>
      </c>
      <c r="B1" s="8" t="s">
        <v>21</v>
      </c>
      <c r="C1" t="s">
        <v>244</v>
      </c>
      <c r="D1" s="62" t="s">
        <v>86</v>
      </c>
      <c r="E1" s="62" t="s">
        <v>23</v>
      </c>
      <c r="F1" t="s">
        <v>24</v>
      </c>
      <c r="G1" t="s">
        <v>87</v>
      </c>
      <c r="H1" t="s">
        <v>88</v>
      </c>
      <c r="I1" s="47" t="s">
        <v>89</v>
      </c>
      <c r="J1" s="24" t="s">
        <v>136</v>
      </c>
      <c r="K1" s="25" t="s">
        <v>56</v>
      </c>
      <c r="L1" s="31" t="s">
        <v>91</v>
      </c>
      <c r="M1" s="63" t="s">
        <v>164</v>
      </c>
      <c r="N1" s="63" t="s">
        <v>245</v>
      </c>
      <c r="O1" s="63" t="s">
        <v>246</v>
      </c>
      <c r="P1" s="63" t="s">
        <v>247</v>
      </c>
      <c r="Q1" s="63" t="s">
        <v>248</v>
      </c>
      <c r="R1" s="63" t="s">
        <v>249</v>
      </c>
      <c r="S1" s="63" t="s">
        <v>250</v>
      </c>
      <c r="T1" s="63" t="s">
        <v>251</v>
      </c>
      <c r="U1" s="63" t="s">
        <v>252</v>
      </c>
      <c r="V1" s="63" t="s">
        <v>160</v>
      </c>
      <c r="W1" s="63" t="s">
        <v>161</v>
      </c>
      <c r="X1" s="63" t="s">
        <v>67</v>
      </c>
    </row>
    <row r="2" spans="1:24" x14ac:dyDescent="0.25">
      <c r="A2" s="87" t="b">
        <v>0</v>
      </c>
      <c r="B2" s="48">
        <f t="shared" ref="B2:B10" si="0">ROW()-1</f>
        <v>1</v>
      </c>
      <c r="C2" s="48" t="str">
        <f t="shared" ref="C2:C6" si="1">LEFT(B2,2)&amp;"_"&amp;LEFT(M2,4)&amp;"_"&amp;LEFT(D2,12)</f>
        <v>1_1920_00_Bio_</v>
      </c>
      <c r="D2" s="48" t="str">
        <f>_xlfn.XLOOKUP($E2,Tab_Def_Processes[Name(EN)],Tab_Def_Processes[Process_ID],,0,)</f>
        <v>00_Bio_</v>
      </c>
      <c r="E2" s="50" t="s">
        <v>104</v>
      </c>
      <c r="F2" s="48">
        <f>_xlfn.XLOOKUP(E2,Tab_Def_Processes[Name(EN)],Tab_Def_Processes[Region],,0,)</f>
        <v>0</v>
      </c>
      <c r="G2" s="48">
        <f>_xlfn.XLOOKUP(E2,Tab_Def_Processes[Name(EN)],Tab_Def_Processes[Carbon_Stock],,0,)</f>
        <v>0</v>
      </c>
      <c r="H2" s="48">
        <f>_xlfn.XLOOKUP(E2,Tab_Def_Processes[Name(EN)],Tab_Def_Processes[Life_Phase],,0,)</f>
        <v>0</v>
      </c>
      <c r="I2" s="48">
        <f>_xlfn.XLOOKUP(E2,Tab_Def_Processes[Name(EN)],Tab_Def_Processes[Description],,0,)</f>
        <v>0</v>
      </c>
      <c r="J2" s="48" t="str">
        <f>_xlfn.XLOOKUP($E2,Tab_Def_Processes[Name(EN)],Tab_Def_Processes[Process_Type],,0,)</f>
        <v>Process</v>
      </c>
      <c r="K2" s="48" t="str">
        <f>_xlfn.XLOOKUP($E2,Tab_Def_Processes[Name(EN)],Tab_Def_Processes[TC?],,0,)</f>
        <v>Yes</v>
      </c>
      <c r="L2" s="48" t="str">
        <f>_xlfn.XLOOKUP($E2,Tab_Def_Processes[Name(EN)],Tab_Def_Processes[Stock?],,0,)</f>
        <v>Yes</v>
      </c>
      <c r="M2" s="50">
        <v>1920</v>
      </c>
      <c r="N2" s="50"/>
      <c r="O2" s="50">
        <v>1000</v>
      </c>
      <c r="P2" s="50" t="s">
        <v>85</v>
      </c>
      <c r="Q2" s="50"/>
      <c r="R2" s="50"/>
      <c r="S2" s="50" t="s">
        <v>85</v>
      </c>
      <c r="T2" s="50"/>
      <c r="U2" s="50"/>
      <c r="V2" s="50"/>
      <c r="W2" s="50"/>
      <c r="X2" s="50"/>
    </row>
    <row r="3" spans="1:24" x14ac:dyDescent="0.25">
      <c r="A3" s="87" t="b">
        <v>0</v>
      </c>
      <c r="B3" s="48">
        <f t="shared" si="0"/>
        <v>2</v>
      </c>
      <c r="C3" s="48" t="str">
        <f t="shared" si="1"/>
        <v>2_2025_01_Raw_</v>
      </c>
      <c r="D3" s="48" t="str">
        <f>_xlfn.XLOOKUP($E3,Tab_Def_Processes[Name(EN)],Tab_Def_Processes[Process_ID],,0,)</f>
        <v>01_Raw_</v>
      </c>
      <c r="E3" s="50" t="s">
        <v>103</v>
      </c>
      <c r="F3" s="48">
        <f>_xlfn.XLOOKUP(E3,Tab_Def_Processes[Name(EN)],Tab_Def_Processes[Region],,0,)</f>
        <v>0</v>
      </c>
      <c r="G3" s="48">
        <f>_xlfn.XLOOKUP(E3,Tab_Def_Processes[Name(EN)],Tab_Def_Processes[Carbon_Stock],,0,)</f>
        <v>0</v>
      </c>
      <c r="H3" s="48">
        <f>_xlfn.XLOOKUP(E3,Tab_Def_Processes[Name(EN)],Tab_Def_Processes[Life_Phase],,0,)</f>
        <v>0</v>
      </c>
      <c r="I3" s="48">
        <f>_xlfn.XLOOKUP(E3,Tab_Def_Processes[Name(EN)],Tab_Def_Processes[Description],,0,)</f>
        <v>0</v>
      </c>
      <c r="J3" s="48" t="str">
        <f>_xlfn.XLOOKUP($E3,Tab_Def_Processes[Name(EN)],Tab_Def_Processes[Process_Type],,0,)</f>
        <v>Process</v>
      </c>
      <c r="K3" s="48" t="str">
        <f>_xlfn.XLOOKUP($E3,Tab_Def_Processes[Name(EN)],Tab_Def_Processes[TC?],,0,)</f>
        <v>Yes</v>
      </c>
      <c r="L3" s="48" t="str">
        <f>_xlfn.XLOOKUP($E3,Tab_Def_Processes[Name(EN)],Tab_Def_Processes[Stock?],,0,)</f>
        <v>No</v>
      </c>
      <c r="M3" s="50">
        <v>2025</v>
      </c>
      <c r="N3" s="50"/>
      <c r="O3" s="50"/>
      <c r="P3" s="50"/>
      <c r="Q3" s="50"/>
      <c r="R3" s="50"/>
      <c r="S3" s="50"/>
      <c r="T3" s="50"/>
      <c r="U3" s="50"/>
      <c r="V3" s="50"/>
      <c r="W3" s="50"/>
      <c r="X3" s="50"/>
    </row>
    <row r="4" spans="1:24" x14ac:dyDescent="0.25">
      <c r="A4" s="87" t="b">
        <v>0</v>
      </c>
      <c r="B4" s="48">
        <f t="shared" si="0"/>
        <v>3</v>
      </c>
      <c r="C4" s="48" t="str">
        <f t="shared" si="1"/>
        <v>3_1920_02_Pro_</v>
      </c>
      <c r="D4" s="48" t="str">
        <f>_xlfn.XLOOKUP($E4,Tab_Def_Processes[Name(EN)],Tab_Def_Processes[Process_ID],,0,)</f>
        <v>02_Pro_</v>
      </c>
      <c r="E4" s="50" t="s">
        <v>108</v>
      </c>
      <c r="F4" s="48">
        <f>_xlfn.XLOOKUP(E4,Tab_Def_Processes[Name(EN)],Tab_Def_Processes[Region],,0,)</f>
        <v>0</v>
      </c>
      <c r="G4" s="48">
        <f>_xlfn.XLOOKUP(E4,Tab_Def_Processes[Name(EN)],Tab_Def_Processes[Carbon_Stock],,0,)</f>
        <v>0</v>
      </c>
      <c r="H4" s="48">
        <f>_xlfn.XLOOKUP(E4,Tab_Def_Processes[Name(EN)],Tab_Def_Processes[Life_Phase],,0,)</f>
        <v>0</v>
      </c>
      <c r="I4" s="48">
        <f>_xlfn.XLOOKUP(E4,Tab_Def_Processes[Name(EN)],Tab_Def_Processes[Description],,0,)</f>
        <v>0</v>
      </c>
      <c r="J4" s="48" t="str">
        <f>_xlfn.XLOOKUP($E4,Tab_Def_Processes[Name(EN)],Tab_Def_Processes[Process_Type],,0,)</f>
        <v>Process</v>
      </c>
      <c r="K4" s="48" t="str">
        <f>_xlfn.XLOOKUP($E4,Tab_Def_Processes[Name(EN)],Tab_Def_Processes[TC?],,0,)</f>
        <v>Yes</v>
      </c>
      <c r="L4" s="48" t="str">
        <f>_xlfn.XLOOKUP($E4,Tab_Def_Processes[Name(EN)],Tab_Def_Processes[Stock?],,0,)</f>
        <v>Yes</v>
      </c>
      <c r="M4" s="50">
        <v>1920</v>
      </c>
      <c r="N4" s="50"/>
      <c r="O4" s="50">
        <v>1000</v>
      </c>
      <c r="P4" s="50" t="s">
        <v>85</v>
      </c>
      <c r="Q4" s="50"/>
      <c r="R4" s="50"/>
      <c r="S4" s="50" t="s">
        <v>85</v>
      </c>
      <c r="T4" s="50"/>
      <c r="U4" s="50"/>
      <c r="V4" s="50"/>
      <c r="W4" s="50"/>
      <c r="X4" s="50"/>
    </row>
    <row r="5" spans="1:24" x14ac:dyDescent="0.25">
      <c r="A5" s="87" t="b">
        <v>0</v>
      </c>
      <c r="B5" s="48">
        <f t="shared" si="0"/>
        <v>4</v>
      </c>
      <c r="C5" s="48" t="str">
        <f t="shared" si="1"/>
        <v>4_1920_03_Use_</v>
      </c>
      <c r="D5" s="48" t="str">
        <f>_xlfn.XLOOKUP($E5,Tab_Def_Processes[Name(EN)],Tab_Def_Processes[Process_ID],,0,)</f>
        <v>03_Use_</v>
      </c>
      <c r="E5" s="50" t="s">
        <v>112</v>
      </c>
      <c r="F5" s="48">
        <f>_xlfn.XLOOKUP(E5,Tab_Def_Processes[Name(EN)],Tab_Def_Processes[Region],,0,)</f>
        <v>0</v>
      </c>
      <c r="G5" s="48">
        <f>_xlfn.XLOOKUP(E5,Tab_Def_Processes[Name(EN)],Tab_Def_Processes[Carbon_Stock],,0,)</f>
        <v>0</v>
      </c>
      <c r="H5" s="48">
        <f>_xlfn.XLOOKUP(E5,Tab_Def_Processes[Name(EN)],Tab_Def_Processes[Life_Phase],,0,)</f>
        <v>0</v>
      </c>
      <c r="I5" s="48">
        <f>_xlfn.XLOOKUP(E5,Tab_Def_Processes[Name(EN)],Tab_Def_Processes[Description],,0,)</f>
        <v>0</v>
      </c>
      <c r="J5" s="48" t="str">
        <f>_xlfn.XLOOKUP($E5,Tab_Def_Processes[Name(EN)],Tab_Def_Processes[Process_Type],,0,)</f>
        <v>Process</v>
      </c>
      <c r="K5" s="48" t="str">
        <f>_xlfn.XLOOKUP($E5,Tab_Def_Processes[Name(EN)],Tab_Def_Processes[TC?],,0,)</f>
        <v>Yes</v>
      </c>
      <c r="L5" s="48" t="str">
        <f>_xlfn.XLOOKUP($E5,Tab_Def_Processes[Name(EN)],Tab_Def_Processes[Stock?],,0,)</f>
        <v>Yes</v>
      </c>
      <c r="M5" s="50">
        <v>1920</v>
      </c>
      <c r="N5" s="50"/>
      <c r="O5" s="64">
        <v>1000</v>
      </c>
      <c r="P5" s="50" t="s">
        <v>85</v>
      </c>
      <c r="Q5" s="50"/>
      <c r="R5" s="50"/>
      <c r="S5" s="50" t="s">
        <v>85</v>
      </c>
      <c r="T5" s="50"/>
      <c r="U5" s="50"/>
      <c r="V5" s="50"/>
      <c r="W5" s="50"/>
      <c r="X5" s="50"/>
    </row>
    <row r="6" spans="1:24" x14ac:dyDescent="0.25">
      <c r="A6" s="87" t="b">
        <v>0</v>
      </c>
      <c r="B6" s="48">
        <f t="shared" si="0"/>
        <v>5</v>
      </c>
      <c r="C6" s="48" t="str">
        <f t="shared" si="1"/>
        <v>5_2025_04_Ref_</v>
      </c>
      <c r="D6" s="48" t="str">
        <f>_xlfn.XLOOKUP($E6,Tab_Def_Processes[Name(EN)],Tab_Def_Processes[Process_ID],,0,)</f>
        <v>04_Ref_</v>
      </c>
      <c r="E6" s="50" t="s">
        <v>115</v>
      </c>
      <c r="F6" s="48">
        <f>_xlfn.XLOOKUP(E6,Tab_Def_Processes[Name(EN)],Tab_Def_Processes[Region],,0,)</f>
        <v>0</v>
      </c>
      <c r="G6" s="48">
        <f>_xlfn.XLOOKUP(E6,Tab_Def_Processes[Name(EN)],Tab_Def_Processes[Carbon_Stock],,0,)</f>
        <v>0</v>
      </c>
      <c r="H6" s="48">
        <f>_xlfn.XLOOKUP(E6,Tab_Def_Processes[Name(EN)],Tab_Def_Processes[Life_Phase],,0,)</f>
        <v>0</v>
      </c>
      <c r="I6" s="48">
        <f>_xlfn.XLOOKUP(E6,Tab_Def_Processes[Name(EN)],Tab_Def_Processes[Description],,0,)</f>
        <v>0</v>
      </c>
      <c r="J6" s="48" t="str">
        <f>_xlfn.XLOOKUP($E6,Tab_Def_Processes[Name(EN)],Tab_Def_Processes[Process_Type],,0,)</f>
        <v>Process</v>
      </c>
      <c r="K6" s="48" t="str">
        <f>_xlfn.XLOOKUP($E6,Tab_Def_Processes[Name(EN)],Tab_Def_Processes[TC?],,0,)</f>
        <v>Yes</v>
      </c>
      <c r="L6" s="48" t="str">
        <f>_xlfn.XLOOKUP($E6,Tab_Def_Processes[Name(EN)],Tab_Def_Processes[Stock?],,0,)</f>
        <v>No</v>
      </c>
      <c r="M6" s="50">
        <v>2025</v>
      </c>
      <c r="N6" s="50"/>
      <c r="O6" s="50"/>
      <c r="P6" s="50"/>
      <c r="Q6" s="50"/>
      <c r="R6" s="50"/>
      <c r="S6" s="50"/>
      <c r="T6" s="50"/>
      <c r="U6" s="50"/>
      <c r="V6" s="50"/>
      <c r="W6" s="50"/>
      <c r="X6" s="50"/>
    </row>
    <row r="7" spans="1:24" x14ac:dyDescent="0.25">
      <c r="A7" s="87" t="b">
        <v>0</v>
      </c>
      <c r="B7" s="48">
        <f t="shared" si="0"/>
        <v>6</v>
      </c>
      <c r="C7" s="48" t="str">
        <f t="shared" ref="C7:C10" si="2">LEFT(B7,2)&amp;"_"&amp;LEFT(M7,4)&amp;"_"&amp;LEFT(D7,12)</f>
        <v>6_2026_05_Deg_</v>
      </c>
      <c r="D7" s="48" t="str">
        <f>_xlfn.XLOOKUP($E7,Tab_Def_Processes[Name(EN)],Tab_Def_Processes[Process_ID],,0,)</f>
        <v>05_Deg_</v>
      </c>
      <c r="E7" s="50" t="s">
        <v>119</v>
      </c>
      <c r="F7" s="48">
        <f>_xlfn.XLOOKUP(E7,Tab_Def_Processes[Name(EN)],Tab_Def_Processes[Region],,0,)</f>
        <v>0</v>
      </c>
      <c r="G7" s="48">
        <f>_xlfn.XLOOKUP(E7,Tab_Def_Processes[Name(EN)],Tab_Def_Processes[Carbon_Stock],,0,)</f>
        <v>0</v>
      </c>
      <c r="H7" s="48">
        <f>_xlfn.XLOOKUP(E7,Tab_Def_Processes[Name(EN)],Tab_Def_Processes[Life_Phase],,0,)</f>
        <v>0</v>
      </c>
      <c r="I7" s="48">
        <f>_xlfn.XLOOKUP(E7,Tab_Def_Processes[Name(EN)],Tab_Def_Processes[Description],,0,)</f>
        <v>0</v>
      </c>
      <c r="J7" s="48" t="str">
        <f>_xlfn.XLOOKUP($E7,Tab_Def_Processes[Name(EN)],Tab_Def_Processes[Process_Type],,0,)</f>
        <v>Process</v>
      </c>
      <c r="K7" s="48" t="str">
        <f>_xlfn.XLOOKUP($E7,Tab_Def_Processes[Name(EN)],Tab_Def_Processes[TC?],,0,)</f>
        <v>Yes</v>
      </c>
      <c r="L7" s="48" t="str">
        <f>_xlfn.XLOOKUP($E7,Tab_Def_Processes[Name(EN)],Tab_Def_Processes[Stock?],,0,)</f>
        <v>No</v>
      </c>
      <c r="M7" s="50">
        <v>2026</v>
      </c>
      <c r="N7" s="50"/>
      <c r="O7" s="50"/>
      <c r="P7" s="50"/>
      <c r="Q7" s="50"/>
      <c r="R7" s="50"/>
      <c r="S7" s="50"/>
      <c r="T7" s="50"/>
      <c r="U7" s="50"/>
      <c r="V7" s="50"/>
      <c r="W7" s="50"/>
      <c r="X7" s="50"/>
    </row>
    <row r="8" spans="1:24" x14ac:dyDescent="0.25">
      <c r="A8" s="87" t="b">
        <v>0</v>
      </c>
      <c r="B8" s="48">
        <f t="shared" si="0"/>
        <v>7</v>
      </c>
      <c r="C8" s="48" t="str">
        <f t="shared" si="2"/>
        <v>7_2027_06_Inc_</v>
      </c>
      <c r="D8" s="48" t="str">
        <f>_xlfn.XLOOKUP($E8,Tab_Def_Processes[Name(EN)],Tab_Def_Processes[Process_ID],,0,)</f>
        <v>06_Inc_</v>
      </c>
      <c r="E8" s="50" t="s">
        <v>117</v>
      </c>
      <c r="F8" s="48">
        <f>_xlfn.XLOOKUP(E8,Tab_Def_Processes[Name(EN)],Tab_Def_Processes[Region],,0,)</f>
        <v>0</v>
      </c>
      <c r="G8" s="48">
        <f>_xlfn.XLOOKUP(E8,Tab_Def_Processes[Name(EN)],Tab_Def_Processes[Carbon_Stock],,0,)</f>
        <v>0</v>
      </c>
      <c r="H8" s="48">
        <f>_xlfn.XLOOKUP(E8,Tab_Def_Processes[Name(EN)],Tab_Def_Processes[Life_Phase],,0,)</f>
        <v>0</v>
      </c>
      <c r="I8" s="48">
        <f>_xlfn.XLOOKUP(E8,Tab_Def_Processes[Name(EN)],Tab_Def_Processes[Description],,0,)</f>
        <v>0</v>
      </c>
      <c r="J8" s="48" t="str">
        <f>_xlfn.XLOOKUP($E8,Tab_Def_Processes[Name(EN)],Tab_Def_Processes[Process_Type],,0,)</f>
        <v>Process</v>
      </c>
      <c r="K8" s="48" t="str">
        <f>_xlfn.XLOOKUP($E8,Tab_Def_Processes[Name(EN)],Tab_Def_Processes[TC?],,0,)</f>
        <v>Yes</v>
      </c>
      <c r="L8" s="48" t="str">
        <f>_xlfn.XLOOKUP($E8,Tab_Def_Processes[Name(EN)],Tab_Def_Processes[Stock?],,0,)</f>
        <v>No</v>
      </c>
      <c r="M8" s="50">
        <v>2027</v>
      </c>
      <c r="N8" s="50"/>
      <c r="O8" s="50"/>
      <c r="P8" s="50"/>
      <c r="Q8" s="50"/>
      <c r="R8" s="50"/>
      <c r="S8" s="50"/>
      <c r="T8" s="50"/>
      <c r="U8" s="50"/>
      <c r="V8" s="50"/>
      <c r="W8" s="50"/>
      <c r="X8" s="50"/>
    </row>
    <row r="9" spans="1:24" x14ac:dyDescent="0.25">
      <c r="A9" s="87" t="b">
        <v>0</v>
      </c>
      <c r="B9" s="48">
        <f t="shared" si="0"/>
        <v>8</v>
      </c>
      <c r="C9" s="48" t="str">
        <f t="shared" si="2"/>
        <v>8_1920_07_Atm_</v>
      </c>
      <c r="D9" s="48" t="str">
        <f>_xlfn.XLOOKUP($E9,Tab_Def_Processes[Name(EN)],Tab_Def_Processes[Process_ID],,0,)</f>
        <v>07_Atm_</v>
      </c>
      <c r="E9" s="50" t="s">
        <v>43</v>
      </c>
      <c r="F9" s="48">
        <f>_xlfn.XLOOKUP(E9,Tab_Def_Processes[Name(EN)],Tab_Def_Processes[Region],,0,)</f>
        <v>0</v>
      </c>
      <c r="G9" s="48">
        <f>_xlfn.XLOOKUP(E9,Tab_Def_Processes[Name(EN)],Tab_Def_Processes[Carbon_Stock],,0,)</f>
        <v>0</v>
      </c>
      <c r="H9" s="48">
        <f>_xlfn.XLOOKUP(E9,Tab_Def_Processes[Name(EN)],Tab_Def_Processes[Life_Phase],,0,)</f>
        <v>0</v>
      </c>
      <c r="I9" s="48">
        <f>_xlfn.XLOOKUP(E9,Tab_Def_Processes[Name(EN)],Tab_Def_Processes[Description],,0,)</f>
        <v>0</v>
      </c>
      <c r="J9" s="48" t="str">
        <f>_xlfn.XLOOKUP($E9,Tab_Def_Processes[Name(EN)],Tab_Def_Processes[Process_Type],,0,)</f>
        <v>Process</v>
      </c>
      <c r="K9" s="48" t="str">
        <f>_xlfn.XLOOKUP($E9,Tab_Def_Processes[Name(EN)],Tab_Def_Processes[TC?],,0,)</f>
        <v>No</v>
      </c>
      <c r="L9" s="48" t="str">
        <f>_xlfn.XLOOKUP($E9,Tab_Def_Processes[Name(EN)],Tab_Def_Processes[Stock?],,0,)</f>
        <v>Yes</v>
      </c>
      <c r="M9" s="50">
        <v>1920</v>
      </c>
      <c r="N9" s="50"/>
      <c r="O9" s="50">
        <v>1000</v>
      </c>
      <c r="P9" s="50" t="s">
        <v>85</v>
      </c>
      <c r="Q9" s="50"/>
      <c r="R9" s="50"/>
      <c r="S9" s="50" t="s">
        <v>85</v>
      </c>
      <c r="T9" s="50"/>
      <c r="U9" s="50"/>
      <c r="V9" s="50"/>
      <c r="W9" s="50"/>
      <c r="X9" s="50"/>
    </row>
    <row r="10" spans="1:24" x14ac:dyDescent="0.25">
      <c r="A10" s="87" t="b">
        <v>0</v>
      </c>
      <c r="B10" s="48">
        <f t="shared" si="0"/>
        <v>9</v>
      </c>
      <c r="C10" s="48" t="str">
        <f t="shared" si="2"/>
        <v>9_2029_08_Ant_</v>
      </c>
      <c r="D10" s="48" t="str">
        <f>_xlfn.XLOOKUP($E10,Tab_Def_Processes[Name(EN)],Tab_Def_Processes[Process_ID],,0,)</f>
        <v>08_Ant_</v>
      </c>
      <c r="E10" s="50" t="s">
        <v>109</v>
      </c>
      <c r="F10" s="48">
        <f>_xlfn.XLOOKUP(E10,Tab_Def_Processes[Name(EN)],Tab_Def_Processes[Region],,0,)</f>
        <v>0</v>
      </c>
      <c r="G10" s="48">
        <f>_xlfn.XLOOKUP(E10,Tab_Def_Processes[Name(EN)],Tab_Def_Processes[Carbon_Stock],,0,)</f>
        <v>0</v>
      </c>
      <c r="H10" s="48">
        <f>_xlfn.XLOOKUP(E10,Tab_Def_Processes[Name(EN)],Tab_Def_Processes[Life_Phase],,0,)</f>
        <v>0</v>
      </c>
      <c r="I10" s="48">
        <f>_xlfn.XLOOKUP(E10,Tab_Def_Processes[Name(EN)],Tab_Def_Processes[Description],,0,)</f>
        <v>0</v>
      </c>
      <c r="J10" s="48" t="str">
        <f>_xlfn.XLOOKUP($E10,Tab_Def_Processes[Name(EN)],Tab_Def_Processes[Process_Type],,0,)</f>
        <v>Process</v>
      </c>
      <c r="K10" s="48" t="str">
        <f>_xlfn.XLOOKUP($E10,Tab_Def_Processes[Name(EN)],Tab_Def_Processes[TC?],,0,)</f>
        <v>No</v>
      </c>
      <c r="L10" s="48" t="str">
        <f>_xlfn.XLOOKUP($E10,Tab_Def_Processes[Name(EN)],Tab_Def_Processes[Stock?],,0,)</f>
        <v>No</v>
      </c>
      <c r="M10" s="50">
        <v>2029</v>
      </c>
      <c r="N10" s="50"/>
      <c r="O10" s="50"/>
      <c r="P10" s="50"/>
      <c r="Q10" s="50"/>
      <c r="R10" s="50"/>
      <c r="S10" s="50"/>
      <c r="T10" s="50"/>
      <c r="U10" s="50"/>
      <c r="V10" s="50"/>
      <c r="W10" s="50"/>
      <c r="X10" s="50"/>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'2_1_Definition_Processes'!$D$2:$D$10</xm:f>
          </x14:formula1>
          <xm:sqref>E2:E10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zoomScaleNormal="100" workbookViewId="0">
      <pane xSplit="5" topLeftCell="F1" activePane="topRight" state="frozen"/>
      <selection activeCell="A86" sqref="A86"/>
      <selection pane="topRight" activeCell="E3" sqref="E3"/>
    </sheetView>
  </sheetViews>
  <sheetFormatPr defaultColWidth="10.85546875" defaultRowHeight="15" x14ac:dyDescent="0.25"/>
  <cols>
    <col min="2" max="2" width="16.42578125" customWidth="1"/>
    <col min="4" max="4" width="16.42578125" style="106" customWidth="1"/>
    <col min="5" max="7" width="26.42578125" customWidth="1"/>
    <col min="8" max="8" width="16.42578125" customWidth="1"/>
    <col min="9" max="9" width="26.42578125" customWidth="1"/>
    <col min="10" max="10" width="15.5703125" customWidth="1"/>
    <col min="11" max="12" width="15.42578125" customWidth="1"/>
    <col min="13" max="14" width="12.42578125" hidden="1" customWidth="1"/>
    <col min="15" max="15" width="17" hidden="1" customWidth="1"/>
    <col min="16" max="16" width="16.42578125" hidden="1" customWidth="1"/>
    <col min="17" max="17" width="16.140625" hidden="1" customWidth="1"/>
    <col min="18" max="18" width="15.570312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14" hidden="1" customWidth="1"/>
    <col min="36" max="36" width="42" style="114" hidden="1" customWidth="1"/>
    <col min="37" max="40" width="17.85546875" style="114" hidden="1" customWidth="1"/>
    <col min="41" max="41" width="26.140625" style="114" hidden="1" customWidth="1"/>
    <col min="42" max="56" width="17.85546875" style="114" hidden="1" customWidth="1"/>
    <col min="57" max="60" width="17.85546875" hidden="1" customWidth="1"/>
    <col min="61" max="66" width="0" hidden="1" customWidth="1"/>
  </cols>
  <sheetData>
    <row r="1" spans="1:65" x14ac:dyDescent="0.25">
      <c r="A1" s="63" t="s">
        <v>134</v>
      </c>
      <c r="B1" s="8" t="s">
        <v>21</v>
      </c>
      <c r="C1" s="106" t="s">
        <v>86</v>
      </c>
      <c r="D1" t="s">
        <v>23</v>
      </c>
      <c r="E1" s="47" t="s">
        <v>162</v>
      </c>
      <c r="F1" s="25" t="s">
        <v>56</v>
      </c>
      <c r="G1" s="25" t="s">
        <v>163</v>
      </c>
      <c r="H1" t="s">
        <v>22</v>
      </c>
      <c r="I1" t="s">
        <v>135</v>
      </c>
      <c r="J1" s="25" t="s">
        <v>164</v>
      </c>
      <c r="K1" s="25" t="s">
        <v>165</v>
      </c>
      <c r="L1" s="31" t="s">
        <v>91</v>
      </c>
      <c r="M1" s="25" t="s">
        <v>166</v>
      </c>
      <c r="N1" s="54" t="s">
        <v>92</v>
      </c>
      <c r="O1" s="54" t="s">
        <v>93</v>
      </c>
      <c r="P1" s="69" t="s">
        <v>137</v>
      </c>
      <c r="Q1" s="54" t="s">
        <v>94</v>
      </c>
      <c r="R1" s="54" t="s">
        <v>122</v>
      </c>
      <c r="S1" s="69" t="s">
        <v>138</v>
      </c>
      <c r="T1" s="70" t="s">
        <v>121</v>
      </c>
      <c r="U1" s="66" t="s">
        <v>139</v>
      </c>
      <c r="V1" s="73" t="s">
        <v>140</v>
      </c>
      <c r="W1" s="70" t="s">
        <v>123</v>
      </c>
      <c r="X1" s="65" t="s">
        <v>141</v>
      </c>
      <c r="Y1" s="69" t="s">
        <v>142</v>
      </c>
      <c r="Z1" s="70" t="s">
        <v>125</v>
      </c>
      <c r="AA1" s="65" t="s">
        <v>143</v>
      </c>
      <c r="AB1" s="69" t="s">
        <v>144</v>
      </c>
      <c r="AC1" s="65" t="s">
        <v>145</v>
      </c>
      <c r="AD1" s="240" t="s">
        <v>96</v>
      </c>
      <c r="AE1" s="240" t="s">
        <v>97</v>
      </c>
      <c r="AF1" s="240" t="s">
        <v>167</v>
      </c>
      <c r="AG1" s="240" t="s">
        <v>146</v>
      </c>
      <c r="AH1" s="241" t="s">
        <v>147</v>
      </c>
      <c r="AI1" s="242" t="s">
        <v>98</v>
      </c>
      <c r="AJ1" s="242" t="s">
        <v>99</v>
      </c>
      <c r="AK1" s="242" t="s">
        <v>168</v>
      </c>
      <c r="AL1" s="240" t="s">
        <v>148</v>
      </c>
      <c r="AM1" s="241" t="s">
        <v>149</v>
      </c>
      <c r="AN1" s="242" t="s">
        <v>100</v>
      </c>
      <c r="AO1" s="242" t="s">
        <v>101</v>
      </c>
      <c r="AP1" s="242" t="s">
        <v>169</v>
      </c>
      <c r="AQ1" s="240" t="s">
        <v>150</v>
      </c>
      <c r="AR1" s="242" t="s">
        <v>151</v>
      </c>
      <c r="AS1" s="242" t="s">
        <v>127</v>
      </c>
      <c r="AT1" s="242" t="s">
        <v>128</v>
      </c>
      <c r="AU1" s="242" t="s">
        <v>170</v>
      </c>
      <c r="AV1" s="240" t="s">
        <v>152</v>
      </c>
      <c r="AW1" s="242" t="s">
        <v>153</v>
      </c>
      <c r="AX1" s="242" t="s">
        <v>129</v>
      </c>
      <c r="AY1" s="242" t="s">
        <v>130</v>
      </c>
      <c r="AZ1" s="242" t="s">
        <v>171</v>
      </c>
      <c r="BA1" s="240" t="s">
        <v>154</v>
      </c>
      <c r="BB1" s="242" t="s">
        <v>155</v>
      </c>
      <c r="BC1" s="110" t="s">
        <v>131</v>
      </c>
      <c r="BD1" s="110" t="s">
        <v>132</v>
      </c>
      <c r="BE1" s="110" t="s">
        <v>172</v>
      </c>
      <c r="BF1" s="67" t="s">
        <v>156</v>
      </c>
      <c r="BG1" s="110" t="s">
        <v>173</v>
      </c>
      <c r="BH1" s="111" t="s">
        <v>157</v>
      </c>
      <c r="BI1" s="81" t="s">
        <v>158</v>
      </c>
      <c r="BJ1" s="233" t="s">
        <v>159</v>
      </c>
      <c r="BK1" s="233" t="s">
        <v>160</v>
      </c>
      <c r="BL1" s="233" t="s">
        <v>161</v>
      </c>
      <c r="BM1" s="234" t="s">
        <v>67</v>
      </c>
    </row>
    <row r="2" spans="1:65" x14ac:dyDescent="0.25">
      <c r="A2" s="87" t="b">
        <v>0</v>
      </c>
      <c r="B2" s="48">
        <f t="shared" ref="B2:B33" si="0">ROW()-1</f>
        <v>1</v>
      </c>
      <c r="C2" s="107" t="e">
        <f>_xlfn.XLOOKUP($D2,Tab_Process_TCs[Name(EN)],Tab_Process_TCs[Process_ID],,0,)</f>
        <v>#N/A</v>
      </c>
      <c r="D2" s="50"/>
      <c r="E2" s="50" t="s">
        <v>55</v>
      </c>
      <c r="F2" s="48" t="e">
        <f>_xlfn.XLOOKUP($D2,Tab_Process_TCs[Name(EN)],Tab_Process_TCs[TC?],,0,)</f>
        <v>#N/A</v>
      </c>
      <c r="G2" s="48" t="e">
        <f>_xlfn.XLOOKUP($D2,Tab_Process_TCs[Name(EN)],Tab_Process_TCs[Dyn_TC?],,0,)</f>
        <v>#N/A</v>
      </c>
      <c r="H2" s="48" t="e">
        <f>_xlfn.XLOOKUP($E2,Tab_Def_Flows[Name(EN)],Tab_Def_Flows[Flow_ID],,0,1)</f>
        <v>#N/A</v>
      </c>
      <c r="I2" s="50" t="e">
        <f>IF(Tab_Process_TCs2527[[#This Row],[Name(EN)]]="N.A.","N.A.","TC"&amp;"_"&amp;RIGHT(H2,5))</f>
        <v>#N/A</v>
      </c>
      <c r="J2" s="50"/>
      <c r="K2" s="117"/>
      <c r="L2" s="50" t="e">
        <f>_xlfn.XLOOKUP($D2,Tab_Def_Processes[Name(EN)],Tab_Def_Processes[Stock?],,0,)</f>
        <v>#N/A</v>
      </c>
      <c r="M2" s="48"/>
      <c r="N2" s="57" t="e">
        <f>_xlfn.XLOOKUP($D2,Tab_Def_Processes[Name(EN)],Tab_Def_Processes[Input_Flow_I_1],,0,)</f>
        <v>#N/A</v>
      </c>
      <c r="O2" s="48" t="e">
        <f>_xlfn.XLOOKUP($D2,Tab_Def_Processes[Name(EN)],Tab_Def_Processes[Flow_ID_I_1],,0,)</f>
        <v>#N/A</v>
      </c>
      <c r="P2" s="75"/>
      <c r="Q2" s="71" t="e">
        <f>_xlfn.XLOOKUP($D2,Tab_Def_Processes[Name(EN)],Tab_Def_Processes[Input_Flow_I_2],,0,)</f>
        <v>#N/A</v>
      </c>
      <c r="R2" s="48" t="e">
        <f>_xlfn.XLOOKUP($D2,Tab_Def_Processes[Name(EN)],Tab_Def_Processes[Flow_ID_I_2],,0,)</f>
        <v>#N/A</v>
      </c>
      <c r="S2" s="75"/>
      <c r="T2" s="71" t="e">
        <f>_xlfn.XLOOKUP($D2,Tab_Def_Processes[Name(EN)],Tab_Def_Processes[Input_Flow_I_3],,0,)</f>
        <v>#N/A</v>
      </c>
      <c r="U2" s="48" t="e">
        <f>_xlfn.XLOOKUP($D2,Tab_Def_Processes[Name(EN)],Tab_Def_Processes[Flow_ID_I_3],,0,)</f>
        <v>#N/A</v>
      </c>
      <c r="V2" s="75"/>
      <c r="W2" s="71" t="e">
        <f>_xlfn.XLOOKUP($D2,Tab_Def_Processes[Name(EN)],Tab_Def_Processes[Input_Flow_I_4],,0,)</f>
        <v>#N/A</v>
      </c>
      <c r="X2" s="48" t="e">
        <f>_xlfn.XLOOKUP($D2,Tab_Def_Processes[Name(EN)],Tab_Def_Processes[Flow_ID_I_4],,0,)</f>
        <v>#N/A</v>
      </c>
      <c r="Y2" s="75"/>
      <c r="Z2" s="71" t="e">
        <f>_xlfn.XLOOKUP($D2,Tab_Def_Processes[Name(EN)],Tab_Def_Processes[Input_Flow_I_5],,0,)</f>
        <v>#N/A</v>
      </c>
      <c r="AA2" s="48" t="e">
        <f>_xlfn.XLOOKUP($D2,Tab_Def_Processes[Name(EN)],Tab_Def_Processes[Flow_ID_I_5],,0,)</f>
        <v>#N/A</v>
      </c>
      <c r="AB2" s="75"/>
      <c r="AC2" s="74">
        <f>Tab_Process_TCs2527[[#This Row],[Flow_TC_I_1_'[%']]]+Tab_Process_TCs2527[[#This Row],[Flow_TC_I_2_'[%']]]+Tab_Process_TCs2527[[#This Row],[Flow_TC_I_3_'[%']]]+Tab_Process_TCs2527[[#This Row],[Flow_TC_I_4_'[%']]]+Tab_Process_TCs2527[[#This Row],[Flow_TC_I_5_'[%']]]</f>
        <v>0</v>
      </c>
      <c r="AD2" s="237" t="e">
        <f>_xlfn.XLOOKUP($D2,Tab_Process_TCs[TC_ID],Tab_Process_TCs[Output_Flow_O_1],,0,)</f>
        <v>#N/A</v>
      </c>
      <c r="AE2" s="100" t="e">
        <f>_xlfn.XLOOKUP($D2,Tab_Process_TCs[TC_ID],Tab_Process_TCs[Flow_ID_O_1],,0,)</f>
        <v>#N/A</v>
      </c>
      <c r="AF2" s="100" t="e">
        <f>Tab_Process_TCs2527[[#This Row],[Flow_ID]]</f>
        <v>#N/A</v>
      </c>
      <c r="AG2" s="100" t="e">
        <f t="shared" ref="AG2:AG33" si="1">"TC"&amp;"_"&amp;RIGHT(AE2,5)</f>
        <v>#N/A</v>
      </c>
      <c r="AH2" s="238">
        <v>0.2</v>
      </c>
      <c r="AI2" s="237" t="e">
        <f>_xlfn.XLOOKUP($D2,Tab_Process_TCs[TC_ID],Tab_Process_TCs[Output_Flow_O_2],,0,)</f>
        <v>#N/A</v>
      </c>
      <c r="AJ2" s="100" t="e">
        <f>_xlfn.XLOOKUP($D2,Tab_Process_TCs[TC_ID],Tab_Process_TCs[Flow_ID_O_2],,0,)</f>
        <v>#N/A</v>
      </c>
      <c r="AK2" s="100" t="e">
        <f>Tab_Process_TCs2527[[#This Row],[Flow_ID]]</f>
        <v>#N/A</v>
      </c>
      <c r="AL2" s="100" t="e">
        <f t="shared" ref="AL2:AL33" si="2">"TC"&amp;"_"&amp;RIGHT(AJ2,5)</f>
        <v>#N/A</v>
      </c>
      <c r="AM2" s="239">
        <v>0.8</v>
      </c>
      <c r="AN2" s="237" t="e">
        <f>_xlfn.XLOOKUP($D2,Tab_Process_TCs[TC_ID],Tab_Process_TCs[Output_Flow_O_3],,0,)</f>
        <v>#N/A</v>
      </c>
      <c r="AO2" s="100" t="e">
        <f>_xlfn.XLOOKUP($D2,Tab_Process_TCs[TC_ID],Tab_Process_TCs[Flow_ID_O_3],,0,)</f>
        <v>#N/A</v>
      </c>
      <c r="AP2" s="100" t="e">
        <f>Tab_Process_TCs2527[[#This Row],[Flow_ID]]</f>
        <v>#N/A</v>
      </c>
      <c r="AQ2" s="100" t="e">
        <f t="shared" ref="AQ2:AQ33" si="3">"TC"&amp;"_"&amp;RIGHT(AO2,5)</f>
        <v>#N/A</v>
      </c>
      <c r="AR2" s="239"/>
      <c r="AS2" s="237" t="e">
        <f>_xlfn.XLOOKUP($D2,Tab_Process_TCs[TC_ID],#REF!,,0,)</f>
        <v>#REF!</v>
      </c>
      <c r="AT2" s="100" t="e">
        <f>_xlfn.XLOOKUP($D2,Tab_Process_TCs[TC_ID],#REF!,,0,)</f>
        <v>#REF!</v>
      </c>
      <c r="AU2" s="100" t="e">
        <f>Tab_Process_TCs2527[[#This Row],[Flow_ID]]</f>
        <v>#N/A</v>
      </c>
      <c r="AV2" s="100" t="e">
        <f t="shared" ref="AV2:AV33" si="4">"TC"&amp;"_"&amp;RIGHT(AO2,5)</f>
        <v>#N/A</v>
      </c>
      <c r="AW2" s="239"/>
      <c r="AX2" s="237" t="e">
        <f>_xlfn.XLOOKUP($D2,Tab_Process_TCs[TC_ID],#REF!,,0,)</f>
        <v>#REF!</v>
      </c>
      <c r="AY2" s="100" t="e">
        <f>_xlfn.XLOOKUP($D2,Tab_Process_TCs[TC_ID],#REF!,,0,)</f>
        <v>#REF!</v>
      </c>
      <c r="AZ2" s="100" t="e">
        <f>Tab_Process_TCs2527[[#This Row],[Flow_ID]]</f>
        <v>#N/A</v>
      </c>
      <c r="BA2" s="100" t="e">
        <f t="shared" ref="BA2:BA33" si="5">"TC"&amp;"_"&amp;RIGHT(AY2,5)</f>
        <v>#REF!</v>
      </c>
      <c r="BB2" s="239"/>
      <c r="BC2" s="48" t="e">
        <f>_xlfn.XLOOKUP($D2,Tab_Process_TCs[TC_ID],#REF!,,0,)</f>
        <v>#REF!</v>
      </c>
      <c r="BD2" s="48" t="e">
        <f>_xlfn.XLOOKUP($D2,Tab_Process_TCs[TC_ID],#REF!,,0,)</f>
        <v>#REF!</v>
      </c>
      <c r="BE2" s="100" t="e">
        <f>Tab_Process_TCs2527[[#This Row],[Flow_ID]]</f>
        <v>#N/A</v>
      </c>
      <c r="BF2" s="100" t="e">
        <f t="shared" ref="BF2:BF33" si="6">"TC"&amp;"_"&amp;RIGHT(BD2,5)</f>
        <v>#REF!</v>
      </c>
      <c r="BG2" s="109"/>
      <c r="BH2" s="112">
        <f>Tab_Process_TCs2527[[#This Row],[TC O_6_'[%']]]+Tab_Process_TCs2527[[#This Row],[TC O_5_'[%']]]+Tab_Process_TCs2527[[#This Row],[TC_O_4_'[%']]]+Tab_Process_TCs2527[[#This Row],[TC_O_3_'[%']]]+Tab_Process_TCs2527[[#This Row],[TC_O_2_'[%']]]+Tab_Process_TCs2527[[#This Row],[TC_O_1_'[%']]]</f>
        <v>1</v>
      </c>
      <c r="BI2" s="50"/>
      <c r="BJ2" s="50"/>
      <c r="BK2" s="50"/>
      <c r="BL2" s="50"/>
      <c r="BM2" s="50"/>
    </row>
    <row r="3" spans="1:65" x14ac:dyDescent="0.25">
      <c r="A3" s="87" t="b">
        <v>0</v>
      </c>
      <c r="B3" s="48">
        <f t="shared" si="0"/>
        <v>2</v>
      </c>
      <c r="C3" s="107" t="e">
        <f>_xlfn.XLOOKUP($D3,Tab_Process_TCs[Name(EN)],Tab_Process_TCs[Process_ID],,0,)</f>
        <v>#N/A</v>
      </c>
      <c r="D3" s="50"/>
      <c r="E3" s="50" t="s">
        <v>55</v>
      </c>
      <c r="F3" s="48" t="e">
        <f>_xlfn.XLOOKUP($D3,Tab_Process_TCs[Name(EN)],Tab_Process_TCs[TC?],,0,)</f>
        <v>#N/A</v>
      </c>
      <c r="G3" s="48" t="e">
        <f>_xlfn.XLOOKUP($D3,Tab_Process_TCs[Name(EN)],Tab_Process_TCs[Dyn_TC?],,0,)</f>
        <v>#N/A</v>
      </c>
      <c r="H3" s="48" t="e">
        <f>_xlfn.XLOOKUP($E3,Tab_Def_Flows[Name(EN)],Tab_Def_Flows[Flow_ID],,0,1)</f>
        <v>#N/A</v>
      </c>
      <c r="I3" s="50" t="e">
        <f>IF(Tab_Process_TCs2527[[#This Row],[Name(EN)]]="N.A.","N.A.","TC"&amp;"_"&amp;RIGHT(H3,5))</f>
        <v>#N/A</v>
      </c>
      <c r="J3" s="50"/>
      <c r="K3" s="117"/>
      <c r="L3" s="50" t="e">
        <f>_xlfn.XLOOKUP($D3,Tab_Def_Processes[Name(EN)],Tab_Def_Processes[Stock?],,0,)</f>
        <v>#N/A</v>
      </c>
      <c r="M3" s="48"/>
      <c r="N3" s="57" t="e">
        <f>_xlfn.XLOOKUP($D3,Tab_Def_Processes[Name(EN)],Tab_Def_Processes[Input_Flow_I_1],,0,)</f>
        <v>#N/A</v>
      </c>
      <c r="O3" s="48" t="e">
        <f>_xlfn.XLOOKUP($D3,Tab_Def_Processes[Name(EN)],Tab_Def_Processes[Flow_ID_I_1],,0,)</f>
        <v>#N/A</v>
      </c>
      <c r="P3" s="75"/>
      <c r="Q3" s="71" t="e">
        <f>_xlfn.XLOOKUP($D3,Tab_Def_Processes[Name(EN)],Tab_Def_Processes[Input_Flow_I_2],,0,)</f>
        <v>#N/A</v>
      </c>
      <c r="R3" s="48" t="e">
        <f>_xlfn.XLOOKUP($D3,Tab_Def_Processes[Name(EN)],Tab_Def_Processes[Flow_ID_I_2],,0,)</f>
        <v>#N/A</v>
      </c>
      <c r="S3" s="75"/>
      <c r="T3" s="71" t="e">
        <f>_xlfn.XLOOKUP($D3,Tab_Def_Processes[Name(EN)],Tab_Def_Processes[Input_Flow_I_3],,0,)</f>
        <v>#N/A</v>
      </c>
      <c r="U3" s="48" t="e">
        <f>_xlfn.XLOOKUP($D3,Tab_Def_Processes[Name(EN)],Tab_Def_Processes[Flow_ID_I_3],,0,)</f>
        <v>#N/A</v>
      </c>
      <c r="V3" s="75"/>
      <c r="W3" s="71" t="e">
        <f>_xlfn.XLOOKUP($D3,Tab_Def_Processes[Name(EN)],Tab_Def_Processes[Input_Flow_I_4],,0,)</f>
        <v>#N/A</v>
      </c>
      <c r="X3" s="48" t="e">
        <f>_xlfn.XLOOKUP($D3,Tab_Def_Processes[Name(EN)],Tab_Def_Processes[Flow_ID_I_4],,0,)</f>
        <v>#N/A</v>
      </c>
      <c r="Y3" s="75"/>
      <c r="Z3" s="71" t="e">
        <f>_xlfn.XLOOKUP($D3,Tab_Def_Processes[Name(EN)],Tab_Def_Processes[Input_Flow_I_5],,0,)</f>
        <v>#N/A</v>
      </c>
      <c r="AA3" s="48" t="e">
        <f>_xlfn.XLOOKUP($D3,Tab_Def_Processes[Name(EN)],Tab_Def_Processes[Flow_ID_I_5],,0,)</f>
        <v>#N/A</v>
      </c>
      <c r="AB3" s="75"/>
      <c r="AC3" s="74">
        <f>Tab_Process_TCs2527[[#This Row],[Flow_TC_I_1_'[%']]]+Tab_Process_TCs2527[[#This Row],[Flow_TC_I_2_'[%']]]+Tab_Process_TCs2527[[#This Row],[Flow_TC_I_3_'[%']]]+Tab_Process_TCs2527[[#This Row],[Flow_TC_I_4_'[%']]]+Tab_Process_TCs2527[[#This Row],[Flow_TC_I_5_'[%']]]</f>
        <v>0</v>
      </c>
      <c r="AD3" s="57" t="e">
        <f>_xlfn.XLOOKUP($D3,Tab_Process_TCs[TC_ID],Tab_Process_TCs[Output_Flow_O_1],,0,)</f>
        <v>#N/A</v>
      </c>
      <c r="AE3" s="48" t="e">
        <f>_xlfn.XLOOKUP($D3,Tab_Process_TCs[TC_ID],Tab_Process_TCs[Flow_ID_O_1],,0,)</f>
        <v>#N/A</v>
      </c>
      <c r="AF3" s="100" t="e">
        <f>Tab_Process_TCs2527[[#This Row],[Flow_ID]]</f>
        <v>#N/A</v>
      </c>
      <c r="AG3" s="48" t="e">
        <f t="shared" si="1"/>
        <v>#N/A</v>
      </c>
      <c r="AH3" s="109">
        <v>0.2</v>
      </c>
      <c r="AI3" s="57" t="e">
        <f>_xlfn.XLOOKUP($D3,Tab_Process_TCs[TC_ID],Tab_Process_TCs[Output_Flow_O_2],,0,)</f>
        <v>#N/A</v>
      </c>
      <c r="AJ3" s="48" t="e">
        <f>_xlfn.XLOOKUP($D3,Tab_Process_TCs[TC_ID],Tab_Process_TCs[Flow_ID_O_2],,0,)</f>
        <v>#N/A</v>
      </c>
      <c r="AK3" s="100" t="e">
        <f>Tab_Process_TCs2527[[#This Row],[Flow_ID]]</f>
        <v>#N/A</v>
      </c>
      <c r="AL3" s="48" t="e">
        <f t="shared" si="2"/>
        <v>#N/A</v>
      </c>
      <c r="AM3" s="239">
        <v>0.8</v>
      </c>
      <c r="AN3" s="57" t="e">
        <f>_xlfn.XLOOKUP($D3,Tab_Process_TCs[TC_ID],Tab_Process_TCs[Output_Flow_O_3],,0,)</f>
        <v>#N/A</v>
      </c>
      <c r="AO3" s="48" t="e">
        <f>_xlfn.XLOOKUP($D3,Tab_Process_TCs[TC_ID],Tab_Process_TCs[Flow_ID_O_3],,0,)</f>
        <v>#N/A</v>
      </c>
      <c r="AP3" s="100" t="e">
        <f>Tab_Process_TCs2527[[#This Row],[Flow_ID]]</f>
        <v>#N/A</v>
      </c>
      <c r="AQ3" s="48" t="e">
        <f t="shared" si="3"/>
        <v>#N/A</v>
      </c>
      <c r="AR3" s="228"/>
      <c r="AS3" s="57" t="e">
        <f>_xlfn.XLOOKUP($D3,Tab_Process_TCs[TC_ID],#REF!,,0,)</f>
        <v>#REF!</v>
      </c>
      <c r="AT3" s="48" t="e">
        <f>_xlfn.XLOOKUP($D3,Tab_Process_TCs[TC_ID],#REF!,,0,)</f>
        <v>#REF!</v>
      </c>
      <c r="AU3" s="100" t="e">
        <f>Tab_Process_TCs2527[[#This Row],[Flow_ID]]</f>
        <v>#N/A</v>
      </c>
      <c r="AV3" s="100" t="e">
        <f t="shared" si="4"/>
        <v>#N/A</v>
      </c>
      <c r="AW3" s="228"/>
      <c r="AX3" s="57" t="e">
        <f>_xlfn.XLOOKUP($D3,Tab_Process_TCs[TC_ID],#REF!,,0,)</f>
        <v>#REF!</v>
      </c>
      <c r="AY3" s="48" t="e">
        <f>_xlfn.XLOOKUP($D3,Tab_Process_TCs[TC_ID],#REF!,,0,)</f>
        <v>#REF!</v>
      </c>
      <c r="AZ3" s="100" t="e">
        <f>Tab_Process_TCs2527[[#This Row],[Flow_ID]]</f>
        <v>#N/A</v>
      </c>
      <c r="BA3" s="100" t="e">
        <f t="shared" si="5"/>
        <v>#REF!</v>
      </c>
      <c r="BB3" s="228"/>
      <c r="BC3" s="48" t="e">
        <f>_xlfn.XLOOKUP($D3,Tab_Process_TCs[TC_ID],#REF!,,0,)</f>
        <v>#REF!</v>
      </c>
      <c r="BD3" s="48" t="e">
        <f>_xlfn.XLOOKUP($D3,Tab_Process_TCs[TC_ID],#REF!,,0,)</f>
        <v>#REF!</v>
      </c>
      <c r="BE3" s="100" t="e">
        <f>Tab_Process_TCs2527[[#This Row],[Flow_ID]]</f>
        <v>#N/A</v>
      </c>
      <c r="BF3" s="100" t="e">
        <f t="shared" si="6"/>
        <v>#REF!</v>
      </c>
      <c r="BG3" s="109"/>
      <c r="BH3" s="112">
        <f>Tab_Process_TCs2527[[#This Row],[TC O_6_'[%']]]+Tab_Process_TCs2527[[#This Row],[TC O_5_'[%']]]+Tab_Process_TCs2527[[#This Row],[TC_O_4_'[%']]]+Tab_Process_TCs2527[[#This Row],[TC_O_3_'[%']]]+Tab_Process_TCs2527[[#This Row],[TC_O_2_'[%']]]+Tab_Process_TCs2527[[#This Row],[TC_O_1_'[%']]]</f>
        <v>1</v>
      </c>
      <c r="BI3" s="50"/>
      <c r="BJ3" s="50"/>
      <c r="BK3" s="50"/>
      <c r="BL3" s="50"/>
      <c r="BM3" s="50"/>
    </row>
    <row r="4" spans="1:65" x14ac:dyDescent="0.25">
      <c r="A4" s="87" t="b">
        <v>0</v>
      </c>
      <c r="B4" s="48">
        <f t="shared" si="0"/>
        <v>3</v>
      </c>
      <c r="C4" s="107" t="e">
        <f>_xlfn.XLOOKUP($D4,Tab_Process_TCs[Name(EN)],Tab_Process_TCs[Process_ID],,0,)</f>
        <v>#N/A</v>
      </c>
      <c r="D4" s="50"/>
      <c r="E4" s="50" t="s">
        <v>55</v>
      </c>
      <c r="F4" s="48" t="e">
        <f>_xlfn.XLOOKUP($D4,Tab_Process_TCs[Name(EN)],Tab_Process_TCs[TC?],,0,)</f>
        <v>#N/A</v>
      </c>
      <c r="G4" s="48" t="e">
        <f>_xlfn.XLOOKUP($D4,Tab_Process_TCs[Name(EN)],Tab_Process_TCs[Dyn_TC?],,0,)</f>
        <v>#N/A</v>
      </c>
      <c r="H4" s="48" t="e">
        <f>_xlfn.XLOOKUP($E4,Tab_Def_Flows[Name(EN)],Tab_Def_Flows[Flow_ID],,0,1)</f>
        <v>#N/A</v>
      </c>
      <c r="I4" s="50" t="e">
        <f>IF(Tab_Process_TCs2527[[#This Row],[Name(EN)]]="N.A.","N.A.","TC"&amp;"_"&amp;RIGHT(H4,5))</f>
        <v>#N/A</v>
      </c>
      <c r="J4" s="50"/>
      <c r="K4" s="117"/>
      <c r="L4" s="50" t="e">
        <f>_xlfn.XLOOKUP($D4,Tab_Def_Processes[Name(EN)],Tab_Def_Processes[Stock?],,0,)</f>
        <v>#N/A</v>
      </c>
      <c r="M4" s="48"/>
      <c r="N4" s="57" t="e">
        <f>_xlfn.XLOOKUP($D4,Tab_Def_Processes[Name(EN)],Tab_Def_Processes[Input_Flow_I_1],,0,)</f>
        <v>#N/A</v>
      </c>
      <c r="O4" s="48" t="e">
        <f>_xlfn.XLOOKUP($D4,Tab_Def_Processes[Name(EN)],Tab_Def_Processes[Flow_ID_I_1],,0,)</f>
        <v>#N/A</v>
      </c>
      <c r="P4" s="75"/>
      <c r="Q4" s="71" t="e">
        <f>_xlfn.XLOOKUP($D4,Tab_Def_Processes[Name(EN)],Tab_Def_Processes[Input_Flow_I_2],,0,)</f>
        <v>#N/A</v>
      </c>
      <c r="R4" s="48" t="e">
        <f>_xlfn.XLOOKUP($D4,Tab_Def_Processes[Name(EN)],Tab_Def_Processes[Flow_ID_I_2],,0,)</f>
        <v>#N/A</v>
      </c>
      <c r="S4" s="75"/>
      <c r="T4" s="71" t="e">
        <f>_xlfn.XLOOKUP($D4,Tab_Def_Processes[Name(EN)],Tab_Def_Processes[Input_Flow_I_3],,0,)</f>
        <v>#N/A</v>
      </c>
      <c r="U4" s="48" t="e">
        <f>_xlfn.XLOOKUP($D4,Tab_Def_Processes[Name(EN)],Tab_Def_Processes[Flow_ID_I_3],,0,)</f>
        <v>#N/A</v>
      </c>
      <c r="V4" s="75"/>
      <c r="W4" s="71" t="e">
        <f>_xlfn.XLOOKUP($D4,Tab_Def_Processes[Name(EN)],Tab_Def_Processes[Input_Flow_I_4],,0,)</f>
        <v>#N/A</v>
      </c>
      <c r="X4" s="48" t="e">
        <f>_xlfn.XLOOKUP($D4,Tab_Def_Processes[Name(EN)],Tab_Def_Processes[Flow_ID_I_4],,0,)</f>
        <v>#N/A</v>
      </c>
      <c r="Y4" s="75"/>
      <c r="Z4" s="71" t="e">
        <f>_xlfn.XLOOKUP($D4,Tab_Def_Processes[Name(EN)],Tab_Def_Processes[Input_Flow_I_5],,0,)</f>
        <v>#N/A</v>
      </c>
      <c r="AA4" s="48" t="e">
        <f>_xlfn.XLOOKUP($D4,Tab_Def_Processes[Name(EN)],Tab_Def_Processes[Flow_ID_I_5],,0,)</f>
        <v>#N/A</v>
      </c>
      <c r="AB4" s="75"/>
      <c r="AC4" s="74">
        <f>Tab_Process_TCs2527[[#This Row],[Flow_TC_I_1_'[%']]]+Tab_Process_TCs2527[[#This Row],[Flow_TC_I_2_'[%']]]+Tab_Process_TCs2527[[#This Row],[Flow_TC_I_3_'[%']]]+Tab_Process_TCs2527[[#This Row],[Flow_TC_I_4_'[%']]]+Tab_Process_TCs2527[[#This Row],[Flow_TC_I_5_'[%']]]</f>
        <v>0</v>
      </c>
      <c r="AD4" s="57" t="e">
        <f>_xlfn.XLOOKUP($D4,Tab_Process_TCs[TC_ID],Tab_Process_TCs[Output_Flow_O_1],,0,)</f>
        <v>#N/A</v>
      </c>
      <c r="AE4" s="48" t="e">
        <f>_xlfn.XLOOKUP($D4,Tab_Process_TCs[TC_ID],Tab_Process_TCs[Flow_ID_O_1],,0,)</f>
        <v>#N/A</v>
      </c>
      <c r="AF4" s="100" t="e">
        <f>Tab_Process_TCs2527[[#This Row],[Flow_ID]]</f>
        <v>#N/A</v>
      </c>
      <c r="AG4" s="48" t="e">
        <f t="shared" si="1"/>
        <v>#N/A</v>
      </c>
      <c r="AH4" s="109">
        <v>0.2</v>
      </c>
      <c r="AI4" s="57" t="e">
        <f>_xlfn.XLOOKUP($D4,Tab_Process_TCs[TC_ID],Tab_Process_TCs[Output_Flow_O_2],,0,)</f>
        <v>#N/A</v>
      </c>
      <c r="AJ4" s="48" t="e">
        <f>_xlfn.XLOOKUP($D4,Tab_Process_TCs[TC_ID],Tab_Process_TCs[Flow_ID_O_2],,0,)</f>
        <v>#N/A</v>
      </c>
      <c r="AK4" s="100" t="e">
        <f>Tab_Process_TCs2527[[#This Row],[Flow_ID]]</f>
        <v>#N/A</v>
      </c>
      <c r="AL4" s="48" t="e">
        <f t="shared" si="2"/>
        <v>#N/A</v>
      </c>
      <c r="AM4" s="239">
        <v>0.8</v>
      </c>
      <c r="AN4" s="57" t="e">
        <f>_xlfn.XLOOKUP($D4,Tab_Process_TCs[TC_ID],Tab_Process_TCs[Output_Flow_O_3],,0,)</f>
        <v>#N/A</v>
      </c>
      <c r="AO4" s="48" t="e">
        <f>_xlfn.XLOOKUP($D4,Tab_Process_TCs[TC_ID],Tab_Process_TCs[Flow_ID_O_3],,0,)</f>
        <v>#N/A</v>
      </c>
      <c r="AP4" s="100" t="e">
        <f>Tab_Process_TCs2527[[#This Row],[Flow_ID]]</f>
        <v>#N/A</v>
      </c>
      <c r="AQ4" s="48" t="e">
        <f t="shared" si="3"/>
        <v>#N/A</v>
      </c>
      <c r="AR4" s="228"/>
      <c r="AS4" s="57" t="e">
        <f>_xlfn.XLOOKUP($D4,Tab_Process_TCs[TC_ID],#REF!,,0,)</f>
        <v>#REF!</v>
      </c>
      <c r="AT4" s="48" t="e">
        <f>_xlfn.XLOOKUP($D4,Tab_Process_TCs[TC_ID],#REF!,,0,)</f>
        <v>#REF!</v>
      </c>
      <c r="AU4" s="100" t="e">
        <f>Tab_Process_TCs2527[[#This Row],[Flow_ID]]</f>
        <v>#N/A</v>
      </c>
      <c r="AV4" s="100" t="e">
        <f t="shared" si="4"/>
        <v>#N/A</v>
      </c>
      <c r="AW4" s="228"/>
      <c r="AX4" s="57" t="e">
        <f>_xlfn.XLOOKUP($D4,Tab_Process_TCs[TC_ID],#REF!,,0,)</f>
        <v>#REF!</v>
      </c>
      <c r="AY4" s="48" t="e">
        <f>_xlfn.XLOOKUP($D4,Tab_Process_TCs[TC_ID],#REF!,,0,)</f>
        <v>#REF!</v>
      </c>
      <c r="AZ4" s="100" t="e">
        <f>Tab_Process_TCs2527[[#This Row],[Flow_ID]]</f>
        <v>#N/A</v>
      </c>
      <c r="BA4" s="100" t="e">
        <f t="shared" si="5"/>
        <v>#REF!</v>
      </c>
      <c r="BB4" s="228"/>
      <c r="BC4" s="48" t="e">
        <f>_xlfn.XLOOKUP($D4,Tab_Process_TCs[TC_ID],#REF!,,0,)</f>
        <v>#REF!</v>
      </c>
      <c r="BD4" s="48" t="e">
        <f>_xlfn.XLOOKUP($D4,Tab_Process_TCs[TC_ID],#REF!,,0,)</f>
        <v>#REF!</v>
      </c>
      <c r="BE4" s="100" t="e">
        <f>Tab_Process_TCs2527[[#This Row],[Flow_ID]]</f>
        <v>#N/A</v>
      </c>
      <c r="BF4" s="100" t="e">
        <f t="shared" si="6"/>
        <v>#REF!</v>
      </c>
      <c r="BG4" s="109"/>
      <c r="BH4" s="112">
        <f>Tab_Process_TCs2527[[#This Row],[TC O_6_'[%']]]+Tab_Process_TCs2527[[#This Row],[TC O_5_'[%']]]+Tab_Process_TCs2527[[#This Row],[TC_O_4_'[%']]]+Tab_Process_TCs2527[[#This Row],[TC_O_3_'[%']]]+Tab_Process_TCs2527[[#This Row],[TC_O_2_'[%']]]+Tab_Process_TCs2527[[#This Row],[TC_O_1_'[%']]]</f>
        <v>1</v>
      </c>
      <c r="BI4" s="50"/>
      <c r="BJ4" s="50"/>
      <c r="BK4" s="50"/>
      <c r="BL4" s="50"/>
      <c r="BM4" s="50"/>
    </row>
    <row r="5" spans="1:65" x14ac:dyDescent="0.25">
      <c r="A5" s="87" t="b">
        <v>0</v>
      </c>
      <c r="B5" s="48">
        <f t="shared" si="0"/>
        <v>4</v>
      </c>
      <c r="C5" s="107" t="e">
        <f>_xlfn.XLOOKUP($D5,Tab_Process_TCs[Name(EN)],Tab_Process_TCs[Process_ID],,0,)</f>
        <v>#N/A</v>
      </c>
      <c r="D5" s="50"/>
      <c r="E5" s="50" t="s">
        <v>55</v>
      </c>
      <c r="F5" s="48" t="e">
        <f>_xlfn.XLOOKUP($D5,Tab_Process_TCs[Name(EN)],Tab_Process_TCs[TC?],,0,)</f>
        <v>#N/A</v>
      </c>
      <c r="G5" s="48" t="e">
        <f>_xlfn.XLOOKUP($D5,Tab_Process_TCs[Name(EN)],Tab_Process_TCs[Dyn_TC?],,0,)</f>
        <v>#N/A</v>
      </c>
      <c r="H5" s="48" t="e">
        <f>_xlfn.XLOOKUP($E5,Tab_Def_Flows[Name(EN)],Tab_Def_Flows[Flow_ID],,0,1)</f>
        <v>#N/A</v>
      </c>
      <c r="I5" s="50" t="e">
        <f>IF(Tab_Process_TCs2527[[#This Row],[Name(EN)]]="N.A.","N.A.","TC"&amp;"_"&amp;RIGHT(H5,5))</f>
        <v>#N/A</v>
      </c>
      <c r="J5" s="50"/>
      <c r="K5" s="117"/>
      <c r="L5" s="50" t="e">
        <f>_xlfn.XLOOKUP($D5,Tab_Def_Processes[Name(EN)],Tab_Def_Processes[Stock?],,0,)</f>
        <v>#N/A</v>
      </c>
      <c r="M5" s="48"/>
      <c r="N5" s="57" t="e">
        <f>_xlfn.XLOOKUP($D5,Tab_Def_Processes[Name(EN)],Tab_Def_Processes[Input_Flow_I_1],,0,)</f>
        <v>#N/A</v>
      </c>
      <c r="O5" s="48" t="e">
        <f>_xlfn.XLOOKUP($D5,Tab_Def_Processes[Name(EN)],Tab_Def_Processes[Flow_ID_I_1],,0,)</f>
        <v>#N/A</v>
      </c>
      <c r="P5" s="75"/>
      <c r="Q5" s="71" t="e">
        <f>_xlfn.XLOOKUP($D5,Tab_Def_Processes[Name(EN)],Tab_Def_Processes[Input_Flow_I_2],,0,)</f>
        <v>#N/A</v>
      </c>
      <c r="R5" s="48" t="e">
        <f>_xlfn.XLOOKUP($D5,Tab_Def_Processes[Name(EN)],Tab_Def_Processes[Flow_ID_I_2],,0,)</f>
        <v>#N/A</v>
      </c>
      <c r="S5" s="75"/>
      <c r="T5" s="71" t="e">
        <f>_xlfn.XLOOKUP($D5,Tab_Def_Processes[Name(EN)],Tab_Def_Processes[Input_Flow_I_3],,0,)</f>
        <v>#N/A</v>
      </c>
      <c r="U5" s="48" t="e">
        <f>_xlfn.XLOOKUP($D5,Tab_Def_Processes[Name(EN)],Tab_Def_Processes[Flow_ID_I_3],,0,)</f>
        <v>#N/A</v>
      </c>
      <c r="V5" s="75"/>
      <c r="W5" s="71" t="e">
        <f>_xlfn.XLOOKUP($D5,Tab_Def_Processes[Name(EN)],Tab_Def_Processes[Input_Flow_I_4],,0,)</f>
        <v>#N/A</v>
      </c>
      <c r="X5" s="48" t="e">
        <f>_xlfn.XLOOKUP($D5,Tab_Def_Processes[Name(EN)],Tab_Def_Processes[Flow_ID_I_4],,0,)</f>
        <v>#N/A</v>
      </c>
      <c r="Y5" s="75"/>
      <c r="Z5" s="71" t="e">
        <f>_xlfn.XLOOKUP($D5,Tab_Def_Processes[Name(EN)],Tab_Def_Processes[Input_Flow_I_5],,0,)</f>
        <v>#N/A</v>
      </c>
      <c r="AA5" s="48" t="e">
        <f>_xlfn.XLOOKUP($D5,Tab_Def_Processes[Name(EN)],Tab_Def_Processes[Flow_ID_I_5],,0,)</f>
        <v>#N/A</v>
      </c>
      <c r="AB5" s="75"/>
      <c r="AC5" s="74">
        <f>Tab_Process_TCs2527[[#This Row],[Flow_TC_I_1_'[%']]]+Tab_Process_TCs2527[[#This Row],[Flow_TC_I_2_'[%']]]+Tab_Process_TCs2527[[#This Row],[Flow_TC_I_3_'[%']]]+Tab_Process_TCs2527[[#This Row],[Flow_TC_I_4_'[%']]]+Tab_Process_TCs2527[[#This Row],[Flow_TC_I_5_'[%']]]</f>
        <v>0</v>
      </c>
      <c r="AD5" s="57" t="e">
        <f>_xlfn.XLOOKUP($D5,Tab_Process_TCs[TC_ID],Tab_Process_TCs[Output_Flow_O_1],,0,)</f>
        <v>#N/A</v>
      </c>
      <c r="AE5" s="48" t="e">
        <f>_xlfn.XLOOKUP($D5,Tab_Process_TCs[TC_ID],Tab_Process_TCs[Flow_ID_O_1],,0,)</f>
        <v>#N/A</v>
      </c>
      <c r="AF5" s="100" t="e">
        <f>Tab_Process_TCs2527[[#This Row],[Flow_ID]]</f>
        <v>#N/A</v>
      </c>
      <c r="AG5" s="48" t="e">
        <f t="shared" si="1"/>
        <v>#N/A</v>
      </c>
      <c r="AH5" s="109">
        <v>0.2</v>
      </c>
      <c r="AI5" s="57" t="e">
        <f>_xlfn.XLOOKUP($D5,Tab_Process_TCs[TC_ID],Tab_Process_TCs[Output_Flow_O_2],,0,)</f>
        <v>#N/A</v>
      </c>
      <c r="AJ5" s="48" t="e">
        <f>_xlfn.XLOOKUP($D5,Tab_Process_TCs[TC_ID],Tab_Process_TCs[Flow_ID_O_2],,0,)</f>
        <v>#N/A</v>
      </c>
      <c r="AK5" s="100" t="e">
        <f>Tab_Process_TCs2527[[#This Row],[Flow_ID]]</f>
        <v>#N/A</v>
      </c>
      <c r="AL5" s="48" t="e">
        <f t="shared" si="2"/>
        <v>#N/A</v>
      </c>
      <c r="AM5" s="239">
        <v>0.8</v>
      </c>
      <c r="AN5" s="57" t="e">
        <f>_xlfn.XLOOKUP($D5,Tab_Process_TCs[TC_ID],Tab_Process_TCs[Output_Flow_O_3],,0,)</f>
        <v>#N/A</v>
      </c>
      <c r="AO5" s="48" t="e">
        <f>_xlfn.XLOOKUP($D5,Tab_Process_TCs[TC_ID],Tab_Process_TCs[Flow_ID_O_3],,0,)</f>
        <v>#N/A</v>
      </c>
      <c r="AP5" s="100" t="e">
        <f>Tab_Process_TCs2527[[#This Row],[Flow_ID]]</f>
        <v>#N/A</v>
      </c>
      <c r="AQ5" s="48" t="e">
        <f t="shared" si="3"/>
        <v>#N/A</v>
      </c>
      <c r="AR5" s="228"/>
      <c r="AS5" s="57" t="e">
        <f>_xlfn.XLOOKUP($D5,Tab_Process_TCs[TC_ID],#REF!,,0,)</f>
        <v>#REF!</v>
      </c>
      <c r="AT5" s="48" t="e">
        <f>_xlfn.XLOOKUP($D5,Tab_Process_TCs[TC_ID],#REF!,,0,)</f>
        <v>#REF!</v>
      </c>
      <c r="AU5" s="100" t="e">
        <f>Tab_Process_TCs2527[[#This Row],[Flow_ID]]</f>
        <v>#N/A</v>
      </c>
      <c r="AV5" s="100" t="e">
        <f t="shared" si="4"/>
        <v>#N/A</v>
      </c>
      <c r="AW5" s="228"/>
      <c r="AX5" s="57" t="e">
        <f>_xlfn.XLOOKUP($D5,Tab_Process_TCs[TC_ID],#REF!,,0,)</f>
        <v>#REF!</v>
      </c>
      <c r="AY5" s="48" t="e">
        <f>_xlfn.XLOOKUP($D5,Tab_Process_TCs[TC_ID],#REF!,,0,)</f>
        <v>#REF!</v>
      </c>
      <c r="AZ5" s="100" t="e">
        <f>Tab_Process_TCs2527[[#This Row],[Flow_ID]]</f>
        <v>#N/A</v>
      </c>
      <c r="BA5" s="100" t="e">
        <f t="shared" si="5"/>
        <v>#REF!</v>
      </c>
      <c r="BB5" s="228"/>
      <c r="BC5" s="48" t="e">
        <f>_xlfn.XLOOKUP($D5,Tab_Process_TCs[TC_ID],#REF!,,0,)</f>
        <v>#REF!</v>
      </c>
      <c r="BD5" s="48" t="e">
        <f>_xlfn.XLOOKUP($D5,Tab_Process_TCs[TC_ID],#REF!,,0,)</f>
        <v>#REF!</v>
      </c>
      <c r="BE5" s="100" t="e">
        <f>Tab_Process_TCs2527[[#This Row],[Flow_ID]]</f>
        <v>#N/A</v>
      </c>
      <c r="BF5" s="100" t="e">
        <f t="shared" si="6"/>
        <v>#REF!</v>
      </c>
      <c r="BG5" s="109"/>
      <c r="BH5" s="112">
        <f>Tab_Process_TCs2527[[#This Row],[TC O_6_'[%']]]+Tab_Process_TCs2527[[#This Row],[TC O_5_'[%']]]+Tab_Process_TCs2527[[#This Row],[TC_O_4_'[%']]]+Tab_Process_TCs2527[[#This Row],[TC_O_3_'[%']]]+Tab_Process_TCs2527[[#This Row],[TC_O_2_'[%']]]+Tab_Process_TCs2527[[#This Row],[TC_O_1_'[%']]]</f>
        <v>1</v>
      </c>
      <c r="BI5" s="50"/>
      <c r="BJ5" s="50"/>
      <c r="BK5" s="50"/>
      <c r="BL5" s="50"/>
      <c r="BM5" s="50"/>
    </row>
    <row r="6" spans="1:65" x14ac:dyDescent="0.25">
      <c r="A6" s="87" t="b">
        <v>0</v>
      </c>
      <c r="B6" s="48">
        <f t="shared" si="0"/>
        <v>5</v>
      </c>
      <c r="C6" s="107" t="e">
        <f>_xlfn.XLOOKUP($D6,Tab_Process_TCs[Name(EN)],Tab_Process_TCs[Process_ID],,0,)</f>
        <v>#N/A</v>
      </c>
      <c r="D6" s="50"/>
      <c r="E6" s="50" t="s">
        <v>55</v>
      </c>
      <c r="F6" s="48" t="e">
        <f>_xlfn.XLOOKUP($D6,Tab_Process_TCs[Name(EN)],Tab_Process_TCs[TC?],,0,)</f>
        <v>#N/A</v>
      </c>
      <c r="G6" s="48" t="e">
        <f>_xlfn.XLOOKUP($D6,Tab_Process_TCs[Name(EN)],Tab_Process_TCs[Dyn_TC?],,0,)</f>
        <v>#N/A</v>
      </c>
      <c r="H6" s="48" t="e">
        <f>_xlfn.XLOOKUP($E6,Tab_Def_Flows[Name(EN)],Tab_Def_Flows[Flow_ID],,0,1)</f>
        <v>#N/A</v>
      </c>
      <c r="I6" s="50" t="e">
        <f>IF(Tab_Process_TCs2527[[#This Row],[Name(EN)]]="N.A.","N.A.","TC"&amp;"_"&amp;RIGHT(H6,5))</f>
        <v>#N/A</v>
      </c>
      <c r="J6" s="50"/>
      <c r="K6" s="117"/>
      <c r="L6" s="50" t="e">
        <f>_xlfn.XLOOKUP($D6,Tab_Def_Processes[Name(EN)],Tab_Def_Processes[Stock?],,0,)</f>
        <v>#N/A</v>
      </c>
      <c r="M6" s="48"/>
      <c r="N6" s="57" t="e">
        <f>_xlfn.XLOOKUP($D6,Tab_Def_Processes[Name(EN)],Tab_Def_Processes[Input_Flow_I_1],,0,)</f>
        <v>#N/A</v>
      </c>
      <c r="O6" s="48" t="e">
        <f>_xlfn.XLOOKUP($D6,Tab_Def_Processes[Name(EN)],Tab_Def_Processes[Flow_ID_I_1],,0,)</f>
        <v>#N/A</v>
      </c>
      <c r="P6" s="75"/>
      <c r="Q6" s="71" t="e">
        <f>_xlfn.XLOOKUP($D6,Tab_Def_Processes[Name(EN)],Tab_Def_Processes[Input_Flow_I_2],,0,)</f>
        <v>#N/A</v>
      </c>
      <c r="R6" s="48" t="e">
        <f>_xlfn.XLOOKUP($D6,Tab_Def_Processes[Name(EN)],Tab_Def_Processes[Flow_ID_I_2],,0,)</f>
        <v>#N/A</v>
      </c>
      <c r="S6" s="75"/>
      <c r="T6" s="71" t="e">
        <f>_xlfn.XLOOKUP($D6,Tab_Def_Processes[Name(EN)],Tab_Def_Processes[Input_Flow_I_3],,0,)</f>
        <v>#N/A</v>
      </c>
      <c r="U6" s="48" t="e">
        <f>_xlfn.XLOOKUP($D6,Tab_Def_Processes[Name(EN)],Tab_Def_Processes[Flow_ID_I_3],,0,)</f>
        <v>#N/A</v>
      </c>
      <c r="V6" s="75"/>
      <c r="W6" s="71" t="e">
        <f>_xlfn.XLOOKUP($D6,Tab_Def_Processes[Name(EN)],Tab_Def_Processes[Input_Flow_I_4],,0,)</f>
        <v>#N/A</v>
      </c>
      <c r="X6" s="48" t="e">
        <f>_xlfn.XLOOKUP($D6,Tab_Def_Processes[Name(EN)],Tab_Def_Processes[Flow_ID_I_4],,0,)</f>
        <v>#N/A</v>
      </c>
      <c r="Y6" s="75"/>
      <c r="Z6" s="71" t="e">
        <f>_xlfn.XLOOKUP($D6,Tab_Def_Processes[Name(EN)],Tab_Def_Processes[Input_Flow_I_5],,0,)</f>
        <v>#N/A</v>
      </c>
      <c r="AA6" s="48" t="e">
        <f>_xlfn.XLOOKUP($D6,Tab_Def_Processes[Name(EN)],Tab_Def_Processes[Flow_ID_I_5],,0,)</f>
        <v>#N/A</v>
      </c>
      <c r="AB6" s="75"/>
      <c r="AC6" s="74">
        <f>Tab_Process_TCs2527[[#This Row],[Flow_TC_I_1_'[%']]]+Tab_Process_TCs2527[[#This Row],[Flow_TC_I_2_'[%']]]+Tab_Process_TCs2527[[#This Row],[Flow_TC_I_3_'[%']]]+Tab_Process_TCs2527[[#This Row],[Flow_TC_I_4_'[%']]]+Tab_Process_TCs2527[[#This Row],[Flow_TC_I_5_'[%']]]</f>
        <v>0</v>
      </c>
      <c r="AD6" s="57" t="e">
        <f>_xlfn.XLOOKUP($D6,Tab_Process_TCs[TC_ID],Tab_Process_TCs[Output_Flow_O_1],,0,)</f>
        <v>#N/A</v>
      </c>
      <c r="AE6" s="48" t="e">
        <f>_xlfn.XLOOKUP($D6,Tab_Process_TCs[TC_ID],Tab_Process_TCs[Flow_ID_O_1],,0,)</f>
        <v>#N/A</v>
      </c>
      <c r="AF6" s="100" t="e">
        <f>Tab_Process_TCs2527[[#This Row],[Flow_ID]]</f>
        <v>#N/A</v>
      </c>
      <c r="AG6" s="48" t="e">
        <f t="shared" si="1"/>
        <v>#N/A</v>
      </c>
      <c r="AH6" s="109">
        <v>0.2</v>
      </c>
      <c r="AI6" s="57" t="e">
        <f>_xlfn.XLOOKUP($D6,Tab_Process_TCs[TC_ID],Tab_Process_TCs[Output_Flow_O_2],,0,)</f>
        <v>#N/A</v>
      </c>
      <c r="AJ6" s="48" t="e">
        <f>_xlfn.XLOOKUP($D6,Tab_Process_TCs[TC_ID],Tab_Process_TCs[Flow_ID_O_2],,0,)</f>
        <v>#N/A</v>
      </c>
      <c r="AK6" s="100" t="e">
        <f>Tab_Process_TCs2527[[#This Row],[Flow_ID]]</f>
        <v>#N/A</v>
      </c>
      <c r="AL6" s="48" t="e">
        <f t="shared" si="2"/>
        <v>#N/A</v>
      </c>
      <c r="AM6" s="239">
        <v>0.8</v>
      </c>
      <c r="AN6" s="57" t="e">
        <f>_xlfn.XLOOKUP($D6,Tab_Process_TCs[TC_ID],Tab_Process_TCs[Output_Flow_O_3],,0,)</f>
        <v>#N/A</v>
      </c>
      <c r="AO6" s="48" t="e">
        <f>_xlfn.XLOOKUP($D6,Tab_Process_TCs[TC_ID],Tab_Process_TCs[Flow_ID_O_3],,0,)</f>
        <v>#N/A</v>
      </c>
      <c r="AP6" s="100" t="e">
        <f>Tab_Process_TCs2527[[#This Row],[Flow_ID]]</f>
        <v>#N/A</v>
      </c>
      <c r="AQ6" s="48" t="e">
        <f t="shared" si="3"/>
        <v>#N/A</v>
      </c>
      <c r="AR6" s="228"/>
      <c r="AS6" s="57" t="e">
        <f>_xlfn.XLOOKUP($D6,Tab_Process_TCs[TC_ID],#REF!,,0,)</f>
        <v>#REF!</v>
      </c>
      <c r="AT6" s="48" t="e">
        <f>_xlfn.XLOOKUP($D6,Tab_Process_TCs[TC_ID],#REF!,,0,)</f>
        <v>#REF!</v>
      </c>
      <c r="AU6" s="100" t="e">
        <f>Tab_Process_TCs2527[[#This Row],[Flow_ID]]</f>
        <v>#N/A</v>
      </c>
      <c r="AV6" s="100" t="e">
        <f t="shared" si="4"/>
        <v>#N/A</v>
      </c>
      <c r="AW6" s="228"/>
      <c r="AX6" s="57" t="e">
        <f>_xlfn.XLOOKUP($D6,Tab_Process_TCs[TC_ID],#REF!,,0,)</f>
        <v>#REF!</v>
      </c>
      <c r="AY6" s="48" t="e">
        <f>_xlfn.XLOOKUP($D6,Tab_Process_TCs[TC_ID],#REF!,,0,)</f>
        <v>#REF!</v>
      </c>
      <c r="AZ6" s="100" t="e">
        <f>Tab_Process_TCs2527[[#This Row],[Flow_ID]]</f>
        <v>#N/A</v>
      </c>
      <c r="BA6" s="100" t="e">
        <f t="shared" si="5"/>
        <v>#REF!</v>
      </c>
      <c r="BB6" s="228"/>
      <c r="BC6" s="48" t="e">
        <f>_xlfn.XLOOKUP($D6,Tab_Process_TCs[TC_ID],#REF!,,0,)</f>
        <v>#REF!</v>
      </c>
      <c r="BD6" s="48" t="e">
        <f>_xlfn.XLOOKUP($D6,Tab_Process_TCs[TC_ID],#REF!,,0,)</f>
        <v>#REF!</v>
      </c>
      <c r="BE6" s="100" t="e">
        <f>Tab_Process_TCs2527[[#This Row],[Flow_ID]]</f>
        <v>#N/A</v>
      </c>
      <c r="BF6" s="100" t="e">
        <f t="shared" si="6"/>
        <v>#REF!</v>
      </c>
      <c r="BG6" s="109"/>
      <c r="BH6" s="112">
        <f>Tab_Process_TCs2527[[#This Row],[TC O_6_'[%']]]+Tab_Process_TCs2527[[#This Row],[TC O_5_'[%']]]+Tab_Process_TCs2527[[#This Row],[TC_O_4_'[%']]]+Tab_Process_TCs2527[[#This Row],[TC_O_3_'[%']]]+Tab_Process_TCs2527[[#This Row],[TC_O_2_'[%']]]+Tab_Process_TCs2527[[#This Row],[TC_O_1_'[%']]]</f>
        <v>1</v>
      </c>
      <c r="BI6" s="50"/>
      <c r="BJ6" s="50"/>
      <c r="BK6" s="50"/>
      <c r="BL6" s="50"/>
      <c r="BM6" s="50"/>
    </row>
    <row r="7" spans="1:65" x14ac:dyDescent="0.25">
      <c r="A7" s="87" t="b">
        <v>0</v>
      </c>
      <c r="B7" s="48">
        <f t="shared" si="0"/>
        <v>6</v>
      </c>
      <c r="C7" s="107" t="e">
        <f>_xlfn.XLOOKUP($D7,Tab_Process_TCs[Name(EN)],Tab_Process_TCs[Process_ID],,0,)</f>
        <v>#N/A</v>
      </c>
      <c r="D7" s="50"/>
      <c r="E7" s="50" t="s">
        <v>55</v>
      </c>
      <c r="F7" s="48" t="e">
        <f>_xlfn.XLOOKUP($D7,Tab_Process_TCs[Name(EN)],Tab_Process_TCs[TC?],,0,)</f>
        <v>#N/A</v>
      </c>
      <c r="G7" s="48" t="e">
        <f>_xlfn.XLOOKUP($D7,Tab_Process_TCs[Name(EN)],Tab_Process_TCs[Dyn_TC?],,0,)</f>
        <v>#N/A</v>
      </c>
      <c r="H7" s="48" t="e">
        <f>_xlfn.XLOOKUP($E7,Tab_Def_Flows[Name(EN)],Tab_Def_Flows[Flow_ID],,0,1)</f>
        <v>#N/A</v>
      </c>
      <c r="I7" s="50" t="e">
        <f>IF(Tab_Process_TCs2527[[#This Row],[Name(EN)]]="N.A.","N.A.","TC"&amp;"_"&amp;RIGHT(H7,5))</f>
        <v>#N/A</v>
      </c>
      <c r="J7" s="50"/>
      <c r="K7" s="117"/>
      <c r="L7" s="50" t="e">
        <f>_xlfn.XLOOKUP($D7,Tab_Def_Processes[Name(EN)],Tab_Def_Processes[Stock?],,0,)</f>
        <v>#N/A</v>
      </c>
      <c r="M7" s="48"/>
      <c r="N7" s="57" t="e">
        <f>_xlfn.XLOOKUP($D7,Tab_Def_Processes[Name(EN)],Tab_Def_Processes[Input_Flow_I_1],,0,)</f>
        <v>#N/A</v>
      </c>
      <c r="O7" s="48" t="e">
        <f>_xlfn.XLOOKUP($D7,Tab_Def_Processes[Name(EN)],Tab_Def_Processes[Flow_ID_I_1],,0,)</f>
        <v>#N/A</v>
      </c>
      <c r="P7" s="75"/>
      <c r="Q7" s="71" t="e">
        <f>_xlfn.XLOOKUP($D7,Tab_Def_Processes[Name(EN)],Tab_Def_Processes[Input_Flow_I_2],,0,)</f>
        <v>#N/A</v>
      </c>
      <c r="R7" s="48" t="e">
        <f>_xlfn.XLOOKUP($D7,Tab_Def_Processes[Name(EN)],Tab_Def_Processes[Flow_ID_I_2],,0,)</f>
        <v>#N/A</v>
      </c>
      <c r="S7" s="75"/>
      <c r="T7" s="71" t="e">
        <f>_xlfn.XLOOKUP($D7,Tab_Def_Processes[Name(EN)],Tab_Def_Processes[Input_Flow_I_3],,0,)</f>
        <v>#N/A</v>
      </c>
      <c r="U7" s="48" t="e">
        <f>_xlfn.XLOOKUP($D7,Tab_Def_Processes[Name(EN)],Tab_Def_Processes[Flow_ID_I_3],,0,)</f>
        <v>#N/A</v>
      </c>
      <c r="V7" s="75"/>
      <c r="W7" s="71" t="e">
        <f>_xlfn.XLOOKUP($D7,Tab_Def_Processes[Name(EN)],Tab_Def_Processes[Input_Flow_I_4],,0,)</f>
        <v>#N/A</v>
      </c>
      <c r="X7" s="48" t="e">
        <f>_xlfn.XLOOKUP($D7,Tab_Def_Processes[Name(EN)],Tab_Def_Processes[Flow_ID_I_4],,0,)</f>
        <v>#N/A</v>
      </c>
      <c r="Y7" s="75"/>
      <c r="Z7" s="71" t="e">
        <f>_xlfn.XLOOKUP($D7,Tab_Def_Processes[Name(EN)],Tab_Def_Processes[Input_Flow_I_5],,0,)</f>
        <v>#N/A</v>
      </c>
      <c r="AA7" s="48" t="e">
        <f>_xlfn.XLOOKUP($D7,Tab_Def_Processes[Name(EN)],Tab_Def_Processes[Flow_ID_I_5],,0,)</f>
        <v>#N/A</v>
      </c>
      <c r="AB7" s="75"/>
      <c r="AC7" s="74">
        <f>Tab_Process_TCs2527[[#This Row],[Flow_TC_I_1_'[%']]]+Tab_Process_TCs2527[[#This Row],[Flow_TC_I_2_'[%']]]+Tab_Process_TCs2527[[#This Row],[Flow_TC_I_3_'[%']]]+Tab_Process_TCs2527[[#This Row],[Flow_TC_I_4_'[%']]]+Tab_Process_TCs2527[[#This Row],[Flow_TC_I_5_'[%']]]</f>
        <v>0</v>
      </c>
      <c r="AD7" s="57" t="e">
        <f>_xlfn.XLOOKUP($D7,Tab_Process_TCs[TC_ID],Tab_Process_TCs[Output_Flow_O_1],,0,)</f>
        <v>#N/A</v>
      </c>
      <c r="AE7" s="48" t="e">
        <f>_xlfn.XLOOKUP($D7,Tab_Process_TCs[TC_ID],Tab_Process_TCs[Flow_ID_O_1],,0,)</f>
        <v>#N/A</v>
      </c>
      <c r="AF7" s="100" t="e">
        <f>Tab_Process_TCs2527[[#This Row],[Flow_ID]]</f>
        <v>#N/A</v>
      </c>
      <c r="AG7" s="48" t="e">
        <f t="shared" si="1"/>
        <v>#N/A</v>
      </c>
      <c r="AH7" s="109">
        <v>0.5</v>
      </c>
      <c r="AI7" s="57" t="e">
        <f>_xlfn.XLOOKUP($D7,Tab_Process_TCs[TC_ID],Tab_Process_TCs[Output_Flow_O_2],,0,)</f>
        <v>#N/A</v>
      </c>
      <c r="AJ7" s="48" t="e">
        <f>_xlfn.XLOOKUP($D7,Tab_Process_TCs[TC_ID],Tab_Process_TCs[Flow_ID_O_2],,0,)</f>
        <v>#N/A</v>
      </c>
      <c r="AK7" s="100" t="e">
        <f>Tab_Process_TCs2527[[#This Row],[Flow_ID]]</f>
        <v>#N/A</v>
      </c>
      <c r="AL7" s="48" t="e">
        <f t="shared" si="2"/>
        <v>#N/A</v>
      </c>
      <c r="AM7" s="239">
        <v>0.2</v>
      </c>
      <c r="AN7" s="57" t="e">
        <f>_xlfn.XLOOKUP($D7,Tab_Process_TCs[TC_ID],Tab_Process_TCs[Output_Flow_O_3],,0,)</f>
        <v>#N/A</v>
      </c>
      <c r="AO7" s="48" t="e">
        <f>_xlfn.XLOOKUP($D7,Tab_Process_TCs[TC_ID],Tab_Process_TCs[Flow_ID_O_3],,0,)</f>
        <v>#N/A</v>
      </c>
      <c r="AP7" s="100" t="e">
        <f>Tab_Process_TCs2527[[#This Row],[Flow_ID]]</f>
        <v>#N/A</v>
      </c>
      <c r="AQ7" s="48" t="e">
        <f t="shared" si="3"/>
        <v>#N/A</v>
      </c>
      <c r="AR7" s="228">
        <v>0.3</v>
      </c>
      <c r="AS7" s="57" t="e">
        <f>_xlfn.XLOOKUP($D7,Tab_Process_TCs[TC_ID],#REF!,,0,)</f>
        <v>#REF!</v>
      </c>
      <c r="AT7" s="48" t="e">
        <f>_xlfn.XLOOKUP($D7,Tab_Process_TCs[TC_ID],#REF!,,0,)</f>
        <v>#REF!</v>
      </c>
      <c r="AU7" s="100" t="e">
        <f>Tab_Process_TCs2527[[#This Row],[Flow_ID]]</f>
        <v>#N/A</v>
      </c>
      <c r="AV7" s="100" t="e">
        <f t="shared" si="4"/>
        <v>#N/A</v>
      </c>
      <c r="AW7" s="228"/>
      <c r="AX7" s="57" t="e">
        <f>_xlfn.XLOOKUP($D7,Tab_Process_TCs[TC_ID],#REF!,,0,)</f>
        <v>#REF!</v>
      </c>
      <c r="AY7" s="48" t="e">
        <f>_xlfn.XLOOKUP($D7,Tab_Process_TCs[TC_ID],#REF!,,0,)</f>
        <v>#REF!</v>
      </c>
      <c r="AZ7" s="100" t="e">
        <f>Tab_Process_TCs2527[[#This Row],[Flow_ID]]</f>
        <v>#N/A</v>
      </c>
      <c r="BA7" s="100" t="e">
        <f t="shared" si="5"/>
        <v>#REF!</v>
      </c>
      <c r="BB7" s="228"/>
      <c r="BC7" s="48" t="e">
        <f>_xlfn.XLOOKUP($D7,Tab_Process_TCs[TC_ID],#REF!,,0,)</f>
        <v>#REF!</v>
      </c>
      <c r="BD7" s="48" t="e">
        <f>_xlfn.XLOOKUP($D7,Tab_Process_TCs[TC_ID],#REF!,,0,)</f>
        <v>#REF!</v>
      </c>
      <c r="BE7" s="100" t="e">
        <f>Tab_Process_TCs2527[[#This Row],[Flow_ID]]</f>
        <v>#N/A</v>
      </c>
      <c r="BF7" s="100" t="e">
        <f t="shared" si="6"/>
        <v>#REF!</v>
      </c>
      <c r="BG7" s="109"/>
      <c r="BH7" s="112">
        <f>Tab_Process_TCs2527[[#This Row],[TC O_6_'[%']]]+Tab_Process_TCs2527[[#This Row],[TC O_5_'[%']]]+Tab_Process_TCs2527[[#This Row],[TC_O_4_'[%']]]+Tab_Process_TCs2527[[#This Row],[TC_O_3_'[%']]]+Tab_Process_TCs2527[[#This Row],[TC_O_2_'[%']]]+Tab_Process_TCs2527[[#This Row],[TC_O_1_'[%']]]</f>
        <v>1</v>
      </c>
      <c r="BI7" s="50"/>
      <c r="BJ7" s="50"/>
      <c r="BK7" s="50"/>
      <c r="BL7" s="50"/>
      <c r="BM7" s="50"/>
    </row>
    <row r="8" spans="1:65" x14ac:dyDescent="0.25">
      <c r="A8" s="87" t="b">
        <v>0</v>
      </c>
      <c r="B8" s="48">
        <f t="shared" si="0"/>
        <v>7</v>
      </c>
      <c r="C8" s="107" t="e">
        <f>_xlfn.XLOOKUP($D8,Tab_Process_TCs[Name(EN)],Tab_Process_TCs[Process_ID],,0,)</f>
        <v>#N/A</v>
      </c>
      <c r="D8" s="50"/>
      <c r="E8" s="50" t="s">
        <v>55</v>
      </c>
      <c r="F8" s="48" t="e">
        <f>_xlfn.XLOOKUP($D8,Tab_Process_TCs[Name(EN)],Tab_Process_TCs[TC?],,0,)</f>
        <v>#N/A</v>
      </c>
      <c r="G8" s="48" t="e">
        <f>_xlfn.XLOOKUP($D8,Tab_Process_TCs[Name(EN)],Tab_Process_TCs[Dyn_TC?],,0,)</f>
        <v>#N/A</v>
      </c>
      <c r="H8" s="48" t="e">
        <f>_xlfn.XLOOKUP($E8,Tab_Def_Flows[Name(EN)],Tab_Def_Flows[Flow_ID],,0,1)</f>
        <v>#N/A</v>
      </c>
      <c r="I8" s="50" t="e">
        <f>IF(Tab_Process_TCs2527[[#This Row],[Name(EN)]]="N.A.","N.A.","TC"&amp;"_"&amp;RIGHT(H8,5))</f>
        <v>#N/A</v>
      </c>
      <c r="J8" s="50"/>
      <c r="K8" s="117"/>
      <c r="L8" s="50" t="e">
        <f>_xlfn.XLOOKUP($D8,Tab_Def_Processes[Name(EN)],Tab_Def_Processes[Stock?],,0,)</f>
        <v>#N/A</v>
      </c>
      <c r="M8" s="48"/>
      <c r="N8" s="57" t="e">
        <f>_xlfn.XLOOKUP($D8,Tab_Def_Processes[Name(EN)],Tab_Def_Processes[Input_Flow_I_1],,0,)</f>
        <v>#N/A</v>
      </c>
      <c r="O8" s="48" t="e">
        <f>_xlfn.XLOOKUP($D8,Tab_Def_Processes[Name(EN)],Tab_Def_Processes[Flow_ID_I_1],,0,)</f>
        <v>#N/A</v>
      </c>
      <c r="P8" s="75"/>
      <c r="Q8" s="71" t="e">
        <f>_xlfn.XLOOKUP($D8,Tab_Def_Processes[Name(EN)],Tab_Def_Processes[Input_Flow_I_2],,0,)</f>
        <v>#N/A</v>
      </c>
      <c r="R8" s="48" t="e">
        <f>_xlfn.XLOOKUP($D8,Tab_Def_Processes[Name(EN)],Tab_Def_Processes[Flow_ID_I_2],,0,)</f>
        <v>#N/A</v>
      </c>
      <c r="S8" s="75"/>
      <c r="T8" s="71" t="e">
        <f>_xlfn.XLOOKUP($D8,Tab_Def_Processes[Name(EN)],Tab_Def_Processes[Input_Flow_I_3],,0,)</f>
        <v>#N/A</v>
      </c>
      <c r="U8" s="48" t="e">
        <f>_xlfn.XLOOKUP($D8,Tab_Def_Processes[Name(EN)],Tab_Def_Processes[Flow_ID_I_3],,0,)</f>
        <v>#N/A</v>
      </c>
      <c r="V8" s="75"/>
      <c r="W8" s="71" t="e">
        <f>_xlfn.XLOOKUP($D8,Tab_Def_Processes[Name(EN)],Tab_Def_Processes[Input_Flow_I_4],,0,)</f>
        <v>#N/A</v>
      </c>
      <c r="X8" s="48" t="e">
        <f>_xlfn.XLOOKUP($D8,Tab_Def_Processes[Name(EN)],Tab_Def_Processes[Flow_ID_I_4],,0,)</f>
        <v>#N/A</v>
      </c>
      <c r="Y8" s="75"/>
      <c r="Z8" s="71" t="e">
        <f>_xlfn.XLOOKUP($D8,Tab_Def_Processes[Name(EN)],Tab_Def_Processes[Input_Flow_I_5],,0,)</f>
        <v>#N/A</v>
      </c>
      <c r="AA8" s="48" t="e">
        <f>_xlfn.XLOOKUP($D8,Tab_Def_Processes[Name(EN)],Tab_Def_Processes[Flow_ID_I_5],,0,)</f>
        <v>#N/A</v>
      </c>
      <c r="AB8" s="75"/>
      <c r="AC8" s="74">
        <f>Tab_Process_TCs2527[[#This Row],[Flow_TC_I_1_'[%']]]+Tab_Process_TCs2527[[#This Row],[Flow_TC_I_2_'[%']]]+Tab_Process_TCs2527[[#This Row],[Flow_TC_I_3_'[%']]]+Tab_Process_TCs2527[[#This Row],[Flow_TC_I_4_'[%']]]+Tab_Process_TCs2527[[#This Row],[Flow_TC_I_5_'[%']]]</f>
        <v>0</v>
      </c>
      <c r="AD8" s="57" t="e">
        <f>_xlfn.XLOOKUP($D8,Tab_Process_TCs[TC_ID],Tab_Process_TCs[Output_Flow_O_1],,0,)</f>
        <v>#N/A</v>
      </c>
      <c r="AE8" s="48" t="e">
        <f>_xlfn.XLOOKUP($D8,Tab_Process_TCs[TC_ID],Tab_Process_TCs[Flow_ID_O_1],,0,)</f>
        <v>#N/A</v>
      </c>
      <c r="AF8" s="100" t="e">
        <f>Tab_Process_TCs2527[[#This Row],[Flow_ID]]</f>
        <v>#N/A</v>
      </c>
      <c r="AG8" s="48" t="e">
        <f t="shared" si="1"/>
        <v>#N/A</v>
      </c>
      <c r="AH8" s="109">
        <v>0.2</v>
      </c>
      <c r="AI8" s="57" t="e">
        <f>_xlfn.XLOOKUP($D8,Tab_Process_TCs[TC_ID],Tab_Process_TCs[Output_Flow_O_2],,0,)</f>
        <v>#N/A</v>
      </c>
      <c r="AJ8" s="48" t="e">
        <f>_xlfn.XLOOKUP($D8,Tab_Process_TCs[TC_ID],Tab_Process_TCs[Flow_ID_O_2],,0,)</f>
        <v>#N/A</v>
      </c>
      <c r="AK8" s="100" t="e">
        <f>Tab_Process_TCs2527[[#This Row],[Flow_ID]]</f>
        <v>#N/A</v>
      </c>
      <c r="AL8" s="48" t="e">
        <f t="shared" si="2"/>
        <v>#N/A</v>
      </c>
      <c r="AM8" s="239">
        <v>0.8</v>
      </c>
      <c r="AN8" s="57" t="e">
        <f>_xlfn.XLOOKUP($D8,Tab_Process_TCs[TC_ID],Tab_Process_TCs[Output_Flow_O_3],,0,)</f>
        <v>#N/A</v>
      </c>
      <c r="AO8" s="48" t="e">
        <f>_xlfn.XLOOKUP($D8,Tab_Process_TCs[TC_ID],Tab_Process_TCs[Flow_ID_O_3],,0,)</f>
        <v>#N/A</v>
      </c>
      <c r="AP8" s="100" t="e">
        <f>Tab_Process_TCs2527[[#This Row],[Flow_ID]]</f>
        <v>#N/A</v>
      </c>
      <c r="AQ8" s="48" t="e">
        <f t="shared" si="3"/>
        <v>#N/A</v>
      </c>
      <c r="AR8" s="228"/>
      <c r="AS8" s="57" t="e">
        <f>_xlfn.XLOOKUP($D8,Tab_Process_TCs[TC_ID],#REF!,,0,)</f>
        <v>#REF!</v>
      </c>
      <c r="AT8" s="48" t="e">
        <f>_xlfn.XLOOKUP($D8,Tab_Process_TCs[TC_ID],#REF!,,0,)</f>
        <v>#REF!</v>
      </c>
      <c r="AU8" s="100" t="e">
        <f>Tab_Process_TCs2527[[#This Row],[Flow_ID]]</f>
        <v>#N/A</v>
      </c>
      <c r="AV8" s="100" t="e">
        <f t="shared" si="4"/>
        <v>#N/A</v>
      </c>
      <c r="AW8" s="228"/>
      <c r="AX8" s="57" t="e">
        <f>_xlfn.XLOOKUP($D8,Tab_Process_TCs[TC_ID],#REF!,,0,)</f>
        <v>#REF!</v>
      </c>
      <c r="AY8" s="48" t="e">
        <f>_xlfn.XLOOKUP($D8,Tab_Process_TCs[TC_ID],#REF!,,0,)</f>
        <v>#REF!</v>
      </c>
      <c r="AZ8" s="100" t="e">
        <f>Tab_Process_TCs2527[[#This Row],[Flow_ID]]</f>
        <v>#N/A</v>
      </c>
      <c r="BA8" s="100" t="e">
        <f t="shared" si="5"/>
        <v>#REF!</v>
      </c>
      <c r="BB8" s="228"/>
      <c r="BC8" s="48" t="e">
        <f>_xlfn.XLOOKUP($D8,Tab_Process_TCs[TC_ID],#REF!,,0,)</f>
        <v>#REF!</v>
      </c>
      <c r="BD8" s="48" t="e">
        <f>_xlfn.XLOOKUP($D8,Tab_Process_TCs[TC_ID],#REF!,,0,)</f>
        <v>#REF!</v>
      </c>
      <c r="BE8" s="100" t="e">
        <f>Tab_Process_TCs2527[[#This Row],[Flow_ID]]</f>
        <v>#N/A</v>
      </c>
      <c r="BF8" s="100" t="e">
        <f t="shared" si="6"/>
        <v>#REF!</v>
      </c>
      <c r="BG8" s="109"/>
      <c r="BH8" s="112">
        <f>Tab_Process_TCs2527[[#This Row],[TC O_6_'[%']]]+Tab_Process_TCs2527[[#This Row],[TC O_5_'[%']]]+Tab_Process_TCs2527[[#This Row],[TC_O_4_'[%']]]+Tab_Process_TCs2527[[#This Row],[TC_O_3_'[%']]]+Tab_Process_TCs2527[[#This Row],[TC_O_2_'[%']]]+Tab_Process_TCs2527[[#This Row],[TC_O_1_'[%']]]</f>
        <v>1</v>
      </c>
      <c r="BI8" s="50"/>
      <c r="BJ8" s="50"/>
      <c r="BK8" s="50"/>
      <c r="BL8" s="50"/>
      <c r="BM8" s="50"/>
    </row>
    <row r="9" spans="1:65" x14ac:dyDescent="0.25">
      <c r="A9" s="87" t="b">
        <v>0</v>
      </c>
      <c r="B9" s="48">
        <f t="shared" si="0"/>
        <v>8</v>
      </c>
      <c r="C9" s="107" t="e">
        <f>_xlfn.XLOOKUP($D9,Tab_Process_TCs[Name(EN)],Tab_Process_TCs[Process_ID],,0,)</f>
        <v>#N/A</v>
      </c>
      <c r="D9" s="50"/>
      <c r="E9" s="50" t="s">
        <v>55</v>
      </c>
      <c r="F9" s="48" t="e">
        <f>_xlfn.XLOOKUP($D9,Tab_Process_TCs[Name(EN)],Tab_Process_TCs[TC?],,0,)</f>
        <v>#N/A</v>
      </c>
      <c r="G9" s="48" t="e">
        <f>_xlfn.XLOOKUP($D9,Tab_Process_TCs[Name(EN)],Tab_Process_TCs[Dyn_TC?],,0,)</f>
        <v>#N/A</v>
      </c>
      <c r="H9" s="48" t="e">
        <f>_xlfn.XLOOKUP($E9,Tab_Def_Flows[Name(EN)],Tab_Def_Flows[Flow_ID],,0,1)</f>
        <v>#N/A</v>
      </c>
      <c r="I9" s="50" t="e">
        <f>IF(Tab_Process_TCs2527[[#This Row],[Name(EN)]]="N.A.","N.A.","TC"&amp;"_"&amp;RIGHT(H9,5))</f>
        <v>#N/A</v>
      </c>
      <c r="J9" s="50"/>
      <c r="K9" s="117"/>
      <c r="L9" s="50" t="e">
        <f>_xlfn.XLOOKUP($D9,Tab_Def_Processes[Name(EN)],Tab_Def_Processes[Stock?],,0,)</f>
        <v>#N/A</v>
      </c>
      <c r="M9" s="48"/>
      <c r="N9" s="57" t="e">
        <f>_xlfn.XLOOKUP($D9,Tab_Def_Processes[Name(EN)],Tab_Def_Processes[Input_Flow_I_1],,0,)</f>
        <v>#N/A</v>
      </c>
      <c r="O9" s="48" t="e">
        <f>_xlfn.XLOOKUP($D9,Tab_Def_Processes[Name(EN)],Tab_Def_Processes[Flow_ID_I_1],,0,)</f>
        <v>#N/A</v>
      </c>
      <c r="P9" s="75"/>
      <c r="Q9" s="71" t="e">
        <f>_xlfn.XLOOKUP($D9,Tab_Def_Processes[Name(EN)],Tab_Def_Processes[Input_Flow_I_2],,0,)</f>
        <v>#N/A</v>
      </c>
      <c r="R9" s="48" t="e">
        <f>_xlfn.XLOOKUP($D9,Tab_Def_Processes[Name(EN)],Tab_Def_Processes[Flow_ID_I_2],,0,)</f>
        <v>#N/A</v>
      </c>
      <c r="S9" s="75"/>
      <c r="T9" s="71" t="e">
        <f>_xlfn.XLOOKUP($D9,Tab_Def_Processes[Name(EN)],Tab_Def_Processes[Input_Flow_I_3],,0,)</f>
        <v>#N/A</v>
      </c>
      <c r="U9" s="48" t="e">
        <f>_xlfn.XLOOKUP($D9,Tab_Def_Processes[Name(EN)],Tab_Def_Processes[Flow_ID_I_3],,0,)</f>
        <v>#N/A</v>
      </c>
      <c r="V9" s="75"/>
      <c r="W9" s="71" t="e">
        <f>_xlfn.XLOOKUP($D9,Tab_Def_Processes[Name(EN)],Tab_Def_Processes[Input_Flow_I_4],,0,)</f>
        <v>#N/A</v>
      </c>
      <c r="X9" s="48" t="e">
        <f>_xlfn.XLOOKUP($D9,Tab_Def_Processes[Name(EN)],Tab_Def_Processes[Flow_ID_I_4],,0,)</f>
        <v>#N/A</v>
      </c>
      <c r="Y9" s="75"/>
      <c r="Z9" s="71" t="e">
        <f>_xlfn.XLOOKUP($D9,Tab_Def_Processes[Name(EN)],Tab_Def_Processes[Input_Flow_I_5],,0,)</f>
        <v>#N/A</v>
      </c>
      <c r="AA9" s="48" t="e">
        <f>_xlfn.XLOOKUP($D9,Tab_Def_Processes[Name(EN)],Tab_Def_Processes[Flow_ID_I_5],,0,)</f>
        <v>#N/A</v>
      </c>
      <c r="AB9" s="75"/>
      <c r="AC9" s="74">
        <f>Tab_Process_TCs2527[[#This Row],[Flow_TC_I_1_'[%']]]+Tab_Process_TCs2527[[#This Row],[Flow_TC_I_2_'[%']]]+Tab_Process_TCs2527[[#This Row],[Flow_TC_I_3_'[%']]]+Tab_Process_TCs2527[[#This Row],[Flow_TC_I_4_'[%']]]+Tab_Process_TCs2527[[#This Row],[Flow_TC_I_5_'[%']]]</f>
        <v>0</v>
      </c>
      <c r="AD9" s="57" t="e">
        <f>_xlfn.XLOOKUP($D9,Tab_Process_TCs[TC_ID],Tab_Process_TCs[Output_Flow_O_1],,0,)</f>
        <v>#N/A</v>
      </c>
      <c r="AE9" s="48" t="e">
        <f>_xlfn.XLOOKUP($D9,Tab_Process_TCs[TC_ID],Tab_Process_TCs[Flow_ID_O_1],,0,)</f>
        <v>#N/A</v>
      </c>
      <c r="AF9" s="100" t="e">
        <f>Tab_Process_TCs2527[[#This Row],[Flow_ID]]</f>
        <v>#N/A</v>
      </c>
      <c r="AG9" s="48" t="e">
        <f t="shared" si="1"/>
        <v>#N/A</v>
      </c>
      <c r="AH9" s="109">
        <v>0.2</v>
      </c>
      <c r="AI9" s="57" t="e">
        <f>_xlfn.XLOOKUP($D9,Tab_Process_TCs[TC_ID],Tab_Process_TCs[Output_Flow_O_2],,0,)</f>
        <v>#N/A</v>
      </c>
      <c r="AJ9" s="48" t="e">
        <f>_xlfn.XLOOKUP($D9,Tab_Process_TCs[TC_ID],Tab_Process_TCs[Flow_ID_O_2],,0,)</f>
        <v>#N/A</v>
      </c>
      <c r="AK9" s="100" t="e">
        <f>Tab_Process_TCs2527[[#This Row],[Flow_ID]]</f>
        <v>#N/A</v>
      </c>
      <c r="AL9" s="48" t="e">
        <f t="shared" si="2"/>
        <v>#N/A</v>
      </c>
      <c r="AM9" s="239">
        <v>0.8</v>
      </c>
      <c r="AN9" s="57" t="e">
        <f>_xlfn.XLOOKUP($D9,Tab_Process_TCs[TC_ID],Tab_Process_TCs[Output_Flow_O_3],,0,)</f>
        <v>#N/A</v>
      </c>
      <c r="AO9" s="48" t="e">
        <f>_xlfn.XLOOKUP($D9,Tab_Process_TCs[TC_ID],Tab_Process_TCs[Flow_ID_O_3],,0,)</f>
        <v>#N/A</v>
      </c>
      <c r="AP9" s="100" t="e">
        <f>Tab_Process_TCs2527[[#This Row],[Flow_ID]]</f>
        <v>#N/A</v>
      </c>
      <c r="AQ9" s="48" t="e">
        <f t="shared" si="3"/>
        <v>#N/A</v>
      </c>
      <c r="AR9" s="228"/>
      <c r="AS9" s="57" t="e">
        <f>_xlfn.XLOOKUP($D9,Tab_Process_TCs[TC_ID],#REF!,,0,)</f>
        <v>#REF!</v>
      </c>
      <c r="AT9" s="48" t="e">
        <f>_xlfn.XLOOKUP($D9,Tab_Process_TCs[TC_ID],#REF!,,0,)</f>
        <v>#REF!</v>
      </c>
      <c r="AU9" s="100" t="e">
        <f>Tab_Process_TCs2527[[#This Row],[Flow_ID]]</f>
        <v>#N/A</v>
      </c>
      <c r="AV9" s="100" t="e">
        <f t="shared" si="4"/>
        <v>#N/A</v>
      </c>
      <c r="AW9" s="228"/>
      <c r="AX9" s="57" t="e">
        <f>_xlfn.XLOOKUP($D9,Tab_Process_TCs[TC_ID],#REF!,,0,)</f>
        <v>#REF!</v>
      </c>
      <c r="AY9" s="48" t="e">
        <f>_xlfn.XLOOKUP($D9,Tab_Process_TCs[TC_ID],#REF!,,0,)</f>
        <v>#REF!</v>
      </c>
      <c r="AZ9" s="100" t="e">
        <f>Tab_Process_TCs2527[[#This Row],[Flow_ID]]</f>
        <v>#N/A</v>
      </c>
      <c r="BA9" s="100" t="e">
        <f t="shared" si="5"/>
        <v>#REF!</v>
      </c>
      <c r="BB9" s="228"/>
      <c r="BC9" s="48" t="e">
        <f>_xlfn.XLOOKUP($D9,Tab_Process_TCs[TC_ID],#REF!,,0,)</f>
        <v>#REF!</v>
      </c>
      <c r="BD9" s="48" t="e">
        <f>_xlfn.XLOOKUP($D9,Tab_Process_TCs[TC_ID],#REF!,,0,)</f>
        <v>#REF!</v>
      </c>
      <c r="BE9" s="100" t="e">
        <f>Tab_Process_TCs2527[[#This Row],[Flow_ID]]</f>
        <v>#N/A</v>
      </c>
      <c r="BF9" s="100" t="e">
        <f t="shared" si="6"/>
        <v>#REF!</v>
      </c>
      <c r="BG9" s="109"/>
      <c r="BH9" s="112">
        <f>Tab_Process_TCs2527[[#This Row],[TC O_6_'[%']]]+Tab_Process_TCs2527[[#This Row],[TC O_5_'[%']]]+Tab_Process_TCs2527[[#This Row],[TC_O_4_'[%']]]+Tab_Process_TCs2527[[#This Row],[TC_O_3_'[%']]]+Tab_Process_TCs2527[[#This Row],[TC_O_2_'[%']]]+Tab_Process_TCs2527[[#This Row],[TC_O_1_'[%']]]</f>
        <v>1</v>
      </c>
      <c r="BI9" s="50"/>
      <c r="BJ9" s="50"/>
      <c r="BK9" s="50"/>
      <c r="BL9" s="50"/>
      <c r="BM9" s="50"/>
    </row>
    <row r="10" spans="1:65" x14ac:dyDescent="0.25">
      <c r="A10" s="87" t="b">
        <v>0</v>
      </c>
      <c r="B10" s="48">
        <f t="shared" si="0"/>
        <v>9</v>
      </c>
      <c r="C10" s="107" t="e">
        <f>_xlfn.XLOOKUP($D10,Tab_Process_TCs[Name(EN)],Tab_Process_TCs[Process_ID],,0,)</f>
        <v>#N/A</v>
      </c>
      <c r="D10" s="50"/>
      <c r="E10" s="50" t="s">
        <v>55</v>
      </c>
      <c r="F10" s="48" t="e">
        <f>_xlfn.XLOOKUP($D10,Tab_Process_TCs[Name(EN)],Tab_Process_TCs[TC?],,0,)</f>
        <v>#N/A</v>
      </c>
      <c r="G10" s="48" t="e">
        <f>_xlfn.XLOOKUP($D10,Tab_Process_TCs[Name(EN)],Tab_Process_TCs[Dyn_TC?],,0,)</f>
        <v>#N/A</v>
      </c>
      <c r="H10" s="48" t="e">
        <f>_xlfn.XLOOKUP($E10,Tab_Def_Flows[Name(EN)],Tab_Def_Flows[Flow_ID],,0,1)</f>
        <v>#N/A</v>
      </c>
      <c r="I10" s="50" t="e">
        <f>IF(Tab_Process_TCs2527[[#This Row],[Name(EN)]]="N.A.","N.A.","TC"&amp;"_"&amp;RIGHT(H10,5))</f>
        <v>#N/A</v>
      </c>
      <c r="J10" s="50"/>
      <c r="K10" s="117"/>
      <c r="L10" s="50" t="e">
        <f>_xlfn.XLOOKUP($D10,Tab_Def_Processes[Name(EN)],Tab_Def_Processes[Stock?],,0,)</f>
        <v>#N/A</v>
      </c>
      <c r="M10" s="48"/>
      <c r="N10" s="57" t="e">
        <f>_xlfn.XLOOKUP($D10,Tab_Def_Processes[Name(EN)],Tab_Def_Processes[Input_Flow_I_1],,0,)</f>
        <v>#N/A</v>
      </c>
      <c r="O10" s="48" t="e">
        <f>_xlfn.XLOOKUP($D10,Tab_Def_Processes[Name(EN)],Tab_Def_Processes[Flow_ID_I_1],,0,)</f>
        <v>#N/A</v>
      </c>
      <c r="P10" s="75"/>
      <c r="Q10" s="71" t="e">
        <f>_xlfn.XLOOKUP($D10,Tab_Def_Processes[Name(EN)],Tab_Def_Processes[Input_Flow_I_2],,0,)</f>
        <v>#N/A</v>
      </c>
      <c r="R10" s="48" t="e">
        <f>_xlfn.XLOOKUP($D10,Tab_Def_Processes[Name(EN)],Tab_Def_Processes[Flow_ID_I_2],,0,)</f>
        <v>#N/A</v>
      </c>
      <c r="S10" s="75"/>
      <c r="T10" s="71" t="e">
        <f>_xlfn.XLOOKUP($D10,Tab_Def_Processes[Name(EN)],Tab_Def_Processes[Input_Flow_I_3],,0,)</f>
        <v>#N/A</v>
      </c>
      <c r="U10" s="48" t="e">
        <f>_xlfn.XLOOKUP($D10,Tab_Def_Processes[Name(EN)],Tab_Def_Processes[Flow_ID_I_3],,0,)</f>
        <v>#N/A</v>
      </c>
      <c r="V10" s="75"/>
      <c r="W10" s="71" t="e">
        <f>_xlfn.XLOOKUP($D10,Tab_Def_Processes[Name(EN)],Tab_Def_Processes[Input_Flow_I_4],,0,)</f>
        <v>#N/A</v>
      </c>
      <c r="X10" s="48" t="e">
        <f>_xlfn.XLOOKUP($D10,Tab_Def_Processes[Name(EN)],Tab_Def_Processes[Flow_ID_I_4],,0,)</f>
        <v>#N/A</v>
      </c>
      <c r="Y10" s="75"/>
      <c r="Z10" s="71" t="e">
        <f>_xlfn.XLOOKUP($D10,Tab_Def_Processes[Name(EN)],Tab_Def_Processes[Input_Flow_I_5],,0,)</f>
        <v>#N/A</v>
      </c>
      <c r="AA10" s="48" t="e">
        <f>_xlfn.XLOOKUP($D10,Tab_Def_Processes[Name(EN)],Tab_Def_Processes[Flow_ID_I_5],,0,)</f>
        <v>#N/A</v>
      </c>
      <c r="AB10" s="75"/>
      <c r="AC10" s="74">
        <f>Tab_Process_TCs2527[[#This Row],[Flow_TC_I_1_'[%']]]+Tab_Process_TCs2527[[#This Row],[Flow_TC_I_2_'[%']]]+Tab_Process_TCs2527[[#This Row],[Flow_TC_I_3_'[%']]]+Tab_Process_TCs2527[[#This Row],[Flow_TC_I_4_'[%']]]+Tab_Process_TCs2527[[#This Row],[Flow_TC_I_5_'[%']]]</f>
        <v>0</v>
      </c>
      <c r="AD10" s="57" t="e">
        <f>_xlfn.XLOOKUP($D10,Tab_Process_TCs[TC_ID],Tab_Process_TCs[Output_Flow_O_1],,0,)</f>
        <v>#N/A</v>
      </c>
      <c r="AE10" s="48" t="e">
        <f>_xlfn.XLOOKUP($D10,Tab_Process_TCs[TC_ID],Tab_Process_TCs[Flow_ID_O_1],,0,)</f>
        <v>#N/A</v>
      </c>
      <c r="AF10" s="100" t="e">
        <f>Tab_Process_TCs2527[[#This Row],[Flow_ID]]</f>
        <v>#N/A</v>
      </c>
      <c r="AG10" s="48" t="e">
        <f t="shared" si="1"/>
        <v>#N/A</v>
      </c>
      <c r="AH10" s="109">
        <v>0.2</v>
      </c>
      <c r="AI10" s="57" t="e">
        <f>_xlfn.XLOOKUP($D10,Tab_Process_TCs[TC_ID],Tab_Process_TCs[Output_Flow_O_2],,0,)</f>
        <v>#N/A</v>
      </c>
      <c r="AJ10" s="48" t="e">
        <f>_xlfn.XLOOKUP($D10,Tab_Process_TCs[TC_ID],Tab_Process_TCs[Flow_ID_O_2],,0,)</f>
        <v>#N/A</v>
      </c>
      <c r="AK10" s="100" t="e">
        <f>Tab_Process_TCs2527[[#This Row],[Flow_ID]]</f>
        <v>#N/A</v>
      </c>
      <c r="AL10" s="48" t="e">
        <f t="shared" si="2"/>
        <v>#N/A</v>
      </c>
      <c r="AM10" s="239">
        <v>0.8</v>
      </c>
      <c r="AN10" s="57" t="e">
        <f>_xlfn.XLOOKUP($D10,Tab_Process_TCs[TC_ID],Tab_Process_TCs[Output_Flow_O_3],,0,)</f>
        <v>#N/A</v>
      </c>
      <c r="AO10" s="48" t="e">
        <f>_xlfn.XLOOKUP($D10,Tab_Process_TCs[TC_ID],Tab_Process_TCs[Flow_ID_O_3],,0,)</f>
        <v>#N/A</v>
      </c>
      <c r="AP10" s="100" t="e">
        <f>Tab_Process_TCs2527[[#This Row],[Flow_ID]]</f>
        <v>#N/A</v>
      </c>
      <c r="AQ10" s="48" t="e">
        <f t="shared" si="3"/>
        <v>#N/A</v>
      </c>
      <c r="AR10" s="228"/>
      <c r="AS10" s="57" t="e">
        <f>_xlfn.XLOOKUP($D10,Tab_Process_TCs[TC_ID],#REF!,,0,)</f>
        <v>#REF!</v>
      </c>
      <c r="AT10" s="48" t="e">
        <f>_xlfn.XLOOKUP($D10,Tab_Process_TCs[TC_ID],#REF!,,0,)</f>
        <v>#REF!</v>
      </c>
      <c r="AU10" s="100" t="e">
        <f>Tab_Process_TCs2527[[#This Row],[Flow_ID]]</f>
        <v>#N/A</v>
      </c>
      <c r="AV10" s="100" t="e">
        <f t="shared" si="4"/>
        <v>#N/A</v>
      </c>
      <c r="AW10" s="228"/>
      <c r="AX10" s="57" t="e">
        <f>_xlfn.XLOOKUP($D10,Tab_Process_TCs[TC_ID],#REF!,,0,)</f>
        <v>#REF!</v>
      </c>
      <c r="AY10" s="48" t="e">
        <f>_xlfn.XLOOKUP($D10,Tab_Process_TCs[TC_ID],#REF!,,0,)</f>
        <v>#REF!</v>
      </c>
      <c r="AZ10" s="100" t="e">
        <f>Tab_Process_TCs2527[[#This Row],[Flow_ID]]</f>
        <v>#N/A</v>
      </c>
      <c r="BA10" s="100" t="e">
        <f t="shared" si="5"/>
        <v>#REF!</v>
      </c>
      <c r="BB10" s="228"/>
      <c r="BC10" s="48" t="e">
        <f>_xlfn.XLOOKUP($D10,Tab_Process_TCs[TC_ID],#REF!,,0,)</f>
        <v>#REF!</v>
      </c>
      <c r="BD10" s="48" t="e">
        <f>_xlfn.XLOOKUP($D10,Tab_Process_TCs[TC_ID],#REF!,,0,)</f>
        <v>#REF!</v>
      </c>
      <c r="BE10" s="100" t="e">
        <f>Tab_Process_TCs2527[[#This Row],[Flow_ID]]</f>
        <v>#N/A</v>
      </c>
      <c r="BF10" s="100" t="e">
        <f t="shared" si="6"/>
        <v>#REF!</v>
      </c>
      <c r="BG10" s="109"/>
      <c r="BH10" s="112">
        <f>Tab_Process_TCs2527[[#This Row],[TC O_6_'[%']]]+Tab_Process_TCs2527[[#This Row],[TC O_5_'[%']]]+Tab_Process_TCs2527[[#This Row],[TC_O_4_'[%']]]+Tab_Process_TCs2527[[#This Row],[TC_O_3_'[%']]]+Tab_Process_TCs2527[[#This Row],[TC_O_2_'[%']]]+Tab_Process_TCs2527[[#This Row],[TC_O_1_'[%']]]</f>
        <v>1</v>
      </c>
      <c r="BI10" s="50"/>
      <c r="BJ10" s="50"/>
      <c r="BK10" s="50"/>
      <c r="BL10" s="50"/>
      <c r="BM10" s="50"/>
    </row>
    <row r="11" spans="1:65" x14ac:dyDescent="0.25">
      <c r="A11" s="87" t="b">
        <v>0</v>
      </c>
      <c r="B11" s="48">
        <f t="shared" si="0"/>
        <v>10</v>
      </c>
      <c r="C11" s="107" t="e">
        <f>_xlfn.XLOOKUP($D11,Tab_Process_TCs[Name(EN)],Tab_Process_TCs[Process_ID],,0,)</f>
        <v>#N/A</v>
      </c>
      <c r="D11" s="50"/>
      <c r="E11" s="50" t="s">
        <v>55</v>
      </c>
      <c r="F11" s="48" t="e">
        <f>_xlfn.XLOOKUP($D11,Tab_Process_TCs[Name(EN)],Tab_Process_TCs[TC?],,0,)</f>
        <v>#N/A</v>
      </c>
      <c r="G11" s="48" t="e">
        <f>_xlfn.XLOOKUP($D11,Tab_Process_TCs[Name(EN)],Tab_Process_TCs[Dyn_TC?],,0,)</f>
        <v>#N/A</v>
      </c>
      <c r="H11" s="48" t="e">
        <f>_xlfn.XLOOKUP($E11,Tab_Def_Flows[Name(EN)],Tab_Def_Flows[Flow_ID],,0,1)</f>
        <v>#N/A</v>
      </c>
      <c r="I11" s="50" t="e">
        <f>IF(Tab_Process_TCs2527[[#This Row],[Name(EN)]]="N.A.","N.A.","TC"&amp;"_"&amp;RIGHT(H11,5))</f>
        <v>#N/A</v>
      </c>
      <c r="J11" s="50"/>
      <c r="K11" s="249"/>
      <c r="L11" s="50" t="e">
        <f>_xlfn.XLOOKUP($D11,Tab_Def_Processes[Name(EN)],Tab_Def_Processes[Stock?],,0,)</f>
        <v>#N/A</v>
      </c>
      <c r="M11" s="48"/>
      <c r="N11" s="57" t="e">
        <f>_xlfn.XLOOKUP($D11,Tab_Def_Processes[Name(EN)],Tab_Def_Processes[Input_Flow_I_1],,0,)</f>
        <v>#N/A</v>
      </c>
      <c r="O11" s="48" t="e">
        <f>_xlfn.XLOOKUP($D11,Tab_Def_Processes[Name(EN)],Tab_Def_Processes[Flow_ID_I_1],,0,)</f>
        <v>#N/A</v>
      </c>
      <c r="P11" s="75"/>
      <c r="Q11" s="71" t="e">
        <f>_xlfn.XLOOKUP($D11,Tab_Def_Processes[Name(EN)],Tab_Def_Processes[Input_Flow_I_2],,0,)</f>
        <v>#N/A</v>
      </c>
      <c r="R11" s="48" t="e">
        <f>_xlfn.XLOOKUP($D11,Tab_Def_Processes[Name(EN)],Tab_Def_Processes[Flow_ID_I_2],,0,)</f>
        <v>#N/A</v>
      </c>
      <c r="S11" s="75"/>
      <c r="T11" s="71" t="e">
        <f>_xlfn.XLOOKUP($D11,Tab_Def_Processes[Name(EN)],Tab_Def_Processes[Input_Flow_I_3],,0,)</f>
        <v>#N/A</v>
      </c>
      <c r="U11" s="48" t="e">
        <f>_xlfn.XLOOKUP($D11,Tab_Def_Processes[Name(EN)],Tab_Def_Processes[Flow_ID_I_3],,0,)</f>
        <v>#N/A</v>
      </c>
      <c r="V11" s="75"/>
      <c r="W11" s="71" t="e">
        <f>_xlfn.XLOOKUP($D11,Tab_Def_Processes[Name(EN)],Tab_Def_Processes[Input_Flow_I_4],,0,)</f>
        <v>#N/A</v>
      </c>
      <c r="X11" s="48" t="e">
        <f>_xlfn.XLOOKUP($D11,Tab_Def_Processes[Name(EN)],Tab_Def_Processes[Flow_ID_I_4],,0,)</f>
        <v>#N/A</v>
      </c>
      <c r="Y11" s="75"/>
      <c r="Z11" s="71" t="e">
        <f>_xlfn.XLOOKUP($D11,Tab_Def_Processes[Name(EN)],Tab_Def_Processes[Input_Flow_I_5],,0,)</f>
        <v>#N/A</v>
      </c>
      <c r="AA11" s="48" t="e">
        <f>_xlfn.XLOOKUP($D11,Tab_Def_Processes[Name(EN)],Tab_Def_Processes[Flow_ID_I_5],,0,)</f>
        <v>#N/A</v>
      </c>
      <c r="AB11" s="75"/>
      <c r="AC11" s="74">
        <f>Tab_Process_TCs2527[[#This Row],[Flow_TC_I_1_'[%']]]+Tab_Process_TCs2527[[#This Row],[Flow_TC_I_2_'[%']]]+Tab_Process_TCs2527[[#This Row],[Flow_TC_I_3_'[%']]]+Tab_Process_TCs2527[[#This Row],[Flow_TC_I_4_'[%']]]+Tab_Process_TCs2527[[#This Row],[Flow_TC_I_5_'[%']]]</f>
        <v>0</v>
      </c>
      <c r="AD11" s="57" t="e">
        <f>_xlfn.XLOOKUP($D11,Tab_Process_TCs[TC_ID],Tab_Process_TCs[Output_Flow_O_1],,0,)</f>
        <v>#N/A</v>
      </c>
      <c r="AE11" s="48" t="e">
        <f>_xlfn.XLOOKUP($D11,Tab_Process_TCs[TC_ID],Tab_Process_TCs[Flow_ID_O_1],,0,)</f>
        <v>#N/A</v>
      </c>
      <c r="AF11" s="100" t="e">
        <f>Tab_Process_TCs2527[[#This Row],[Flow_ID]]</f>
        <v>#N/A</v>
      </c>
      <c r="AG11" s="48" t="e">
        <f t="shared" si="1"/>
        <v>#N/A</v>
      </c>
      <c r="AH11" s="109">
        <v>0.5</v>
      </c>
      <c r="AI11" s="57" t="e">
        <f>_xlfn.XLOOKUP($D11,Tab_Process_TCs[TC_ID],Tab_Process_TCs[Output_Flow_O_2],,0,)</f>
        <v>#N/A</v>
      </c>
      <c r="AJ11" s="48" t="e">
        <f>_xlfn.XLOOKUP($D11,Tab_Process_TCs[TC_ID],Tab_Process_TCs[Flow_ID_O_2],,0,)</f>
        <v>#N/A</v>
      </c>
      <c r="AK11" s="100" t="e">
        <f>Tab_Process_TCs2527[[#This Row],[Flow_ID]]</f>
        <v>#N/A</v>
      </c>
      <c r="AL11" s="48" t="e">
        <f t="shared" si="2"/>
        <v>#N/A</v>
      </c>
      <c r="AM11" s="239">
        <v>0.2</v>
      </c>
      <c r="AN11" s="57" t="e">
        <f>_xlfn.XLOOKUP($D11,Tab_Process_TCs[TC_ID],Tab_Process_TCs[Output_Flow_O_3],,0,)</f>
        <v>#N/A</v>
      </c>
      <c r="AO11" s="48" t="e">
        <f>_xlfn.XLOOKUP($D11,Tab_Process_TCs[TC_ID],Tab_Process_TCs[Flow_ID_O_3],,0,)</f>
        <v>#N/A</v>
      </c>
      <c r="AP11" s="100" t="e">
        <f>Tab_Process_TCs2527[[#This Row],[Flow_ID]]</f>
        <v>#N/A</v>
      </c>
      <c r="AQ11" s="48" t="e">
        <f t="shared" si="3"/>
        <v>#N/A</v>
      </c>
      <c r="AR11" s="228">
        <v>0.3</v>
      </c>
      <c r="AS11" s="57" t="e">
        <f>_xlfn.XLOOKUP($D11,Tab_Process_TCs[TC_ID],#REF!,,0,)</f>
        <v>#REF!</v>
      </c>
      <c r="AT11" s="48" t="e">
        <f>_xlfn.XLOOKUP($D11,Tab_Process_TCs[TC_ID],#REF!,,0,)</f>
        <v>#REF!</v>
      </c>
      <c r="AU11" s="100" t="e">
        <f>Tab_Process_TCs2527[[#This Row],[Flow_ID]]</f>
        <v>#N/A</v>
      </c>
      <c r="AV11" s="100" t="e">
        <f t="shared" si="4"/>
        <v>#N/A</v>
      </c>
      <c r="AW11" s="228"/>
      <c r="AX11" s="57" t="e">
        <f>_xlfn.XLOOKUP($D11,Tab_Process_TCs[TC_ID],#REF!,,0,)</f>
        <v>#REF!</v>
      </c>
      <c r="AY11" s="48" t="e">
        <f>_xlfn.XLOOKUP($D11,Tab_Process_TCs[TC_ID],#REF!,,0,)</f>
        <v>#REF!</v>
      </c>
      <c r="AZ11" s="100" t="e">
        <f>Tab_Process_TCs2527[[#This Row],[Flow_ID]]</f>
        <v>#N/A</v>
      </c>
      <c r="BA11" s="100" t="e">
        <f t="shared" si="5"/>
        <v>#REF!</v>
      </c>
      <c r="BB11" s="228"/>
      <c r="BC11" s="48" t="e">
        <f>_xlfn.XLOOKUP($D11,Tab_Process_TCs[TC_ID],#REF!,,0,)</f>
        <v>#REF!</v>
      </c>
      <c r="BD11" s="48" t="e">
        <f>_xlfn.XLOOKUP($D11,Tab_Process_TCs[TC_ID],#REF!,,0,)</f>
        <v>#REF!</v>
      </c>
      <c r="BE11" s="100" t="e">
        <f>Tab_Process_TCs2527[[#This Row],[Flow_ID]]</f>
        <v>#N/A</v>
      </c>
      <c r="BF11" s="100" t="e">
        <f t="shared" si="6"/>
        <v>#REF!</v>
      </c>
      <c r="BG11" s="109"/>
      <c r="BH11" s="112">
        <f>Tab_Process_TCs2527[[#This Row],[TC O_6_'[%']]]+Tab_Process_TCs2527[[#This Row],[TC O_5_'[%']]]+Tab_Process_TCs2527[[#This Row],[TC_O_4_'[%']]]+Tab_Process_TCs2527[[#This Row],[TC_O_3_'[%']]]+Tab_Process_TCs2527[[#This Row],[TC_O_2_'[%']]]+Tab_Process_TCs2527[[#This Row],[TC_O_1_'[%']]]</f>
        <v>1</v>
      </c>
      <c r="BI11" s="50"/>
      <c r="BJ11" s="50"/>
      <c r="BK11" s="50"/>
      <c r="BL11" s="50"/>
      <c r="BM11" s="50"/>
    </row>
    <row r="12" spans="1:65" x14ac:dyDescent="0.25">
      <c r="A12" s="87" t="b">
        <v>0</v>
      </c>
      <c r="B12" s="48">
        <f t="shared" si="0"/>
        <v>11</v>
      </c>
      <c r="C12" s="107" t="e">
        <f>_xlfn.XLOOKUP($D12,Tab_Process_TCs[Name(EN)],Tab_Process_TCs[Process_ID],,0,)</f>
        <v>#N/A</v>
      </c>
      <c r="D12" s="50"/>
      <c r="E12" s="50" t="s">
        <v>55</v>
      </c>
      <c r="F12" s="48" t="e">
        <f>_xlfn.XLOOKUP($D12,Tab_Process_TCs[Name(EN)],Tab_Process_TCs[TC?],,0,)</f>
        <v>#N/A</v>
      </c>
      <c r="G12" s="48" t="e">
        <f>_xlfn.XLOOKUP($D12,Tab_Process_TCs[Name(EN)],Tab_Process_TCs[Dyn_TC?],,0,)</f>
        <v>#N/A</v>
      </c>
      <c r="H12" s="48" t="e">
        <f>_xlfn.XLOOKUP($E12,Tab_Def_Flows[Name(EN)],Tab_Def_Flows[Flow_ID],,0,1)</f>
        <v>#N/A</v>
      </c>
      <c r="I12" s="50" t="e">
        <f>IF(Tab_Process_TCs2527[[#This Row],[Name(EN)]]="N.A.","N.A.","TC"&amp;"_"&amp;RIGHT(H12,5))</f>
        <v>#N/A</v>
      </c>
      <c r="J12" s="50"/>
      <c r="K12" s="249"/>
      <c r="L12" s="50" t="e">
        <f>_xlfn.XLOOKUP($D12,Tab_Def_Processes[Name(EN)],Tab_Def_Processes[Stock?],,0,)</f>
        <v>#N/A</v>
      </c>
      <c r="M12" s="48"/>
      <c r="N12" s="57" t="e">
        <f>_xlfn.XLOOKUP($D12,Tab_Def_Processes[Name(EN)],Tab_Def_Processes[Input_Flow_I_1],,0,)</f>
        <v>#N/A</v>
      </c>
      <c r="O12" s="48" t="e">
        <f>_xlfn.XLOOKUP($D12,Tab_Def_Processes[Name(EN)],Tab_Def_Processes[Flow_ID_I_1],,0,)</f>
        <v>#N/A</v>
      </c>
      <c r="P12" s="75"/>
      <c r="Q12" s="71" t="e">
        <f>_xlfn.XLOOKUP($D12,Tab_Def_Processes[Name(EN)],Tab_Def_Processes[Input_Flow_I_2],,0,)</f>
        <v>#N/A</v>
      </c>
      <c r="R12" s="48" t="e">
        <f>_xlfn.XLOOKUP($D12,Tab_Def_Processes[Name(EN)],Tab_Def_Processes[Flow_ID_I_2],,0,)</f>
        <v>#N/A</v>
      </c>
      <c r="S12" s="75"/>
      <c r="T12" s="71" t="e">
        <f>_xlfn.XLOOKUP($D12,Tab_Def_Processes[Name(EN)],Tab_Def_Processes[Input_Flow_I_3],,0,)</f>
        <v>#N/A</v>
      </c>
      <c r="U12" s="48" t="e">
        <f>_xlfn.XLOOKUP($D12,Tab_Def_Processes[Name(EN)],Tab_Def_Processes[Flow_ID_I_3],,0,)</f>
        <v>#N/A</v>
      </c>
      <c r="V12" s="75"/>
      <c r="W12" s="71" t="e">
        <f>_xlfn.XLOOKUP($D12,Tab_Def_Processes[Name(EN)],Tab_Def_Processes[Input_Flow_I_4],,0,)</f>
        <v>#N/A</v>
      </c>
      <c r="X12" s="48" t="e">
        <f>_xlfn.XLOOKUP($D12,Tab_Def_Processes[Name(EN)],Tab_Def_Processes[Flow_ID_I_4],,0,)</f>
        <v>#N/A</v>
      </c>
      <c r="Y12" s="75"/>
      <c r="Z12" s="71" t="e">
        <f>_xlfn.XLOOKUP($D12,Tab_Def_Processes[Name(EN)],Tab_Def_Processes[Input_Flow_I_5],,0,)</f>
        <v>#N/A</v>
      </c>
      <c r="AA12" s="48" t="e">
        <f>_xlfn.XLOOKUP($D12,Tab_Def_Processes[Name(EN)],Tab_Def_Processes[Flow_ID_I_5],,0,)</f>
        <v>#N/A</v>
      </c>
      <c r="AB12" s="75"/>
      <c r="AC12" s="74">
        <f>Tab_Process_TCs2527[[#This Row],[Flow_TC_I_1_'[%']]]+Tab_Process_TCs2527[[#This Row],[Flow_TC_I_2_'[%']]]+Tab_Process_TCs2527[[#This Row],[Flow_TC_I_3_'[%']]]+Tab_Process_TCs2527[[#This Row],[Flow_TC_I_4_'[%']]]+Tab_Process_TCs2527[[#This Row],[Flow_TC_I_5_'[%']]]</f>
        <v>0</v>
      </c>
      <c r="AD12" s="57" t="e">
        <f>_xlfn.XLOOKUP($D12,Tab_Process_TCs[TC_ID],Tab_Process_TCs[Output_Flow_O_1],,0,)</f>
        <v>#N/A</v>
      </c>
      <c r="AE12" s="48" t="e">
        <f>_xlfn.XLOOKUP($D12,Tab_Process_TCs[TC_ID],Tab_Process_TCs[Flow_ID_O_1],,0,)</f>
        <v>#N/A</v>
      </c>
      <c r="AF12" s="100" t="e">
        <f>Tab_Process_TCs2527[[#This Row],[Flow_ID]]</f>
        <v>#N/A</v>
      </c>
      <c r="AG12" s="48" t="e">
        <f t="shared" si="1"/>
        <v>#N/A</v>
      </c>
      <c r="AH12" s="109">
        <v>0.5</v>
      </c>
      <c r="AI12" s="57" t="e">
        <f>_xlfn.XLOOKUP($D12,Tab_Process_TCs[TC_ID],Tab_Process_TCs[Output_Flow_O_2],,0,)</f>
        <v>#N/A</v>
      </c>
      <c r="AJ12" s="48" t="e">
        <f>_xlfn.XLOOKUP($D12,Tab_Process_TCs[TC_ID],Tab_Process_TCs[Flow_ID_O_2],,0,)</f>
        <v>#N/A</v>
      </c>
      <c r="AK12" s="100" t="e">
        <f>Tab_Process_TCs2527[[#This Row],[Flow_ID]]</f>
        <v>#N/A</v>
      </c>
      <c r="AL12" s="48" t="e">
        <f t="shared" si="2"/>
        <v>#N/A</v>
      </c>
      <c r="AM12" s="239">
        <v>0.2</v>
      </c>
      <c r="AN12" s="57" t="e">
        <f>_xlfn.XLOOKUP($D12,Tab_Process_TCs[TC_ID],Tab_Process_TCs[Output_Flow_O_3],,0,)</f>
        <v>#N/A</v>
      </c>
      <c r="AO12" s="48" t="e">
        <f>_xlfn.XLOOKUP($D12,Tab_Process_TCs[TC_ID],Tab_Process_TCs[Flow_ID_O_3],,0,)</f>
        <v>#N/A</v>
      </c>
      <c r="AP12" s="100" t="e">
        <f>Tab_Process_TCs2527[[#This Row],[Flow_ID]]</f>
        <v>#N/A</v>
      </c>
      <c r="AQ12" s="48" t="e">
        <f t="shared" si="3"/>
        <v>#N/A</v>
      </c>
      <c r="AR12" s="228">
        <v>0.3</v>
      </c>
      <c r="AS12" s="57" t="e">
        <f>_xlfn.XLOOKUP($D12,Tab_Process_TCs[TC_ID],#REF!,,0,)</f>
        <v>#REF!</v>
      </c>
      <c r="AT12" s="48" t="e">
        <f>_xlfn.XLOOKUP($D12,Tab_Process_TCs[TC_ID],#REF!,,0,)</f>
        <v>#REF!</v>
      </c>
      <c r="AU12" s="100" t="e">
        <f>Tab_Process_TCs2527[[#This Row],[Flow_ID]]</f>
        <v>#N/A</v>
      </c>
      <c r="AV12" s="100" t="e">
        <f t="shared" si="4"/>
        <v>#N/A</v>
      </c>
      <c r="AW12" s="228"/>
      <c r="AX12" s="57" t="e">
        <f>_xlfn.XLOOKUP($D12,Tab_Process_TCs[TC_ID],#REF!,,0,)</f>
        <v>#REF!</v>
      </c>
      <c r="AY12" s="48" t="e">
        <f>_xlfn.XLOOKUP($D12,Tab_Process_TCs[TC_ID],#REF!,,0,)</f>
        <v>#REF!</v>
      </c>
      <c r="AZ12" s="100" t="e">
        <f>Tab_Process_TCs2527[[#This Row],[Flow_ID]]</f>
        <v>#N/A</v>
      </c>
      <c r="BA12" s="100" t="e">
        <f t="shared" si="5"/>
        <v>#REF!</v>
      </c>
      <c r="BB12" s="228"/>
      <c r="BC12" s="48" t="e">
        <f>_xlfn.XLOOKUP($D12,Tab_Process_TCs[TC_ID],#REF!,,0,)</f>
        <v>#REF!</v>
      </c>
      <c r="BD12" s="48" t="e">
        <f>_xlfn.XLOOKUP($D12,Tab_Process_TCs[TC_ID],#REF!,,0,)</f>
        <v>#REF!</v>
      </c>
      <c r="BE12" s="100" t="e">
        <f>Tab_Process_TCs2527[[#This Row],[Flow_ID]]</f>
        <v>#N/A</v>
      </c>
      <c r="BF12" s="100" t="e">
        <f t="shared" si="6"/>
        <v>#REF!</v>
      </c>
      <c r="BG12" s="109"/>
      <c r="BH12" s="112">
        <f>Tab_Process_TCs2527[[#This Row],[TC O_6_'[%']]]+Tab_Process_TCs2527[[#This Row],[TC O_5_'[%']]]+Tab_Process_TCs2527[[#This Row],[TC_O_4_'[%']]]+Tab_Process_TCs2527[[#This Row],[TC_O_3_'[%']]]+Tab_Process_TCs2527[[#This Row],[TC_O_2_'[%']]]+Tab_Process_TCs2527[[#This Row],[TC_O_1_'[%']]]</f>
        <v>1</v>
      </c>
      <c r="BI12" s="50"/>
      <c r="BJ12" s="50"/>
      <c r="BK12" s="50"/>
      <c r="BL12" s="50"/>
      <c r="BM12" s="50"/>
    </row>
    <row r="13" spans="1:65" x14ac:dyDescent="0.25">
      <c r="A13" s="87" t="b">
        <v>0</v>
      </c>
      <c r="B13" s="48">
        <f t="shared" si="0"/>
        <v>12</v>
      </c>
      <c r="C13" s="107" t="e">
        <f>_xlfn.XLOOKUP($D13,Tab_Process_TCs[Name(EN)],Tab_Process_TCs[Process_ID],,0,)</f>
        <v>#N/A</v>
      </c>
      <c r="D13" s="50"/>
      <c r="E13" s="50" t="s">
        <v>55</v>
      </c>
      <c r="F13" s="48" t="e">
        <f>_xlfn.XLOOKUP($D13,Tab_Process_TCs[Name(EN)],Tab_Process_TCs[TC?],,0,)</f>
        <v>#N/A</v>
      </c>
      <c r="G13" s="48" t="e">
        <f>_xlfn.XLOOKUP($D13,Tab_Process_TCs[Name(EN)],Tab_Process_TCs[Dyn_TC?],,0,)</f>
        <v>#N/A</v>
      </c>
      <c r="H13" s="48" t="e">
        <f>_xlfn.XLOOKUP($E13,Tab_Def_Flows[Name(EN)],Tab_Def_Flows[Flow_ID],,0,1)</f>
        <v>#N/A</v>
      </c>
      <c r="I13" s="50" t="e">
        <f>IF(Tab_Process_TCs2527[[#This Row],[Name(EN)]]="N.A.","N.A.","TC"&amp;"_"&amp;RIGHT(H13,5))</f>
        <v>#N/A</v>
      </c>
      <c r="J13" s="50"/>
      <c r="K13" s="249"/>
      <c r="L13" s="50" t="e">
        <f>_xlfn.XLOOKUP($D13,Tab_Def_Processes[Name(EN)],Tab_Def_Processes[Stock?],,0,)</f>
        <v>#N/A</v>
      </c>
      <c r="M13" s="48"/>
      <c r="N13" s="57" t="e">
        <f>_xlfn.XLOOKUP($D13,Tab_Def_Processes[Name(EN)],Tab_Def_Processes[Input_Flow_I_1],,0,)</f>
        <v>#N/A</v>
      </c>
      <c r="O13" s="48" t="e">
        <f>_xlfn.XLOOKUP($D13,Tab_Def_Processes[Name(EN)],Tab_Def_Processes[Flow_ID_I_1],,0,)</f>
        <v>#N/A</v>
      </c>
      <c r="P13" s="75"/>
      <c r="Q13" s="71" t="e">
        <f>_xlfn.XLOOKUP($D13,Tab_Def_Processes[Name(EN)],Tab_Def_Processes[Input_Flow_I_2],,0,)</f>
        <v>#N/A</v>
      </c>
      <c r="R13" s="48" t="e">
        <f>_xlfn.XLOOKUP($D13,Tab_Def_Processes[Name(EN)],Tab_Def_Processes[Flow_ID_I_2],,0,)</f>
        <v>#N/A</v>
      </c>
      <c r="S13" s="75"/>
      <c r="T13" s="71" t="e">
        <f>_xlfn.XLOOKUP($D13,Tab_Def_Processes[Name(EN)],Tab_Def_Processes[Input_Flow_I_3],,0,)</f>
        <v>#N/A</v>
      </c>
      <c r="U13" s="48" t="e">
        <f>_xlfn.XLOOKUP($D13,Tab_Def_Processes[Name(EN)],Tab_Def_Processes[Flow_ID_I_3],,0,)</f>
        <v>#N/A</v>
      </c>
      <c r="V13" s="75"/>
      <c r="W13" s="71" t="e">
        <f>_xlfn.XLOOKUP($D13,Tab_Def_Processes[Name(EN)],Tab_Def_Processes[Input_Flow_I_4],,0,)</f>
        <v>#N/A</v>
      </c>
      <c r="X13" s="48" t="e">
        <f>_xlfn.XLOOKUP($D13,Tab_Def_Processes[Name(EN)],Tab_Def_Processes[Flow_ID_I_4],,0,)</f>
        <v>#N/A</v>
      </c>
      <c r="Y13" s="75"/>
      <c r="Z13" s="71" t="e">
        <f>_xlfn.XLOOKUP($D13,Tab_Def_Processes[Name(EN)],Tab_Def_Processes[Input_Flow_I_5],,0,)</f>
        <v>#N/A</v>
      </c>
      <c r="AA13" s="48" t="e">
        <f>_xlfn.XLOOKUP($D13,Tab_Def_Processes[Name(EN)],Tab_Def_Processes[Flow_ID_I_5],,0,)</f>
        <v>#N/A</v>
      </c>
      <c r="AB13" s="75"/>
      <c r="AC13" s="74">
        <f>Tab_Process_TCs2527[[#This Row],[Flow_TC_I_1_'[%']]]+Tab_Process_TCs2527[[#This Row],[Flow_TC_I_2_'[%']]]+Tab_Process_TCs2527[[#This Row],[Flow_TC_I_3_'[%']]]+Tab_Process_TCs2527[[#This Row],[Flow_TC_I_4_'[%']]]+Tab_Process_TCs2527[[#This Row],[Flow_TC_I_5_'[%']]]</f>
        <v>0</v>
      </c>
      <c r="AD13" s="57" t="e">
        <f>_xlfn.XLOOKUP($D13,Tab_Process_TCs[TC_ID],Tab_Process_TCs[Output_Flow_O_1],,0,)</f>
        <v>#N/A</v>
      </c>
      <c r="AE13" s="48" t="e">
        <f>_xlfn.XLOOKUP($D13,Tab_Process_TCs[TC_ID],Tab_Process_TCs[Flow_ID_O_1],,0,)</f>
        <v>#N/A</v>
      </c>
      <c r="AF13" s="100" t="e">
        <f>Tab_Process_TCs2527[[#This Row],[Flow_ID]]</f>
        <v>#N/A</v>
      </c>
      <c r="AG13" s="48" t="e">
        <f t="shared" si="1"/>
        <v>#N/A</v>
      </c>
      <c r="AH13" s="109">
        <v>0.5</v>
      </c>
      <c r="AI13" s="57" t="e">
        <f>_xlfn.XLOOKUP($D13,Tab_Process_TCs[TC_ID],Tab_Process_TCs[Output_Flow_O_2],,0,)</f>
        <v>#N/A</v>
      </c>
      <c r="AJ13" s="48" t="e">
        <f>_xlfn.XLOOKUP($D13,Tab_Process_TCs[TC_ID],Tab_Process_TCs[Flow_ID_O_2],,0,)</f>
        <v>#N/A</v>
      </c>
      <c r="AK13" s="100" t="e">
        <f>Tab_Process_TCs2527[[#This Row],[Flow_ID]]</f>
        <v>#N/A</v>
      </c>
      <c r="AL13" s="48" t="e">
        <f t="shared" si="2"/>
        <v>#N/A</v>
      </c>
      <c r="AM13" s="239">
        <v>0.2</v>
      </c>
      <c r="AN13" s="57" t="e">
        <f>_xlfn.XLOOKUP($D13,Tab_Process_TCs[TC_ID],Tab_Process_TCs[Output_Flow_O_3],,0,)</f>
        <v>#N/A</v>
      </c>
      <c r="AO13" s="48" t="e">
        <f>_xlfn.XLOOKUP($D13,Tab_Process_TCs[TC_ID],Tab_Process_TCs[Flow_ID_O_3],,0,)</f>
        <v>#N/A</v>
      </c>
      <c r="AP13" s="100" t="e">
        <f>Tab_Process_TCs2527[[#This Row],[Flow_ID]]</f>
        <v>#N/A</v>
      </c>
      <c r="AQ13" s="48" t="e">
        <f t="shared" si="3"/>
        <v>#N/A</v>
      </c>
      <c r="AR13" s="228">
        <v>0.3</v>
      </c>
      <c r="AS13" s="57" t="e">
        <f>_xlfn.XLOOKUP($D13,Tab_Process_TCs[TC_ID],#REF!,,0,)</f>
        <v>#REF!</v>
      </c>
      <c r="AT13" s="48" t="e">
        <f>_xlfn.XLOOKUP($D13,Tab_Process_TCs[TC_ID],#REF!,,0,)</f>
        <v>#REF!</v>
      </c>
      <c r="AU13" s="100" t="e">
        <f>Tab_Process_TCs2527[[#This Row],[Flow_ID]]</f>
        <v>#N/A</v>
      </c>
      <c r="AV13" s="100" t="e">
        <f t="shared" si="4"/>
        <v>#N/A</v>
      </c>
      <c r="AW13" s="228"/>
      <c r="AX13" s="57" t="e">
        <f>_xlfn.XLOOKUP($D13,Tab_Process_TCs[TC_ID],#REF!,,0,)</f>
        <v>#REF!</v>
      </c>
      <c r="AY13" s="48" t="e">
        <f>_xlfn.XLOOKUP($D13,Tab_Process_TCs[TC_ID],#REF!,,0,)</f>
        <v>#REF!</v>
      </c>
      <c r="AZ13" s="100" t="e">
        <f>Tab_Process_TCs2527[[#This Row],[Flow_ID]]</f>
        <v>#N/A</v>
      </c>
      <c r="BA13" s="100" t="e">
        <f t="shared" si="5"/>
        <v>#REF!</v>
      </c>
      <c r="BB13" s="228"/>
      <c r="BC13" s="48" t="e">
        <f>_xlfn.XLOOKUP($D13,Tab_Process_TCs[TC_ID],#REF!,,0,)</f>
        <v>#REF!</v>
      </c>
      <c r="BD13" s="48" t="e">
        <f>_xlfn.XLOOKUP($D13,Tab_Process_TCs[TC_ID],#REF!,,0,)</f>
        <v>#REF!</v>
      </c>
      <c r="BE13" s="100" t="e">
        <f>Tab_Process_TCs2527[[#This Row],[Flow_ID]]</f>
        <v>#N/A</v>
      </c>
      <c r="BF13" s="100" t="e">
        <f t="shared" si="6"/>
        <v>#REF!</v>
      </c>
      <c r="BG13" s="109"/>
      <c r="BH13" s="112">
        <f>Tab_Process_TCs2527[[#This Row],[TC O_6_'[%']]]+Tab_Process_TCs2527[[#This Row],[TC O_5_'[%']]]+Tab_Process_TCs2527[[#This Row],[TC_O_4_'[%']]]+Tab_Process_TCs2527[[#This Row],[TC_O_3_'[%']]]+Tab_Process_TCs2527[[#This Row],[TC_O_2_'[%']]]+Tab_Process_TCs2527[[#This Row],[TC_O_1_'[%']]]</f>
        <v>1</v>
      </c>
      <c r="BI13" s="50"/>
      <c r="BJ13" s="50"/>
      <c r="BK13" s="50"/>
      <c r="BL13" s="50"/>
      <c r="BM13" s="50"/>
    </row>
    <row r="14" spans="1:65" x14ac:dyDescent="0.25">
      <c r="A14" s="87" t="b">
        <v>0</v>
      </c>
      <c r="B14" s="48">
        <f t="shared" si="0"/>
        <v>13</v>
      </c>
      <c r="C14" s="107" t="e">
        <f>_xlfn.XLOOKUP($D14,Tab_Process_TCs[Name(EN)],Tab_Process_TCs[Process_ID],,0,)</f>
        <v>#N/A</v>
      </c>
      <c r="D14" s="50"/>
      <c r="E14" s="50" t="s">
        <v>55</v>
      </c>
      <c r="F14" s="48" t="e">
        <f>_xlfn.XLOOKUP($D14,Tab_Process_TCs[Name(EN)],Tab_Process_TCs[TC?],,0,)</f>
        <v>#N/A</v>
      </c>
      <c r="G14" s="48" t="e">
        <f>_xlfn.XLOOKUP($D14,Tab_Process_TCs[Name(EN)],Tab_Process_TCs[Dyn_TC?],,0,)</f>
        <v>#N/A</v>
      </c>
      <c r="H14" s="48" t="e">
        <f>_xlfn.XLOOKUP($E14,Tab_Def_Flows[Name(EN)],Tab_Def_Flows[Flow_ID],,0,1)</f>
        <v>#N/A</v>
      </c>
      <c r="I14" s="50" t="e">
        <f>IF(Tab_Process_TCs2527[[#This Row],[Name(EN)]]="N.A.","N.A.","TC"&amp;"_"&amp;RIGHT(H14,5))</f>
        <v>#N/A</v>
      </c>
      <c r="J14" s="50"/>
      <c r="K14" s="249"/>
      <c r="L14" s="50" t="e">
        <f>_xlfn.XLOOKUP($D14,Tab_Def_Processes[Name(EN)],Tab_Def_Processes[Stock?],,0,)</f>
        <v>#N/A</v>
      </c>
      <c r="M14" s="48"/>
      <c r="N14" s="57" t="e">
        <f>_xlfn.XLOOKUP($D14,Tab_Def_Processes[Name(EN)],Tab_Def_Processes[Input_Flow_I_1],,0,)</f>
        <v>#N/A</v>
      </c>
      <c r="O14" s="48" t="e">
        <f>_xlfn.XLOOKUP($D14,Tab_Def_Processes[Name(EN)],Tab_Def_Processes[Flow_ID_I_1],,0,)</f>
        <v>#N/A</v>
      </c>
      <c r="P14" s="75"/>
      <c r="Q14" s="71" t="e">
        <f>_xlfn.XLOOKUP($D14,Tab_Def_Processes[Name(EN)],Tab_Def_Processes[Input_Flow_I_2],,0,)</f>
        <v>#N/A</v>
      </c>
      <c r="R14" s="48" t="e">
        <f>_xlfn.XLOOKUP($D14,Tab_Def_Processes[Name(EN)],Tab_Def_Processes[Flow_ID_I_2],,0,)</f>
        <v>#N/A</v>
      </c>
      <c r="S14" s="75"/>
      <c r="T14" s="71" t="e">
        <f>_xlfn.XLOOKUP($D14,Tab_Def_Processes[Name(EN)],Tab_Def_Processes[Input_Flow_I_3],,0,)</f>
        <v>#N/A</v>
      </c>
      <c r="U14" s="48" t="e">
        <f>_xlfn.XLOOKUP($D14,Tab_Def_Processes[Name(EN)],Tab_Def_Processes[Flow_ID_I_3],,0,)</f>
        <v>#N/A</v>
      </c>
      <c r="V14" s="75"/>
      <c r="W14" s="71" t="e">
        <f>_xlfn.XLOOKUP($D14,Tab_Def_Processes[Name(EN)],Tab_Def_Processes[Input_Flow_I_4],,0,)</f>
        <v>#N/A</v>
      </c>
      <c r="X14" s="48" t="e">
        <f>_xlfn.XLOOKUP($D14,Tab_Def_Processes[Name(EN)],Tab_Def_Processes[Flow_ID_I_4],,0,)</f>
        <v>#N/A</v>
      </c>
      <c r="Y14" s="75"/>
      <c r="Z14" s="71" t="e">
        <f>_xlfn.XLOOKUP($D14,Tab_Def_Processes[Name(EN)],Tab_Def_Processes[Input_Flow_I_5],,0,)</f>
        <v>#N/A</v>
      </c>
      <c r="AA14" s="48" t="e">
        <f>_xlfn.XLOOKUP($D14,Tab_Def_Processes[Name(EN)],Tab_Def_Processes[Flow_ID_I_5],,0,)</f>
        <v>#N/A</v>
      </c>
      <c r="AB14" s="75"/>
      <c r="AC14" s="74">
        <f>Tab_Process_TCs2527[[#This Row],[Flow_TC_I_1_'[%']]]+Tab_Process_TCs2527[[#This Row],[Flow_TC_I_2_'[%']]]+Tab_Process_TCs2527[[#This Row],[Flow_TC_I_3_'[%']]]+Tab_Process_TCs2527[[#This Row],[Flow_TC_I_4_'[%']]]+Tab_Process_TCs2527[[#This Row],[Flow_TC_I_5_'[%']]]</f>
        <v>0</v>
      </c>
      <c r="AD14" s="57" t="e">
        <f>_xlfn.XLOOKUP($D14,Tab_Process_TCs[TC_ID],Tab_Process_TCs[Output_Flow_O_1],,0,)</f>
        <v>#N/A</v>
      </c>
      <c r="AE14" s="48" t="e">
        <f>_xlfn.XLOOKUP($D14,Tab_Process_TCs[TC_ID],Tab_Process_TCs[Flow_ID_O_1],,0,)</f>
        <v>#N/A</v>
      </c>
      <c r="AF14" s="100" t="e">
        <f>Tab_Process_TCs2527[[#This Row],[Flow_ID]]</f>
        <v>#N/A</v>
      </c>
      <c r="AG14" s="48" t="e">
        <f t="shared" si="1"/>
        <v>#N/A</v>
      </c>
      <c r="AH14" s="109">
        <v>0.5</v>
      </c>
      <c r="AI14" s="231" t="e">
        <f>_xlfn.XLOOKUP($D14,Tab_Process_TCs[TC_ID],Tab_Process_TCs[Output_Flow_O_2],,0,)</f>
        <v>#N/A</v>
      </c>
      <c r="AJ14" s="113" t="e">
        <f>_xlfn.XLOOKUP($D14,Tab_Process_TCs[TC_ID],Tab_Process_TCs[Flow_ID_O_2],,0,)</f>
        <v>#N/A</v>
      </c>
      <c r="AK14" s="100" t="e">
        <f>Tab_Process_TCs2527[[#This Row],[Flow_ID]]</f>
        <v>#N/A</v>
      </c>
      <c r="AL14" s="48" t="e">
        <f t="shared" si="2"/>
        <v>#N/A</v>
      </c>
      <c r="AM14" s="239">
        <v>0.2</v>
      </c>
      <c r="AN14" s="57" t="e">
        <f>_xlfn.XLOOKUP($D14,Tab_Process_TCs[TC_ID],Tab_Process_TCs[Output_Flow_O_3],,0,)</f>
        <v>#N/A</v>
      </c>
      <c r="AO14" s="48" t="e">
        <f>_xlfn.XLOOKUP($D14,Tab_Process_TCs[TC_ID],Tab_Process_TCs[Flow_ID_O_3],,0,)</f>
        <v>#N/A</v>
      </c>
      <c r="AP14" s="100" t="e">
        <f>Tab_Process_TCs2527[[#This Row],[Flow_ID]]</f>
        <v>#N/A</v>
      </c>
      <c r="AQ14" s="48" t="e">
        <f t="shared" si="3"/>
        <v>#N/A</v>
      </c>
      <c r="AR14" s="228">
        <v>0.3</v>
      </c>
      <c r="AS14" s="57" t="e">
        <f>_xlfn.XLOOKUP($D14,Tab_Process_TCs[TC_ID],#REF!,,0,)</f>
        <v>#REF!</v>
      </c>
      <c r="AT14" s="48" t="e">
        <f>_xlfn.XLOOKUP($D14,Tab_Process_TCs[TC_ID],#REF!,,0,)</f>
        <v>#REF!</v>
      </c>
      <c r="AU14" s="100" t="e">
        <f>Tab_Process_TCs2527[[#This Row],[Flow_ID]]</f>
        <v>#N/A</v>
      </c>
      <c r="AV14" s="100" t="e">
        <f t="shared" si="4"/>
        <v>#N/A</v>
      </c>
      <c r="AW14" s="228"/>
      <c r="AX14" s="57" t="e">
        <f>_xlfn.XLOOKUP($D14,Tab_Process_TCs[TC_ID],#REF!,,0,)</f>
        <v>#REF!</v>
      </c>
      <c r="AY14" s="48" t="e">
        <f>_xlfn.XLOOKUP($D14,Tab_Process_TCs[TC_ID],#REF!,,0,)</f>
        <v>#REF!</v>
      </c>
      <c r="AZ14" s="100" t="e">
        <f>Tab_Process_TCs2527[[#This Row],[Flow_ID]]</f>
        <v>#N/A</v>
      </c>
      <c r="BA14" s="100" t="e">
        <f t="shared" si="5"/>
        <v>#REF!</v>
      </c>
      <c r="BB14" s="228"/>
      <c r="BC14" s="48" t="e">
        <f>_xlfn.XLOOKUP($D14,Tab_Process_TCs[TC_ID],#REF!,,0,)</f>
        <v>#REF!</v>
      </c>
      <c r="BD14" s="48" t="e">
        <f>_xlfn.XLOOKUP($D14,Tab_Process_TCs[TC_ID],#REF!,,0,)</f>
        <v>#REF!</v>
      </c>
      <c r="BE14" s="100" t="e">
        <f>Tab_Process_TCs2527[[#This Row],[Flow_ID]]</f>
        <v>#N/A</v>
      </c>
      <c r="BF14" s="100" t="e">
        <f t="shared" si="6"/>
        <v>#REF!</v>
      </c>
      <c r="BG14" s="109"/>
      <c r="BH14" s="112">
        <f>Tab_Process_TCs2527[[#This Row],[TC O_6_'[%']]]+Tab_Process_TCs2527[[#This Row],[TC O_5_'[%']]]+Tab_Process_TCs2527[[#This Row],[TC_O_4_'[%']]]+Tab_Process_TCs2527[[#This Row],[TC_O_3_'[%']]]+Tab_Process_TCs2527[[#This Row],[TC_O_2_'[%']]]+Tab_Process_TCs2527[[#This Row],[TC_O_1_'[%']]]</f>
        <v>1</v>
      </c>
      <c r="BI14" s="50"/>
      <c r="BJ14" s="50"/>
      <c r="BK14" s="50"/>
      <c r="BL14" s="50"/>
      <c r="BM14" s="50"/>
    </row>
    <row r="15" spans="1:65" x14ac:dyDescent="0.25">
      <c r="A15" s="87" t="b">
        <v>0</v>
      </c>
      <c r="B15" s="48">
        <f t="shared" si="0"/>
        <v>14</v>
      </c>
      <c r="C15" s="107" t="e">
        <f>_xlfn.XLOOKUP($D15,Tab_Process_TCs[Name(EN)],Tab_Process_TCs[Process_ID],,0,)</f>
        <v>#N/A</v>
      </c>
      <c r="D15" s="50"/>
      <c r="E15" s="50" t="s">
        <v>55</v>
      </c>
      <c r="F15" s="48" t="e">
        <f>_xlfn.XLOOKUP($D15,Tab_Process_TCs[Name(EN)],Tab_Process_TCs[TC?],,0,)</f>
        <v>#N/A</v>
      </c>
      <c r="G15" s="48" t="e">
        <f>_xlfn.XLOOKUP($D15,Tab_Process_TCs[Name(EN)],Tab_Process_TCs[Dyn_TC?],,0,)</f>
        <v>#N/A</v>
      </c>
      <c r="H15" s="48" t="e">
        <f>_xlfn.XLOOKUP($E15,Tab_Def_Flows[Name(EN)],Tab_Def_Flows[Flow_ID],,0,1)</f>
        <v>#N/A</v>
      </c>
      <c r="I15" s="50" t="e">
        <f>IF(Tab_Process_TCs2527[[#This Row],[Name(EN)]]="N.A.","N.A.","TC"&amp;"_"&amp;RIGHT(H15,5))</f>
        <v>#N/A</v>
      </c>
      <c r="J15" s="50"/>
      <c r="K15" s="249"/>
      <c r="L15" s="50" t="e">
        <f>_xlfn.XLOOKUP($D15,Tab_Def_Processes[Name(EN)],Tab_Def_Processes[Stock?],,0,)</f>
        <v>#N/A</v>
      </c>
      <c r="M15" s="48"/>
      <c r="N15" s="57" t="e">
        <f>_xlfn.XLOOKUP($D15,Tab_Def_Processes[Name(EN)],Tab_Def_Processes[Input_Flow_I_1],,0,)</f>
        <v>#N/A</v>
      </c>
      <c r="O15" s="48" t="e">
        <f>_xlfn.XLOOKUP($D15,Tab_Def_Processes[Name(EN)],Tab_Def_Processes[Flow_ID_I_1],,0,)</f>
        <v>#N/A</v>
      </c>
      <c r="P15" s="75"/>
      <c r="Q15" s="71" t="e">
        <f>_xlfn.XLOOKUP($D15,Tab_Def_Processes[Name(EN)],Tab_Def_Processes[Input_Flow_I_2],,0,)</f>
        <v>#N/A</v>
      </c>
      <c r="R15" s="48" t="e">
        <f>_xlfn.XLOOKUP($D15,Tab_Def_Processes[Name(EN)],Tab_Def_Processes[Flow_ID_I_2],,0,)</f>
        <v>#N/A</v>
      </c>
      <c r="S15" s="75"/>
      <c r="T15" s="71" t="e">
        <f>_xlfn.XLOOKUP($D15,Tab_Def_Processes[Name(EN)],Tab_Def_Processes[Input_Flow_I_3],,0,)</f>
        <v>#N/A</v>
      </c>
      <c r="U15" s="48" t="e">
        <f>_xlfn.XLOOKUP($D15,Tab_Def_Processes[Name(EN)],Tab_Def_Processes[Flow_ID_I_3],,0,)</f>
        <v>#N/A</v>
      </c>
      <c r="V15" s="75"/>
      <c r="W15" s="71" t="e">
        <f>_xlfn.XLOOKUP($D15,Tab_Def_Processes[Name(EN)],Tab_Def_Processes[Input_Flow_I_4],,0,)</f>
        <v>#N/A</v>
      </c>
      <c r="X15" s="48" t="e">
        <f>_xlfn.XLOOKUP($D15,Tab_Def_Processes[Name(EN)],Tab_Def_Processes[Flow_ID_I_4],,0,)</f>
        <v>#N/A</v>
      </c>
      <c r="Y15" s="75"/>
      <c r="Z15" s="71" t="e">
        <f>_xlfn.XLOOKUP($D15,Tab_Def_Processes[Name(EN)],Tab_Def_Processes[Input_Flow_I_5],,0,)</f>
        <v>#N/A</v>
      </c>
      <c r="AA15" s="48" t="e">
        <f>_xlfn.XLOOKUP($D15,Tab_Def_Processes[Name(EN)],Tab_Def_Processes[Flow_ID_I_5],,0,)</f>
        <v>#N/A</v>
      </c>
      <c r="AB15" s="75"/>
      <c r="AC15" s="74">
        <f>Tab_Process_TCs2527[[#This Row],[Flow_TC_I_1_'[%']]]+Tab_Process_TCs2527[[#This Row],[Flow_TC_I_2_'[%']]]+Tab_Process_TCs2527[[#This Row],[Flow_TC_I_3_'[%']]]+Tab_Process_TCs2527[[#This Row],[Flow_TC_I_4_'[%']]]+Tab_Process_TCs2527[[#This Row],[Flow_TC_I_5_'[%']]]</f>
        <v>0</v>
      </c>
      <c r="AD15" s="57" t="e">
        <f>_xlfn.XLOOKUP($D15,Tab_Process_TCs[TC_ID],Tab_Process_TCs[Output_Flow_O_1],,0,)</f>
        <v>#N/A</v>
      </c>
      <c r="AE15" s="48" t="e">
        <f>_xlfn.XLOOKUP($D15,Tab_Process_TCs[TC_ID],Tab_Process_TCs[Flow_ID_O_1],,0,)</f>
        <v>#N/A</v>
      </c>
      <c r="AF15" s="100" t="e">
        <f>Tab_Process_TCs2527[[#This Row],[Flow_ID]]</f>
        <v>#N/A</v>
      </c>
      <c r="AG15" s="48" t="e">
        <f t="shared" si="1"/>
        <v>#N/A</v>
      </c>
      <c r="AH15" s="109">
        <v>0.5</v>
      </c>
      <c r="AI15" s="231" t="e">
        <f>_xlfn.XLOOKUP($D15,Tab_Process_TCs[TC_ID],Tab_Process_TCs[Output_Flow_O_2],,0,)</f>
        <v>#N/A</v>
      </c>
      <c r="AJ15" s="113" t="e">
        <f>_xlfn.XLOOKUP($D15,Tab_Process_TCs[TC_ID],Tab_Process_TCs[Flow_ID_O_2],,0,)</f>
        <v>#N/A</v>
      </c>
      <c r="AK15" s="100" t="e">
        <f>Tab_Process_TCs2527[[#This Row],[Flow_ID]]</f>
        <v>#N/A</v>
      </c>
      <c r="AL15" s="48" t="e">
        <f t="shared" si="2"/>
        <v>#N/A</v>
      </c>
      <c r="AM15" s="239">
        <v>0.2</v>
      </c>
      <c r="AN15" s="57" t="e">
        <f>_xlfn.XLOOKUP($D15,Tab_Process_TCs[TC_ID],Tab_Process_TCs[Output_Flow_O_3],,0,)</f>
        <v>#N/A</v>
      </c>
      <c r="AO15" s="48" t="e">
        <f>_xlfn.XLOOKUP($D15,Tab_Process_TCs[TC_ID],Tab_Process_TCs[Flow_ID_O_3],,0,)</f>
        <v>#N/A</v>
      </c>
      <c r="AP15" s="100" t="e">
        <f>Tab_Process_TCs2527[[#This Row],[Flow_ID]]</f>
        <v>#N/A</v>
      </c>
      <c r="AQ15" s="48" t="e">
        <f t="shared" si="3"/>
        <v>#N/A</v>
      </c>
      <c r="AR15" s="228">
        <v>0.3</v>
      </c>
      <c r="AS15" s="57" t="e">
        <f>_xlfn.XLOOKUP($D15,Tab_Process_TCs[TC_ID],#REF!,,0,)</f>
        <v>#REF!</v>
      </c>
      <c r="AT15" s="48" t="e">
        <f>_xlfn.XLOOKUP($D15,Tab_Process_TCs[TC_ID],#REF!,,0,)</f>
        <v>#REF!</v>
      </c>
      <c r="AU15" s="100" t="e">
        <f>Tab_Process_TCs2527[[#This Row],[Flow_ID]]</f>
        <v>#N/A</v>
      </c>
      <c r="AV15" s="100" t="e">
        <f t="shared" si="4"/>
        <v>#N/A</v>
      </c>
      <c r="AW15" s="228"/>
      <c r="AX15" s="57" t="e">
        <f>_xlfn.XLOOKUP($D15,Tab_Process_TCs[TC_ID],#REF!,,0,)</f>
        <v>#REF!</v>
      </c>
      <c r="AY15" s="48" t="e">
        <f>_xlfn.XLOOKUP($D15,Tab_Process_TCs[TC_ID],#REF!,,0,)</f>
        <v>#REF!</v>
      </c>
      <c r="AZ15" s="100" t="e">
        <f>Tab_Process_TCs2527[[#This Row],[Flow_ID]]</f>
        <v>#N/A</v>
      </c>
      <c r="BA15" s="100" t="e">
        <f t="shared" si="5"/>
        <v>#REF!</v>
      </c>
      <c r="BB15" s="228"/>
      <c r="BC15" s="48" t="e">
        <f>_xlfn.XLOOKUP($D15,Tab_Process_TCs[TC_ID],#REF!,,0,)</f>
        <v>#REF!</v>
      </c>
      <c r="BD15" s="48" t="e">
        <f>_xlfn.XLOOKUP($D15,Tab_Process_TCs[TC_ID],#REF!,,0,)</f>
        <v>#REF!</v>
      </c>
      <c r="BE15" s="100" t="e">
        <f>Tab_Process_TCs2527[[#This Row],[Flow_ID]]</f>
        <v>#N/A</v>
      </c>
      <c r="BF15" s="100" t="e">
        <f t="shared" si="6"/>
        <v>#REF!</v>
      </c>
      <c r="BG15" s="109"/>
      <c r="BH15" s="112">
        <f>Tab_Process_TCs2527[[#This Row],[TC O_6_'[%']]]+Tab_Process_TCs2527[[#This Row],[TC O_5_'[%']]]+Tab_Process_TCs2527[[#This Row],[TC_O_4_'[%']]]+Tab_Process_TCs2527[[#This Row],[TC_O_3_'[%']]]+Tab_Process_TCs2527[[#This Row],[TC_O_2_'[%']]]+Tab_Process_TCs2527[[#This Row],[TC_O_1_'[%']]]</f>
        <v>1</v>
      </c>
      <c r="BI15" s="50"/>
      <c r="BJ15" s="50"/>
      <c r="BK15" s="50"/>
      <c r="BL15" s="50"/>
      <c r="BM15" s="50"/>
    </row>
    <row r="16" spans="1:65" x14ac:dyDescent="0.25">
      <c r="A16" s="87" t="b">
        <v>0</v>
      </c>
      <c r="B16" s="48">
        <f t="shared" si="0"/>
        <v>15</v>
      </c>
      <c r="C16" s="107" t="e">
        <f>_xlfn.XLOOKUP($D16,Tab_Process_TCs[Name(EN)],Tab_Process_TCs[Process_ID],,0,)</f>
        <v>#N/A</v>
      </c>
      <c r="D16" s="50"/>
      <c r="E16" s="50" t="s">
        <v>55</v>
      </c>
      <c r="F16" s="48" t="e">
        <f>_xlfn.XLOOKUP($D16,Tab_Process_TCs[Name(EN)],Tab_Process_TCs[TC?],,0,)</f>
        <v>#N/A</v>
      </c>
      <c r="G16" s="48" t="e">
        <f>_xlfn.XLOOKUP($D16,Tab_Process_TCs[Name(EN)],Tab_Process_TCs[Dyn_TC?],,0,)</f>
        <v>#N/A</v>
      </c>
      <c r="H16" s="48" t="e">
        <f>_xlfn.XLOOKUP($E16,Tab_Def_Flows[Name(EN)],Tab_Def_Flows[Flow_ID],,0,1)</f>
        <v>#N/A</v>
      </c>
      <c r="I16" s="50" t="e">
        <f>IF(Tab_Process_TCs2527[[#This Row],[Name(EN)]]="N.A.","N.A.","TC"&amp;"_"&amp;RIGHT(H16,5))</f>
        <v>#N/A</v>
      </c>
      <c r="J16" s="50"/>
      <c r="K16" s="249"/>
      <c r="L16" s="50" t="e">
        <f>_xlfn.XLOOKUP($D16,Tab_Def_Processes[Name(EN)],Tab_Def_Processes[Stock?],,0,)</f>
        <v>#N/A</v>
      </c>
      <c r="M16" s="48"/>
      <c r="N16" s="57" t="e">
        <f>_xlfn.XLOOKUP($D16,Tab_Def_Processes[Name(EN)],Tab_Def_Processes[Input_Flow_I_1],,0,)</f>
        <v>#N/A</v>
      </c>
      <c r="O16" s="48" t="e">
        <f>_xlfn.XLOOKUP($D16,Tab_Def_Processes[Name(EN)],Tab_Def_Processes[Flow_ID_I_1],,0,)</f>
        <v>#N/A</v>
      </c>
      <c r="P16" s="75"/>
      <c r="Q16" s="71" t="e">
        <f>_xlfn.XLOOKUP($D16,Tab_Def_Processes[Name(EN)],Tab_Def_Processes[Input_Flow_I_2],,0,)</f>
        <v>#N/A</v>
      </c>
      <c r="R16" s="48" t="e">
        <f>_xlfn.XLOOKUP($D16,Tab_Def_Processes[Name(EN)],Tab_Def_Processes[Flow_ID_I_2],,0,)</f>
        <v>#N/A</v>
      </c>
      <c r="S16" s="75"/>
      <c r="T16" s="71" t="e">
        <f>_xlfn.XLOOKUP($D16,Tab_Def_Processes[Name(EN)],Tab_Def_Processes[Input_Flow_I_3],,0,)</f>
        <v>#N/A</v>
      </c>
      <c r="U16" s="48" t="e">
        <f>_xlfn.XLOOKUP($D16,Tab_Def_Processes[Name(EN)],Tab_Def_Processes[Flow_ID_I_3],,0,)</f>
        <v>#N/A</v>
      </c>
      <c r="V16" s="75"/>
      <c r="W16" s="71" t="e">
        <f>_xlfn.XLOOKUP($D16,Tab_Def_Processes[Name(EN)],Tab_Def_Processes[Input_Flow_I_4],,0,)</f>
        <v>#N/A</v>
      </c>
      <c r="X16" s="48" t="e">
        <f>_xlfn.XLOOKUP($D16,Tab_Def_Processes[Name(EN)],Tab_Def_Processes[Flow_ID_I_4],,0,)</f>
        <v>#N/A</v>
      </c>
      <c r="Y16" s="75"/>
      <c r="Z16" s="71" t="e">
        <f>_xlfn.XLOOKUP($D16,Tab_Def_Processes[Name(EN)],Tab_Def_Processes[Input_Flow_I_5],,0,)</f>
        <v>#N/A</v>
      </c>
      <c r="AA16" s="48" t="e">
        <f>_xlfn.XLOOKUP($D16,Tab_Def_Processes[Name(EN)],Tab_Def_Processes[Flow_ID_I_5],,0,)</f>
        <v>#N/A</v>
      </c>
      <c r="AB16" s="75"/>
      <c r="AC16" s="74">
        <f>Tab_Process_TCs2527[[#This Row],[Flow_TC_I_1_'[%']]]+Tab_Process_TCs2527[[#This Row],[Flow_TC_I_2_'[%']]]+Tab_Process_TCs2527[[#This Row],[Flow_TC_I_3_'[%']]]+Tab_Process_TCs2527[[#This Row],[Flow_TC_I_4_'[%']]]+Tab_Process_TCs2527[[#This Row],[Flow_TC_I_5_'[%']]]</f>
        <v>0</v>
      </c>
      <c r="AD16" s="57" t="e">
        <f>_xlfn.XLOOKUP($D16,Tab_Process_TCs[TC_ID],Tab_Process_TCs[Output_Flow_O_1],,0,)</f>
        <v>#N/A</v>
      </c>
      <c r="AE16" s="48" t="e">
        <f>_xlfn.XLOOKUP($D16,Tab_Process_TCs[TC_ID],Tab_Process_TCs[Flow_ID_O_1],,0,)</f>
        <v>#N/A</v>
      </c>
      <c r="AF16" s="100" t="e">
        <f>Tab_Process_TCs2527[[#This Row],[Flow_ID]]</f>
        <v>#N/A</v>
      </c>
      <c r="AG16" s="48" t="e">
        <f t="shared" si="1"/>
        <v>#N/A</v>
      </c>
      <c r="AH16" s="109">
        <v>0.5</v>
      </c>
      <c r="AI16" s="231" t="e">
        <f>_xlfn.XLOOKUP($D16,Tab_Process_TCs[TC_ID],Tab_Process_TCs[Output_Flow_O_2],,0,)</f>
        <v>#N/A</v>
      </c>
      <c r="AJ16" s="113" t="e">
        <f>_xlfn.XLOOKUP($D16,Tab_Process_TCs[TC_ID],Tab_Process_TCs[Flow_ID_O_2],,0,)</f>
        <v>#N/A</v>
      </c>
      <c r="AK16" s="100" t="e">
        <f>Tab_Process_TCs2527[[#This Row],[Flow_ID]]</f>
        <v>#N/A</v>
      </c>
      <c r="AL16" s="48" t="e">
        <f t="shared" si="2"/>
        <v>#N/A</v>
      </c>
      <c r="AM16" s="239">
        <v>0.2</v>
      </c>
      <c r="AN16" s="57" t="e">
        <f>_xlfn.XLOOKUP($D16,Tab_Process_TCs[TC_ID],Tab_Process_TCs[Output_Flow_O_3],,0,)</f>
        <v>#N/A</v>
      </c>
      <c r="AO16" s="48" t="e">
        <f>_xlfn.XLOOKUP($D16,Tab_Process_TCs[TC_ID],Tab_Process_TCs[Flow_ID_O_3],,0,)</f>
        <v>#N/A</v>
      </c>
      <c r="AP16" s="100" t="e">
        <f>Tab_Process_TCs2527[[#This Row],[Flow_ID]]</f>
        <v>#N/A</v>
      </c>
      <c r="AQ16" s="48" t="e">
        <f t="shared" si="3"/>
        <v>#N/A</v>
      </c>
      <c r="AR16" s="228">
        <v>0.3</v>
      </c>
      <c r="AS16" s="57" t="e">
        <f>_xlfn.XLOOKUP($D16,Tab_Process_TCs[TC_ID],#REF!,,0,)</f>
        <v>#REF!</v>
      </c>
      <c r="AT16" s="48" t="e">
        <f>_xlfn.XLOOKUP($D16,Tab_Process_TCs[TC_ID],#REF!,,0,)</f>
        <v>#REF!</v>
      </c>
      <c r="AU16" s="100" t="e">
        <f>Tab_Process_TCs2527[[#This Row],[Flow_ID]]</f>
        <v>#N/A</v>
      </c>
      <c r="AV16" s="100" t="e">
        <f t="shared" si="4"/>
        <v>#N/A</v>
      </c>
      <c r="AW16" s="228"/>
      <c r="AX16" s="57" t="e">
        <f>_xlfn.XLOOKUP($D16,Tab_Process_TCs[TC_ID],#REF!,,0,)</f>
        <v>#REF!</v>
      </c>
      <c r="AY16" s="48" t="e">
        <f>_xlfn.XLOOKUP($D16,Tab_Process_TCs[TC_ID],#REF!,,0,)</f>
        <v>#REF!</v>
      </c>
      <c r="AZ16" s="100" t="e">
        <f>Tab_Process_TCs2527[[#This Row],[Flow_ID]]</f>
        <v>#N/A</v>
      </c>
      <c r="BA16" s="100" t="e">
        <f t="shared" si="5"/>
        <v>#REF!</v>
      </c>
      <c r="BB16" s="228"/>
      <c r="BC16" s="48" t="e">
        <f>_xlfn.XLOOKUP($D16,Tab_Process_TCs[TC_ID],#REF!,,0,)</f>
        <v>#REF!</v>
      </c>
      <c r="BD16" s="48" t="e">
        <f>_xlfn.XLOOKUP($D16,Tab_Process_TCs[TC_ID],#REF!,,0,)</f>
        <v>#REF!</v>
      </c>
      <c r="BE16" s="100" t="e">
        <f>Tab_Process_TCs2527[[#This Row],[Flow_ID]]</f>
        <v>#N/A</v>
      </c>
      <c r="BF16" s="100" t="e">
        <f t="shared" si="6"/>
        <v>#REF!</v>
      </c>
      <c r="BG16" s="109"/>
      <c r="BH16" s="112">
        <f>Tab_Process_TCs2527[[#This Row],[TC O_6_'[%']]]+Tab_Process_TCs2527[[#This Row],[TC O_5_'[%']]]+Tab_Process_TCs2527[[#This Row],[TC_O_4_'[%']]]+Tab_Process_TCs2527[[#This Row],[TC_O_3_'[%']]]+Tab_Process_TCs2527[[#This Row],[TC_O_2_'[%']]]+Tab_Process_TCs2527[[#This Row],[TC_O_1_'[%']]]</f>
        <v>1</v>
      </c>
      <c r="BI16" s="50"/>
      <c r="BJ16" s="50"/>
      <c r="BK16" s="50"/>
      <c r="BL16" s="50"/>
      <c r="BM16" s="50"/>
    </row>
    <row r="17" spans="1:65" x14ac:dyDescent="0.25">
      <c r="A17" s="87" t="b">
        <v>0</v>
      </c>
      <c r="B17" s="48">
        <f t="shared" si="0"/>
        <v>16</v>
      </c>
      <c r="C17" s="107" t="e">
        <f>_xlfn.XLOOKUP($D17,Tab_Process_TCs[Name(EN)],Tab_Process_TCs[Process_ID],,0,)</f>
        <v>#N/A</v>
      </c>
      <c r="D17" s="50"/>
      <c r="E17" s="50" t="s">
        <v>55</v>
      </c>
      <c r="F17" s="48" t="e">
        <f>_xlfn.XLOOKUP($D17,Tab_Process_TCs[Name(EN)],Tab_Process_TCs[TC?],,0,)</f>
        <v>#N/A</v>
      </c>
      <c r="G17" s="48" t="e">
        <f>_xlfn.XLOOKUP($D17,Tab_Process_TCs[Name(EN)],Tab_Process_TCs[Dyn_TC?],,0,)</f>
        <v>#N/A</v>
      </c>
      <c r="H17" s="48" t="e">
        <f>_xlfn.XLOOKUP($E17,Tab_Def_Flows[Name(EN)],Tab_Def_Flows[Flow_ID],,0,1)</f>
        <v>#N/A</v>
      </c>
      <c r="I17" s="50" t="e">
        <f>IF(Tab_Process_TCs2527[[#This Row],[Name(EN)]]="N.A.","N.A.","TC"&amp;"_"&amp;RIGHT(H17,5))</f>
        <v>#N/A</v>
      </c>
      <c r="J17" s="50"/>
      <c r="K17" s="249"/>
      <c r="L17" s="50" t="e">
        <f>_xlfn.XLOOKUP($D17,Tab_Def_Processes[Name(EN)],Tab_Def_Processes[Stock?],,0,)</f>
        <v>#N/A</v>
      </c>
      <c r="M17" s="48"/>
      <c r="N17" s="57" t="e">
        <f>_xlfn.XLOOKUP($D17,Tab_Def_Processes[Name(EN)],Tab_Def_Processes[Input_Flow_I_1],,0,)</f>
        <v>#N/A</v>
      </c>
      <c r="O17" s="48" t="e">
        <f>_xlfn.XLOOKUP($D17,Tab_Def_Processes[Name(EN)],Tab_Def_Processes[Flow_ID_I_1],,0,)</f>
        <v>#N/A</v>
      </c>
      <c r="P17" s="75"/>
      <c r="Q17" s="71" t="e">
        <f>_xlfn.XLOOKUP($D17,Tab_Def_Processes[Name(EN)],Tab_Def_Processes[Input_Flow_I_2],,0,)</f>
        <v>#N/A</v>
      </c>
      <c r="R17" s="48" t="e">
        <f>_xlfn.XLOOKUP($D17,Tab_Def_Processes[Name(EN)],Tab_Def_Processes[Flow_ID_I_2],,0,)</f>
        <v>#N/A</v>
      </c>
      <c r="S17" s="75"/>
      <c r="T17" s="71" t="e">
        <f>_xlfn.XLOOKUP($D17,Tab_Def_Processes[Name(EN)],Tab_Def_Processes[Input_Flow_I_3],,0,)</f>
        <v>#N/A</v>
      </c>
      <c r="U17" s="48" t="e">
        <f>_xlfn.XLOOKUP($D17,Tab_Def_Processes[Name(EN)],Tab_Def_Processes[Flow_ID_I_3],,0,)</f>
        <v>#N/A</v>
      </c>
      <c r="V17" s="75"/>
      <c r="W17" s="71" t="e">
        <f>_xlfn.XLOOKUP($D17,Tab_Def_Processes[Name(EN)],Tab_Def_Processes[Input_Flow_I_4],,0,)</f>
        <v>#N/A</v>
      </c>
      <c r="X17" s="48" t="e">
        <f>_xlfn.XLOOKUP($D17,Tab_Def_Processes[Name(EN)],Tab_Def_Processes[Flow_ID_I_4],,0,)</f>
        <v>#N/A</v>
      </c>
      <c r="Y17" s="75"/>
      <c r="Z17" s="71" t="e">
        <f>_xlfn.XLOOKUP($D17,Tab_Def_Processes[Name(EN)],Tab_Def_Processes[Input_Flow_I_5],,0,)</f>
        <v>#N/A</v>
      </c>
      <c r="AA17" s="48" t="e">
        <f>_xlfn.XLOOKUP($D17,Tab_Def_Processes[Name(EN)],Tab_Def_Processes[Flow_ID_I_5],,0,)</f>
        <v>#N/A</v>
      </c>
      <c r="AB17" s="75"/>
      <c r="AC17" s="74">
        <f>Tab_Process_TCs2527[[#This Row],[Flow_TC_I_1_'[%']]]+Tab_Process_TCs2527[[#This Row],[Flow_TC_I_2_'[%']]]+Tab_Process_TCs2527[[#This Row],[Flow_TC_I_3_'[%']]]+Tab_Process_TCs2527[[#This Row],[Flow_TC_I_4_'[%']]]+Tab_Process_TCs2527[[#This Row],[Flow_TC_I_5_'[%']]]</f>
        <v>0</v>
      </c>
      <c r="AD17" s="57" t="e">
        <f>_xlfn.XLOOKUP($D17,Tab_Process_TCs[TC_ID],Tab_Process_TCs[Output_Flow_O_1],,0,)</f>
        <v>#N/A</v>
      </c>
      <c r="AE17" s="48" t="e">
        <f>_xlfn.XLOOKUP($D17,Tab_Process_TCs[TC_ID],Tab_Process_TCs[Flow_ID_O_1],,0,)</f>
        <v>#N/A</v>
      </c>
      <c r="AF17" s="100" t="e">
        <f>Tab_Process_TCs2527[[#This Row],[Flow_ID]]</f>
        <v>#N/A</v>
      </c>
      <c r="AG17" s="48" t="e">
        <f t="shared" si="1"/>
        <v>#N/A</v>
      </c>
      <c r="AH17" s="109">
        <v>0.5</v>
      </c>
      <c r="AI17" s="231" t="e">
        <f>_xlfn.XLOOKUP($D17,Tab_Process_TCs[TC_ID],Tab_Process_TCs[Output_Flow_O_2],,0,)</f>
        <v>#N/A</v>
      </c>
      <c r="AJ17" s="113" t="e">
        <f>_xlfn.XLOOKUP($D17,Tab_Process_TCs[TC_ID],Tab_Process_TCs[Flow_ID_O_2],,0,)</f>
        <v>#N/A</v>
      </c>
      <c r="AK17" s="100" t="e">
        <f>Tab_Process_TCs2527[[#This Row],[Flow_ID]]</f>
        <v>#N/A</v>
      </c>
      <c r="AL17" s="48" t="e">
        <f t="shared" si="2"/>
        <v>#N/A</v>
      </c>
      <c r="AM17" s="239">
        <v>0.2</v>
      </c>
      <c r="AN17" s="57" t="e">
        <f>_xlfn.XLOOKUP($D17,Tab_Process_TCs[TC_ID],Tab_Process_TCs[Output_Flow_O_3],,0,)</f>
        <v>#N/A</v>
      </c>
      <c r="AO17" s="48" t="e">
        <f>_xlfn.XLOOKUP($D17,Tab_Process_TCs[TC_ID],Tab_Process_TCs[Flow_ID_O_3],,0,)</f>
        <v>#N/A</v>
      </c>
      <c r="AP17" s="100" t="e">
        <f>Tab_Process_TCs2527[[#This Row],[Flow_ID]]</f>
        <v>#N/A</v>
      </c>
      <c r="AQ17" s="48" t="e">
        <f t="shared" si="3"/>
        <v>#N/A</v>
      </c>
      <c r="AR17" s="228">
        <v>0.3</v>
      </c>
      <c r="AS17" s="57" t="e">
        <f>_xlfn.XLOOKUP($D17,Tab_Process_TCs[TC_ID],#REF!,,0,)</f>
        <v>#REF!</v>
      </c>
      <c r="AT17" s="48" t="e">
        <f>_xlfn.XLOOKUP($D17,Tab_Process_TCs[TC_ID],#REF!,,0,)</f>
        <v>#REF!</v>
      </c>
      <c r="AU17" s="100" t="e">
        <f>Tab_Process_TCs2527[[#This Row],[Flow_ID]]</f>
        <v>#N/A</v>
      </c>
      <c r="AV17" s="100" t="e">
        <f t="shared" si="4"/>
        <v>#N/A</v>
      </c>
      <c r="AW17" s="228"/>
      <c r="AX17" s="57" t="e">
        <f>_xlfn.XLOOKUP($D17,Tab_Process_TCs[TC_ID],#REF!,,0,)</f>
        <v>#REF!</v>
      </c>
      <c r="AY17" s="48" t="e">
        <f>_xlfn.XLOOKUP($D17,Tab_Process_TCs[TC_ID],#REF!,,0,)</f>
        <v>#REF!</v>
      </c>
      <c r="AZ17" s="100" t="e">
        <f>Tab_Process_TCs2527[[#This Row],[Flow_ID]]</f>
        <v>#N/A</v>
      </c>
      <c r="BA17" s="100" t="e">
        <f t="shared" si="5"/>
        <v>#REF!</v>
      </c>
      <c r="BB17" s="228"/>
      <c r="BC17" s="48" t="e">
        <f>_xlfn.XLOOKUP($D17,Tab_Process_TCs[TC_ID],#REF!,,0,)</f>
        <v>#REF!</v>
      </c>
      <c r="BD17" s="48" t="e">
        <f>_xlfn.XLOOKUP($D17,Tab_Process_TCs[TC_ID],#REF!,,0,)</f>
        <v>#REF!</v>
      </c>
      <c r="BE17" s="100" t="e">
        <f>Tab_Process_TCs2527[[#This Row],[Flow_ID]]</f>
        <v>#N/A</v>
      </c>
      <c r="BF17" s="100" t="e">
        <f t="shared" si="6"/>
        <v>#REF!</v>
      </c>
      <c r="BG17" s="109"/>
      <c r="BH17" s="112">
        <f>Tab_Process_TCs2527[[#This Row],[TC O_6_'[%']]]+Tab_Process_TCs2527[[#This Row],[TC O_5_'[%']]]+Tab_Process_TCs2527[[#This Row],[TC_O_4_'[%']]]+Tab_Process_TCs2527[[#This Row],[TC_O_3_'[%']]]+Tab_Process_TCs2527[[#This Row],[TC_O_2_'[%']]]+Tab_Process_TCs2527[[#This Row],[TC_O_1_'[%']]]</f>
        <v>1</v>
      </c>
      <c r="BI17" s="50"/>
      <c r="BJ17" s="50"/>
      <c r="BK17" s="50"/>
      <c r="BL17" s="50"/>
      <c r="BM17" s="50"/>
    </row>
    <row r="18" spans="1:65" x14ac:dyDescent="0.25">
      <c r="A18" s="87" t="b">
        <v>0</v>
      </c>
      <c r="B18" s="48">
        <f t="shared" si="0"/>
        <v>17</v>
      </c>
      <c r="C18" s="107" t="e">
        <f>_xlfn.XLOOKUP($D18,Tab_Process_TCs[Name(EN)],Tab_Process_TCs[Process_ID],,0,)</f>
        <v>#N/A</v>
      </c>
      <c r="D18" s="50"/>
      <c r="E18" s="50" t="s">
        <v>55</v>
      </c>
      <c r="F18" s="48" t="e">
        <f>_xlfn.XLOOKUP($D18,Tab_Process_TCs[Name(EN)],Tab_Process_TCs[TC?],,0,)</f>
        <v>#N/A</v>
      </c>
      <c r="G18" s="48" t="e">
        <f>_xlfn.XLOOKUP($D18,Tab_Process_TCs[Name(EN)],Tab_Process_TCs[Dyn_TC?],,0,)</f>
        <v>#N/A</v>
      </c>
      <c r="H18" s="48" t="e">
        <f>_xlfn.XLOOKUP($E18,Tab_Def_Flows[Name(EN)],Tab_Def_Flows[Flow_ID],,0,1)</f>
        <v>#N/A</v>
      </c>
      <c r="I18" s="50" t="e">
        <f>IF(Tab_Process_TCs2527[[#This Row],[Name(EN)]]="N.A.","N.A.","TC"&amp;"_"&amp;RIGHT(H18,5))</f>
        <v>#N/A</v>
      </c>
      <c r="J18" s="50"/>
      <c r="K18" s="249"/>
      <c r="L18" s="50" t="e">
        <f>_xlfn.XLOOKUP($D18,Tab_Def_Processes[Name(EN)],Tab_Def_Processes[Stock?],,0,)</f>
        <v>#N/A</v>
      </c>
      <c r="M18" s="48"/>
      <c r="N18" s="57" t="e">
        <f>_xlfn.XLOOKUP($D18,Tab_Def_Processes[Name(EN)],Tab_Def_Processes[Input_Flow_I_1],,0,)</f>
        <v>#N/A</v>
      </c>
      <c r="O18" s="48" t="e">
        <f>_xlfn.XLOOKUP($D18,Tab_Def_Processes[Name(EN)],Tab_Def_Processes[Flow_ID_I_1],,0,)</f>
        <v>#N/A</v>
      </c>
      <c r="P18" s="75"/>
      <c r="Q18" s="71" t="e">
        <f>_xlfn.XLOOKUP($D18,Tab_Def_Processes[Name(EN)],Tab_Def_Processes[Input_Flow_I_2],,0,)</f>
        <v>#N/A</v>
      </c>
      <c r="R18" s="48" t="e">
        <f>_xlfn.XLOOKUP($D18,Tab_Def_Processes[Name(EN)],Tab_Def_Processes[Flow_ID_I_2],,0,)</f>
        <v>#N/A</v>
      </c>
      <c r="S18" s="75"/>
      <c r="T18" s="71" t="e">
        <f>_xlfn.XLOOKUP($D18,Tab_Def_Processes[Name(EN)],Tab_Def_Processes[Input_Flow_I_3],,0,)</f>
        <v>#N/A</v>
      </c>
      <c r="U18" s="48" t="e">
        <f>_xlfn.XLOOKUP($D18,Tab_Def_Processes[Name(EN)],Tab_Def_Processes[Flow_ID_I_3],,0,)</f>
        <v>#N/A</v>
      </c>
      <c r="V18" s="75"/>
      <c r="W18" s="71" t="e">
        <f>_xlfn.XLOOKUP($D18,Tab_Def_Processes[Name(EN)],Tab_Def_Processes[Input_Flow_I_4],,0,)</f>
        <v>#N/A</v>
      </c>
      <c r="X18" s="48" t="e">
        <f>_xlfn.XLOOKUP($D18,Tab_Def_Processes[Name(EN)],Tab_Def_Processes[Flow_ID_I_4],,0,)</f>
        <v>#N/A</v>
      </c>
      <c r="Y18" s="75"/>
      <c r="Z18" s="71" t="e">
        <f>_xlfn.XLOOKUP($D18,Tab_Def_Processes[Name(EN)],Tab_Def_Processes[Input_Flow_I_5],,0,)</f>
        <v>#N/A</v>
      </c>
      <c r="AA18" s="48" t="e">
        <f>_xlfn.XLOOKUP($D18,Tab_Def_Processes[Name(EN)],Tab_Def_Processes[Flow_ID_I_5],,0,)</f>
        <v>#N/A</v>
      </c>
      <c r="AB18" s="75"/>
      <c r="AC18" s="74">
        <f>Tab_Process_TCs2527[[#This Row],[Flow_TC_I_1_'[%']]]+Tab_Process_TCs2527[[#This Row],[Flow_TC_I_2_'[%']]]+Tab_Process_TCs2527[[#This Row],[Flow_TC_I_3_'[%']]]+Tab_Process_TCs2527[[#This Row],[Flow_TC_I_4_'[%']]]+Tab_Process_TCs2527[[#This Row],[Flow_TC_I_5_'[%']]]</f>
        <v>0</v>
      </c>
      <c r="AD18" s="57" t="e">
        <f>_xlfn.XLOOKUP($D18,Tab_Process_TCs[TC_ID],Tab_Process_TCs[Output_Flow_O_1],,0,)</f>
        <v>#N/A</v>
      </c>
      <c r="AE18" s="48" t="e">
        <f>_xlfn.XLOOKUP($D18,Tab_Process_TCs[TC_ID],Tab_Process_TCs[Flow_ID_O_1],,0,)</f>
        <v>#N/A</v>
      </c>
      <c r="AF18" s="100" t="e">
        <f>Tab_Process_TCs2527[[#This Row],[Flow_ID]]</f>
        <v>#N/A</v>
      </c>
      <c r="AG18" s="48" t="e">
        <f t="shared" si="1"/>
        <v>#N/A</v>
      </c>
      <c r="AH18" s="109">
        <v>0.5</v>
      </c>
      <c r="AI18" s="231" t="e">
        <f>_xlfn.XLOOKUP($D18,Tab_Process_TCs[TC_ID],Tab_Process_TCs[Output_Flow_O_2],,0,)</f>
        <v>#N/A</v>
      </c>
      <c r="AJ18" s="113" t="e">
        <f>_xlfn.XLOOKUP($D18,Tab_Process_TCs[TC_ID],Tab_Process_TCs[Flow_ID_O_2],,0,)</f>
        <v>#N/A</v>
      </c>
      <c r="AK18" s="100" t="e">
        <f>Tab_Process_TCs2527[[#This Row],[Flow_ID]]</f>
        <v>#N/A</v>
      </c>
      <c r="AL18" s="48" t="e">
        <f t="shared" si="2"/>
        <v>#N/A</v>
      </c>
      <c r="AM18" s="239">
        <v>0.2</v>
      </c>
      <c r="AN18" s="57" t="e">
        <f>_xlfn.XLOOKUP($D18,Tab_Process_TCs[TC_ID],Tab_Process_TCs[Output_Flow_O_3],,0,)</f>
        <v>#N/A</v>
      </c>
      <c r="AO18" s="48" t="e">
        <f>_xlfn.XLOOKUP($D18,Tab_Process_TCs[TC_ID],Tab_Process_TCs[Flow_ID_O_3],,0,)</f>
        <v>#N/A</v>
      </c>
      <c r="AP18" s="100" t="e">
        <f>Tab_Process_TCs2527[[#This Row],[Flow_ID]]</f>
        <v>#N/A</v>
      </c>
      <c r="AQ18" s="48" t="e">
        <f t="shared" si="3"/>
        <v>#N/A</v>
      </c>
      <c r="AR18" s="228">
        <v>0.3</v>
      </c>
      <c r="AS18" s="57" t="e">
        <f>_xlfn.XLOOKUP($D18,Tab_Process_TCs[TC_ID],#REF!,,0,)</f>
        <v>#REF!</v>
      </c>
      <c r="AT18" s="48" t="e">
        <f>_xlfn.XLOOKUP($D18,Tab_Process_TCs[TC_ID],#REF!,,0,)</f>
        <v>#REF!</v>
      </c>
      <c r="AU18" s="100" t="e">
        <f>Tab_Process_TCs2527[[#This Row],[Flow_ID]]</f>
        <v>#N/A</v>
      </c>
      <c r="AV18" s="100" t="e">
        <f t="shared" si="4"/>
        <v>#N/A</v>
      </c>
      <c r="AW18" s="228"/>
      <c r="AX18" s="57" t="e">
        <f>_xlfn.XLOOKUP($D18,Tab_Process_TCs[TC_ID],#REF!,,0,)</f>
        <v>#REF!</v>
      </c>
      <c r="AY18" s="48" t="e">
        <f>_xlfn.XLOOKUP($D18,Tab_Process_TCs[TC_ID],#REF!,,0,)</f>
        <v>#REF!</v>
      </c>
      <c r="AZ18" s="100" t="e">
        <f>Tab_Process_TCs2527[[#This Row],[Flow_ID]]</f>
        <v>#N/A</v>
      </c>
      <c r="BA18" s="100" t="e">
        <f t="shared" si="5"/>
        <v>#REF!</v>
      </c>
      <c r="BB18" s="228"/>
      <c r="BC18" s="48" t="e">
        <f>_xlfn.XLOOKUP($D18,Tab_Process_TCs[TC_ID],#REF!,,0,)</f>
        <v>#REF!</v>
      </c>
      <c r="BD18" s="48" t="e">
        <f>_xlfn.XLOOKUP($D18,Tab_Process_TCs[TC_ID],#REF!,,0,)</f>
        <v>#REF!</v>
      </c>
      <c r="BE18" s="100" t="e">
        <f>Tab_Process_TCs2527[[#This Row],[Flow_ID]]</f>
        <v>#N/A</v>
      </c>
      <c r="BF18" s="100" t="e">
        <f t="shared" si="6"/>
        <v>#REF!</v>
      </c>
      <c r="BG18" s="109"/>
      <c r="BH18" s="112">
        <f>Tab_Process_TCs2527[[#This Row],[TC O_6_'[%']]]+Tab_Process_TCs2527[[#This Row],[TC O_5_'[%']]]+Tab_Process_TCs2527[[#This Row],[TC_O_4_'[%']]]+Tab_Process_TCs2527[[#This Row],[TC_O_3_'[%']]]+Tab_Process_TCs2527[[#This Row],[TC_O_2_'[%']]]+Tab_Process_TCs2527[[#This Row],[TC_O_1_'[%']]]</f>
        <v>1</v>
      </c>
      <c r="BI18" s="50"/>
      <c r="BJ18" s="50"/>
      <c r="BK18" s="50"/>
      <c r="BL18" s="50"/>
      <c r="BM18" s="50"/>
    </row>
    <row r="19" spans="1:65" x14ac:dyDescent="0.25">
      <c r="A19" s="87" t="b">
        <v>0</v>
      </c>
      <c r="B19" s="48">
        <f t="shared" si="0"/>
        <v>18</v>
      </c>
      <c r="C19" s="107" t="e">
        <f>_xlfn.XLOOKUP($D19,Tab_Process_TCs[Name(EN)],Tab_Process_TCs[Process_ID],,0,)</f>
        <v>#N/A</v>
      </c>
      <c r="D19" s="50"/>
      <c r="E19" s="50" t="s">
        <v>55</v>
      </c>
      <c r="F19" s="48" t="e">
        <f>_xlfn.XLOOKUP($D19,Tab_Process_TCs[Name(EN)],Tab_Process_TCs[TC?],,0,)</f>
        <v>#N/A</v>
      </c>
      <c r="G19" s="48" t="e">
        <f>_xlfn.XLOOKUP($D19,Tab_Process_TCs[Name(EN)],Tab_Process_TCs[Dyn_TC?],,0,)</f>
        <v>#N/A</v>
      </c>
      <c r="H19" s="48" t="e">
        <f>_xlfn.XLOOKUP($E19,Tab_Def_Flows[Name(EN)],Tab_Def_Flows[Flow_ID],,0,1)</f>
        <v>#N/A</v>
      </c>
      <c r="I19" s="50" t="e">
        <f>IF(Tab_Process_TCs2527[[#This Row],[Name(EN)]]="N.A.","N.A.","TC"&amp;"_"&amp;RIGHT(H19,5))</f>
        <v>#N/A</v>
      </c>
      <c r="J19" s="50"/>
      <c r="K19" s="249"/>
      <c r="L19" s="50" t="e">
        <f>_xlfn.XLOOKUP($D19,Tab_Def_Processes[Name(EN)],Tab_Def_Processes[Stock?],,0,)</f>
        <v>#N/A</v>
      </c>
      <c r="M19" s="48"/>
      <c r="N19" s="57" t="e">
        <f>_xlfn.XLOOKUP($D19,Tab_Def_Processes[Name(EN)],Tab_Def_Processes[Input_Flow_I_1],,0,)</f>
        <v>#N/A</v>
      </c>
      <c r="O19" s="48" t="e">
        <f>_xlfn.XLOOKUP($D19,Tab_Def_Processes[Name(EN)],Tab_Def_Processes[Flow_ID_I_1],,0,)</f>
        <v>#N/A</v>
      </c>
      <c r="P19" s="75"/>
      <c r="Q19" s="71" t="e">
        <f>_xlfn.XLOOKUP($D19,Tab_Def_Processes[Name(EN)],Tab_Def_Processes[Input_Flow_I_2],,0,)</f>
        <v>#N/A</v>
      </c>
      <c r="R19" s="48" t="e">
        <f>_xlfn.XLOOKUP($D19,Tab_Def_Processes[Name(EN)],Tab_Def_Processes[Flow_ID_I_2],,0,)</f>
        <v>#N/A</v>
      </c>
      <c r="S19" s="75"/>
      <c r="T19" s="71" t="e">
        <f>_xlfn.XLOOKUP($D19,Tab_Def_Processes[Name(EN)],Tab_Def_Processes[Input_Flow_I_3],,0,)</f>
        <v>#N/A</v>
      </c>
      <c r="U19" s="48" t="e">
        <f>_xlfn.XLOOKUP($D19,Tab_Def_Processes[Name(EN)],Tab_Def_Processes[Flow_ID_I_3],,0,)</f>
        <v>#N/A</v>
      </c>
      <c r="V19" s="75"/>
      <c r="W19" s="71" t="e">
        <f>_xlfn.XLOOKUP($D19,Tab_Def_Processes[Name(EN)],Tab_Def_Processes[Input_Flow_I_4],,0,)</f>
        <v>#N/A</v>
      </c>
      <c r="X19" s="48" t="e">
        <f>_xlfn.XLOOKUP($D19,Tab_Def_Processes[Name(EN)],Tab_Def_Processes[Flow_ID_I_4],,0,)</f>
        <v>#N/A</v>
      </c>
      <c r="Y19" s="75"/>
      <c r="Z19" s="71" t="e">
        <f>_xlfn.XLOOKUP($D19,Tab_Def_Processes[Name(EN)],Tab_Def_Processes[Input_Flow_I_5],,0,)</f>
        <v>#N/A</v>
      </c>
      <c r="AA19" s="48" t="e">
        <f>_xlfn.XLOOKUP($D19,Tab_Def_Processes[Name(EN)],Tab_Def_Processes[Flow_ID_I_5],,0,)</f>
        <v>#N/A</v>
      </c>
      <c r="AB19" s="75"/>
      <c r="AC19" s="74">
        <f>Tab_Process_TCs2527[[#This Row],[Flow_TC_I_1_'[%']]]+Tab_Process_TCs2527[[#This Row],[Flow_TC_I_2_'[%']]]+Tab_Process_TCs2527[[#This Row],[Flow_TC_I_3_'[%']]]+Tab_Process_TCs2527[[#This Row],[Flow_TC_I_4_'[%']]]+Tab_Process_TCs2527[[#This Row],[Flow_TC_I_5_'[%']]]</f>
        <v>0</v>
      </c>
      <c r="AD19" s="57" t="e">
        <f>_xlfn.XLOOKUP($D19,Tab_Process_TCs[TC_ID],Tab_Process_TCs[Output_Flow_O_1],,0,)</f>
        <v>#N/A</v>
      </c>
      <c r="AE19" s="48" t="e">
        <f>_xlfn.XLOOKUP($D19,Tab_Process_TCs[TC_ID],Tab_Process_TCs[Flow_ID_O_1],,0,)</f>
        <v>#N/A</v>
      </c>
      <c r="AF19" s="100" t="e">
        <f>Tab_Process_TCs2527[[#This Row],[Flow_ID]]</f>
        <v>#N/A</v>
      </c>
      <c r="AG19" s="48" t="e">
        <f t="shared" si="1"/>
        <v>#N/A</v>
      </c>
      <c r="AH19" s="109">
        <v>0.5</v>
      </c>
      <c r="AI19" s="231" t="e">
        <f>_xlfn.XLOOKUP($D19,Tab_Process_TCs[TC_ID],Tab_Process_TCs[Output_Flow_O_2],,0,)</f>
        <v>#N/A</v>
      </c>
      <c r="AJ19" s="113" t="e">
        <f>_xlfn.XLOOKUP($D19,Tab_Process_TCs[TC_ID],Tab_Process_TCs[Flow_ID_O_2],,0,)</f>
        <v>#N/A</v>
      </c>
      <c r="AK19" s="100" t="e">
        <f>Tab_Process_TCs2527[[#This Row],[Flow_ID]]</f>
        <v>#N/A</v>
      </c>
      <c r="AL19" s="48" t="e">
        <f t="shared" si="2"/>
        <v>#N/A</v>
      </c>
      <c r="AM19" s="239">
        <v>0.2</v>
      </c>
      <c r="AN19" s="57" t="e">
        <f>_xlfn.XLOOKUP($D19,Tab_Process_TCs[TC_ID],Tab_Process_TCs[Output_Flow_O_3],,0,)</f>
        <v>#N/A</v>
      </c>
      <c r="AO19" s="48" t="e">
        <f>_xlfn.XLOOKUP($D19,Tab_Process_TCs[TC_ID],Tab_Process_TCs[Flow_ID_O_3],,0,)</f>
        <v>#N/A</v>
      </c>
      <c r="AP19" s="100" t="e">
        <f>Tab_Process_TCs2527[[#This Row],[Flow_ID]]</f>
        <v>#N/A</v>
      </c>
      <c r="AQ19" s="48" t="e">
        <f t="shared" si="3"/>
        <v>#N/A</v>
      </c>
      <c r="AR19" s="228">
        <v>0.3</v>
      </c>
      <c r="AS19" s="57" t="e">
        <f>_xlfn.XLOOKUP($D19,Tab_Process_TCs[TC_ID],#REF!,,0,)</f>
        <v>#REF!</v>
      </c>
      <c r="AT19" s="48" t="e">
        <f>_xlfn.XLOOKUP($D19,Tab_Process_TCs[TC_ID],#REF!,,0,)</f>
        <v>#REF!</v>
      </c>
      <c r="AU19" s="100" t="e">
        <f>Tab_Process_TCs2527[[#This Row],[Flow_ID]]</f>
        <v>#N/A</v>
      </c>
      <c r="AV19" s="100" t="e">
        <f t="shared" si="4"/>
        <v>#N/A</v>
      </c>
      <c r="AW19" s="228"/>
      <c r="AX19" s="57" t="e">
        <f>_xlfn.XLOOKUP($D19,Tab_Process_TCs[TC_ID],#REF!,,0,)</f>
        <v>#REF!</v>
      </c>
      <c r="AY19" s="48" t="e">
        <f>_xlfn.XLOOKUP($D19,Tab_Process_TCs[TC_ID],#REF!,,0,)</f>
        <v>#REF!</v>
      </c>
      <c r="AZ19" s="100" t="e">
        <f>Tab_Process_TCs2527[[#This Row],[Flow_ID]]</f>
        <v>#N/A</v>
      </c>
      <c r="BA19" s="100" t="e">
        <f t="shared" si="5"/>
        <v>#REF!</v>
      </c>
      <c r="BB19" s="228"/>
      <c r="BC19" s="48" t="e">
        <f>_xlfn.XLOOKUP($D19,Tab_Process_TCs[TC_ID],#REF!,,0,)</f>
        <v>#REF!</v>
      </c>
      <c r="BD19" s="48" t="e">
        <f>_xlfn.XLOOKUP($D19,Tab_Process_TCs[TC_ID],#REF!,,0,)</f>
        <v>#REF!</v>
      </c>
      <c r="BE19" s="100" t="e">
        <f>Tab_Process_TCs2527[[#This Row],[Flow_ID]]</f>
        <v>#N/A</v>
      </c>
      <c r="BF19" s="100" t="e">
        <f t="shared" si="6"/>
        <v>#REF!</v>
      </c>
      <c r="BG19" s="109"/>
      <c r="BH19" s="112">
        <f>Tab_Process_TCs2527[[#This Row],[TC O_6_'[%']]]+Tab_Process_TCs2527[[#This Row],[TC O_5_'[%']]]+Tab_Process_TCs2527[[#This Row],[TC_O_4_'[%']]]+Tab_Process_TCs2527[[#This Row],[TC_O_3_'[%']]]+Tab_Process_TCs2527[[#This Row],[TC_O_2_'[%']]]+Tab_Process_TCs2527[[#This Row],[TC_O_1_'[%']]]</f>
        <v>1</v>
      </c>
      <c r="BI19" s="50"/>
      <c r="BJ19" s="50"/>
      <c r="BK19" s="50"/>
      <c r="BL19" s="50"/>
      <c r="BM19" s="50"/>
    </row>
    <row r="20" spans="1:65" x14ac:dyDescent="0.25">
      <c r="A20" s="87" t="b">
        <v>0</v>
      </c>
      <c r="B20" s="48">
        <f t="shared" si="0"/>
        <v>19</v>
      </c>
      <c r="C20" s="107" t="e">
        <f>_xlfn.XLOOKUP($D20,Tab_Process_TCs[Name(EN)],Tab_Process_TCs[Process_ID],,0,)</f>
        <v>#N/A</v>
      </c>
      <c r="D20" s="50"/>
      <c r="E20" s="50" t="s">
        <v>55</v>
      </c>
      <c r="F20" s="48" t="e">
        <f>_xlfn.XLOOKUP($D20,Tab_Process_TCs[Name(EN)],Tab_Process_TCs[TC?],,0,)</f>
        <v>#N/A</v>
      </c>
      <c r="G20" s="48" t="e">
        <f>_xlfn.XLOOKUP($D20,Tab_Process_TCs[Name(EN)],Tab_Process_TCs[Dyn_TC?],,0,)</f>
        <v>#N/A</v>
      </c>
      <c r="H20" s="48" t="e">
        <f>_xlfn.XLOOKUP($E20,Tab_Def_Flows[Name(EN)],Tab_Def_Flows[Flow_ID],,0,1)</f>
        <v>#N/A</v>
      </c>
      <c r="I20" s="50" t="e">
        <f>IF(Tab_Process_TCs2527[[#This Row],[Name(EN)]]="N.A.","N.A.","TC"&amp;"_"&amp;RIGHT(H20,5))</f>
        <v>#N/A</v>
      </c>
      <c r="J20" s="50"/>
      <c r="K20" s="249"/>
      <c r="L20" s="50" t="e">
        <f>_xlfn.XLOOKUP($D20,Tab_Def_Processes[Name(EN)],Tab_Def_Processes[Stock?],,0,)</f>
        <v>#N/A</v>
      </c>
      <c r="M20" s="48"/>
      <c r="N20" s="57" t="e">
        <f>_xlfn.XLOOKUP($D20,Tab_Def_Processes[Name(EN)],Tab_Def_Processes[Input_Flow_I_1],,0,)</f>
        <v>#N/A</v>
      </c>
      <c r="O20" s="48" t="e">
        <f>_xlfn.XLOOKUP($D20,Tab_Def_Processes[Name(EN)],Tab_Def_Processes[Flow_ID_I_1],,0,)</f>
        <v>#N/A</v>
      </c>
      <c r="P20" s="75"/>
      <c r="Q20" s="71" t="e">
        <f>_xlfn.XLOOKUP($D20,Tab_Def_Processes[Name(EN)],Tab_Def_Processes[Input_Flow_I_2],,0,)</f>
        <v>#N/A</v>
      </c>
      <c r="R20" s="48" t="e">
        <f>_xlfn.XLOOKUP($D20,Tab_Def_Processes[Name(EN)],Tab_Def_Processes[Flow_ID_I_2],,0,)</f>
        <v>#N/A</v>
      </c>
      <c r="S20" s="75"/>
      <c r="T20" s="71" t="e">
        <f>_xlfn.XLOOKUP($D20,Tab_Def_Processes[Name(EN)],Tab_Def_Processes[Input_Flow_I_3],,0,)</f>
        <v>#N/A</v>
      </c>
      <c r="U20" s="48" t="e">
        <f>_xlfn.XLOOKUP($D20,Tab_Def_Processes[Name(EN)],Tab_Def_Processes[Flow_ID_I_3],,0,)</f>
        <v>#N/A</v>
      </c>
      <c r="V20" s="75"/>
      <c r="W20" s="71" t="e">
        <f>_xlfn.XLOOKUP($D20,Tab_Def_Processes[Name(EN)],Tab_Def_Processes[Input_Flow_I_4],,0,)</f>
        <v>#N/A</v>
      </c>
      <c r="X20" s="48" t="e">
        <f>_xlfn.XLOOKUP($D20,Tab_Def_Processes[Name(EN)],Tab_Def_Processes[Flow_ID_I_4],,0,)</f>
        <v>#N/A</v>
      </c>
      <c r="Y20" s="75"/>
      <c r="Z20" s="71" t="e">
        <f>_xlfn.XLOOKUP($D20,Tab_Def_Processes[Name(EN)],Tab_Def_Processes[Input_Flow_I_5],,0,)</f>
        <v>#N/A</v>
      </c>
      <c r="AA20" s="48" t="e">
        <f>_xlfn.XLOOKUP($D20,Tab_Def_Processes[Name(EN)],Tab_Def_Processes[Flow_ID_I_5],,0,)</f>
        <v>#N/A</v>
      </c>
      <c r="AB20" s="75"/>
      <c r="AC20" s="74">
        <f>Tab_Process_TCs2527[[#This Row],[Flow_TC_I_1_'[%']]]+Tab_Process_TCs2527[[#This Row],[Flow_TC_I_2_'[%']]]+Tab_Process_TCs2527[[#This Row],[Flow_TC_I_3_'[%']]]+Tab_Process_TCs2527[[#This Row],[Flow_TC_I_4_'[%']]]+Tab_Process_TCs2527[[#This Row],[Flow_TC_I_5_'[%']]]</f>
        <v>0</v>
      </c>
      <c r="AD20" s="57" t="e">
        <f>_xlfn.XLOOKUP($D20,Tab_Process_TCs[TC_ID],Tab_Process_TCs[Output_Flow_O_1],,0,)</f>
        <v>#N/A</v>
      </c>
      <c r="AE20" s="48" t="e">
        <f>_xlfn.XLOOKUP($D20,Tab_Process_TCs[TC_ID],Tab_Process_TCs[Flow_ID_O_1],,0,)</f>
        <v>#N/A</v>
      </c>
      <c r="AF20" s="100" t="e">
        <f>Tab_Process_TCs2527[[#This Row],[Flow_ID]]</f>
        <v>#N/A</v>
      </c>
      <c r="AG20" s="48" t="e">
        <f t="shared" si="1"/>
        <v>#N/A</v>
      </c>
      <c r="AH20" s="109">
        <v>0.5</v>
      </c>
      <c r="AI20" s="231" t="e">
        <f>_xlfn.XLOOKUP($D20,Tab_Process_TCs[TC_ID],Tab_Process_TCs[Output_Flow_O_2],,0,)</f>
        <v>#N/A</v>
      </c>
      <c r="AJ20" s="113" t="e">
        <f>_xlfn.XLOOKUP($D20,Tab_Process_TCs[TC_ID],Tab_Process_TCs[Flow_ID_O_2],,0,)</f>
        <v>#N/A</v>
      </c>
      <c r="AK20" s="100" t="e">
        <f>Tab_Process_TCs2527[[#This Row],[Flow_ID]]</f>
        <v>#N/A</v>
      </c>
      <c r="AL20" s="48" t="e">
        <f t="shared" si="2"/>
        <v>#N/A</v>
      </c>
      <c r="AM20" s="239">
        <v>0.2</v>
      </c>
      <c r="AN20" s="57" t="e">
        <f>_xlfn.XLOOKUP($D20,Tab_Process_TCs[TC_ID],Tab_Process_TCs[Output_Flow_O_3],,0,)</f>
        <v>#N/A</v>
      </c>
      <c r="AO20" s="48" t="e">
        <f>_xlfn.XLOOKUP($D20,Tab_Process_TCs[TC_ID],Tab_Process_TCs[Flow_ID_O_3],,0,)</f>
        <v>#N/A</v>
      </c>
      <c r="AP20" s="100" t="e">
        <f>Tab_Process_TCs2527[[#This Row],[Flow_ID]]</f>
        <v>#N/A</v>
      </c>
      <c r="AQ20" s="48" t="e">
        <f t="shared" si="3"/>
        <v>#N/A</v>
      </c>
      <c r="AR20" s="228">
        <v>0.3</v>
      </c>
      <c r="AS20" s="57" t="e">
        <f>_xlfn.XLOOKUP($D20,Tab_Process_TCs[TC_ID],#REF!,,0,)</f>
        <v>#REF!</v>
      </c>
      <c r="AT20" s="48" t="e">
        <f>_xlfn.XLOOKUP($D20,Tab_Process_TCs[TC_ID],#REF!,,0,)</f>
        <v>#REF!</v>
      </c>
      <c r="AU20" s="100" t="e">
        <f>Tab_Process_TCs2527[[#This Row],[Flow_ID]]</f>
        <v>#N/A</v>
      </c>
      <c r="AV20" s="100" t="e">
        <f t="shared" si="4"/>
        <v>#N/A</v>
      </c>
      <c r="AW20" s="228"/>
      <c r="AX20" s="57" t="e">
        <f>_xlfn.XLOOKUP($D20,Tab_Process_TCs[TC_ID],#REF!,,0,)</f>
        <v>#REF!</v>
      </c>
      <c r="AY20" s="48" t="e">
        <f>_xlfn.XLOOKUP($D20,Tab_Process_TCs[TC_ID],#REF!,,0,)</f>
        <v>#REF!</v>
      </c>
      <c r="AZ20" s="100" t="e">
        <f>Tab_Process_TCs2527[[#This Row],[Flow_ID]]</f>
        <v>#N/A</v>
      </c>
      <c r="BA20" s="100" t="e">
        <f t="shared" si="5"/>
        <v>#REF!</v>
      </c>
      <c r="BB20" s="228"/>
      <c r="BC20" s="48" t="e">
        <f>_xlfn.XLOOKUP($D20,Tab_Process_TCs[TC_ID],#REF!,,0,)</f>
        <v>#REF!</v>
      </c>
      <c r="BD20" s="48" t="e">
        <f>_xlfn.XLOOKUP($D20,Tab_Process_TCs[TC_ID],#REF!,,0,)</f>
        <v>#REF!</v>
      </c>
      <c r="BE20" s="100" t="e">
        <f>Tab_Process_TCs2527[[#This Row],[Flow_ID]]</f>
        <v>#N/A</v>
      </c>
      <c r="BF20" s="100" t="e">
        <f t="shared" si="6"/>
        <v>#REF!</v>
      </c>
      <c r="BG20" s="109"/>
      <c r="BH20" s="112">
        <f>Tab_Process_TCs2527[[#This Row],[TC O_6_'[%']]]+Tab_Process_TCs2527[[#This Row],[TC O_5_'[%']]]+Tab_Process_TCs2527[[#This Row],[TC_O_4_'[%']]]+Tab_Process_TCs2527[[#This Row],[TC_O_3_'[%']]]+Tab_Process_TCs2527[[#This Row],[TC_O_2_'[%']]]+Tab_Process_TCs2527[[#This Row],[TC_O_1_'[%']]]</f>
        <v>1</v>
      </c>
      <c r="BI20" s="50"/>
      <c r="BJ20" s="50"/>
      <c r="BK20" s="50"/>
      <c r="BL20" s="50"/>
      <c r="BM20" s="50"/>
    </row>
    <row r="21" spans="1:65" x14ac:dyDescent="0.25">
      <c r="A21" s="87" t="b">
        <v>0</v>
      </c>
      <c r="B21" s="48">
        <f t="shared" si="0"/>
        <v>20</v>
      </c>
      <c r="C21" s="107" t="e">
        <f>_xlfn.XLOOKUP($D21,Tab_Process_TCs[Name(EN)],Tab_Process_TCs[Process_ID],,0,)</f>
        <v>#N/A</v>
      </c>
      <c r="D21" s="50"/>
      <c r="E21" s="50" t="s">
        <v>55</v>
      </c>
      <c r="F21" s="48" t="e">
        <f>_xlfn.XLOOKUP($D21,Tab_Process_TCs[Name(EN)],Tab_Process_TCs[TC?],,0,)</f>
        <v>#N/A</v>
      </c>
      <c r="G21" s="48" t="e">
        <f>_xlfn.XLOOKUP($D21,Tab_Process_TCs[Name(EN)],Tab_Process_TCs[Dyn_TC?],,0,)</f>
        <v>#N/A</v>
      </c>
      <c r="H21" s="48" t="e">
        <f>_xlfn.XLOOKUP($E21,Tab_Def_Flows[Name(EN)],Tab_Def_Flows[Flow_ID],,0,1)</f>
        <v>#N/A</v>
      </c>
      <c r="I21" s="50" t="e">
        <f>IF(Tab_Process_TCs2527[[#This Row],[Name(EN)]]="N.A.","N.A.","TC"&amp;"_"&amp;RIGHT(H21,5))</f>
        <v>#N/A</v>
      </c>
      <c r="J21" s="50"/>
      <c r="K21" s="249"/>
      <c r="L21" s="50" t="e">
        <f>_xlfn.XLOOKUP($D21,Tab_Def_Processes[Name(EN)],Tab_Def_Processes[Stock?],,0,)</f>
        <v>#N/A</v>
      </c>
      <c r="M21" s="48"/>
      <c r="N21" s="57" t="e">
        <f>_xlfn.XLOOKUP($D21,Tab_Def_Processes[Name(EN)],Tab_Def_Processes[Input_Flow_I_1],,0,)</f>
        <v>#N/A</v>
      </c>
      <c r="O21" s="48" t="e">
        <f>_xlfn.XLOOKUP($D21,Tab_Def_Processes[Name(EN)],Tab_Def_Processes[Flow_ID_I_1],,0,)</f>
        <v>#N/A</v>
      </c>
      <c r="P21" s="75"/>
      <c r="Q21" s="71" t="e">
        <f>_xlfn.XLOOKUP($D21,Tab_Def_Processes[Name(EN)],Tab_Def_Processes[Input_Flow_I_2],,0,)</f>
        <v>#N/A</v>
      </c>
      <c r="R21" s="48" t="e">
        <f>_xlfn.XLOOKUP($D21,Tab_Def_Processes[Name(EN)],Tab_Def_Processes[Flow_ID_I_2],,0,)</f>
        <v>#N/A</v>
      </c>
      <c r="S21" s="75"/>
      <c r="T21" s="71" t="e">
        <f>_xlfn.XLOOKUP($D21,Tab_Def_Processes[Name(EN)],Tab_Def_Processes[Input_Flow_I_3],,0,)</f>
        <v>#N/A</v>
      </c>
      <c r="U21" s="48" t="e">
        <f>_xlfn.XLOOKUP($D21,Tab_Def_Processes[Name(EN)],Tab_Def_Processes[Flow_ID_I_3],,0,)</f>
        <v>#N/A</v>
      </c>
      <c r="V21" s="75"/>
      <c r="W21" s="71" t="e">
        <f>_xlfn.XLOOKUP($D21,Tab_Def_Processes[Name(EN)],Tab_Def_Processes[Input_Flow_I_4],,0,)</f>
        <v>#N/A</v>
      </c>
      <c r="X21" s="48" t="e">
        <f>_xlfn.XLOOKUP($D21,Tab_Def_Processes[Name(EN)],Tab_Def_Processes[Flow_ID_I_4],,0,)</f>
        <v>#N/A</v>
      </c>
      <c r="Y21" s="75"/>
      <c r="Z21" s="71" t="e">
        <f>_xlfn.XLOOKUP($D21,Tab_Def_Processes[Name(EN)],Tab_Def_Processes[Input_Flow_I_5],,0,)</f>
        <v>#N/A</v>
      </c>
      <c r="AA21" s="48" t="e">
        <f>_xlfn.XLOOKUP($D21,Tab_Def_Processes[Name(EN)],Tab_Def_Processes[Flow_ID_I_5],,0,)</f>
        <v>#N/A</v>
      </c>
      <c r="AB21" s="75"/>
      <c r="AC21" s="74">
        <f>Tab_Process_TCs2527[[#This Row],[Flow_TC_I_1_'[%']]]+Tab_Process_TCs2527[[#This Row],[Flow_TC_I_2_'[%']]]+Tab_Process_TCs2527[[#This Row],[Flow_TC_I_3_'[%']]]+Tab_Process_TCs2527[[#This Row],[Flow_TC_I_4_'[%']]]+Tab_Process_TCs2527[[#This Row],[Flow_TC_I_5_'[%']]]</f>
        <v>0</v>
      </c>
      <c r="AD21" s="57" t="e">
        <f>_xlfn.XLOOKUP($D21,Tab_Process_TCs[TC_ID],Tab_Process_TCs[Output_Flow_O_1],,0,)</f>
        <v>#N/A</v>
      </c>
      <c r="AE21" s="48" t="e">
        <f>_xlfn.XLOOKUP($D21,Tab_Process_TCs[TC_ID],Tab_Process_TCs[Flow_ID_O_1],,0,)</f>
        <v>#N/A</v>
      </c>
      <c r="AF21" s="100" t="e">
        <f>Tab_Process_TCs2527[[#This Row],[Flow_ID]]</f>
        <v>#N/A</v>
      </c>
      <c r="AG21" s="48" t="e">
        <f t="shared" si="1"/>
        <v>#N/A</v>
      </c>
      <c r="AH21" s="109">
        <v>0.5</v>
      </c>
      <c r="AI21" s="231" t="e">
        <f>_xlfn.XLOOKUP($D21,Tab_Process_TCs[TC_ID],Tab_Process_TCs[Output_Flow_O_2],,0,)</f>
        <v>#N/A</v>
      </c>
      <c r="AJ21" s="113" t="e">
        <f>_xlfn.XLOOKUP($D21,Tab_Process_TCs[TC_ID],Tab_Process_TCs[Flow_ID_O_2],,0,)</f>
        <v>#N/A</v>
      </c>
      <c r="AK21" s="100" t="e">
        <f>Tab_Process_TCs2527[[#This Row],[Flow_ID]]</f>
        <v>#N/A</v>
      </c>
      <c r="AL21" s="48" t="e">
        <f t="shared" si="2"/>
        <v>#N/A</v>
      </c>
      <c r="AM21" s="239">
        <v>0.2</v>
      </c>
      <c r="AN21" s="57" t="e">
        <f>_xlfn.XLOOKUP($D21,Tab_Process_TCs[TC_ID],Tab_Process_TCs[Output_Flow_O_3],,0,)</f>
        <v>#N/A</v>
      </c>
      <c r="AO21" s="48" t="e">
        <f>_xlfn.XLOOKUP($D21,Tab_Process_TCs[TC_ID],Tab_Process_TCs[Flow_ID_O_3],,0,)</f>
        <v>#N/A</v>
      </c>
      <c r="AP21" s="100" t="e">
        <f>Tab_Process_TCs2527[[#This Row],[Flow_ID]]</f>
        <v>#N/A</v>
      </c>
      <c r="AQ21" s="48" t="e">
        <f t="shared" si="3"/>
        <v>#N/A</v>
      </c>
      <c r="AR21" s="228">
        <v>0.3</v>
      </c>
      <c r="AS21" s="57" t="e">
        <f>_xlfn.XLOOKUP($D21,Tab_Process_TCs[TC_ID],#REF!,,0,)</f>
        <v>#REF!</v>
      </c>
      <c r="AT21" s="48" t="e">
        <f>_xlfn.XLOOKUP($D21,Tab_Process_TCs[TC_ID],#REF!,,0,)</f>
        <v>#REF!</v>
      </c>
      <c r="AU21" s="100" t="e">
        <f>Tab_Process_TCs2527[[#This Row],[Flow_ID]]</f>
        <v>#N/A</v>
      </c>
      <c r="AV21" s="100" t="e">
        <f t="shared" si="4"/>
        <v>#N/A</v>
      </c>
      <c r="AW21" s="228"/>
      <c r="AX21" s="57" t="e">
        <f>_xlfn.XLOOKUP($D21,Tab_Process_TCs[TC_ID],#REF!,,0,)</f>
        <v>#REF!</v>
      </c>
      <c r="AY21" s="48" t="e">
        <f>_xlfn.XLOOKUP($D21,Tab_Process_TCs[TC_ID],#REF!,,0,)</f>
        <v>#REF!</v>
      </c>
      <c r="AZ21" s="100" t="e">
        <f>Tab_Process_TCs2527[[#This Row],[Flow_ID]]</f>
        <v>#N/A</v>
      </c>
      <c r="BA21" s="100" t="e">
        <f t="shared" si="5"/>
        <v>#REF!</v>
      </c>
      <c r="BB21" s="228"/>
      <c r="BC21" s="48" t="e">
        <f>_xlfn.XLOOKUP($D21,Tab_Process_TCs[TC_ID],#REF!,,0,)</f>
        <v>#REF!</v>
      </c>
      <c r="BD21" s="48" t="e">
        <f>_xlfn.XLOOKUP($D21,Tab_Process_TCs[TC_ID],#REF!,,0,)</f>
        <v>#REF!</v>
      </c>
      <c r="BE21" s="100" t="e">
        <f>Tab_Process_TCs2527[[#This Row],[Flow_ID]]</f>
        <v>#N/A</v>
      </c>
      <c r="BF21" s="100" t="e">
        <f t="shared" si="6"/>
        <v>#REF!</v>
      </c>
      <c r="BG21" s="109"/>
      <c r="BH21" s="112">
        <f>Tab_Process_TCs2527[[#This Row],[TC O_6_'[%']]]+Tab_Process_TCs2527[[#This Row],[TC O_5_'[%']]]+Tab_Process_TCs2527[[#This Row],[TC_O_4_'[%']]]+Tab_Process_TCs2527[[#This Row],[TC_O_3_'[%']]]+Tab_Process_TCs2527[[#This Row],[TC_O_2_'[%']]]+Tab_Process_TCs2527[[#This Row],[TC_O_1_'[%']]]</f>
        <v>1</v>
      </c>
      <c r="BI21" s="50"/>
      <c r="BJ21" s="50"/>
      <c r="BK21" s="50"/>
      <c r="BL21" s="50"/>
      <c r="BM21" s="50"/>
    </row>
    <row r="22" spans="1:65" x14ac:dyDescent="0.25">
      <c r="A22" s="87" t="b">
        <v>0</v>
      </c>
      <c r="B22" s="48">
        <f t="shared" si="0"/>
        <v>21</v>
      </c>
      <c r="C22" s="107" t="e">
        <f>_xlfn.XLOOKUP($D22,Tab_Process_TCs[Name(EN)],Tab_Process_TCs[Process_ID],,0,)</f>
        <v>#N/A</v>
      </c>
      <c r="D22" s="50"/>
      <c r="E22" s="50" t="s">
        <v>55</v>
      </c>
      <c r="F22" s="48" t="e">
        <f>_xlfn.XLOOKUP($D22,Tab_Process_TCs[Name(EN)],Tab_Process_TCs[TC?],,0,)</f>
        <v>#N/A</v>
      </c>
      <c r="G22" s="48" t="e">
        <f>_xlfn.XLOOKUP($D22,Tab_Process_TCs[Name(EN)],Tab_Process_TCs[Dyn_TC?],,0,)</f>
        <v>#N/A</v>
      </c>
      <c r="H22" s="48" t="e">
        <f>_xlfn.XLOOKUP($E22,Tab_Def_Flows[Name(EN)],Tab_Def_Flows[Flow_ID],,0,1)</f>
        <v>#N/A</v>
      </c>
      <c r="I22" s="50" t="e">
        <f>IF(Tab_Process_TCs2527[[#This Row],[Name(EN)]]="N.A.","N.A.","TC"&amp;"_"&amp;RIGHT(H22,5))</f>
        <v>#N/A</v>
      </c>
      <c r="J22" s="50"/>
      <c r="K22" s="249"/>
      <c r="L22" s="50" t="e">
        <f>_xlfn.XLOOKUP($D22,Tab_Def_Processes[Name(EN)],Tab_Def_Processes[Stock?],,0,)</f>
        <v>#N/A</v>
      </c>
      <c r="M22" s="48"/>
      <c r="N22" s="57" t="e">
        <f>_xlfn.XLOOKUP($D22,Tab_Def_Processes[Name(EN)],Tab_Def_Processes[Input_Flow_I_1],,0,)</f>
        <v>#N/A</v>
      </c>
      <c r="O22" s="48" t="e">
        <f>_xlfn.XLOOKUP($D22,Tab_Def_Processes[Name(EN)],Tab_Def_Processes[Flow_ID_I_1],,0,)</f>
        <v>#N/A</v>
      </c>
      <c r="P22" s="75"/>
      <c r="Q22" s="71" t="e">
        <f>_xlfn.XLOOKUP($D22,Tab_Def_Processes[Name(EN)],Tab_Def_Processes[Input_Flow_I_2],,0,)</f>
        <v>#N/A</v>
      </c>
      <c r="R22" s="48" t="e">
        <f>_xlfn.XLOOKUP($D22,Tab_Def_Processes[Name(EN)],Tab_Def_Processes[Flow_ID_I_2],,0,)</f>
        <v>#N/A</v>
      </c>
      <c r="S22" s="75"/>
      <c r="T22" s="71" t="e">
        <f>_xlfn.XLOOKUP($D22,Tab_Def_Processes[Name(EN)],Tab_Def_Processes[Input_Flow_I_3],,0,)</f>
        <v>#N/A</v>
      </c>
      <c r="U22" s="48" t="e">
        <f>_xlfn.XLOOKUP($D22,Tab_Def_Processes[Name(EN)],Tab_Def_Processes[Flow_ID_I_3],,0,)</f>
        <v>#N/A</v>
      </c>
      <c r="V22" s="75"/>
      <c r="W22" s="71" t="e">
        <f>_xlfn.XLOOKUP($D22,Tab_Def_Processes[Name(EN)],Tab_Def_Processes[Input_Flow_I_4],,0,)</f>
        <v>#N/A</v>
      </c>
      <c r="X22" s="48" t="e">
        <f>_xlfn.XLOOKUP($D22,Tab_Def_Processes[Name(EN)],Tab_Def_Processes[Flow_ID_I_4],,0,)</f>
        <v>#N/A</v>
      </c>
      <c r="Y22" s="75"/>
      <c r="Z22" s="71" t="e">
        <f>_xlfn.XLOOKUP($D22,Tab_Def_Processes[Name(EN)],Tab_Def_Processes[Input_Flow_I_5],,0,)</f>
        <v>#N/A</v>
      </c>
      <c r="AA22" s="48" t="e">
        <f>_xlfn.XLOOKUP($D22,Tab_Def_Processes[Name(EN)],Tab_Def_Processes[Flow_ID_I_5],,0,)</f>
        <v>#N/A</v>
      </c>
      <c r="AB22" s="75"/>
      <c r="AC22" s="74">
        <f>Tab_Process_TCs2527[[#This Row],[Flow_TC_I_1_'[%']]]+Tab_Process_TCs2527[[#This Row],[Flow_TC_I_2_'[%']]]+Tab_Process_TCs2527[[#This Row],[Flow_TC_I_3_'[%']]]+Tab_Process_TCs2527[[#This Row],[Flow_TC_I_4_'[%']]]+Tab_Process_TCs2527[[#This Row],[Flow_TC_I_5_'[%']]]</f>
        <v>0</v>
      </c>
      <c r="AD22" s="57" t="e">
        <f>_xlfn.XLOOKUP($D22,Tab_Process_TCs[TC_ID],Tab_Process_TCs[Output_Flow_O_1],,0,)</f>
        <v>#N/A</v>
      </c>
      <c r="AE22" s="48" t="e">
        <f>_xlfn.XLOOKUP($D22,Tab_Process_TCs[TC_ID],Tab_Process_TCs[Flow_ID_O_1],,0,)</f>
        <v>#N/A</v>
      </c>
      <c r="AF22" s="100" t="e">
        <f>Tab_Process_TCs2527[[#This Row],[Flow_ID]]</f>
        <v>#N/A</v>
      </c>
      <c r="AG22" s="48" t="e">
        <f t="shared" si="1"/>
        <v>#N/A</v>
      </c>
      <c r="AH22" s="109">
        <v>0.5</v>
      </c>
      <c r="AI22" s="231" t="e">
        <f>_xlfn.XLOOKUP($D22,Tab_Process_TCs[TC_ID],Tab_Process_TCs[Output_Flow_O_2],,0,)</f>
        <v>#N/A</v>
      </c>
      <c r="AJ22" s="113" t="e">
        <f>_xlfn.XLOOKUP($D22,Tab_Process_TCs[TC_ID],Tab_Process_TCs[Flow_ID_O_2],,0,)</f>
        <v>#N/A</v>
      </c>
      <c r="AK22" s="100" t="e">
        <f>Tab_Process_TCs2527[[#This Row],[Flow_ID]]</f>
        <v>#N/A</v>
      </c>
      <c r="AL22" s="48" t="e">
        <f t="shared" si="2"/>
        <v>#N/A</v>
      </c>
      <c r="AM22" s="228">
        <v>0.2</v>
      </c>
      <c r="AN22" s="57" t="e">
        <f>_xlfn.XLOOKUP($D22,Tab_Process_TCs[TC_ID],Tab_Process_TCs[Output_Flow_O_3],,0,)</f>
        <v>#N/A</v>
      </c>
      <c r="AO22" s="48" t="e">
        <f>_xlfn.XLOOKUP($D22,Tab_Process_TCs[TC_ID],Tab_Process_TCs[Flow_ID_O_3],,0,)</f>
        <v>#N/A</v>
      </c>
      <c r="AP22" s="100" t="e">
        <f>Tab_Process_TCs2527[[#This Row],[Flow_ID]]</f>
        <v>#N/A</v>
      </c>
      <c r="AQ22" s="48" t="e">
        <f t="shared" si="3"/>
        <v>#N/A</v>
      </c>
      <c r="AR22" s="228">
        <v>0.3</v>
      </c>
      <c r="AS22" s="57" t="e">
        <f>_xlfn.XLOOKUP($D22,Tab_Process_TCs[TC_ID],#REF!,,0,)</f>
        <v>#REF!</v>
      </c>
      <c r="AT22" s="48" t="e">
        <f>_xlfn.XLOOKUP($D22,Tab_Process_TCs[TC_ID],#REF!,,0,)</f>
        <v>#REF!</v>
      </c>
      <c r="AU22" s="100" t="e">
        <f>Tab_Process_TCs2527[[#This Row],[Flow_ID]]</f>
        <v>#N/A</v>
      </c>
      <c r="AV22" s="100" t="e">
        <f t="shared" si="4"/>
        <v>#N/A</v>
      </c>
      <c r="AW22" s="228"/>
      <c r="AX22" s="57" t="e">
        <f>_xlfn.XLOOKUP($D22,Tab_Process_TCs[TC_ID],#REF!,,0,)</f>
        <v>#REF!</v>
      </c>
      <c r="AY22" s="48" t="e">
        <f>_xlfn.XLOOKUP($D22,Tab_Process_TCs[TC_ID],#REF!,,0,)</f>
        <v>#REF!</v>
      </c>
      <c r="AZ22" s="100" t="e">
        <f>Tab_Process_TCs2527[[#This Row],[Flow_ID]]</f>
        <v>#N/A</v>
      </c>
      <c r="BA22" s="100" t="e">
        <f t="shared" si="5"/>
        <v>#REF!</v>
      </c>
      <c r="BB22" s="228"/>
      <c r="BC22" s="48" t="e">
        <f>_xlfn.XLOOKUP($D22,Tab_Process_TCs[TC_ID],#REF!,,0,)</f>
        <v>#REF!</v>
      </c>
      <c r="BD22" s="48" t="e">
        <f>_xlfn.XLOOKUP($D22,Tab_Process_TCs[TC_ID],#REF!,,0,)</f>
        <v>#REF!</v>
      </c>
      <c r="BE22" s="100" t="e">
        <f>Tab_Process_TCs2527[[#This Row],[Flow_ID]]</f>
        <v>#N/A</v>
      </c>
      <c r="BF22" s="100" t="e">
        <f t="shared" si="6"/>
        <v>#REF!</v>
      </c>
      <c r="BG22" s="109"/>
      <c r="BH22" s="112">
        <f>Tab_Process_TCs2527[[#This Row],[TC O_6_'[%']]]+Tab_Process_TCs2527[[#This Row],[TC O_5_'[%']]]+Tab_Process_TCs2527[[#This Row],[TC_O_4_'[%']]]+Tab_Process_TCs2527[[#This Row],[TC_O_3_'[%']]]+Tab_Process_TCs2527[[#This Row],[TC_O_2_'[%']]]+Tab_Process_TCs2527[[#This Row],[TC_O_1_'[%']]]</f>
        <v>1</v>
      </c>
      <c r="BI22" s="50"/>
      <c r="BJ22" s="50"/>
      <c r="BK22" s="50"/>
      <c r="BL22" s="50"/>
      <c r="BM22" s="50"/>
    </row>
    <row r="23" spans="1:65" x14ac:dyDescent="0.25">
      <c r="A23" s="87" t="b">
        <v>0</v>
      </c>
      <c r="B23" s="48">
        <f t="shared" si="0"/>
        <v>22</v>
      </c>
      <c r="C23" s="107" t="e">
        <f>_xlfn.XLOOKUP($D23,Tab_Process_TCs[Name(EN)],Tab_Process_TCs[Process_ID],,0,)</f>
        <v>#N/A</v>
      </c>
      <c r="D23" s="50"/>
      <c r="E23" s="50" t="s">
        <v>55</v>
      </c>
      <c r="F23" s="48" t="e">
        <f>_xlfn.XLOOKUP($D23,Tab_Process_TCs[Name(EN)],Tab_Process_TCs[TC?],,0,)</f>
        <v>#N/A</v>
      </c>
      <c r="G23" s="48" t="e">
        <f>_xlfn.XLOOKUP($D23,Tab_Process_TCs[Name(EN)],Tab_Process_TCs[Dyn_TC?],,0,)</f>
        <v>#N/A</v>
      </c>
      <c r="H23" s="48" t="e">
        <f>_xlfn.XLOOKUP($E23,Tab_Def_Flows[Name(EN)],Tab_Def_Flows[Flow_ID],,0,1)</f>
        <v>#N/A</v>
      </c>
      <c r="I23" s="50" t="e">
        <f>IF(Tab_Process_TCs2527[[#This Row],[Name(EN)]]="N.A.","N.A.","TC"&amp;"_"&amp;RIGHT(H23,5))</f>
        <v>#N/A</v>
      </c>
      <c r="J23" s="50"/>
      <c r="K23" s="249"/>
      <c r="L23" s="50" t="e">
        <f>_xlfn.XLOOKUP($D23,Tab_Def_Processes[Name(EN)],Tab_Def_Processes[Stock?],,0,)</f>
        <v>#N/A</v>
      </c>
      <c r="M23" s="48"/>
      <c r="N23" s="57" t="e">
        <f>_xlfn.XLOOKUP($D23,Tab_Def_Processes[Name(EN)],Tab_Def_Processes[Input_Flow_I_1],,0,)</f>
        <v>#N/A</v>
      </c>
      <c r="O23" s="48" t="e">
        <f>_xlfn.XLOOKUP($D23,Tab_Def_Processes[Name(EN)],Tab_Def_Processes[Flow_ID_I_1],,0,)</f>
        <v>#N/A</v>
      </c>
      <c r="P23" s="75"/>
      <c r="Q23" s="71" t="e">
        <f>_xlfn.XLOOKUP($D23,Tab_Def_Processes[Name(EN)],Tab_Def_Processes[Input_Flow_I_2],,0,)</f>
        <v>#N/A</v>
      </c>
      <c r="R23" s="48" t="e">
        <f>_xlfn.XLOOKUP($D23,Tab_Def_Processes[Name(EN)],Tab_Def_Processes[Flow_ID_I_2],,0,)</f>
        <v>#N/A</v>
      </c>
      <c r="S23" s="75"/>
      <c r="T23" s="71" t="e">
        <f>_xlfn.XLOOKUP($D23,Tab_Def_Processes[Name(EN)],Tab_Def_Processes[Input_Flow_I_3],,0,)</f>
        <v>#N/A</v>
      </c>
      <c r="U23" s="48" t="e">
        <f>_xlfn.XLOOKUP($D23,Tab_Def_Processes[Name(EN)],Tab_Def_Processes[Flow_ID_I_3],,0,)</f>
        <v>#N/A</v>
      </c>
      <c r="V23" s="75"/>
      <c r="W23" s="71" t="e">
        <f>_xlfn.XLOOKUP($D23,Tab_Def_Processes[Name(EN)],Tab_Def_Processes[Input_Flow_I_4],,0,)</f>
        <v>#N/A</v>
      </c>
      <c r="X23" s="48" t="e">
        <f>_xlfn.XLOOKUP($D23,Tab_Def_Processes[Name(EN)],Tab_Def_Processes[Flow_ID_I_4],,0,)</f>
        <v>#N/A</v>
      </c>
      <c r="Y23" s="75"/>
      <c r="Z23" s="71" t="e">
        <f>_xlfn.XLOOKUP($D23,Tab_Def_Processes[Name(EN)],Tab_Def_Processes[Input_Flow_I_5],,0,)</f>
        <v>#N/A</v>
      </c>
      <c r="AA23" s="48" t="e">
        <f>_xlfn.XLOOKUP($D23,Tab_Def_Processes[Name(EN)],Tab_Def_Processes[Flow_ID_I_5],,0,)</f>
        <v>#N/A</v>
      </c>
      <c r="AB23" s="75"/>
      <c r="AC23" s="74">
        <f>Tab_Process_TCs2527[[#This Row],[Flow_TC_I_1_'[%']]]+Tab_Process_TCs2527[[#This Row],[Flow_TC_I_2_'[%']]]+Tab_Process_TCs2527[[#This Row],[Flow_TC_I_3_'[%']]]+Tab_Process_TCs2527[[#This Row],[Flow_TC_I_4_'[%']]]+Tab_Process_TCs2527[[#This Row],[Flow_TC_I_5_'[%']]]</f>
        <v>0</v>
      </c>
      <c r="AD23" s="57" t="e">
        <f>_xlfn.XLOOKUP($D23,Tab_Process_TCs[TC_ID],Tab_Process_TCs[Output_Flow_O_1],,0,)</f>
        <v>#N/A</v>
      </c>
      <c r="AE23" s="48" t="e">
        <f>_xlfn.XLOOKUP($D23,Tab_Process_TCs[TC_ID],Tab_Process_TCs[Flow_ID_O_1],,0,)</f>
        <v>#N/A</v>
      </c>
      <c r="AF23" s="100" t="e">
        <f>Tab_Process_TCs2527[[#This Row],[Flow_ID]]</f>
        <v>#N/A</v>
      </c>
      <c r="AG23" s="48" t="e">
        <f t="shared" si="1"/>
        <v>#N/A</v>
      </c>
      <c r="AH23" s="109">
        <v>0.5</v>
      </c>
      <c r="AI23" s="231" t="e">
        <f>_xlfn.XLOOKUP($D23,Tab_Process_TCs[TC_ID],Tab_Process_TCs[Output_Flow_O_2],,0,)</f>
        <v>#N/A</v>
      </c>
      <c r="AJ23" s="113" t="e">
        <f>_xlfn.XLOOKUP($D23,Tab_Process_TCs[TC_ID],Tab_Process_TCs[Flow_ID_O_2],,0,)</f>
        <v>#N/A</v>
      </c>
      <c r="AK23" s="100" t="e">
        <f>Tab_Process_TCs2527[[#This Row],[Flow_ID]]</f>
        <v>#N/A</v>
      </c>
      <c r="AL23" s="48" t="e">
        <f t="shared" si="2"/>
        <v>#N/A</v>
      </c>
      <c r="AM23" s="228">
        <v>0.2</v>
      </c>
      <c r="AN23" s="57" t="e">
        <f>_xlfn.XLOOKUP($D23,Tab_Process_TCs[TC_ID],Tab_Process_TCs[Output_Flow_O_3],,0,)</f>
        <v>#N/A</v>
      </c>
      <c r="AO23" s="48" t="e">
        <f>_xlfn.XLOOKUP($D23,Tab_Process_TCs[TC_ID],Tab_Process_TCs[Flow_ID_O_3],,0,)</f>
        <v>#N/A</v>
      </c>
      <c r="AP23" s="100" t="e">
        <f>Tab_Process_TCs2527[[#This Row],[Flow_ID]]</f>
        <v>#N/A</v>
      </c>
      <c r="AQ23" s="48" t="e">
        <f t="shared" si="3"/>
        <v>#N/A</v>
      </c>
      <c r="AR23" s="228">
        <v>0.3</v>
      </c>
      <c r="AS23" s="57" t="e">
        <f>_xlfn.XLOOKUP($D23,Tab_Process_TCs[TC_ID],#REF!,,0,)</f>
        <v>#REF!</v>
      </c>
      <c r="AT23" s="48" t="e">
        <f>_xlfn.XLOOKUP($D23,Tab_Process_TCs[TC_ID],#REF!,,0,)</f>
        <v>#REF!</v>
      </c>
      <c r="AU23" s="100" t="e">
        <f>Tab_Process_TCs2527[[#This Row],[Flow_ID]]</f>
        <v>#N/A</v>
      </c>
      <c r="AV23" s="100" t="e">
        <f t="shared" si="4"/>
        <v>#N/A</v>
      </c>
      <c r="AW23" s="228"/>
      <c r="AX23" s="57" t="e">
        <f>_xlfn.XLOOKUP($D23,Tab_Process_TCs[TC_ID],#REF!,,0,)</f>
        <v>#REF!</v>
      </c>
      <c r="AY23" s="48" t="e">
        <f>_xlfn.XLOOKUP($D23,Tab_Process_TCs[TC_ID],#REF!,,0,)</f>
        <v>#REF!</v>
      </c>
      <c r="AZ23" s="100" t="e">
        <f>Tab_Process_TCs2527[[#This Row],[Flow_ID]]</f>
        <v>#N/A</v>
      </c>
      <c r="BA23" s="100" t="e">
        <f t="shared" si="5"/>
        <v>#REF!</v>
      </c>
      <c r="BB23" s="228"/>
      <c r="BC23" s="48" t="e">
        <f>_xlfn.XLOOKUP($D23,Tab_Process_TCs[TC_ID],#REF!,,0,)</f>
        <v>#REF!</v>
      </c>
      <c r="BD23" s="48" t="e">
        <f>_xlfn.XLOOKUP($D23,Tab_Process_TCs[TC_ID],#REF!,,0,)</f>
        <v>#REF!</v>
      </c>
      <c r="BE23" s="100" t="e">
        <f>Tab_Process_TCs2527[[#This Row],[Flow_ID]]</f>
        <v>#N/A</v>
      </c>
      <c r="BF23" s="100" t="e">
        <f t="shared" si="6"/>
        <v>#REF!</v>
      </c>
      <c r="BG23" s="109"/>
      <c r="BH23" s="112">
        <f>Tab_Process_TCs2527[[#This Row],[TC O_6_'[%']]]+Tab_Process_TCs2527[[#This Row],[TC O_5_'[%']]]+Tab_Process_TCs2527[[#This Row],[TC_O_4_'[%']]]+Tab_Process_TCs2527[[#This Row],[TC_O_3_'[%']]]+Tab_Process_TCs2527[[#This Row],[TC_O_2_'[%']]]+Tab_Process_TCs2527[[#This Row],[TC_O_1_'[%']]]</f>
        <v>1</v>
      </c>
      <c r="BI23" s="50"/>
      <c r="BJ23" s="50"/>
      <c r="BK23" s="50"/>
      <c r="BL23" s="50"/>
      <c r="BM23" s="50"/>
    </row>
    <row r="24" spans="1:65" x14ac:dyDescent="0.25">
      <c r="A24" s="87" t="b">
        <v>0</v>
      </c>
      <c r="B24" s="48">
        <f t="shared" si="0"/>
        <v>23</v>
      </c>
      <c r="C24" s="107" t="e">
        <f>_xlfn.XLOOKUP($D24,Tab_Process_TCs[Name(EN)],Tab_Process_TCs[Process_ID],,0,)</f>
        <v>#N/A</v>
      </c>
      <c r="D24" s="50"/>
      <c r="E24" s="50" t="s">
        <v>55</v>
      </c>
      <c r="F24" s="48" t="e">
        <f>_xlfn.XLOOKUP($D24,Tab_Process_TCs[Name(EN)],Tab_Process_TCs[TC?],,0,)</f>
        <v>#N/A</v>
      </c>
      <c r="G24" s="48" t="e">
        <f>_xlfn.XLOOKUP($D24,Tab_Process_TCs[Name(EN)],Tab_Process_TCs[Dyn_TC?],,0,)</f>
        <v>#N/A</v>
      </c>
      <c r="H24" s="48" t="e">
        <f>_xlfn.XLOOKUP($E24,Tab_Def_Flows[Name(EN)],Tab_Def_Flows[Flow_ID],,0,1)</f>
        <v>#N/A</v>
      </c>
      <c r="I24" s="50" t="e">
        <f>IF(Tab_Process_TCs2527[[#This Row],[Name(EN)]]="N.A.","N.A.","TC"&amp;"_"&amp;RIGHT(H24,5))</f>
        <v>#N/A</v>
      </c>
      <c r="J24" s="50"/>
      <c r="K24" s="249"/>
      <c r="L24" s="50" t="e">
        <f>_xlfn.XLOOKUP($D24,Tab_Def_Processes[Name(EN)],Tab_Def_Processes[Stock?],,0,)</f>
        <v>#N/A</v>
      </c>
      <c r="M24" s="48"/>
      <c r="N24" s="57" t="e">
        <f>_xlfn.XLOOKUP($D24,Tab_Def_Processes[Name(EN)],Tab_Def_Processes[Input_Flow_I_1],,0,)</f>
        <v>#N/A</v>
      </c>
      <c r="O24" s="48" t="e">
        <f>_xlfn.XLOOKUP($D24,Tab_Def_Processes[Name(EN)],Tab_Def_Processes[Flow_ID_I_1],,0,)</f>
        <v>#N/A</v>
      </c>
      <c r="P24" s="75"/>
      <c r="Q24" s="71" t="e">
        <f>_xlfn.XLOOKUP($D24,Tab_Def_Processes[Name(EN)],Tab_Def_Processes[Input_Flow_I_2],,0,)</f>
        <v>#N/A</v>
      </c>
      <c r="R24" s="48" t="e">
        <f>_xlfn.XLOOKUP($D24,Tab_Def_Processes[Name(EN)],Tab_Def_Processes[Flow_ID_I_2],,0,)</f>
        <v>#N/A</v>
      </c>
      <c r="S24" s="75"/>
      <c r="T24" s="71" t="e">
        <f>_xlfn.XLOOKUP($D24,Tab_Def_Processes[Name(EN)],Tab_Def_Processes[Input_Flow_I_3],,0,)</f>
        <v>#N/A</v>
      </c>
      <c r="U24" s="48" t="e">
        <f>_xlfn.XLOOKUP($D24,Tab_Def_Processes[Name(EN)],Tab_Def_Processes[Flow_ID_I_3],,0,)</f>
        <v>#N/A</v>
      </c>
      <c r="V24" s="75"/>
      <c r="W24" s="71" t="e">
        <f>_xlfn.XLOOKUP($D24,Tab_Def_Processes[Name(EN)],Tab_Def_Processes[Input_Flow_I_4],,0,)</f>
        <v>#N/A</v>
      </c>
      <c r="X24" s="48" t="e">
        <f>_xlfn.XLOOKUP($D24,Tab_Def_Processes[Name(EN)],Tab_Def_Processes[Flow_ID_I_4],,0,)</f>
        <v>#N/A</v>
      </c>
      <c r="Y24" s="75"/>
      <c r="Z24" s="71" t="e">
        <f>_xlfn.XLOOKUP($D24,Tab_Def_Processes[Name(EN)],Tab_Def_Processes[Input_Flow_I_5],,0,)</f>
        <v>#N/A</v>
      </c>
      <c r="AA24" s="48" t="e">
        <f>_xlfn.XLOOKUP($D24,Tab_Def_Processes[Name(EN)],Tab_Def_Processes[Flow_ID_I_5],,0,)</f>
        <v>#N/A</v>
      </c>
      <c r="AB24" s="75"/>
      <c r="AC24" s="74">
        <f>Tab_Process_TCs2527[[#This Row],[Flow_TC_I_1_'[%']]]+Tab_Process_TCs2527[[#This Row],[Flow_TC_I_2_'[%']]]+Tab_Process_TCs2527[[#This Row],[Flow_TC_I_3_'[%']]]+Tab_Process_TCs2527[[#This Row],[Flow_TC_I_4_'[%']]]+Tab_Process_TCs2527[[#This Row],[Flow_TC_I_5_'[%']]]</f>
        <v>0</v>
      </c>
      <c r="AD24" s="57" t="e">
        <f>_xlfn.XLOOKUP($D24,Tab_Process_TCs[TC_ID],Tab_Process_TCs[Output_Flow_O_1],,0,)</f>
        <v>#N/A</v>
      </c>
      <c r="AE24" s="48" t="e">
        <f>_xlfn.XLOOKUP($D24,Tab_Process_TCs[TC_ID],Tab_Process_TCs[Flow_ID_O_1],,0,)</f>
        <v>#N/A</v>
      </c>
      <c r="AF24" s="100" t="e">
        <f>Tab_Process_TCs2527[[#This Row],[Flow_ID]]</f>
        <v>#N/A</v>
      </c>
      <c r="AG24" s="48" t="e">
        <f t="shared" si="1"/>
        <v>#N/A</v>
      </c>
      <c r="AH24" s="109">
        <v>0.5</v>
      </c>
      <c r="AI24" s="231" t="e">
        <f>_xlfn.XLOOKUP($D24,Tab_Process_TCs[TC_ID],Tab_Process_TCs[Output_Flow_O_2],,0,)</f>
        <v>#N/A</v>
      </c>
      <c r="AJ24" s="113" t="e">
        <f>_xlfn.XLOOKUP($D24,Tab_Process_TCs[TC_ID],Tab_Process_TCs[Flow_ID_O_2],,0,)</f>
        <v>#N/A</v>
      </c>
      <c r="AK24" s="100" t="e">
        <f>Tab_Process_TCs2527[[#This Row],[Flow_ID]]</f>
        <v>#N/A</v>
      </c>
      <c r="AL24" s="48" t="e">
        <f t="shared" si="2"/>
        <v>#N/A</v>
      </c>
      <c r="AM24" s="228">
        <v>0.2</v>
      </c>
      <c r="AN24" s="57" t="e">
        <f>_xlfn.XLOOKUP($D24,Tab_Process_TCs[TC_ID],Tab_Process_TCs[Output_Flow_O_3],,0,)</f>
        <v>#N/A</v>
      </c>
      <c r="AO24" s="48" t="e">
        <f>_xlfn.XLOOKUP($D24,Tab_Process_TCs[TC_ID],Tab_Process_TCs[Flow_ID_O_3],,0,)</f>
        <v>#N/A</v>
      </c>
      <c r="AP24" s="100" t="e">
        <f>Tab_Process_TCs2527[[#This Row],[Flow_ID]]</f>
        <v>#N/A</v>
      </c>
      <c r="AQ24" s="48" t="e">
        <f t="shared" si="3"/>
        <v>#N/A</v>
      </c>
      <c r="AR24" s="228">
        <v>0.3</v>
      </c>
      <c r="AS24" s="57" t="e">
        <f>_xlfn.XLOOKUP($D24,Tab_Process_TCs[TC_ID],#REF!,,0,)</f>
        <v>#REF!</v>
      </c>
      <c r="AT24" s="48" t="e">
        <f>_xlfn.XLOOKUP($D24,Tab_Process_TCs[TC_ID],#REF!,,0,)</f>
        <v>#REF!</v>
      </c>
      <c r="AU24" s="100" t="e">
        <f>Tab_Process_TCs2527[[#This Row],[Flow_ID]]</f>
        <v>#N/A</v>
      </c>
      <c r="AV24" s="100" t="e">
        <f t="shared" si="4"/>
        <v>#N/A</v>
      </c>
      <c r="AW24" s="228"/>
      <c r="AX24" s="57" t="e">
        <f>_xlfn.XLOOKUP($D24,Tab_Process_TCs[TC_ID],#REF!,,0,)</f>
        <v>#REF!</v>
      </c>
      <c r="AY24" s="48" t="e">
        <f>_xlfn.XLOOKUP($D24,Tab_Process_TCs[TC_ID],#REF!,,0,)</f>
        <v>#REF!</v>
      </c>
      <c r="AZ24" s="100" t="e">
        <f>Tab_Process_TCs2527[[#This Row],[Flow_ID]]</f>
        <v>#N/A</v>
      </c>
      <c r="BA24" s="100" t="e">
        <f t="shared" si="5"/>
        <v>#REF!</v>
      </c>
      <c r="BB24" s="228"/>
      <c r="BC24" s="48" t="e">
        <f>_xlfn.XLOOKUP($D24,Tab_Process_TCs[TC_ID],#REF!,,0,)</f>
        <v>#REF!</v>
      </c>
      <c r="BD24" s="48" t="e">
        <f>_xlfn.XLOOKUP($D24,Tab_Process_TCs[TC_ID],#REF!,,0,)</f>
        <v>#REF!</v>
      </c>
      <c r="BE24" s="100" t="e">
        <f>Tab_Process_TCs2527[[#This Row],[Flow_ID]]</f>
        <v>#N/A</v>
      </c>
      <c r="BF24" s="100" t="e">
        <f t="shared" si="6"/>
        <v>#REF!</v>
      </c>
      <c r="BG24" s="109"/>
      <c r="BH24" s="112">
        <f>Tab_Process_TCs2527[[#This Row],[TC O_6_'[%']]]+Tab_Process_TCs2527[[#This Row],[TC O_5_'[%']]]+Tab_Process_TCs2527[[#This Row],[TC_O_4_'[%']]]+Tab_Process_TCs2527[[#This Row],[TC_O_3_'[%']]]+Tab_Process_TCs2527[[#This Row],[TC_O_2_'[%']]]+Tab_Process_TCs2527[[#This Row],[TC_O_1_'[%']]]</f>
        <v>1</v>
      </c>
      <c r="BI24" s="50"/>
      <c r="BJ24" s="50"/>
      <c r="BK24" s="50"/>
      <c r="BL24" s="50"/>
      <c r="BM24" s="50"/>
    </row>
    <row r="25" spans="1:65" x14ac:dyDescent="0.25">
      <c r="A25" s="87" t="b">
        <v>0</v>
      </c>
      <c r="B25" s="48">
        <f t="shared" si="0"/>
        <v>24</v>
      </c>
      <c r="C25" s="107" t="e">
        <f>_xlfn.XLOOKUP($D25,Tab_Process_TCs[Name(EN)],Tab_Process_TCs[Process_ID],,0,)</f>
        <v>#N/A</v>
      </c>
      <c r="D25" s="50"/>
      <c r="E25" s="50" t="s">
        <v>55</v>
      </c>
      <c r="F25" s="48" t="e">
        <f>_xlfn.XLOOKUP($D25,Tab_Process_TCs[Name(EN)],Tab_Process_TCs[TC?],,0,)</f>
        <v>#N/A</v>
      </c>
      <c r="G25" s="48" t="e">
        <f>_xlfn.XLOOKUP($D25,Tab_Process_TCs[Name(EN)],Tab_Process_TCs[Dyn_TC?],,0,)</f>
        <v>#N/A</v>
      </c>
      <c r="H25" s="48" t="e">
        <f>_xlfn.XLOOKUP($E25,Tab_Def_Flows[Name(EN)],Tab_Def_Flows[Flow_ID],,0,1)</f>
        <v>#N/A</v>
      </c>
      <c r="I25" s="50" t="e">
        <f>IF(Tab_Process_TCs2527[[#This Row],[Name(EN)]]="N.A.","N.A.","TC"&amp;"_"&amp;RIGHT(H25,5))</f>
        <v>#N/A</v>
      </c>
      <c r="J25" s="50"/>
      <c r="K25" s="249"/>
      <c r="L25" s="50" t="e">
        <f>_xlfn.XLOOKUP($D25,Tab_Def_Processes[Name(EN)],Tab_Def_Processes[Stock?],,0,)</f>
        <v>#N/A</v>
      </c>
      <c r="M25" s="48"/>
      <c r="N25" s="57" t="e">
        <f>_xlfn.XLOOKUP($D25,Tab_Def_Processes[Name(EN)],Tab_Def_Processes[Input_Flow_I_1],,0,)</f>
        <v>#N/A</v>
      </c>
      <c r="O25" s="48" t="e">
        <f>_xlfn.XLOOKUP($D25,Tab_Def_Processes[Name(EN)],Tab_Def_Processes[Flow_ID_I_1],,0,)</f>
        <v>#N/A</v>
      </c>
      <c r="P25" s="75"/>
      <c r="Q25" s="71" t="e">
        <f>_xlfn.XLOOKUP($D25,Tab_Def_Processes[Name(EN)],Tab_Def_Processes[Input_Flow_I_2],,0,)</f>
        <v>#N/A</v>
      </c>
      <c r="R25" s="48" t="e">
        <f>_xlfn.XLOOKUP($D25,Tab_Def_Processes[Name(EN)],Tab_Def_Processes[Flow_ID_I_2],,0,)</f>
        <v>#N/A</v>
      </c>
      <c r="S25" s="75"/>
      <c r="T25" s="71" t="e">
        <f>_xlfn.XLOOKUP($D25,Tab_Def_Processes[Name(EN)],Tab_Def_Processes[Input_Flow_I_3],,0,)</f>
        <v>#N/A</v>
      </c>
      <c r="U25" s="48" t="e">
        <f>_xlfn.XLOOKUP($D25,Tab_Def_Processes[Name(EN)],Tab_Def_Processes[Flow_ID_I_3],,0,)</f>
        <v>#N/A</v>
      </c>
      <c r="V25" s="75"/>
      <c r="W25" s="71" t="e">
        <f>_xlfn.XLOOKUP($D25,Tab_Def_Processes[Name(EN)],Tab_Def_Processes[Input_Flow_I_4],,0,)</f>
        <v>#N/A</v>
      </c>
      <c r="X25" s="48" t="e">
        <f>_xlfn.XLOOKUP($D25,Tab_Def_Processes[Name(EN)],Tab_Def_Processes[Flow_ID_I_4],,0,)</f>
        <v>#N/A</v>
      </c>
      <c r="Y25" s="75"/>
      <c r="Z25" s="71" t="e">
        <f>_xlfn.XLOOKUP($D25,Tab_Def_Processes[Name(EN)],Tab_Def_Processes[Input_Flow_I_5],,0,)</f>
        <v>#N/A</v>
      </c>
      <c r="AA25" s="48" t="e">
        <f>_xlfn.XLOOKUP($D25,Tab_Def_Processes[Name(EN)],Tab_Def_Processes[Flow_ID_I_5],,0,)</f>
        <v>#N/A</v>
      </c>
      <c r="AB25" s="75"/>
      <c r="AC25" s="74">
        <f>Tab_Process_TCs2527[[#This Row],[Flow_TC_I_1_'[%']]]+Tab_Process_TCs2527[[#This Row],[Flow_TC_I_2_'[%']]]+Tab_Process_TCs2527[[#This Row],[Flow_TC_I_3_'[%']]]+Tab_Process_TCs2527[[#This Row],[Flow_TC_I_4_'[%']]]+Tab_Process_TCs2527[[#This Row],[Flow_TC_I_5_'[%']]]</f>
        <v>0</v>
      </c>
      <c r="AD25" s="57" t="e">
        <f>_xlfn.XLOOKUP($D25,Tab_Process_TCs[TC_ID],Tab_Process_TCs[Output_Flow_O_1],,0,)</f>
        <v>#N/A</v>
      </c>
      <c r="AE25" s="48" t="e">
        <f>_xlfn.XLOOKUP($D25,Tab_Process_TCs[TC_ID],Tab_Process_TCs[Flow_ID_O_1],,0,)</f>
        <v>#N/A</v>
      </c>
      <c r="AF25" s="100" t="e">
        <f>Tab_Process_TCs2527[[#This Row],[Flow_ID]]</f>
        <v>#N/A</v>
      </c>
      <c r="AG25" s="48" t="e">
        <f t="shared" si="1"/>
        <v>#N/A</v>
      </c>
      <c r="AH25" s="109">
        <v>0.5</v>
      </c>
      <c r="AI25" s="231" t="e">
        <f>_xlfn.XLOOKUP($D25,Tab_Process_TCs[TC_ID],Tab_Process_TCs[Output_Flow_O_2],,0,)</f>
        <v>#N/A</v>
      </c>
      <c r="AJ25" s="113" t="e">
        <f>_xlfn.XLOOKUP($D25,Tab_Process_TCs[TC_ID],Tab_Process_TCs[Flow_ID_O_2],,0,)</f>
        <v>#N/A</v>
      </c>
      <c r="AK25" s="100" t="e">
        <f>Tab_Process_TCs2527[[#This Row],[Flow_ID]]</f>
        <v>#N/A</v>
      </c>
      <c r="AL25" s="48" t="e">
        <f t="shared" si="2"/>
        <v>#N/A</v>
      </c>
      <c r="AM25" s="228">
        <v>0.2</v>
      </c>
      <c r="AN25" s="57" t="e">
        <f>_xlfn.XLOOKUP($D25,Tab_Process_TCs[TC_ID],Tab_Process_TCs[Output_Flow_O_3],,0,)</f>
        <v>#N/A</v>
      </c>
      <c r="AO25" s="48" t="e">
        <f>_xlfn.XLOOKUP($D25,Tab_Process_TCs[TC_ID],Tab_Process_TCs[Flow_ID_O_3],,0,)</f>
        <v>#N/A</v>
      </c>
      <c r="AP25" s="100" t="e">
        <f>Tab_Process_TCs2527[[#This Row],[Flow_ID]]</f>
        <v>#N/A</v>
      </c>
      <c r="AQ25" s="48" t="e">
        <f t="shared" si="3"/>
        <v>#N/A</v>
      </c>
      <c r="AR25" s="228">
        <v>0.3</v>
      </c>
      <c r="AS25" s="57" t="e">
        <f>_xlfn.XLOOKUP($D25,Tab_Process_TCs[TC_ID],#REF!,,0,)</f>
        <v>#REF!</v>
      </c>
      <c r="AT25" s="48" t="e">
        <f>_xlfn.XLOOKUP($D25,Tab_Process_TCs[TC_ID],#REF!,,0,)</f>
        <v>#REF!</v>
      </c>
      <c r="AU25" s="100" t="e">
        <f>Tab_Process_TCs2527[[#This Row],[Flow_ID]]</f>
        <v>#N/A</v>
      </c>
      <c r="AV25" s="100" t="e">
        <f t="shared" si="4"/>
        <v>#N/A</v>
      </c>
      <c r="AW25" s="228"/>
      <c r="AX25" s="57" t="e">
        <f>_xlfn.XLOOKUP($D25,Tab_Process_TCs[TC_ID],#REF!,,0,)</f>
        <v>#REF!</v>
      </c>
      <c r="AY25" s="48" t="e">
        <f>_xlfn.XLOOKUP($D25,Tab_Process_TCs[TC_ID],#REF!,,0,)</f>
        <v>#REF!</v>
      </c>
      <c r="AZ25" s="100" t="e">
        <f>Tab_Process_TCs2527[[#This Row],[Flow_ID]]</f>
        <v>#N/A</v>
      </c>
      <c r="BA25" s="100" t="e">
        <f t="shared" si="5"/>
        <v>#REF!</v>
      </c>
      <c r="BB25" s="228"/>
      <c r="BC25" s="48" t="e">
        <f>_xlfn.XLOOKUP($D25,Tab_Process_TCs[TC_ID],#REF!,,0,)</f>
        <v>#REF!</v>
      </c>
      <c r="BD25" s="48" t="e">
        <f>_xlfn.XLOOKUP($D25,Tab_Process_TCs[TC_ID],#REF!,,0,)</f>
        <v>#REF!</v>
      </c>
      <c r="BE25" s="100" t="e">
        <f>Tab_Process_TCs2527[[#This Row],[Flow_ID]]</f>
        <v>#N/A</v>
      </c>
      <c r="BF25" s="100" t="e">
        <f t="shared" si="6"/>
        <v>#REF!</v>
      </c>
      <c r="BG25" s="109"/>
      <c r="BH25" s="112">
        <f>Tab_Process_TCs2527[[#This Row],[TC O_6_'[%']]]+Tab_Process_TCs2527[[#This Row],[TC O_5_'[%']]]+Tab_Process_TCs2527[[#This Row],[TC_O_4_'[%']]]+Tab_Process_TCs2527[[#This Row],[TC_O_3_'[%']]]+Tab_Process_TCs2527[[#This Row],[TC_O_2_'[%']]]+Tab_Process_TCs2527[[#This Row],[TC_O_1_'[%']]]</f>
        <v>1</v>
      </c>
      <c r="BI25" s="50"/>
      <c r="BJ25" s="50"/>
      <c r="BK25" s="50"/>
      <c r="BL25" s="50"/>
      <c r="BM25" s="50"/>
    </row>
    <row r="26" spans="1:65" x14ac:dyDescent="0.25">
      <c r="A26" s="87" t="b">
        <v>0</v>
      </c>
      <c r="B26" s="48">
        <f t="shared" si="0"/>
        <v>25</v>
      </c>
      <c r="C26" s="107" t="e">
        <f>_xlfn.XLOOKUP($D26,Tab_Process_TCs[Name(EN)],Tab_Process_TCs[Process_ID],,0,)</f>
        <v>#N/A</v>
      </c>
      <c r="D26" s="50"/>
      <c r="E26" s="50" t="s">
        <v>55</v>
      </c>
      <c r="F26" s="48" t="e">
        <f>_xlfn.XLOOKUP($D26,Tab_Process_TCs[Name(EN)],Tab_Process_TCs[TC?],,0,)</f>
        <v>#N/A</v>
      </c>
      <c r="G26" s="48" t="e">
        <f>_xlfn.XLOOKUP($D26,Tab_Process_TCs[Name(EN)],Tab_Process_TCs[Dyn_TC?],,0,)</f>
        <v>#N/A</v>
      </c>
      <c r="H26" s="48" t="e">
        <f>_xlfn.XLOOKUP($E26,Tab_Def_Flows[Name(EN)],Tab_Def_Flows[Flow_ID],,0,1)</f>
        <v>#N/A</v>
      </c>
      <c r="I26" s="50" t="e">
        <f>IF(Tab_Process_TCs2527[[#This Row],[Name(EN)]]="N.A.","N.A.","TC"&amp;"_"&amp;RIGHT(H26,5))</f>
        <v>#N/A</v>
      </c>
      <c r="J26" s="50"/>
      <c r="K26" s="249"/>
      <c r="L26" s="50" t="e">
        <f>_xlfn.XLOOKUP($D26,Tab_Def_Processes[Name(EN)],Tab_Def_Processes[Stock?],,0,)</f>
        <v>#N/A</v>
      </c>
      <c r="M26" s="48"/>
      <c r="N26" s="57" t="e">
        <f>_xlfn.XLOOKUP($D26,Tab_Def_Processes[Name(EN)],Tab_Def_Processes[Input_Flow_I_1],,0,)</f>
        <v>#N/A</v>
      </c>
      <c r="O26" s="48" t="e">
        <f>_xlfn.XLOOKUP($D26,Tab_Def_Processes[Name(EN)],Tab_Def_Processes[Flow_ID_I_1],,0,)</f>
        <v>#N/A</v>
      </c>
      <c r="P26" s="75"/>
      <c r="Q26" s="71" t="e">
        <f>_xlfn.XLOOKUP($D26,Tab_Def_Processes[Name(EN)],Tab_Def_Processes[Input_Flow_I_2],,0,)</f>
        <v>#N/A</v>
      </c>
      <c r="R26" s="48" t="e">
        <f>_xlfn.XLOOKUP($D26,Tab_Def_Processes[Name(EN)],Tab_Def_Processes[Flow_ID_I_2],,0,)</f>
        <v>#N/A</v>
      </c>
      <c r="S26" s="75"/>
      <c r="T26" s="71" t="e">
        <f>_xlfn.XLOOKUP($D26,Tab_Def_Processes[Name(EN)],Tab_Def_Processes[Input_Flow_I_3],,0,)</f>
        <v>#N/A</v>
      </c>
      <c r="U26" s="48" t="e">
        <f>_xlfn.XLOOKUP($D26,Tab_Def_Processes[Name(EN)],Tab_Def_Processes[Flow_ID_I_3],,0,)</f>
        <v>#N/A</v>
      </c>
      <c r="V26" s="75"/>
      <c r="W26" s="71" t="e">
        <f>_xlfn.XLOOKUP($D26,Tab_Def_Processes[Name(EN)],Tab_Def_Processes[Input_Flow_I_4],,0,)</f>
        <v>#N/A</v>
      </c>
      <c r="X26" s="48" t="e">
        <f>_xlfn.XLOOKUP($D26,Tab_Def_Processes[Name(EN)],Tab_Def_Processes[Flow_ID_I_4],,0,)</f>
        <v>#N/A</v>
      </c>
      <c r="Y26" s="75"/>
      <c r="Z26" s="71" t="e">
        <f>_xlfn.XLOOKUP($D26,Tab_Def_Processes[Name(EN)],Tab_Def_Processes[Input_Flow_I_5],,0,)</f>
        <v>#N/A</v>
      </c>
      <c r="AA26" s="48" t="e">
        <f>_xlfn.XLOOKUP($D26,Tab_Def_Processes[Name(EN)],Tab_Def_Processes[Flow_ID_I_5],,0,)</f>
        <v>#N/A</v>
      </c>
      <c r="AB26" s="75"/>
      <c r="AC26" s="74">
        <f>Tab_Process_TCs2527[[#This Row],[Flow_TC_I_1_'[%']]]+Tab_Process_TCs2527[[#This Row],[Flow_TC_I_2_'[%']]]+Tab_Process_TCs2527[[#This Row],[Flow_TC_I_3_'[%']]]+Tab_Process_TCs2527[[#This Row],[Flow_TC_I_4_'[%']]]+Tab_Process_TCs2527[[#This Row],[Flow_TC_I_5_'[%']]]</f>
        <v>0</v>
      </c>
      <c r="AD26" s="57" t="e">
        <f>_xlfn.XLOOKUP($D26,Tab_Process_TCs[TC_ID],Tab_Process_TCs[Output_Flow_O_1],,0,)</f>
        <v>#N/A</v>
      </c>
      <c r="AE26" s="48" t="e">
        <f>_xlfn.XLOOKUP($D26,Tab_Process_TCs[TC_ID],Tab_Process_TCs[Flow_ID_O_1],,0,)</f>
        <v>#N/A</v>
      </c>
      <c r="AF26" s="100" t="e">
        <f>Tab_Process_TCs2527[[#This Row],[Flow_ID]]</f>
        <v>#N/A</v>
      </c>
      <c r="AG26" s="48" t="e">
        <f t="shared" si="1"/>
        <v>#N/A</v>
      </c>
      <c r="AH26" s="109">
        <v>0.5</v>
      </c>
      <c r="AI26" s="231" t="e">
        <f>_xlfn.XLOOKUP($D26,Tab_Process_TCs[TC_ID],Tab_Process_TCs[Output_Flow_O_2],,0,)</f>
        <v>#N/A</v>
      </c>
      <c r="AJ26" s="113" t="e">
        <f>_xlfn.XLOOKUP($D26,Tab_Process_TCs[TC_ID],Tab_Process_TCs[Flow_ID_O_2],,0,)</f>
        <v>#N/A</v>
      </c>
      <c r="AK26" s="100" t="e">
        <f>Tab_Process_TCs2527[[#This Row],[Flow_ID]]</f>
        <v>#N/A</v>
      </c>
      <c r="AL26" s="48" t="e">
        <f t="shared" si="2"/>
        <v>#N/A</v>
      </c>
      <c r="AM26" s="228">
        <v>0.2</v>
      </c>
      <c r="AN26" s="57" t="e">
        <f>_xlfn.XLOOKUP($D26,Tab_Process_TCs[TC_ID],Tab_Process_TCs[Output_Flow_O_3],,0,)</f>
        <v>#N/A</v>
      </c>
      <c r="AO26" s="48" t="e">
        <f>_xlfn.XLOOKUP($D26,Tab_Process_TCs[TC_ID],Tab_Process_TCs[Flow_ID_O_3],,0,)</f>
        <v>#N/A</v>
      </c>
      <c r="AP26" s="100" t="e">
        <f>Tab_Process_TCs2527[[#This Row],[Flow_ID]]</f>
        <v>#N/A</v>
      </c>
      <c r="AQ26" s="48" t="e">
        <f t="shared" si="3"/>
        <v>#N/A</v>
      </c>
      <c r="AR26" s="228">
        <v>0.3</v>
      </c>
      <c r="AS26" s="57" t="e">
        <f>_xlfn.XLOOKUP($D26,Tab_Process_TCs[TC_ID],#REF!,,0,)</f>
        <v>#REF!</v>
      </c>
      <c r="AT26" s="48" t="e">
        <f>_xlfn.XLOOKUP($D26,Tab_Process_TCs[TC_ID],#REF!,,0,)</f>
        <v>#REF!</v>
      </c>
      <c r="AU26" s="100" t="e">
        <f>Tab_Process_TCs2527[[#This Row],[Flow_ID]]</f>
        <v>#N/A</v>
      </c>
      <c r="AV26" s="100" t="e">
        <f t="shared" si="4"/>
        <v>#N/A</v>
      </c>
      <c r="AW26" s="228"/>
      <c r="AX26" s="57" t="e">
        <f>_xlfn.XLOOKUP($D26,Tab_Process_TCs[TC_ID],#REF!,,0,)</f>
        <v>#REF!</v>
      </c>
      <c r="AY26" s="48" t="e">
        <f>_xlfn.XLOOKUP($D26,Tab_Process_TCs[TC_ID],#REF!,,0,)</f>
        <v>#REF!</v>
      </c>
      <c r="AZ26" s="100" t="e">
        <f>Tab_Process_TCs2527[[#This Row],[Flow_ID]]</f>
        <v>#N/A</v>
      </c>
      <c r="BA26" s="100" t="e">
        <f t="shared" si="5"/>
        <v>#REF!</v>
      </c>
      <c r="BB26" s="228"/>
      <c r="BC26" s="48" t="e">
        <f>_xlfn.XLOOKUP($D26,Tab_Process_TCs[TC_ID],#REF!,,0,)</f>
        <v>#REF!</v>
      </c>
      <c r="BD26" s="48" t="e">
        <f>_xlfn.XLOOKUP($D26,Tab_Process_TCs[TC_ID],#REF!,,0,)</f>
        <v>#REF!</v>
      </c>
      <c r="BE26" s="100" t="e">
        <f>Tab_Process_TCs2527[[#This Row],[Flow_ID]]</f>
        <v>#N/A</v>
      </c>
      <c r="BF26" s="100" t="e">
        <f t="shared" si="6"/>
        <v>#REF!</v>
      </c>
      <c r="BG26" s="109"/>
      <c r="BH26" s="112">
        <f>Tab_Process_TCs2527[[#This Row],[TC O_6_'[%']]]+Tab_Process_TCs2527[[#This Row],[TC O_5_'[%']]]+Tab_Process_TCs2527[[#This Row],[TC_O_4_'[%']]]+Tab_Process_TCs2527[[#This Row],[TC_O_3_'[%']]]+Tab_Process_TCs2527[[#This Row],[TC_O_2_'[%']]]+Tab_Process_TCs2527[[#This Row],[TC_O_1_'[%']]]</f>
        <v>1</v>
      </c>
      <c r="BI26" s="50"/>
      <c r="BJ26" s="50"/>
      <c r="BK26" s="50"/>
      <c r="BL26" s="50"/>
      <c r="BM26" s="50"/>
    </row>
    <row r="27" spans="1:65" x14ac:dyDescent="0.25">
      <c r="A27" s="87" t="b">
        <v>0</v>
      </c>
      <c r="B27" s="48">
        <f t="shared" si="0"/>
        <v>26</v>
      </c>
      <c r="C27" s="107" t="e">
        <f>_xlfn.XLOOKUP($D27,Tab_Process_TCs[Name(EN)],Tab_Process_TCs[Process_ID],,0,)</f>
        <v>#N/A</v>
      </c>
      <c r="D27" s="50"/>
      <c r="E27" s="50" t="s">
        <v>55</v>
      </c>
      <c r="F27" s="48" t="e">
        <f>_xlfn.XLOOKUP($D27,Tab_Process_TCs[Name(EN)],Tab_Process_TCs[TC?],,0,)</f>
        <v>#N/A</v>
      </c>
      <c r="G27" s="48" t="e">
        <f>_xlfn.XLOOKUP($D27,Tab_Process_TCs[Name(EN)],Tab_Process_TCs[Dyn_TC?],,0,)</f>
        <v>#N/A</v>
      </c>
      <c r="H27" s="48" t="e">
        <f>_xlfn.XLOOKUP($E27,Tab_Def_Flows[Name(EN)],Tab_Def_Flows[Flow_ID],,0,1)</f>
        <v>#N/A</v>
      </c>
      <c r="I27" s="50" t="e">
        <f>IF(Tab_Process_TCs2527[[#This Row],[Name(EN)]]="N.A.","N.A.","TC"&amp;"_"&amp;RIGHT(H27,5))</f>
        <v>#N/A</v>
      </c>
      <c r="J27" s="50"/>
      <c r="K27" s="249"/>
      <c r="L27" s="50" t="e">
        <f>_xlfn.XLOOKUP($D27,Tab_Def_Processes[Name(EN)],Tab_Def_Processes[Stock?],,0,)</f>
        <v>#N/A</v>
      </c>
      <c r="M27" s="48"/>
      <c r="N27" s="57" t="e">
        <f>_xlfn.XLOOKUP($D27,Tab_Def_Processes[Name(EN)],Tab_Def_Processes[Input_Flow_I_1],,0,)</f>
        <v>#N/A</v>
      </c>
      <c r="O27" s="48" t="e">
        <f>_xlfn.XLOOKUP($D27,Tab_Def_Processes[Name(EN)],Tab_Def_Processes[Flow_ID_I_1],,0,)</f>
        <v>#N/A</v>
      </c>
      <c r="P27" s="75"/>
      <c r="Q27" s="71" t="e">
        <f>_xlfn.XLOOKUP($D27,Tab_Def_Processes[Name(EN)],Tab_Def_Processes[Input_Flow_I_2],,0,)</f>
        <v>#N/A</v>
      </c>
      <c r="R27" s="48" t="e">
        <f>_xlfn.XLOOKUP($D27,Tab_Def_Processes[Name(EN)],Tab_Def_Processes[Flow_ID_I_2],,0,)</f>
        <v>#N/A</v>
      </c>
      <c r="S27" s="75"/>
      <c r="T27" s="71" t="e">
        <f>_xlfn.XLOOKUP($D27,Tab_Def_Processes[Name(EN)],Tab_Def_Processes[Input_Flow_I_3],,0,)</f>
        <v>#N/A</v>
      </c>
      <c r="U27" s="48" t="e">
        <f>_xlfn.XLOOKUP($D27,Tab_Def_Processes[Name(EN)],Tab_Def_Processes[Flow_ID_I_3],,0,)</f>
        <v>#N/A</v>
      </c>
      <c r="V27" s="75"/>
      <c r="W27" s="71" t="e">
        <f>_xlfn.XLOOKUP($D27,Tab_Def_Processes[Name(EN)],Tab_Def_Processes[Input_Flow_I_4],,0,)</f>
        <v>#N/A</v>
      </c>
      <c r="X27" s="48" t="e">
        <f>_xlfn.XLOOKUP($D27,Tab_Def_Processes[Name(EN)],Tab_Def_Processes[Flow_ID_I_4],,0,)</f>
        <v>#N/A</v>
      </c>
      <c r="Y27" s="75"/>
      <c r="Z27" s="71" t="e">
        <f>_xlfn.XLOOKUP($D27,Tab_Def_Processes[Name(EN)],Tab_Def_Processes[Input_Flow_I_5],,0,)</f>
        <v>#N/A</v>
      </c>
      <c r="AA27" s="48" t="e">
        <f>_xlfn.XLOOKUP($D27,Tab_Def_Processes[Name(EN)],Tab_Def_Processes[Flow_ID_I_5],,0,)</f>
        <v>#N/A</v>
      </c>
      <c r="AB27" s="75"/>
      <c r="AC27" s="74">
        <f>Tab_Process_TCs2527[[#This Row],[Flow_TC_I_1_'[%']]]+Tab_Process_TCs2527[[#This Row],[Flow_TC_I_2_'[%']]]+Tab_Process_TCs2527[[#This Row],[Flow_TC_I_3_'[%']]]+Tab_Process_TCs2527[[#This Row],[Flow_TC_I_4_'[%']]]+Tab_Process_TCs2527[[#This Row],[Flow_TC_I_5_'[%']]]</f>
        <v>0</v>
      </c>
      <c r="AD27" s="57" t="e">
        <f>_xlfn.XLOOKUP($D27,Tab_Process_TCs[TC_ID],Tab_Process_TCs[Output_Flow_O_1],,0,)</f>
        <v>#N/A</v>
      </c>
      <c r="AE27" s="48" t="e">
        <f>_xlfn.XLOOKUP($D27,Tab_Process_TCs[TC_ID],Tab_Process_TCs[Flow_ID_O_1],,0,)</f>
        <v>#N/A</v>
      </c>
      <c r="AF27" s="100" t="e">
        <f>Tab_Process_TCs2527[[#This Row],[Flow_ID]]</f>
        <v>#N/A</v>
      </c>
      <c r="AG27" s="48" t="e">
        <f t="shared" si="1"/>
        <v>#N/A</v>
      </c>
      <c r="AH27" s="109">
        <v>0.5</v>
      </c>
      <c r="AI27" s="231" t="e">
        <f>_xlfn.XLOOKUP($D27,Tab_Process_TCs[TC_ID],Tab_Process_TCs[Output_Flow_O_2],,0,)</f>
        <v>#N/A</v>
      </c>
      <c r="AJ27" s="113" t="e">
        <f>_xlfn.XLOOKUP($D27,Tab_Process_TCs[TC_ID],Tab_Process_TCs[Flow_ID_O_2],,0,)</f>
        <v>#N/A</v>
      </c>
      <c r="AK27" s="100" t="e">
        <f>Tab_Process_TCs2527[[#This Row],[Flow_ID]]</f>
        <v>#N/A</v>
      </c>
      <c r="AL27" s="48" t="e">
        <f t="shared" si="2"/>
        <v>#N/A</v>
      </c>
      <c r="AM27" s="228">
        <v>0.2</v>
      </c>
      <c r="AN27" s="57" t="e">
        <f>_xlfn.XLOOKUP($D27,Tab_Process_TCs[TC_ID],Tab_Process_TCs[Output_Flow_O_3],,0,)</f>
        <v>#N/A</v>
      </c>
      <c r="AO27" s="48" t="e">
        <f>_xlfn.XLOOKUP($D27,Tab_Process_TCs[TC_ID],Tab_Process_TCs[Flow_ID_O_3],,0,)</f>
        <v>#N/A</v>
      </c>
      <c r="AP27" s="100" t="e">
        <f>Tab_Process_TCs2527[[#This Row],[Flow_ID]]</f>
        <v>#N/A</v>
      </c>
      <c r="AQ27" s="48" t="e">
        <f t="shared" si="3"/>
        <v>#N/A</v>
      </c>
      <c r="AR27" s="228">
        <v>0.3</v>
      </c>
      <c r="AS27" s="57" t="e">
        <f>_xlfn.XLOOKUP($D27,Tab_Process_TCs[TC_ID],#REF!,,0,)</f>
        <v>#REF!</v>
      </c>
      <c r="AT27" s="48" t="e">
        <f>_xlfn.XLOOKUP($D27,Tab_Process_TCs[TC_ID],#REF!,,0,)</f>
        <v>#REF!</v>
      </c>
      <c r="AU27" s="100" t="e">
        <f>Tab_Process_TCs2527[[#This Row],[Flow_ID]]</f>
        <v>#N/A</v>
      </c>
      <c r="AV27" s="100" t="e">
        <f t="shared" si="4"/>
        <v>#N/A</v>
      </c>
      <c r="AW27" s="228"/>
      <c r="AX27" s="57" t="e">
        <f>_xlfn.XLOOKUP($D27,Tab_Process_TCs[TC_ID],#REF!,,0,)</f>
        <v>#REF!</v>
      </c>
      <c r="AY27" s="48" t="e">
        <f>_xlfn.XLOOKUP($D27,Tab_Process_TCs[TC_ID],#REF!,,0,)</f>
        <v>#REF!</v>
      </c>
      <c r="AZ27" s="100" t="e">
        <f>Tab_Process_TCs2527[[#This Row],[Flow_ID]]</f>
        <v>#N/A</v>
      </c>
      <c r="BA27" s="100" t="e">
        <f t="shared" si="5"/>
        <v>#REF!</v>
      </c>
      <c r="BB27" s="228"/>
      <c r="BC27" s="48" t="e">
        <f>_xlfn.XLOOKUP($D27,Tab_Process_TCs[TC_ID],#REF!,,0,)</f>
        <v>#REF!</v>
      </c>
      <c r="BD27" s="48" t="e">
        <f>_xlfn.XLOOKUP($D27,Tab_Process_TCs[TC_ID],#REF!,,0,)</f>
        <v>#REF!</v>
      </c>
      <c r="BE27" s="100" t="e">
        <f>Tab_Process_TCs2527[[#This Row],[Flow_ID]]</f>
        <v>#N/A</v>
      </c>
      <c r="BF27" s="100" t="e">
        <f t="shared" si="6"/>
        <v>#REF!</v>
      </c>
      <c r="BG27" s="109"/>
      <c r="BH27" s="112">
        <f>Tab_Process_TCs2527[[#This Row],[TC O_6_'[%']]]+Tab_Process_TCs2527[[#This Row],[TC O_5_'[%']]]+Tab_Process_TCs2527[[#This Row],[TC_O_4_'[%']]]+Tab_Process_TCs2527[[#This Row],[TC_O_3_'[%']]]+Tab_Process_TCs2527[[#This Row],[TC_O_2_'[%']]]+Tab_Process_TCs2527[[#This Row],[TC_O_1_'[%']]]</f>
        <v>1</v>
      </c>
      <c r="BI27" s="50"/>
      <c r="BJ27" s="50"/>
      <c r="BK27" s="50"/>
      <c r="BL27" s="50"/>
      <c r="BM27" s="50"/>
    </row>
    <row r="28" spans="1:65" x14ac:dyDescent="0.25">
      <c r="A28" s="87" t="b">
        <v>0</v>
      </c>
      <c r="B28" s="48">
        <f t="shared" si="0"/>
        <v>27</v>
      </c>
      <c r="C28" s="107" t="e">
        <f>_xlfn.XLOOKUP($D28,Tab_Process_TCs[Name(EN)],Tab_Process_TCs[Process_ID],,0,)</f>
        <v>#N/A</v>
      </c>
      <c r="D28" s="50"/>
      <c r="E28" s="50" t="s">
        <v>55</v>
      </c>
      <c r="F28" s="48" t="e">
        <f>_xlfn.XLOOKUP($D28,Tab_Process_TCs[Name(EN)],Tab_Process_TCs[TC?],,0,)</f>
        <v>#N/A</v>
      </c>
      <c r="G28" s="48" t="e">
        <f>_xlfn.XLOOKUP($D28,Tab_Process_TCs[Name(EN)],Tab_Process_TCs[Dyn_TC?],,0,)</f>
        <v>#N/A</v>
      </c>
      <c r="H28" s="48" t="e">
        <f>_xlfn.XLOOKUP($E28,Tab_Def_Flows[Name(EN)],Tab_Def_Flows[Flow_ID],,0,1)</f>
        <v>#N/A</v>
      </c>
      <c r="I28" s="50" t="e">
        <f>IF(Tab_Process_TCs2527[[#This Row],[Name(EN)]]="N.A.","N.A.","TC"&amp;"_"&amp;RIGHT(H28,5))</f>
        <v>#N/A</v>
      </c>
      <c r="J28" s="50"/>
      <c r="K28" s="249"/>
      <c r="L28" s="50" t="e">
        <f>_xlfn.XLOOKUP($D28,Tab_Def_Processes[Name(EN)],Tab_Def_Processes[Stock?],,0,)</f>
        <v>#N/A</v>
      </c>
      <c r="M28" s="48"/>
      <c r="N28" s="57" t="e">
        <f>_xlfn.XLOOKUP($D28,Tab_Def_Processes[Name(EN)],Tab_Def_Processes[Input_Flow_I_1],,0,)</f>
        <v>#N/A</v>
      </c>
      <c r="O28" s="48" t="e">
        <f>_xlfn.XLOOKUP($D28,Tab_Def_Processes[Name(EN)],Tab_Def_Processes[Flow_ID_I_1],,0,)</f>
        <v>#N/A</v>
      </c>
      <c r="P28" s="75"/>
      <c r="Q28" s="71" t="e">
        <f>_xlfn.XLOOKUP($D28,Tab_Def_Processes[Name(EN)],Tab_Def_Processes[Input_Flow_I_2],,0,)</f>
        <v>#N/A</v>
      </c>
      <c r="R28" s="48" t="e">
        <f>_xlfn.XLOOKUP($D28,Tab_Def_Processes[Name(EN)],Tab_Def_Processes[Flow_ID_I_2],,0,)</f>
        <v>#N/A</v>
      </c>
      <c r="S28" s="75"/>
      <c r="T28" s="71" t="e">
        <f>_xlfn.XLOOKUP($D28,Tab_Def_Processes[Name(EN)],Tab_Def_Processes[Input_Flow_I_3],,0,)</f>
        <v>#N/A</v>
      </c>
      <c r="U28" s="48" t="e">
        <f>_xlfn.XLOOKUP($D28,Tab_Def_Processes[Name(EN)],Tab_Def_Processes[Flow_ID_I_3],,0,)</f>
        <v>#N/A</v>
      </c>
      <c r="V28" s="75"/>
      <c r="W28" s="71" t="e">
        <f>_xlfn.XLOOKUP($D28,Tab_Def_Processes[Name(EN)],Tab_Def_Processes[Input_Flow_I_4],,0,)</f>
        <v>#N/A</v>
      </c>
      <c r="X28" s="48" t="e">
        <f>_xlfn.XLOOKUP($D28,Tab_Def_Processes[Name(EN)],Tab_Def_Processes[Flow_ID_I_4],,0,)</f>
        <v>#N/A</v>
      </c>
      <c r="Y28" s="75"/>
      <c r="Z28" s="71" t="e">
        <f>_xlfn.XLOOKUP($D28,Tab_Def_Processes[Name(EN)],Tab_Def_Processes[Input_Flow_I_5],,0,)</f>
        <v>#N/A</v>
      </c>
      <c r="AA28" s="48" t="e">
        <f>_xlfn.XLOOKUP($D28,Tab_Def_Processes[Name(EN)],Tab_Def_Processes[Flow_ID_I_5],,0,)</f>
        <v>#N/A</v>
      </c>
      <c r="AB28" s="75"/>
      <c r="AC28" s="74">
        <f>Tab_Process_TCs2527[[#This Row],[Flow_TC_I_1_'[%']]]+Tab_Process_TCs2527[[#This Row],[Flow_TC_I_2_'[%']]]+Tab_Process_TCs2527[[#This Row],[Flow_TC_I_3_'[%']]]+Tab_Process_TCs2527[[#This Row],[Flow_TC_I_4_'[%']]]+Tab_Process_TCs2527[[#This Row],[Flow_TC_I_5_'[%']]]</f>
        <v>0</v>
      </c>
      <c r="AD28" s="57" t="e">
        <f>_xlfn.XLOOKUP($D28,Tab_Process_TCs[TC_ID],Tab_Process_TCs[Output_Flow_O_1],,0,)</f>
        <v>#N/A</v>
      </c>
      <c r="AE28" s="48" t="e">
        <f>_xlfn.XLOOKUP($D28,Tab_Process_TCs[TC_ID],Tab_Process_TCs[Flow_ID_O_1],,0,)</f>
        <v>#N/A</v>
      </c>
      <c r="AF28" s="100" t="e">
        <f>Tab_Process_TCs2527[[#This Row],[Flow_ID]]</f>
        <v>#N/A</v>
      </c>
      <c r="AG28" s="48" t="e">
        <f t="shared" si="1"/>
        <v>#N/A</v>
      </c>
      <c r="AH28" s="109">
        <v>0.5</v>
      </c>
      <c r="AI28" s="231" t="e">
        <f>_xlfn.XLOOKUP($D28,Tab_Process_TCs[TC_ID],Tab_Process_TCs[Output_Flow_O_2],,0,)</f>
        <v>#N/A</v>
      </c>
      <c r="AJ28" s="113" t="e">
        <f>_xlfn.XLOOKUP($D28,Tab_Process_TCs[TC_ID],Tab_Process_TCs[Flow_ID_O_2],,0,)</f>
        <v>#N/A</v>
      </c>
      <c r="AK28" s="100" t="e">
        <f>Tab_Process_TCs2527[[#This Row],[Flow_ID]]</f>
        <v>#N/A</v>
      </c>
      <c r="AL28" s="48" t="e">
        <f t="shared" si="2"/>
        <v>#N/A</v>
      </c>
      <c r="AM28" s="228">
        <v>0.2</v>
      </c>
      <c r="AN28" s="57" t="e">
        <f>_xlfn.XLOOKUP($D28,Tab_Process_TCs[TC_ID],Tab_Process_TCs[Output_Flow_O_3],,0,)</f>
        <v>#N/A</v>
      </c>
      <c r="AO28" s="48" t="e">
        <f>_xlfn.XLOOKUP($D28,Tab_Process_TCs[TC_ID],Tab_Process_TCs[Flow_ID_O_3],,0,)</f>
        <v>#N/A</v>
      </c>
      <c r="AP28" s="100" t="e">
        <f>Tab_Process_TCs2527[[#This Row],[Flow_ID]]</f>
        <v>#N/A</v>
      </c>
      <c r="AQ28" s="48" t="e">
        <f t="shared" si="3"/>
        <v>#N/A</v>
      </c>
      <c r="AR28" s="228">
        <v>0.3</v>
      </c>
      <c r="AS28" s="57" t="e">
        <f>_xlfn.XLOOKUP($D28,Tab_Process_TCs[TC_ID],#REF!,,0,)</f>
        <v>#REF!</v>
      </c>
      <c r="AT28" s="48" t="e">
        <f>_xlfn.XLOOKUP($D28,Tab_Process_TCs[TC_ID],#REF!,,0,)</f>
        <v>#REF!</v>
      </c>
      <c r="AU28" s="100" t="e">
        <f>Tab_Process_TCs2527[[#This Row],[Flow_ID]]</f>
        <v>#N/A</v>
      </c>
      <c r="AV28" s="100" t="e">
        <f t="shared" si="4"/>
        <v>#N/A</v>
      </c>
      <c r="AW28" s="228"/>
      <c r="AX28" s="57" t="e">
        <f>_xlfn.XLOOKUP($D28,Tab_Process_TCs[TC_ID],#REF!,,0,)</f>
        <v>#REF!</v>
      </c>
      <c r="AY28" s="48" t="e">
        <f>_xlfn.XLOOKUP($D28,Tab_Process_TCs[TC_ID],#REF!,,0,)</f>
        <v>#REF!</v>
      </c>
      <c r="AZ28" s="100" t="e">
        <f>Tab_Process_TCs2527[[#This Row],[Flow_ID]]</f>
        <v>#N/A</v>
      </c>
      <c r="BA28" s="100" t="e">
        <f t="shared" si="5"/>
        <v>#REF!</v>
      </c>
      <c r="BB28" s="228"/>
      <c r="BC28" s="48" t="e">
        <f>_xlfn.XLOOKUP($D28,Tab_Process_TCs[TC_ID],#REF!,,0,)</f>
        <v>#REF!</v>
      </c>
      <c r="BD28" s="48" t="e">
        <f>_xlfn.XLOOKUP($D28,Tab_Process_TCs[TC_ID],#REF!,,0,)</f>
        <v>#REF!</v>
      </c>
      <c r="BE28" s="100" t="e">
        <f>Tab_Process_TCs2527[[#This Row],[Flow_ID]]</f>
        <v>#N/A</v>
      </c>
      <c r="BF28" s="100" t="e">
        <f t="shared" si="6"/>
        <v>#REF!</v>
      </c>
      <c r="BG28" s="109"/>
      <c r="BH28" s="112">
        <f>Tab_Process_TCs2527[[#This Row],[TC O_6_'[%']]]+Tab_Process_TCs2527[[#This Row],[TC O_5_'[%']]]+Tab_Process_TCs2527[[#This Row],[TC_O_4_'[%']]]+Tab_Process_TCs2527[[#This Row],[TC_O_3_'[%']]]+Tab_Process_TCs2527[[#This Row],[TC_O_2_'[%']]]+Tab_Process_TCs2527[[#This Row],[TC_O_1_'[%']]]</f>
        <v>1</v>
      </c>
      <c r="BI28" s="50"/>
      <c r="BJ28" s="50"/>
      <c r="BK28" s="50"/>
      <c r="BL28" s="50"/>
      <c r="BM28" s="50"/>
    </row>
    <row r="29" spans="1:65" x14ac:dyDescent="0.25">
      <c r="A29" s="87" t="b">
        <v>0</v>
      </c>
      <c r="B29" s="48">
        <f t="shared" si="0"/>
        <v>28</v>
      </c>
      <c r="C29" s="107" t="e">
        <f>_xlfn.XLOOKUP($D29,Tab_Process_TCs[Name(EN)],Tab_Process_TCs[Process_ID],,0,)</f>
        <v>#N/A</v>
      </c>
      <c r="D29" s="50"/>
      <c r="E29" s="50" t="s">
        <v>55</v>
      </c>
      <c r="F29" s="48" t="e">
        <f>_xlfn.XLOOKUP($D29,Tab_Process_TCs[Name(EN)],Tab_Process_TCs[TC?],,0,)</f>
        <v>#N/A</v>
      </c>
      <c r="G29" s="48" t="e">
        <f>_xlfn.XLOOKUP($D29,Tab_Process_TCs[Name(EN)],Tab_Process_TCs[Dyn_TC?],,0,)</f>
        <v>#N/A</v>
      </c>
      <c r="H29" s="48" t="e">
        <f>_xlfn.XLOOKUP($E29,Tab_Def_Flows[Name(EN)],Tab_Def_Flows[Flow_ID],,0,1)</f>
        <v>#N/A</v>
      </c>
      <c r="I29" s="50" t="e">
        <f>IF(Tab_Process_TCs2527[[#This Row],[Name(EN)]]="N.A.","N.A.","TC"&amp;"_"&amp;RIGHT(H29,5))</f>
        <v>#N/A</v>
      </c>
      <c r="J29" s="50"/>
      <c r="K29" s="249"/>
      <c r="L29" s="50" t="e">
        <f>_xlfn.XLOOKUP($D29,Tab_Def_Processes[Name(EN)],Tab_Def_Processes[Stock?],,0,)</f>
        <v>#N/A</v>
      </c>
      <c r="M29" s="48"/>
      <c r="N29" s="57" t="e">
        <f>_xlfn.XLOOKUP($D29,Tab_Def_Processes[Name(EN)],Tab_Def_Processes[Input_Flow_I_1],,0,)</f>
        <v>#N/A</v>
      </c>
      <c r="O29" s="48" t="e">
        <f>_xlfn.XLOOKUP($D29,Tab_Def_Processes[Name(EN)],Tab_Def_Processes[Flow_ID_I_1],,0,)</f>
        <v>#N/A</v>
      </c>
      <c r="P29" s="75"/>
      <c r="Q29" s="71" t="e">
        <f>_xlfn.XLOOKUP($D29,Tab_Def_Processes[Name(EN)],Tab_Def_Processes[Input_Flow_I_2],,0,)</f>
        <v>#N/A</v>
      </c>
      <c r="R29" s="48" t="e">
        <f>_xlfn.XLOOKUP($D29,Tab_Def_Processes[Name(EN)],Tab_Def_Processes[Flow_ID_I_2],,0,)</f>
        <v>#N/A</v>
      </c>
      <c r="S29" s="75"/>
      <c r="T29" s="71" t="e">
        <f>_xlfn.XLOOKUP($D29,Tab_Def_Processes[Name(EN)],Tab_Def_Processes[Input_Flow_I_3],,0,)</f>
        <v>#N/A</v>
      </c>
      <c r="U29" s="48" t="e">
        <f>_xlfn.XLOOKUP($D29,Tab_Def_Processes[Name(EN)],Tab_Def_Processes[Flow_ID_I_3],,0,)</f>
        <v>#N/A</v>
      </c>
      <c r="V29" s="75"/>
      <c r="W29" s="71" t="e">
        <f>_xlfn.XLOOKUP($D29,Tab_Def_Processes[Name(EN)],Tab_Def_Processes[Input_Flow_I_4],,0,)</f>
        <v>#N/A</v>
      </c>
      <c r="X29" s="48" t="e">
        <f>_xlfn.XLOOKUP($D29,Tab_Def_Processes[Name(EN)],Tab_Def_Processes[Flow_ID_I_4],,0,)</f>
        <v>#N/A</v>
      </c>
      <c r="Y29" s="75"/>
      <c r="Z29" s="71" t="e">
        <f>_xlfn.XLOOKUP($D29,Tab_Def_Processes[Name(EN)],Tab_Def_Processes[Input_Flow_I_5],,0,)</f>
        <v>#N/A</v>
      </c>
      <c r="AA29" s="48" t="e">
        <f>_xlfn.XLOOKUP($D29,Tab_Def_Processes[Name(EN)],Tab_Def_Processes[Flow_ID_I_5],,0,)</f>
        <v>#N/A</v>
      </c>
      <c r="AB29" s="75"/>
      <c r="AC29" s="74">
        <f>Tab_Process_TCs2527[[#This Row],[Flow_TC_I_1_'[%']]]+Tab_Process_TCs2527[[#This Row],[Flow_TC_I_2_'[%']]]+Tab_Process_TCs2527[[#This Row],[Flow_TC_I_3_'[%']]]+Tab_Process_TCs2527[[#This Row],[Flow_TC_I_4_'[%']]]+Tab_Process_TCs2527[[#This Row],[Flow_TC_I_5_'[%']]]</f>
        <v>0</v>
      </c>
      <c r="AD29" s="57" t="e">
        <f>_xlfn.XLOOKUP($D29,Tab_Process_TCs[TC_ID],Tab_Process_TCs[Output_Flow_O_1],,0,)</f>
        <v>#N/A</v>
      </c>
      <c r="AE29" s="48" t="e">
        <f>_xlfn.XLOOKUP($D29,Tab_Process_TCs[TC_ID],Tab_Process_TCs[Flow_ID_O_1],,0,)</f>
        <v>#N/A</v>
      </c>
      <c r="AF29" s="100" t="e">
        <f>Tab_Process_TCs2527[[#This Row],[Flow_ID]]</f>
        <v>#N/A</v>
      </c>
      <c r="AG29" s="48" t="e">
        <f t="shared" si="1"/>
        <v>#N/A</v>
      </c>
      <c r="AH29" s="109">
        <v>0.5</v>
      </c>
      <c r="AI29" s="231" t="e">
        <f>_xlfn.XLOOKUP($D29,Tab_Process_TCs[TC_ID],Tab_Process_TCs[Output_Flow_O_2],,0,)</f>
        <v>#N/A</v>
      </c>
      <c r="AJ29" s="113" t="e">
        <f>_xlfn.XLOOKUP($D29,Tab_Process_TCs[TC_ID],Tab_Process_TCs[Flow_ID_O_2],,0,)</f>
        <v>#N/A</v>
      </c>
      <c r="AK29" s="100" t="e">
        <f>Tab_Process_TCs2527[[#This Row],[Flow_ID]]</f>
        <v>#N/A</v>
      </c>
      <c r="AL29" s="48" t="e">
        <f t="shared" si="2"/>
        <v>#N/A</v>
      </c>
      <c r="AM29" s="228">
        <v>0.2</v>
      </c>
      <c r="AN29" s="57" t="e">
        <f>_xlfn.XLOOKUP($D29,Tab_Process_TCs[TC_ID],Tab_Process_TCs[Output_Flow_O_3],,0,)</f>
        <v>#N/A</v>
      </c>
      <c r="AO29" s="48" t="e">
        <f>_xlfn.XLOOKUP($D29,Tab_Process_TCs[TC_ID],Tab_Process_TCs[Flow_ID_O_3],,0,)</f>
        <v>#N/A</v>
      </c>
      <c r="AP29" s="100" t="e">
        <f>Tab_Process_TCs2527[[#This Row],[Flow_ID]]</f>
        <v>#N/A</v>
      </c>
      <c r="AQ29" s="48" t="e">
        <f t="shared" si="3"/>
        <v>#N/A</v>
      </c>
      <c r="AR29" s="228">
        <v>0.3</v>
      </c>
      <c r="AS29" s="57" t="e">
        <f>_xlfn.XLOOKUP($D29,Tab_Process_TCs[TC_ID],#REF!,,0,)</f>
        <v>#REF!</v>
      </c>
      <c r="AT29" s="48" t="e">
        <f>_xlfn.XLOOKUP($D29,Tab_Process_TCs[TC_ID],#REF!,,0,)</f>
        <v>#REF!</v>
      </c>
      <c r="AU29" s="100" t="e">
        <f>Tab_Process_TCs2527[[#This Row],[Flow_ID]]</f>
        <v>#N/A</v>
      </c>
      <c r="AV29" s="100" t="e">
        <f t="shared" si="4"/>
        <v>#N/A</v>
      </c>
      <c r="AW29" s="228"/>
      <c r="AX29" s="57" t="e">
        <f>_xlfn.XLOOKUP($D29,Tab_Process_TCs[TC_ID],#REF!,,0,)</f>
        <v>#REF!</v>
      </c>
      <c r="AY29" s="48" t="e">
        <f>_xlfn.XLOOKUP($D29,Tab_Process_TCs[TC_ID],#REF!,,0,)</f>
        <v>#REF!</v>
      </c>
      <c r="AZ29" s="100" t="e">
        <f>Tab_Process_TCs2527[[#This Row],[Flow_ID]]</f>
        <v>#N/A</v>
      </c>
      <c r="BA29" s="100" t="e">
        <f t="shared" si="5"/>
        <v>#REF!</v>
      </c>
      <c r="BB29" s="228"/>
      <c r="BC29" s="48" t="e">
        <f>_xlfn.XLOOKUP($D29,Tab_Process_TCs[TC_ID],#REF!,,0,)</f>
        <v>#REF!</v>
      </c>
      <c r="BD29" s="48" t="e">
        <f>_xlfn.XLOOKUP($D29,Tab_Process_TCs[TC_ID],#REF!,,0,)</f>
        <v>#REF!</v>
      </c>
      <c r="BE29" s="100" t="e">
        <f>Tab_Process_TCs2527[[#This Row],[Flow_ID]]</f>
        <v>#N/A</v>
      </c>
      <c r="BF29" s="100" t="e">
        <f t="shared" si="6"/>
        <v>#REF!</v>
      </c>
      <c r="BG29" s="109"/>
      <c r="BH29" s="112">
        <f>Tab_Process_TCs2527[[#This Row],[TC O_6_'[%']]]+Tab_Process_TCs2527[[#This Row],[TC O_5_'[%']]]+Tab_Process_TCs2527[[#This Row],[TC_O_4_'[%']]]+Tab_Process_TCs2527[[#This Row],[TC_O_3_'[%']]]+Tab_Process_TCs2527[[#This Row],[TC_O_2_'[%']]]+Tab_Process_TCs2527[[#This Row],[TC_O_1_'[%']]]</f>
        <v>1</v>
      </c>
      <c r="BI29" s="50"/>
      <c r="BJ29" s="50"/>
      <c r="BK29" s="50"/>
      <c r="BL29" s="50"/>
      <c r="BM29" s="50"/>
    </row>
    <row r="30" spans="1:65" x14ac:dyDescent="0.25">
      <c r="A30" s="87" t="b">
        <v>0</v>
      </c>
      <c r="B30" s="48">
        <f t="shared" si="0"/>
        <v>29</v>
      </c>
      <c r="C30" s="107" t="e">
        <f>_xlfn.XLOOKUP($D30,Tab_Process_TCs[Name(EN)],Tab_Process_TCs[Process_ID],,0,)</f>
        <v>#N/A</v>
      </c>
      <c r="D30" s="50"/>
      <c r="E30" s="50" t="s">
        <v>55</v>
      </c>
      <c r="F30" s="48" t="e">
        <f>_xlfn.XLOOKUP($D30,Tab_Process_TCs[Name(EN)],Tab_Process_TCs[TC?],,0,)</f>
        <v>#N/A</v>
      </c>
      <c r="G30" s="48" t="e">
        <f>_xlfn.XLOOKUP($D30,Tab_Process_TCs[Name(EN)],Tab_Process_TCs[Dyn_TC?],,0,)</f>
        <v>#N/A</v>
      </c>
      <c r="H30" s="48" t="e">
        <f>_xlfn.XLOOKUP($E30,Tab_Def_Flows[Name(EN)],Tab_Def_Flows[Flow_ID],,0,1)</f>
        <v>#N/A</v>
      </c>
      <c r="I30" s="50" t="e">
        <f>IF(Tab_Process_TCs2527[[#This Row],[Name(EN)]]="N.A.","N.A.","TC"&amp;"_"&amp;RIGHT(H30,5))</f>
        <v>#N/A</v>
      </c>
      <c r="J30" s="50"/>
      <c r="K30" s="249"/>
      <c r="L30" s="50" t="e">
        <f>_xlfn.XLOOKUP($D30,Tab_Def_Processes[Name(EN)],Tab_Def_Processes[Stock?],,0,)</f>
        <v>#N/A</v>
      </c>
      <c r="M30" s="48"/>
      <c r="N30" s="57" t="e">
        <f>_xlfn.XLOOKUP($D30,Tab_Def_Processes[Name(EN)],Tab_Def_Processes[Input_Flow_I_1],,0,)</f>
        <v>#N/A</v>
      </c>
      <c r="O30" s="48" t="e">
        <f>_xlfn.XLOOKUP($D30,Tab_Def_Processes[Name(EN)],Tab_Def_Processes[Flow_ID_I_1],,0,)</f>
        <v>#N/A</v>
      </c>
      <c r="P30" s="75"/>
      <c r="Q30" s="71" t="e">
        <f>_xlfn.XLOOKUP($D30,Tab_Def_Processes[Name(EN)],Tab_Def_Processes[Input_Flow_I_2],,0,)</f>
        <v>#N/A</v>
      </c>
      <c r="R30" s="48" t="e">
        <f>_xlfn.XLOOKUP($D30,Tab_Def_Processes[Name(EN)],Tab_Def_Processes[Flow_ID_I_2],,0,)</f>
        <v>#N/A</v>
      </c>
      <c r="S30" s="75"/>
      <c r="T30" s="71" t="e">
        <f>_xlfn.XLOOKUP($D30,Tab_Def_Processes[Name(EN)],Tab_Def_Processes[Input_Flow_I_3],,0,)</f>
        <v>#N/A</v>
      </c>
      <c r="U30" s="48" t="e">
        <f>_xlfn.XLOOKUP($D30,Tab_Def_Processes[Name(EN)],Tab_Def_Processes[Flow_ID_I_3],,0,)</f>
        <v>#N/A</v>
      </c>
      <c r="V30" s="75"/>
      <c r="W30" s="71" t="e">
        <f>_xlfn.XLOOKUP($D30,Tab_Def_Processes[Name(EN)],Tab_Def_Processes[Input_Flow_I_4],,0,)</f>
        <v>#N/A</v>
      </c>
      <c r="X30" s="48" t="e">
        <f>_xlfn.XLOOKUP($D30,Tab_Def_Processes[Name(EN)],Tab_Def_Processes[Flow_ID_I_4],,0,)</f>
        <v>#N/A</v>
      </c>
      <c r="Y30" s="75"/>
      <c r="Z30" s="71" t="e">
        <f>_xlfn.XLOOKUP($D30,Tab_Def_Processes[Name(EN)],Tab_Def_Processes[Input_Flow_I_5],,0,)</f>
        <v>#N/A</v>
      </c>
      <c r="AA30" s="48" t="e">
        <f>_xlfn.XLOOKUP($D30,Tab_Def_Processes[Name(EN)],Tab_Def_Processes[Flow_ID_I_5],,0,)</f>
        <v>#N/A</v>
      </c>
      <c r="AB30" s="75"/>
      <c r="AC30" s="74">
        <f>Tab_Process_TCs2527[[#This Row],[Flow_TC_I_1_'[%']]]+Tab_Process_TCs2527[[#This Row],[Flow_TC_I_2_'[%']]]+Tab_Process_TCs2527[[#This Row],[Flow_TC_I_3_'[%']]]+Tab_Process_TCs2527[[#This Row],[Flow_TC_I_4_'[%']]]+Tab_Process_TCs2527[[#This Row],[Flow_TC_I_5_'[%']]]</f>
        <v>0</v>
      </c>
      <c r="AD30" s="57" t="e">
        <f>_xlfn.XLOOKUP($D30,Tab_Process_TCs[TC_ID],Tab_Process_TCs[Output_Flow_O_1],,0,)</f>
        <v>#N/A</v>
      </c>
      <c r="AE30" s="48" t="e">
        <f>_xlfn.XLOOKUP($D30,Tab_Process_TCs[TC_ID],Tab_Process_TCs[Flow_ID_O_1],,0,)</f>
        <v>#N/A</v>
      </c>
      <c r="AF30" s="100" t="e">
        <f>Tab_Process_TCs2527[[#This Row],[Flow_ID]]</f>
        <v>#N/A</v>
      </c>
      <c r="AG30" s="48" t="e">
        <f t="shared" si="1"/>
        <v>#N/A</v>
      </c>
      <c r="AH30" s="109">
        <v>0.5</v>
      </c>
      <c r="AI30" s="231" t="e">
        <f>_xlfn.XLOOKUP($D30,Tab_Process_TCs[TC_ID],Tab_Process_TCs[Output_Flow_O_2],,0,)</f>
        <v>#N/A</v>
      </c>
      <c r="AJ30" s="113" t="e">
        <f>_xlfn.XLOOKUP($D30,Tab_Process_TCs[TC_ID],Tab_Process_TCs[Flow_ID_O_2],,0,)</f>
        <v>#N/A</v>
      </c>
      <c r="AK30" s="100" t="e">
        <f>Tab_Process_TCs2527[[#This Row],[Flow_ID]]</f>
        <v>#N/A</v>
      </c>
      <c r="AL30" s="48" t="e">
        <f t="shared" si="2"/>
        <v>#N/A</v>
      </c>
      <c r="AM30" s="228">
        <v>0.2</v>
      </c>
      <c r="AN30" s="57" t="e">
        <f>_xlfn.XLOOKUP($D30,Tab_Process_TCs[TC_ID],Tab_Process_TCs[Output_Flow_O_3],,0,)</f>
        <v>#N/A</v>
      </c>
      <c r="AO30" s="48" t="e">
        <f>_xlfn.XLOOKUP($D30,Tab_Process_TCs[TC_ID],Tab_Process_TCs[Flow_ID_O_3],,0,)</f>
        <v>#N/A</v>
      </c>
      <c r="AP30" s="100" t="e">
        <f>Tab_Process_TCs2527[[#This Row],[Flow_ID]]</f>
        <v>#N/A</v>
      </c>
      <c r="AQ30" s="48" t="e">
        <f t="shared" si="3"/>
        <v>#N/A</v>
      </c>
      <c r="AR30" s="228">
        <v>0.3</v>
      </c>
      <c r="AS30" s="57" t="e">
        <f>_xlfn.XLOOKUP($D30,Tab_Process_TCs[TC_ID],#REF!,,0,)</f>
        <v>#REF!</v>
      </c>
      <c r="AT30" s="48" t="e">
        <f>_xlfn.XLOOKUP($D30,Tab_Process_TCs[TC_ID],#REF!,,0,)</f>
        <v>#REF!</v>
      </c>
      <c r="AU30" s="100" t="e">
        <f>Tab_Process_TCs2527[[#This Row],[Flow_ID]]</f>
        <v>#N/A</v>
      </c>
      <c r="AV30" s="100" t="e">
        <f t="shared" si="4"/>
        <v>#N/A</v>
      </c>
      <c r="AW30" s="228"/>
      <c r="AX30" s="57" t="e">
        <f>_xlfn.XLOOKUP($D30,Tab_Process_TCs[TC_ID],#REF!,,0,)</f>
        <v>#REF!</v>
      </c>
      <c r="AY30" s="48" t="e">
        <f>_xlfn.XLOOKUP($D30,Tab_Process_TCs[TC_ID],#REF!,,0,)</f>
        <v>#REF!</v>
      </c>
      <c r="AZ30" s="100" t="e">
        <f>Tab_Process_TCs2527[[#This Row],[Flow_ID]]</f>
        <v>#N/A</v>
      </c>
      <c r="BA30" s="100" t="e">
        <f t="shared" si="5"/>
        <v>#REF!</v>
      </c>
      <c r="BB30" s="228"/>
      <c r="BC30" s="48" t="e">
        <f>_xlfn.XLOOKUP($D30,Tab_Process_TCs[TC_ID],#REF!,,0,)</f>
        <v>#REF!</v>
      </c>
      <c r="BD30" s="48" t="e">
        <f>_xlfn.XLOOKUP($D30,Tab_Process_TCs[TC_ID],#REF!,,0,)</f>
        <v>#REF!</v>
      </c>
      <c r="BE30" s="100" t="e">
        <f>Tab_Process_TCs2527[[#This Row],[Flow_ID]]</f>
        <v>#N/A</v>
      </c>
      <c r="BF30" s="100" t="e">
        <f t="shared" si="6"/>
        <v>#REF!</v>
      </c>
      <c r="BG30" s="109"/>
      <c r="BH30" s="112">
        <f>Tab_Process_TCs2527[[#This Row],[TC O_6_'[%']]]+Tab_Process_TCs2527[[#This Row],[TC O_5_'[%']]]+Tab_Process_TCs2527[[#This Row],[TC_O_4_'[%']]]+Tab_Process_TCs2527[[#This Row],[TC_O_3_'[%']]]+Tab_Process_TCs2527[[#This Row],[TC_O_2_'[%']]]+Tab_Process_TCs2527[[#This Row],[TC_O_1_'[%']]]</f>
        <v>1</v>
      </c>
      <c r="BI30" s="50"/>
      <c r="BJ30" s="50"/>
      <c r="BK30" s="50"/>
      <c r="BL30" s="50"/>
      <c r="BM30" s="50"/>
    </row>
    <row r="31" spans="1:65" x14ac:dyDescent="0.25">
      <c r="A31" s="87" t="b">
        <v>0</v>
      </c>
      <c r="B31" s="48">
        <f t="shared" si="0"/>
        <v>30</v>
      </c>
      <c r="C31" s="107" t="e">
        <f>_xlfn.XLOOKUP($D31,Tab_Process_TCs[Name(EN)],Tab_Process_TCs[Process_ID],,0,)</f>
        <v>#N/A</v>
      </c>
      <c r="D31" s="50"/>
      <c r="E31" s="50" t="s">
        <v>55</v>
      </c>
      <c r="F31" s="48" t="e">
        <f>_xlfn.XLOOKUP($D31,Tab_Process_TCs[Name(EN)],Tab_Process_TCs[TC?],,0,)</f>
        <v>#N/A</v>
      </c>
      <c r="G31" s="48" t="e">
        <f>_xlfn.XLOOKUP($D31,Tab_Process_TCs[Name(EN)],Tab_Process_TCs[Dyn_TC?],,0,)</f>
        <v>#N/A</v>
      </c>
      <c r="H31" s="48" t="e">
        <f>_xlfn.XLOOKUP($E31,Tab_Def_Flows[Name(EN)],Tab_Def_Flows[Flow_ID],,0,1)</f>
        <v>#N/A</v>
      </c>
      <c r="I31" s="50" t="e">
        <f>IF(Tab_Process_TCs2527[[#This Row],[Name(EN)]]="N.A.","N.A.","TC"&amp;"_"&amp;RIGHT(H31,5))</f>
        <v>#N/A</v>
      </c>
      <c r="J31" s="50"/>
      <c r="K31" s="249"/>
      <c r="L31" s="50" t="e">
        <f>_xlfn.XLOOKUP($D31,Tab_Def_Processes[Name(EN)],Tab_Def_Processes[Stock?],,0,)</f>
        <v>#N/A</v>
      </c>
      <c r="M31" s="48"/>
      <c r="N31" s="57" t="e">
        <f>_xlfn.XLOOKUP($D31,Tab_Def_Processes[Name(EN)],Tab_Def_Processes[Input_Flow_I_1],,0,)</f>
        <v>#N/A</v>
      </c>
      <c r="O31" s="48" t="e">
        <f>_xlfn.XLOOKUP($D31,Tab_Def_Processes[Name(EN)],Tab_Def_Processes[Flow_ID_I_1],,0,)</f>
        <v>#N/A</v>
      </c>
      <c r="P31" s="75"/>
      <c r="Q31" s="71" t="e">
        <f>_xlfn.XLOOKUP($D31,Tab_Def_Processes[Name(EN)],Tab_Def_Processes[Input_Flow_I_2],,0,)</f>
        <v>#N/A</v>
      </c>
      <c r="R31" s="48" t="e">
        <f>_xlfn.XLOOKUP($D31,Tab_Def_Processes[Name(EN)],Tab_Def_Processes[Flow_ID_I_2],,0,)</f>
        <v>#N/A</v>
      </c>
      <c r="S31" s="75"/>
      <c r="T31" s="71" t="e">
        <f>_xlfn.XLOOKUP($D31,Tab_Def_Processes[Name(EN)],Tab_Def_Processes[Input_Flow_I_3],,0,)</f>
        <v>#N/A</v>
      </c>
      <c r="U31" s="48" t="e">
        <f>_xlfn.XLOOKUP($D31,Tab_Def_Processes[Name(EN)],Tab_Def_Processes[Flow_ID_I_3],,0,)</f>
        <v>#N/A</v>
      </c>
      <c r="V31" s="75"/>
      <c r="W31" s="71" t="e">
        <f>_xlfn.XLOOKUP($D31,Tab_Def_Processes[Name(EN)],Tab_Def_Processes[Input_Flow_I_4],,0,)</f>
        <v>#N/A</v>
      </c>
      <c r="X31" s="48" t="e">
        <f>_xlfn.XLOOKUP($D31,Tab_Def_Processes[Name(EN)],Tab_Def_Processes[Flow_ID_I_4],,0,)</f>
        <v>#N/A</v>
      </c>
      <c r="Y31" s="75"/>
      <c r="Z31" s="71" t="e">
        <f>_xlfn.XLOOKUP($D31,Tab_Def_Processes[Name(EN)],Tab_Def_Processes[Input_Flow_I_5],,0,)</f>
        <v>#N/A</v>
      </c>
      <c r="AA31" s="48" t="e">
        <f>_xlfn.XLOOKUP($D31,Tab_Def_Processes[Name(EN)],Tab_Def_Processes[Flow_ID_I_5],,0,)</f>
        <v>#N/A</v>
      </c>
      <c r="AB31" s="75"/>
      <c r="AC31" s="74">
        <f>Tab_Process_TCs2527[[#This Row],[Flow_TC_I_1_'[%']]]+Tab_Process_TCs2527[[#This Row],[Flow_TC_I_2_'[%']]]+Tab_Process_TCs2527[[#This Row],[Flow_TC_I_3_'[%']]]+Tab_Process_TCs2527[[#This Row],[Flow_TC_I_4_'[%']]]+Tab_Process_TCs2527[[#This Row],[Flow_TC_I_5_'[%']]]</f>
        <v>0</v>
      </c>
      <c r="AD31" s="57" t="e">
        <f>_xlfn.XLOOKUP($D31,Tab_Process_TCs[TC_ID],Tab_Process_TCs[Output_Flow_O_1],,0,)</f>
        <v>#N/A</v>
      </c>
      <c r="AE31" s="48" t="e">
        <f>_xlfn.XLOOKUP($D31,Tab_Process_TCs[TC_ID],Tab_Process_TCs[Flow_ID_O_1],,0,)</f>
        <v>#N/A</v>
      </c>
      <c r="AF31" s="100" t="e">
        <f>Tab_Process_TCs2527[[#This Row],[Flow_ID]]</f>
        <v>#N/A</v>
      </c>
      <c r="AG31" s="48" t="e">
        <f t="shared" si="1"/>
        <v>#N/A</v>
      </c>
      <c r="AH31" s="109">
        <v>0.5</v>
      </c>
      <c r="AI31" s="231" t="e">
        <f>_xlfn.XLOOKUP($D31,Tab_Process_TCs[TC_ID],Tab_Process_TCs[Output_Flow_O_2],,0,)</f>
        <v>#N/A</v>
      </c>
      <c r="AJ31" s="113" t="e">
        <f>_xlfn.XLOOKUP($D31,Tab_Process_TCs[TC_ID],Tab_Process_TCs[Flow_ID_O_2],,0,)</f>
        <v>#N/A</v>
      </c>
      <c r="AK31" s="100" t="e">
        <f>Tab_Process_TCs2527[[#This Row],[Flow_ID]]</f>
        <v>#N/A</v>
      </c>
      <c r="AL31" s="48" t="e">
        <f t="shared" si="2"/>
        <v>#N/A</v>
      </c>
      <c r="AM31" s="228">
        <v>0.2</v>
      </c>
      <c r="AN31" s="57" t="e">
        <f>_xlfn.XLOOKUP($D31,Tab_Process_TCs[TC_ID],Tab_Process_TCs[Output_Flow_O_3],,0,)</f>
        <v>#N/A</v>
      </c>
      <c r="AO31" s="48" t="e">
        <f>_xlfn.XLOOKUP($D31,Tab_Process_TCs[TC_ID],Tab_Process_TCs[Flow_ID_O_3],,0,)</f>
        <v>#N/A</v>
      </c>
      <c r="AP31" s="100" t="e">
        <f>Tab_Process_TCs2527[[#This Row],[Flow_ID]]</f>
        <v>#N/A</v>
      </c>
      <c r="AQ31" s="48" t="e">
        <f t="shared" si="3"/>
        <v>#N/A</v>
      </c>
      <c r="AR31" s="228">
        <v>0.3</v>
      </c>
      <c r="AS31" s="57" t="e">
        <f>_xlfn.XLOOKUP($D31,Tab_Process_TCs[TC_ID],#REF!,,0,)</f>
        <v>#REF!</v>
      </c>
      <c r="AT31" s="48" t="e">
        <f>_xlfn.XLOOKUP($D31,Tab_Process_TCs[TC_ID],#REF!,,0,)</f>
        <v>#REF!</v>
      </c>
      <c r="AU31" s="100" t="e">
        <f>Tab_Process_TCs2527[[#This Row],[Flow_ID]]</f>
        <v>#N/A</v>
      </c>
      <c r="AV31" s="100" t="e">
        <f t="shared" si="4"/>
        <v>#N/A</v>
      </c>
      <c r="AW31" s="228"/>
      <c r="AX31" s="57" t="e">
        <f>_xlfn.XLOOKUP($D31,Tab_Process_TCs[TC_ID],#REF!,,0,)</f>
        <v>#REF!</v>
      </c>
      <c r="AY31" s="48" t="e">
        <f>_xlfn.XLOOKUP($D31,Tab_Process_TCs[TC_ID],#REF!,,0,)</f>
        <v>#REF!</v>
      </c>
      <c r="AZ31" s="100" t="e">
        <f>Tab_Process_TCs2527[[#This Row],[Flow_ID]]</f>
        <v>#N/A</v>
      </c>
      <c r="BA31" s="100" t="e">
        <f t="shared" si="5"/>
        <v>#REF!</v>
      </c>
      <c r="BB31" s="228"/>
      <c r="BC31" s="48" t="e">
        <f>_xlfn.XLOOKUP($D31,Tab_Process_TCs[TC_ID],#REF!,,0,)</f>
        <v>#REF!</v>
      </c>
      <c r="BD31" s="48" t="e">
        <f>_xlfn.XLOOKUP($D31,Tab_Process_TCs[TC_ID],#REF!,,0,)</f>
        <v>#REF!</v>
      </c>
      <c r="BE31" s="100" t="e">
        <f>Tab_Process_TCs2527[[#This Row],[Flow_ID]]</f>
        <v>#N/A</v>
      </c>
      <c r="BF31" s="100" t="e">
        <f t="shared" si="6"/>
        <v>#REF!</v>
      </c>
      <c r="BG31" s="109"/>
      <c r="BH31" s="112">
        <f>Tab_Process_TCs2527[[#This Row],[TC O_6_'[%']]]+Tab_Process_TCs2527[[#This Row],[TC O_5_'[%']]]+Tab_Process_TCs2527[[#This Row],[TC_O_4_'[%']]]+Tab_Process_TCs2527[[#This Row],[TC_O_3_'[%']]]+Tab_Process_TCs2527[[#This Row],[TC_O_2_'[%']]]+Tab_Process_TCs2527[[#This Row],[TC_O_1_'[%']]]</f>
        <v>1</v>
      </c>
      <c r="BI31" s="50"/>
      <c r="BJ31" s="50"/>
      <c r="BK31" s="50"/>
      <c r="BL31" s="50"/>
      <c r="BM31" s="50"/>
    </row>
    <row r="32" spans="1:65" x14ac:dyDescent="0.25">
      <c r="A32" s="87" t="b">
        <v>0</v>
      </c>
      <c r="B32" s="48">
        <f t="shared" si="0"/>
        <v>31</v>
      </c>
      <c r="C32" s="107" t="e">
        <f>_xlfn.XLOOKUP($D32,Tab_Process_TCs[Name(EN)],Tab_Process_TCs[Process_ID],,0,)</f>
        <v>#N/A</v>
      </c>
      <c r="D32" s="50"/>
      <c r="E32" s="50" t="s">
        <v>55</v>
      </c>
      <c r="F32" s="48" t="e">
        <f>_xlfn.XLOOKUP($D32,Tab_Process_TCs[Name(EN)],Tab_Process_TCs[TC?],,0,)</f>
        <v>#N/A</v>
      </c>
      <c r="G32" s="48" t="e">
        <f>_xlfn.XLOOKUP($D32,Tab_Process_TCs[Name(EN)],Tab_Process_TCs[Dyn_TC?],,0,)</f>
        <v>#N/A</v>
      </c>
      <c r="H32" s="48" t="e">
        <f>_xlfn.XLOOKUP($E32,Tab_Def_Flows[Name(EN)],Tab_Def_Flows[Flow_ID],,0,1)</f>
        <v>#N/A</v>
      </c>
      <c r="I32" s="50" t="e">
        <f>IF(Tab_Process_TCs2527[[#This Row],[Name(EN)]]="N.A.","N.A.","TC"&amp;"_"&amp;RIGHT(H32,5))</f>
        <v>#N/A</v>
      </c>
      <c r="J32" s="50"/>
      <c r="K32" s="249"/>
      <c r="L32" s="50" t="e">
        <f>_xlfn.XLOOKUP($D32,Tab_Def_Processes[Name(EN)],Tab_Def_Processes[Stock?],,0,)</f>
        <v>#N/A</v>
      </c>
      <c r="M32" s="48"/>
      <c r="N32" s="57" t="e">
        <f>_xlfn.XLOOKUP($D32,Tab_Def_Processes[Name(EN)],Tab_Def_Processes[Input_Flow_I_1],,0,)</f>
        <v>#N/A</v>
      </c>
      <c r="O32" s="48" t="e">
        <f>_xlfn.XLOOKUP($D32,Tab_Def_Processes[Name(EN)],Tab_Def_Processes[Flow_ID_I_1],,0,)</f>
        <v>#N/A</v>
      </c>
      <c r="P32" s="75"/>
      <c r="Q32" s="71" t="e">
        <f>_xlfn.XLOOKUP($D32,Tab_Def_Processes[Name(EN)],Tab_Def_Processes[Input_Flow_I_2],,0,)</f>
        <v>#N/A</v>
      </c>
      <c r="R32" s="48" t="e">
        <f>_xlfn.XLOOKUP($D32,Tab_Def_Processes[Name(EN)],Tab_Def_Processes[Flow_ID_I_2],,0,)</f>
        <v>#N/A</v>
      </c>
      <c r="S32" s="75"/>
      <c r="T32" s="71" t="e">
        <f>_xlfn.XLOOKUP($D32,Tab_Def_Processes[Name(EN)],Tab_Def_Processes[Input_Flow_I_3],,0,)</f>
        <v>#N/A</v>
      </c>
      <c r="U32" s="48" t="e">
        <f>_xlfn.XLOOKUP($D32,Tab_Def_Processes[Name(EN)],Tab_Def_Processes[Flow_ID_I_3],,0,)</f>
        <v>#N/A</v>
      </c>
      <c r="V32" s="75"/>
      <c r="W32" s="71" t="e">
        <f>_xlfn.XLOOKUP($D32,Tab_Def_Processes[Name(EN)],Tab_Def_Processes[Input_Flow_I_4],,0,)</f>
        <v>#N/A</v>
      </c>
      <c r="X32" s="48" t="e">
        <f>_xlfn.XLOOKUP($D32,Tab_Def_Processes[Name(EN)],Tab_Def_Processes[Flow_ID_I_4],,0,)</f>
        <v>#N/A</v>
      </c>
      <c r="Y32" s="75"/>
      <c r="Z32" s="71" t="e">
        <f>_xlfn.XLOOKUP($D32,Tab_Def_Processes[Name(EN)],Tab_Def_Processes[Input_Flow_I_5],,0,)</f>
        <v>#N/A</v>
      </c>
      <c r="AA32" s="48" t="e">
        <f>_xlfn.XLOOKUP($D32,Tab_Def_Processes[Name(EN)],Tab_Def_Processes[Flow_ID_I_5],,0,)</f>
        <v>#N/A</v>
      </c>
      <c r="AB32" s="75"/>
      <c r="AC32" s="74">
        <f>Tab_Process_TCs2527[[#This Row],[Flow_TC_I_1_'[%']]]+Tab_Process_TCs2527[[#This Row],[Flow_TC_I_2_'[%']]]+Tab_Process_TCs2527[[#This Row],[Flow_TC_I_3_'[%']]]+Tab_Process_TCs2527[[#This Row],[Flow_TC_I_4_'[%']]]+Tab_Process_TCs2527[[#This Row],[Flow_TC_I_5_'[%']]]</f>
        <v>0</v>
      </c>
      <c r="AD32" s="57" t="e">
        <f>_xlfn.XLOOKUP($D32,Tab_Process_TCs[TC_ID],Tab_Process_TCs[Output_Flow_O_1],,0,)</f>
        <v>#N/A</v>
      </c>
      <c r="AE32" s="48" t="e">
        <f>_xlfn.XLOOKUP($D32,Tab_Process_TCs[TC_ID],Tab_Process_TCs[Flow_ID_O_1],,0,)</f>
        <v>#N/A</v>
      </c>
      <c r="AF32" s="100" t="e">
        <f>Tab_Process_TCs2527[[#This Row],[Flow_ID]]</f>
        <v>#N/A</v>
      </c>
      <c r="AG32" s="48" t="e">
        <f t="shared" si="1"/>
        <v>#N/A</v>
      </c>
      <c r="AH32" s="109">
        <v>0.5</v>
      </c>
      <c r="AI32" s="231" t="e">
        <f>_xlfn.XLOOKUP($D32,Tab_Process_TCs[TC_ID],Tab_Process_TCs[Output_Flow_O_2],,0,)</f>
        <v>#N/A</v>
      </c>
      <c r="AJ32" s="113" t="e">
        <f>_xlfn.XLOOKUP($D32,Tab_Process_TCs[TC_ID],Tab_Process_TCs[Flow_ID_O_2],,0,)</f>
        <v>#N/A</v>
      </c>
      <c r="AK32" s="100" t="e">
        <f>Tab_Process_TCs2527[[#This Row],[Flow_ID]]</f>
        <v>#N/A</v>
      </c>
      <c r="AL32" s="48" t="e">
        <f t="shared" si="2"/>
        <v>#N/A</v>
      </c>
      <c r="AM32" s="228">
        <v>0.2</v>
      </c>
      <c r="AN32" s="57" t="e">
        <f>_xlfn.XLOOKUP($D32,Tab_Process_TCs[TC_ID],Tab_Process_TCs[Output_Flow_O_3],,0,)</f>
        <v>#N/A</v>
      </c>
      <c r="AO32" s="48" t="e">
        <f>_xlfn.XLOOKUP($D32,Tab_Process_TCs[TC_ID],Tab_Process_TCs[Flow_ID_O_3],,0,)</f>
        <v>#N/A</v>
      </c>
      <c r="AP32" s="100" t="e">
        <f>Tab_Process_TCs2527[[#This Row],[Flow_ID]]</f>
        <v>#N/A</v>
      </c>
      <c r="AQ32" s="48" t="e">
        <f t="shared" si="3"/>
        <v>#N/A</v>
      </c>
      <c r="AR32" s="228">
        <v>0.3</v>
      </c>
      <c r="AS32" s="57" t="e">
        <f>_xlfn.XLOOKUP($D32,Tab_Process_TCs[TC_ID],#REF!,,0,)</f>
        <v>#REF!</v>
      </c>
      <c r="AT32" s="48" t="e">
        <f>_xlfn.XLOOKUP($D32,Tab_Process_TCs[TC_ID],#REF!,,0,)</f>
        <v>#REF!</v>
      </c>
      <c r="AU32" s="100" t="e">
        <f>Tab_Process_TCs2527[[#This Row],[Flow_ID]]</f>
        <v>#N/A</v>
      </c>
      <c r="AV32" s="100" t="e">
        <f t="shared" si="4"/>
        <v>#N/A</v>
      </c>
      <c r="AW32" s="228"/>
      <c r="AX32" s="57" t="e">
        <f>_xlfn.XLOOKUP($D32,Tab_Process_TCs[TC_ID],#REF!,,0,)</f>
        <v>#REF!</v>
      </c>
      <c r="AY32" s="48" t="e">
        <f>_xlfn.XLOOKUP($D32,Tab_Process_TCs[TC_ID],#REF!,,0,)</f>
        <v>#REF!</v>
      </c>
      <c r="AZ32" s="100" t="e">
        <f>Tab_Process_TCs2527[[#This Row],[Flow_ID]]</f>
        <v>#N/A</v>
      </c>
      <c r="BA32" s="100" t="e">
        <f t="shared" si="5"/>
        <v>#REF!</v>
      </c>
      <c r="BB32" s="228"/>
      <c r="BC32" s="48" t="e">
        <f>_xlfn.XLOOKUP($D32,Tab_Process_TCs[TC_ID],#REF!,,0,)</f>
        <v>#REF!</v>
      </c>
      <c r="BD32" s="48" t="e">
        <f>_xlfn.XLOOKUP($D32,Tab_Process_TCs[TC_ID],#REF!,,0,)</f>
        <v>#REF!</v>
      </c>
      <c r="BE32" s="100" t="e">
        <f>Tab_Process_TCs2527[[#This Row],[Flow_ID]]</f>
        <v>#N/A</v>
      </c>
      <c r="BF32" s="100" t="e">
        <f t="shared" si="6"/>
        <v>#REF!</v>
      </c>
      <c r="BG32" s="109"/>
      <c r="BH32" s="112">
        <f>Tab_Process_TCs2527[[#This Row],[TC O_6_'[%']]]+Tab_Process_TCs2527[[#This Row],[TC O_5_'[%']]]+Tab_Process_TCs2527[[#This Row],[TC_O_4_'[%']]]+Tab_Process_TCs2527[[#This Row],[TC_O_3_'[%']]]+Tab_Process_TCs2527[[#This Row],[TC_O_2_'[%']]]+Tab_Process_TCs2527[[#This Row],[TC_O_1_'[%']]]</f>
        <v>1</v>
      </c>
      <c r="BI32" s="50"/>
      <c r="BJ32" s="50"/>
      <c r="BK32" s="50"/>
      <c r="BL32" s="50"/>
      <c r="BM32" s="50"/>
    </row>
    <row r="33" spans="1:65" x14ac:dyDescent="0.25">
      <c r="A33" s="87" t="b">
        <v>0</v>
      </c>
      <c r="B33" s="48">
        <f t="shared" si="0"/>
        <v>32</v>
      </c>
      <c r="C33" s="107" t="e">
        <f>_xlfn.XLOOKUP($D33,Tab_Process_TCs[Name(EN)],Tab_Process_TCs[Process_ID],,0,)</f>
        <v>#N/A</v>
      </c>
      <c r="D33" s="50"/>
      <c r="E33" s="50" t="s">
        <v>55</v>
      </c>
      <c r="F33" s="48" t="e">
        <f>_xlfn.XLOOKUP($D33,Tab_Process_TCs[Name(EN)],Tab_Process_TCs[TC?],,0,)</f>
        <v>#N/A</v>
      </c>
      <c r="G33" s="48" t="e">
        <f>_xlfn.XLOOKUP($D33,Tab_Process_TCs[Name(EN)],Tab_Process_TCs[Dyn_TC?],,0,)</f>
        <v>#N/A</v>
      </c>
      <c r="H33" s="48" t="e">
        <f>_xlfn.XLOOKUP($E33,Tab_Def_Flows[Name(EN)],Tab_Def_Flows[Flow_ID],,0,1)</f>
        <v>#N/A</v>
      </c>
      <c r="I33" s="50" t="e">
        <f>IF(Tab_Process_TCs2527[[#This Row],[Name(EN)]]="N.A.","N.A.","TC"&amp;"_"&amp;RIGHT(H33,5))</f>
        <v>#N/A</v>
      </c>
      <c r="J33" s="50"/>
      <c r="K33" s="249"/>
      <c r="L33" s="50" t="e">
        <f>_xlfn.XLOOKUP($D33,Tab_Def_Processes[Name(EN)],Tab_Def_Processes[Stock?],,0,)</f>
        <v>#N/A</v>
      </c>
      <c r="M33" s="48"/>
      <c r="N33" s="57" t="e">
        <f>_xlfn.XLOOKUP($D33,Tab_Def_Processes[Name(EN)],Tab_Def_Processes[Input_Flow_I_1],,0,)</f>
        <v>#N/A</v>
      </c>
      <c r="O33" s="48" t="e">
        <f>_xlfn.XLOOKUP($D33,Tab_Def_Processes[Name(EN)],Tab_Def_Processes[Flow_ID_I_1],,0,)</f>
        <v>#N/A</v>
      </c>
      <c r="P33" s="75"/>
      <c r="Q33" s="71" t="e">
        <f>_xlfn.XLOOKUP($D33,Tab_Def_Processes[Name(EN)],Tab_Def_Processes[Input_Flow_I_2],,0,)</f>
        <v>#N/A</v>
      </c>
      <c r="R33" s="48" t="e">
        <f>_xlfn.XLOOKUP($D33,Tab_Def_Processes[Name(EN)],Tab_Def_Processes[Flow_ID_I_2],,0,)</f>
        <v>#N/A</v>
      </c>
      <c r="S33" s="75"/>
      <c r="T33" s="71" t="e">
        <f>_xlfn.XLOOKUP($D33,Tab_Def_Processes[Name(EN)],Tab_Def_Processes[Input_Flow_I_3],,0,)</f>
        <v>#N/A</v>
      </c>
      <c r="U33" s="48" t="e">
        <f>_xlfn.XLOOKUP($D33,Tab_Def_Processes[Name(EN)],Tab_Def_Processes[Flow_ID_I_3],,0,)</f>
        <v>#N/A</v>
      </c>
      <c r="V33" s="75"/>
      <c r="W33" s="71" t="e">
        <f>_xlfn.XLOOKUP($D33,Tab_Def_Processes[Name(EN)],Tab_Def_Processes[Input_Flow_I_4],,0,)</f>
        <v>#N/A</v>
      </c>
      <c r="X33" s="48" t="e">
        <f>_xlfn.XLOOKUP($D33,Tab_Def_Processes[Name(EN)],Tab_Def_Processes[Flow_ID_I_4],,0,)</f>
        <v>#N/A</v>
      </c>
      <c r="Y33" s="75"/>
      <c r="Z33" s="71" t="e">
        <f>_xlfn.XLOOKUP($D33,Tab_Def_Processes[Name(EN)],Tab_Def_Processes[Input_Flow_I_5],,0,)</f>
        <v>#N/A</v>
      </c>
      <c r="AA33" s="48" t="e">
        <f>_xlfn.XLOOKUP($D33,Tab_Def_Processes[Name(EN)],Tab_Def_Processes[Flow_ID_I_5],,0,)</f>
        <v>#N/A</v>
      </c>
      <c r="AB33" s="75"/>
      <c r="AC33" s="74">
        <f>Tab_Process_TCs2527[[#This Row],[Flow_TC_I_1_'[%']]]+Tab_Process_TCs2527[[#This Row],[Flow_TC_I_2_'[%']]]+Tab_Process_TCs2527[[#This Row],[Flow_TC_I_3_'[%']]]+Tab_Process_TCs2527[[#This Row],[Flow_TC_I_4_'[%']]]+Tab_Process_TCs2527[[#This Row],[Flow_TC_I_5_'[%']]]</f>
        <v>0</v>
      </c>
      <c r="AD33" s="57" t="e">
        <f>_xlfn.XLOOKUP($D33,Tab_Process_TCs[TC_ID],Tab_Process_TCs[Output_Flow_O_1],,0,)</f>
        <v>#N/A</v>
      </c>
      <c r="AE33" s="48" t="e">
        <f>_xlfn.XLOOKUP($D33,Tab_Process_TCs[TC_ID],Tab_Process_TCs[Flow_ID_O_1],,0,)</f>
        <v>#N/A</v>
      </c>
      <c r="AF33" s="100" t="e">
        <f>Tab_Process_TCs2527[[#This Row],[Flow_ID]]</f>
        <v>#N/A</v>
      </c>
      <c r="AG33" s="48" t="e">
        <f t="shared" si="1"/>
        <v>#N/A</v>
      </c>
      <c r="AH33" s="109">
        <v>0.5</v>
      </c>
      <c r="AI33" s="231" t="e">
        <f>_xlfn.XLOOKUP($D33,Tab_Process_TCs[TC_ID],Tab_Process_TCs[Output_Flow_O_2],,0,)</f>
        <v>#N/A</v>
      </c>
      <c r="AJ33" s="113" t="e">
        <f>_xlfn.XLOOKUP($D33,Tab_Process_TCs[TC_ID],Tab_Process_TCs[Flow_ID_O_2],,0,)</f>
        <v>#N/A</v>
      </c>
      <c r="AK33" s="100" t="e">
        <f>Tab_Process_TCs2527[[#This Row],[Flow_ID]]</f>
        <v>#N/A</v>
      </c>
      <c r="AL33" s="48" t="e">
        <f t="shared" si="2"/>
        <v>#N/A</v>
      </c>
      <c r="AM33" s="228">
        <v>0.2</v>
      </c>
      <c r="AN33" s="57" t="e">
        <f>_xlfn.XLOOKUP($D33,Tab_Process_TCs[TC_ID],Tab_Process_TCs[Output_Flow_O_3],,0,)</f>
        <v>#N/A</v>
      </c>
      <c r="AO33" s="48" t="e">
        <f>_xlfn.XLOOKUP($D33,Tab_Process_TCs[TC_ID],Tab_Process_TCs[Flow_ID_O_3],,0,)</f>
        <v>#N/A</v>
      </c>
      <c r="AP33" s="100" t="e">
        <f>Tab_Process_TCs2527[[#This Row],[Flow_ID]]</f>
        <v>#N/A</v>
      </c>
      <c r="AQ33" s="48" t="e">
        <f t="shared" si="3"/>
        <v>#N/A</v>
      </c>
      <c r="AR33" s="228">
        <v>0.3</v>
      </c>
      <c r="AS33" s="57" t="e">
        <f>_xlfn.XLOOKUP($D33,Tab_Process_TCs[TC_ID],#REF!,,0,)</f>
        <v>#REF!</v>
      </c>
      <c r="AT33" s="48" t="e">
        <f>_xlfn.XLOOKUP($D33,Tab_Process_TCs[TC_ID],#REF!,,0,)</f>
        <v>#REF!</v>
      </c>
      <c r="AU33" s="100" t="e">
        <f>Tab_Process_TCs2527[[#This Row],[Flow_ID]]</f>
        <v>#N/A</v>
      </c>
      <c r="AV33" s="100" t="e">
        <f t="shared" si="4"/>
        <v>#N/A</v>
      </c>
      <c r="AW33" s="228"/>
      <c r="AX33" s="57" t="e">
        <f>_xlfn.XLOOKUP($D33,Tab_Process_TCs[TC_ID],#REF!,,0,)</f>
        <v>#REF!</v>
      </c>
      <c r="AY33" s="48" t="e">
        <f>_xlfn.XLOOKUP($D33,Tab_Process_TCs[TC_ID],#REF!,,0,)</f>
        <v>#REF!</v>
      </c>
      <c r="AZ33" s="100" t="e">
        <f>Tab_Process_TCs2527[[#This Row],[Flow_ID]]</f>
        <v>#N/A</v>
      </c>
      <c r="BA33" s="100" t="e">
        <f t="shared" si="5"/>
        <v>#REF!</v>
      </c>
      <c r="BB33" s="228"/>
      <c r="BC33" s="48" t="e">
        <f>_xlfn.XLOOKUP($D33,Tab_Process_TCs[TC_ID],#REF!,,0,)</f>
        <v>#REF!</v>
      </c>
      <c r="BD33" s="48" t="e">
        <f>_xlfn.XLOOKUP($D33,Tab_Process_TCs[TC_ID],#REF!,,0,)</f>
        <v>#REF!</v>
      </c>
      <c r="BE33" s="100" t="e">
        <f>Tab_Process_TCs2527[[#This Row],[Flow_ID]]</f>
        <v>#N/A</v>
      </c>
      <c r="BF33" s="100" t="e">
        <f t="shared" si="6"/>
        <v>#REF!</v>
      </c>
      <c r="BG33" s="109"/>
      <c r="BH33" s="112">
        <f>Tab_Process_TCs2527[[#This Row],[TC O_6_'[%']]]+Tab_Process_TCs2527[[#This Row],[TC O_5_'[%']]]+Tab_Process_TCs2527[[#This Row],[TC_O_4_'[%']]]+Tab_Process_TCs2527[[#This Row],[TC_O_3_'[%']]]+Tab_Process_TCs2527[[#This Row],[TC_O_2_'[%']]]+Tab_Process_TCs2527[[#This Row],[TC_O_1_'[%']]]</f>
        <v>1</v>
      </c>
      <c r="BI33" s="50"/>
      <c r="BJ33" s="50"/>
      <c r="BK33" s="50"/>
      <c r="BL33" s="50"/>
      <c r="BM33" s="50"/>
    </row>
    <row r="34" spans="1:65" x14ac:dyDescent="0.25">
      <c r="A34" s="87" t="b">
        <v>0</v>
      </c>
      <c r="B34" s="48">
        <f t="shared" ref="B34:B65" si="7">ROW()-1</f>
        <v>33</v>
      </c>
      <c r="C34" s="107" t="e">
        <f>_xlfn.XLOOKUP($D34,Tab_Process_TCs[Name(EN)],Tab_Process_TCs[Process_ID],,0,)</f>
        <v>#N/A</v>
      </c>
      <c r="D34" s="50"/>
      <c r="E34" s="50" t="s">
        <v>55</v>
      </c>
      <c r="F34" s="48" t="e">
        <f>_xlfn.XLOOKUP($D34,Tab_Process_TCs[Name(EN)],Tab_Process_TCs[TC?],,0,)</f>
        <v>#N/A</v>
      </c>
      <c r="G34" s="48" t="e">
        <f>_xlfn.XLOOKUP($D34,Tab_Process_TCs[Name(EN)],Tab_Process_TCs[Dyn_TC?],,0,)</f>
        <v>#N/A</v>
      </c>
      <c r="H34" s="48" t="e">
        <f>_xlfn.XLOOKUP($E34,Tab_Def_Flows[Name(EN)],Tab_Def_Flows[Flow_ID],,0,1)</f>
        <v>#N/A</v>
      </c>
      <c r="I34" s="50" t="e">
        <f>IF(Tab_Process_TCs2527[[#This Row],[Name(EN)]]="N.A.","N.A.","TC"&amp;"_"&amp;RIGHT(H34,5))</f>
        <v>#N/A</v>
      </c>
      <c r="J34" s="50"/>
      <c r="K34" s="249"/>
      <c r="L34" s="50" t="e">
        <f>_xlfn.XLOOKUP($D34,Tab_Def_Processes[Name(EN)],Tab_Def_Processes[Stock?],,0,)</f>
        <v>#N/A</v>
      </c>
      <c r="M34" s="48"/>
      <c r="N34" s="57" t="e">
        <f>_xlfn.XLOOKUP($D34,Tab_Def_Processes[Name(EN)],Tab_Def_Processes[Input_Flow_I_1],,0,)</f>
        <v>#N/A</v>
      </c>
      <c r="O34" s="48" t="e">
        <f>_xlfn.XLOOKUP($D34,Tab_Def_Processes[Name(EN)],Tab_Def_Processes[Flow_ID_I_1],,0,)</f>
        <v>#N/A</v>
      </c>
      <c r="P34" s="75"/>
      <c r="Q34" s="71" t="e">
        <f>_xlfn.XLOOKUP($D34,Tab_Def_Processes[Name(EN)],Tab_Def_Processes[Input_Flow_I_2],,0,)</f>
        <v>#N/A</v>
      </c>
      <c r="R34" s="48" t="e">
        <f>_xlfn.XLOOKUP($D34,Tab_Def_Processes[Name(EN)],Tab_Def_Processes[Flow_ID_I_2],,0,)</f>
        <v>#N/A</v>
      </c>
      <c r="S34" s="75"/>
      <c r="T34" s="71" t="e">
        <f>_xlfn.XLOOKUP($D34,Tab_Def_Processes[Name(EN)],Tab_Def_Processes[Input_Flow_I_3],,0,)</f>
        <v>#N/A</v>
      </c>
      <c r="U34" s="48" t="e">
        <f>_xlfn.XLOOKUP($D34,Tab_Def_Processes[Name(EN)],Tab_Def_Processes[Flow_ID_I_3],,0,)</f>
        <v>#N/A</v>
      </c>
      <c r="V34" s="75"/>
      <c r="W34" s="71" t="e">
        <f>_xlfn.XLOOKUP($D34,Tab_Def_Processes[Name(EN)],Tab_Def_Processes[Input_Flow_I_4],,0,)</f>
        <v>#N/A</v>
      </c>
      <c r="X34" s="48" t="e">
        <f>_xlfn.XLOOKUP($D34,Tab_Def_Processes[Name(EN)],Tab_Def_Processes[Flow_ID_I_4],,0,)</f>
        <v>#N/A</v>
      </c>
      <c r="Y34" s="75"/>
      <c r="Z34" s="71" t="e">
        <f>_xlfn.XLOOKUP($D34,Tab_Def_Processes[Name(EN)],Tab_Def_Processes[Input_Flow_I_5],,0,)</f>
        <v>#N/A</v>
      </c>
      <c r="AA34" s="48" t="e">
        <f>_xlfn.XLOOKUP($D34,Tab_Def_Processes[Name(EN)],Tab_Def_Processes[Flow_ID_I_5],,0,)</f>
        <v>#N/A</v>
      </c>
      <c r="AB34" s="75"/>
      <c r="AC34" s="74">
        <f>Tab_Process_TCs2527[[#This Row],[Flow_TC_I_1_'[%']]]+Tab_Process_TCs2527[[#This Row],[Flow_TC_I_2_'[%']]]+Tab_Process_TCs2527[[#This Row],[Flow_TC_I_3_'[%']]]+Tab_Process_TCs2527[[#This Row],[Flow_TC_I_4_'[%']]]+Tab_Process_TCs2527[[#This Row],[Flow_TC_I_5_'[%']]]</f>
        <v>0</v>
      </c>
      <c r="AD34" s="57" t="e">
        <f>_xlfn.XLOOKUP($D34,Tab_Process_TCs[TC_ID],Tab_Process_TCs[Output_Flow_O_1],,0,)</f>
        <v>#N/A</v>
      </c>
      <c r="AE34" s="48" t="e">
        <f>_xlfn.XLOOKUP($D34,Tab_Process_TCs[TC_ID],Tab_Process_TCs[Flow_ID_O_1],,0,)</f>
        <v>#N/A</v>
      </c>
      <c r="AF34" s="100" t="e">
        <f>Tab_Process_TCs2527[[#This Row],[Flow_ID]]</f>
        <v>#N/A</v>
      </c>
      <c r="AG34" s="48" t="e">
        <f t="shared" ref="AG34:AG65" si="8">"TC"&amp;"_"&amp;RIGHT(AE34,5)</f>
        <v>#N/A</v>
      </c>
      <c r="AH34" s="109">
        <v>0.5</v>
      </c>
      <c r="AI34" s="231" t="e">
        <f>_xlfn.XLOOKUP($D34,Tab_Process_TCs[TC_ID],Tab_Process_TCs[Output_Flow_O_2],,0,)</f>
        <v>#N/A</v>
      </c>
      <c r="AJ34" s="113" t="e">
        <f>_xlfn.XLOOKUP($D34,Tab_Process_TCs[TC_ID],Tab_Process_TCs[Flow_ID_O_2],,0,)</f>
        <v>#N/A</v>
      </c>
      <c r="AK34" s="100" t="e">
        <f>Tab_Process_TCs2527[[#This Row],[Flow_ID]]</f>
        <v>#N/A</v>
      </c>
      <c r="AL34" s="48" t="e">
        <f t="shared" ref="AL34:AL65" si="9">"TC"&amp;"_"&amp;RIGHT(AJ34,5)</f>
        <v>#N/A</v>
      </c>
      <c r="AM34" s="228">
        <v>0.2</v>
      </c>
      <c r="AN34" s="57" t="e">
        <f>_xlfn.XLOOKUP($D34,Tab_Process_TCs[TC_ID],Tab_Process_TCs[Output_Flow_O_3],,0,)</f>
        <v>#N/A</v>
      </c>
      <c r="AO34" s="48" t="e">
        <f>_xlfn.XLOOKUP($D34,Tab_Process_TCs[TC_ID],Tab_Process_TCs[Flow_ID_O_3],,0,)</f>
        <v>#N/A</v>
      </c>
      <c r="AP34" s="100" t="e">
        <f>Tab_Process_TCs2527[[#This Row],[Flow_ID]]</f>
        <v>#N/A</v>
      </c>
      <c r="AQ34" s="48" t="e">
        <f t="shared" ref="AQ34:AQ65" si="10">"TC"&amp;"_"&amp;RIGHT(AO34,5)</f>
        <v>#N/A</v>
      </c>
      <c r="AR34" s="228">
        <v>0.3</v>
      </c>
      <c r="AS34" s="57" t="e">
        <f>_xlfn.XLOOKUP($D34,Tab_Process_TCs[TC_ID],#REF!,,0,)</f>
        <v>#REF!</v>
      </c>
      <c r="AT34" s="48" t="e">
        <f>_xlfn.XLOOKUP($D34,Tab_Process_TCs[TC_ID],#REF!,,0,)</f>
        <v>#REF!</v>
      </c>
      <c r="AU34" s="100" t="e">
        <f>Tab_Process_TCs2527[[#This Row],[Flow_ID]]</f>
        <v>#N/A</v>
      </c>
      <c r="AV34" s="100" t="e">
        <f t="shared" ref="AV34:AV65" si="11">"TC"&amp;"_"&amp;RIGHT(AO34,5)</f>
        <v>#N/A</v>
      </c>
      <c r="AW34" s="228"/>
      <c r="AX34" s="57" t="e">
        <f>_xlfn.XLOOKUP($D34,Tab_Process_TCs[TC_ID],#REF!,,0,)</f>
        <v>#REF!</v>
      </c>
      <c r="AY34" s="48" t="e">
        <f>_xlfn.XLOOKUP($D34,Tab_Process_TCs[TC_ID],#REF!,,0,)</f>
        <v>#REF!</v>
      </c>
      <c r="AZ34" s="100" t="e">
        <f>Tab_Process_TCs2527[[#This Row],[Flow_ID]]</f>
        <v>#N/A</v>
      </c>
      <c r="BA34" s="100" t="e">
        <f t="shared" ref="BA34:BA65" si="12">"TC"&amp;"_"&amp;RIGHT(AY34,5)</f>
        <v>#REF!</v>
      </c>
      <c r="BB34" s="228"/>
      <c r="BC34" s="48" t="e">
        <f>_xlfn.XLOOKUP($D34,Tab_Process_TCs[TC_ID],#REF!,,0,)</f>
        <v>#REF!</v>
      </c>
      <c r="BD34" s="48" t="e">
        <f>_xlfn.XLOOKUP($D34,Tab_Process_TCs[TC_ID],#REF!,,0,)</f>
        <v>#REF!</v>
      </c>
      <c r="BE34" s="100" t="e">
        <f>Tab_Process_TCs2527[[#This Row],[Flow_ID]]</f>
        <v>#N/A</v>
      </c>
      <c r="BF34" s="100" t="e">
        <f t="shared" ref="BF34:BF65" si="13">"TC"&amp;"_"&amp;RIGHT(BD34,5)</f>
        <v>#REF!</v>
      </c>
      <c r="BG34" s="109"/>
      <c r="BH34" s="112">
        <f>Tab_Process_TCs2527[[#This Row],[TC O_6_'[%']]]+Tab_Process_TCs2527[[#This Row],[TC O_5_'[%']]]+Tab_Process_TCs2527[[#This Row],[TC_O_4_'[%']]]+Tab_Process_TCs2527[[#This Row],[TC_O_3_'[%']]]+Tab_Process_TCs2527[[#This Row],[TC_O_2_'[%']]]+Tab_Process_TCs2527[[#This Row],[TC_O_1_'[%']]]</f>
        <v>1</v>
      </c>
      <c r="BI34" s="50"/>
      <c r="BJ34" s="50"/>
      <c r="BK34" s="50"/>
      <c r="BL34" s="50"/>
      <c r="BM34" s="50"/>
    </row>
    <row r="35" spans="1:65" x14ac:dyDescent="0.25">
      <c r="A35" s="87" t="b">
        <v>0</v>
      </c>
      <c r="B35" s="48">
        <f t="shared" si="7"/>
        <v>34</v>
      </c>
      <c r="C35" s="107" t="e">
        <f>_xlfn.XLOOKUP($D35,Tab_Process_TCs[Name(EN)],Tab_Process_TCs[Process_ID],,0,)</f>
        <v>#N/A</v>
      </c>
      <c r="D35" s="50"/>
      <c r="E35" s="50" t="s">
        <v>55</v>
      </c>
      <c r="F35" s="48" t="e">
        <f>_xlfn.XLOOKUP($D35,Tab_Process_TCs[Name(EN)],Tab_Process_TCs[TC?],,0,)</f>
        <v>#N/A</v>
      </c>
      <c r="G35" s="48" t="e">
        <f>_xlfn.XLOOKUP($D35,Tab_Process_TCs[Name(EN)],Tab_Process_TCs[Dyn_TC?],,0,)</f>
        <v>#N/A</v>
      </c>
      <c r="H35" s="48" t="e">
        <f>_xlfn.XLOOKUP($E35,Tab_Def_Flows[Name(EN)],Tab_Def_Flows[Flow_ID],,0,1)</f>
        <v>#N/A</v>
      </c>
      <c r="I35" s="50" t="e">
        <f>IF(Tab_Process_TCs2527[[#This Row],[Name(EN)]]="N.A.","N.A.","TC"&amp;"_"&amp;RIGHT(H35,5))</f>
        <v>#N/A</v>
      </c>
      <c r="J35" s="50"/>
      <c r="K35" s="249"/>
      <c r="L35" s="50" t="e">
        <f>_xlfn.XLOOKUP($D35,Tab_Def_Processes[Name(EN)],Tab_Def_Processes[Stock?],,0,)</f>
        <v>#N/A</v>
      </c>
      <c r="M35" s="48"/>
      <c r="N35" s="57" t="e">
        <f>_xlfn.XLOOKUP($D35,Tab_Def_Processes[Name(EN)],Tab_Def_Processes[Input_Flow_I_1],,0,)</f>
        <v>#N/A</v>
      </c>
      <c r="O35" s="48" t="e">
        <f>_xlfn.XLOOKUP($D35,Tab_Def_Processes[Name(EN)],Tab_Def_Processes[Flow_ID_I_1],,0,)</f>
        <v>#N/A</v>
      </c>
      <c r="P35" s="75"/>
      <c r="Q35" s="71" t="e">
        <f>_xlfn.XLOOKUP($D35,Tab_Def_Processes[Name(EN)],Tab_Def_Processes[Input_Flow_I_2],,0,)</f>
        <v>#N/A</v>
      </c>
      <c r="R35" s="48" t="e">
        <f>_xlfn.XLOOKUP($D35,Tab_Def_Processes[Name(EN)],Tab_Def_Processes[Flow_ID_I_2],,0,)</f>
        <v>#N/A</v>
      </c>
      <c r="S35" s="75"/>
      <c r="T35" s="71" t="e">
        <f>_xlfn.XLOOKUP($D35,Tab_Def_Processes[Name(EN)],Tab_Def_Processes[Input_Flow_I_3],,0,)</f>
        <v>#N/A</v>
      </c>
      <c r="U35" s="48" t="e">
        <f>_xlfn.XLOOKUP($D35,Tab_Def_Processes[Name(EN)],Tab_Def_Processes[Flow_ID_I_3],,0,)</f>
        <v>#N/A</v>
      </c>
      <c r="V35" s="75"/>
      <c r="W35" s="71" t="e">
        <f>_xlfn.XLOOKUP($D35,Tab_Def_Processes[Name(EN)],Tab_Def_Processes[Input_Flow_I_4],,0,)</f>
        <v>#N/A</v>
      </c>
      <c r="X35" s="48" t="e">
        <f>_xlfn.XLOOKUP($D35,Tab_Def_Processes[Name(EN)],Tab_Def_Processes[Flow_ID_I_4],,0,)</f>
        <v>#N/A</v>
      </c>
      <c r="Y35" s="75"/>
      <c r="Z35" s="71" t="e">
        <f>_xlfn.XLOOKUP($D35,Tab_Def_Processes[Name(EN)],Tab_Def_Processes[Input_Flow_I_5],,0,)</f>
        <v>#N/A</v>
      </c>
      <c r="AA35" s="48" t="e">
        <f>_xlfn.XLOOKUP($D35,Tab_Def_Processes[Name(EN)],Tab_Def_Processes[Flow_ID_I_5],,0,)</f>
        <v>#N/A</v>
      </c>
      <c r="AB35" s="75"/>
      <c r="AC35" s="74">
        <f>Tab_Process_TCs2527[[#This Row],[Flow_TC_I_1_'[%']]]+Tab_Process_TCs2527[[#This Row],[Flow_TC_I_2_'[%']]]+Tab_Process_TCs2527[[#This Row],[Flow_TC_I_3_'[%']]]+Tab_Process_TCs2527[[#This Row],[Flow_TC_I_4_'[%']]]+Tab_Process_TCs2527[[#This Row],[Flow_TC_I_5_'[%']]]</f>
        <v>0</v>
      </c>
      <c r="AD35" s="57" t="e">
        <f>_xlfn.XLOOKUP($D35,Tab_Process_TCs[TC_ID],Tab_Process_TCs[Output_Flow_O_1],,0,)</f>
        <v>#N/A</v>
      </c>
      <c r="AE35" s="48" t="e">
        <f>_xlfn.XLOOKUP($D35,Tab_Process_TCs[TC_ID],Tab_Process_TCs[Flow_ID_O_1],,0,)</f>
        <v>#N/A</v>
      </c>
      <c r="AF35" s="100" t="e">
        <f>Tab_Process_TCs2527[[#This Row],[Flow_ID]]</f>
        <v>#N/A</v>
      </c>
      <c r="AG35" s="48" t="e">
        <f t="shared" si="8"/>
        <v>#N/A</v>
      </c>
      <c r="AH35" s="109">
        <v>0.5</v>
      </c>
      <c r="AI35" s="231" t="e">
        <f>_xlfn.XLOOKUP($D35,Tab_Process_TCs[TC_ID],Tab_Process_TCs[Output_Flow_O_2],,0,)</f>
        <v>#N/A</v>
      </c>
      <c r="AJ35" s="113" t="e">
        <f>_xlfn.XLOOKUP($D35,Tab_Process_TCs[TC_ID],Tab_Process_TCs[Flow_ID_O_2],,0,)</f>
        <v>#N/A</v>
      </c>
      <c r="AK35" s="100" t="e">
        <f>Tab_Process_TCs2527[[#This Row],[Flow_ID]]</f>
        <v>#N/A</v>
      </c>
      <c r="AL35" s="48" t="e">
        <f t="shared" si="9"/>
        <v>#N/A</v>
      </c>
      <c r="AM35" s="228">
        <v>0.2</v>
      </c>
      <c r="AN35" s="57" t="e">
        <f>_xlfn.XLOOKUP($D35,Tab_Process_TCs[TC_ID],Tab_Process_TCs[Output_Flow_O_3],,0,)</f>
        <v>#N/A</v>
      </c>
      <c r="AO35" s="48" t="e">
        <f>_xlfn.XLOOKUP($D35,Tab_Process_TCs[TC_ID],Tab_Process_TCs[Flow_ID_O_3],,0,)</f>
        <v>#N/A</v>
      </c>
      <c r="AP35" s="100" t="e">
        <f>Tab_Process_TCs2527[[#This Row],[Flow_ID]]</f>
        <v>#N/A</v>
      </c>
      <c r="AQ35" s="48" t="e">
        <f t="shared" si="10"/>
        <v>#N/A</v>
      </c>
      <c r="AR35" s="228">
        <v>0.3</v>
      </c>
      <c r="AS35" s="57" t="e">
        <f>_xlfn.XLOOKUP($D35,Tab_Process_TCs[TC_ID],#REF!,,0,)</f>
        <v>#REF!</v>
      </c>
      <c r="AT35" s="48" t="e">
        <f>_xlfn.XLOOKUP($D35,Tab_Process_TCs[TC_ID],#REF!,,0,)</f>
        <v>#REF!</v>
      </c>
      <c r="AU35" s="100" t="e">
        <f>Tab_Process_TCs2527[[#This Row],[Flow_ID]]</f>
        <v>#N/A</v>
      </c>
      <c r="AV35" s="100" t="e">
        <f t="shared" si="11"/>
        <v>#N/A</v>
      </c>
      <c r="AW35" s="228"/>
      <c r="AX35" s="57" t="e">
        <f>_xlfn.XLOOKUP($D35,Tab_Process_TCs[TC_ID],#REF!,,0,)</f>
        <v>#REF!</v>
      </c>
      <c r="AY35" s="48" t="e">
        <f>_xlfn.XLOOKUP($D35,Tab_Process_TCs[TC_ID],#REF!,,0,)</f>
        <v>#REF!</v>
      </c>
      <c r="AZ35" s="100" t="e">
        <f>Tab_Process_TCs2527[[#This Row],[Flow_ID]]</f>
        <v>#N/A</v>
      </c>
      <c r="BA35" s="100" t="e">
        <f t="shared" si="12"/>
        <v>#REF!</v>
      </c>
      <c r="BB35" s="228"/>
      <c r="BC35" s="48" t="e">
        <f>_xlfn.XLOOKUP($D35,Tab_Process_TCs[TC_ID],#REF!,,0,)</f>
        <v>#REF!</v>
      </c>
      <c r="BD35" s="48" t="e">
        <f>_xlfn.XLOOKUP($D35,Tab_Process_TCs[TC_ID],#REF!,,0,)</f>
        <v>#REF!</v>
      </c>
      <c r="BE35" s="100" t="e">
        <f>Tab_Process_TCs2527[[#This Row],[Flow_ID]]</f>
        <v>#N/A</v>
      </c>
      <c r="BF35" s="100" t="e">
        <f t="shared" si="13"/>
        <v>#REF!</v>
      </c>
      <c r="BG35" s="109"/>
      <c r="BH35" s="112">
        <f>Tab_Process_TCs2527[[#This Row],[TC O_6_'[%']]]+Tab_Process_TCs2527[[#This Row],[TC O_5_'[%']]]+Tab_Process_TCs2527[[#This Row],[TC_O_4_'[%']]]+Tab_Process_TCs2527[[#This Row],[TC_O_3_'[%']]]+Tab_Process_TCs2527[[#This Row],[TC_O_2_'[%']]]+Tab_Process_TCs2527[[#This Row],[TC_O_1_'[%']]]</f>
        <v>1</v>
      </c>
      <c r="BI35" s="50"/>
      <c r="BJ35" s="50"/>
      <c r="BK35" s="50"/>
      <c r="BL35" s="50"/>
      <c r="BM35" s="50"/>
    </row>
    <row r="36" spans="1:65" x14ac:dyDescent="0.25">
      <c r="A36" s="87" t="b">
        <v>0</v>
      </c>
      <c r="B36" s="48">
        <f t="shared" si="7"/>
        <v>35</v>
      </c>
      <c r="C36" s="107" t="e">
        <f>_xlfn.XLOOKUP($D36,Tab_Process_TCs[Name(EN)],Tab_Process_TCs[Process_ID],,0,)</f>
        <v>#N/A</v>
      </c>
      <c r="D36" s="50"/>
      <c r="E36" s="50" t="s">
        <v>55</v>
      </c>
      <c r="F36" s="48" t="e">
        <f>_xlfn.XLOOKUP($D36,Tab_Process_TCs[Name(EN)],Tab_Process_TCs[TC?],,0,)</f>
        <v>#N/A</v>
      </c>
      <c r="G36" s="48" t="e">
        <f>_xlfn.XLOOKUP($D36,Tab_Process_TCs[Name(EN)],Tab_Process_TCs[Dyn_TC?],,0,)</f>
        <v>#N/A</v>
      </c>
      <c r="H36" s="48" t="e">
        <f>_xlfn.XLOOKUP($E36,Tab_Def_Flows[Name(EN)],Tab_Def_Flows[Flow_ID],,0,1)</f>
        <v>#N/A</v>
      </c>
      <c r="I36" s="50" t="e">
        <f>IF(Tab_Process_TCs2527[[#This Row],[Name(EN)]]="N.A.","N.A.","TC"&amp;"_"&amp;RIGHT(H36,5))</f>
        <v>#N/A</v>
      </c>
      <c r="J36" s="50"/>
      <c r="K36" s="249"/>
      <c r="L36" s="50" t="e">
        <f>_xlfn.XLOOKUP($D36,Tab_Def_Processes[Name(EN)],Tab_Def_Processes[Stock?],,0,)</f>
        <v>#N/A</v>
      </c>
      <c r="M36" s="48"/>
      <c r="N36" s="57" t="e">
        <f>_xlfn.XLOOKUP($D36,Tab_Def_Processes[Name(EN)],Tab_Def_Processes[Input_Flow_I_1],,0,)</f>
        <v>#N/A</v>
      </c>
      <c r="O36" s="48" t="e">
        <f>_xlfn.XLOOKUP($D36,Tab_Def_Processes[Name(EN)],Tab_Def_Processes[Flow_ID_I_1],,0,)</f>
        <v>#N/A</v>
      </c>
      <c r="P36" s="75"/>
      <c r="Q36" s="71" t="e">
        <f>_xlfn.XLOOKUP($D36,Tab_Def_Processes[Name(EN)],Tab_Def_Processes[Input_Flow_I_2],,0,)</f>
        <v>#N/A</v>
      </c>
      <c r="R36" s="48" t="e">
        <f>_xlfn.XLOOKUP($D36,Tab_Def_Processes[Name(EN)],Tab_Def_Processes[Flow_ID_I_2],,0,)</f>
        <v>#N/A</v>
      </c>
      <c r="S36" s="75"/>
      <c r="T36" s="71" t="e">
        <f>_xlfn.XLOOKUP($D36,Tab_Def_Processes[Name(EN)],Tab_Def_Processes[Input_Flow_I_3],,0,)</f>
        <v>#N/A</v>
      </c>
      <c r="U36" s="48" t="e">
        <f>_xlfn.XLOOKUP($D36,Tab_Def_Processes[Name(EN)],Tab_Def_Processes[Flow_ID_I_3],,0,)</f>
        <v>#N/A</v>
      </c>
      <c r="V36" s="75"/>
      <c r="W36" s="71" t="e">
        <f>_xlfn.XLOOKUP($D36,Tab_Def_Processes[Name(EN)],Tab_Def_Processes[Input_Flow_I_4],,0,)</f>
        <v>#N/A</v>
      </c>
      <c r="X36" s="48" t="e">
        <f>_xlfn.XLOOKUP($D36,Tab_Def_Processes[Name(EN)],Tab_Def_Processes[Flow_ID_I_4],,0,)</f>
        <v>#N/A</v>
      </c>
      <c r="Y36" s="75"/>
      <c r="Z36" s="71" t="e">
        <f>_xlfn.XLOOKUP($D36,Tab_Def_Processes[Name(EN)],Tab_Def_Processes[Input_Flow_I_5],,0,)</f>
        <v>#N/A</v>
      </c>
      <c r="AA36" s="48" t="e">
        <f>_xlfn.XLOOKUP($D36,Tab_Def_Processes[Name(EN)],Tab_Def_Processes[Flow_ID_I_5],,0,)</f>
        <v>#N/A</v>
      </c>
      <c r="AB36" s="75"/>
      <c r="AC36" s="74">
        <f>Tab_Process_TCs2527[[#This Row],[Flow_TC_I_1_'[%']]]+Tab_Process_TCs2527[[#This Row],[Flow_TC_I_2_'[%']]]+Tab_Process_TCs2527[[#This Row],[Flow_TC_I_3_'[%']]]+Tab_Process_TCs2527[[#This Row],[Flow_TC_I_4_'[%']]]+Tab_Process_TCs2527[[#This Row],[Flow_TC_I_5_'[%']]]</f>
        <v>0</v>
      </c>
      <c r="AD36" s="57" t="e">
        <f>_xlfn.XLOOKUP($D36,Tab_Process_TCs[TC_ID],Tab_Process_TCs[Output_Flow_O_1],,0,)</f>
        <v>#N/A</v>
      </c>
      <c r="AE36" s="48" t="e">
        <f>_xlfn.XLOOKUP($D36,Tab_Process_TCs[TC_ID],Tab_Process_TCs[Flow_ID_O_1],,0,)</f>
        <v>#N/A</v>
      </c>
      <c r="AF36" s="100" t="e">
        <f>Tab_Process_TCs2527[[#This Row],[Flow_ID]]</f>
        <v>#N/A</v>
      </c>
      <c r="AG36" s="48" t="e">
        <f t="shared" si="8"/>
        <v>#N/A</v>
      </c>
      <c r="AH36" s="109">
        <v>1</v>
      </c>
      <c r="AI36" s="231" t="e">
        <f>_xlfn.XLOOKUP($D36,Tab_Process_TCs[TC_ID],Tab_Process_TCs[Output_Flow_O_2],,0,)</f>
        <v>#N/A</v>
      </c>
      <c r="AJ36" s="113" t="e">
        <f>_xlfn.XLOOKUP($D36,Tab_Process_TCs[TC_ID],Tab_Process_TCs[Flow_ID_O_2],,0,)</f>
        <v>#N/A</v>
      </c>
      <c r="AK36" s="100" t="e">
        <f>Tab_Process_TCs2527[[#This Row],[Flow_ID]]</f>
        <v>#N/A</v>
      </c>
      <c r="AL36" s="48" t="e">
        <f t="shared" si="9"/>
        <v>#N/A</v>
      </c>
      <c r="AM36" s="228"/>
      <c r="AN36" s="57" t="e">
        <f>_xlfn.XLOOKUP($D36,Tab_Process_TCs[TC_ID],Tab_Process_TCs[Output_Flow_O_3],,0,)</f>
        <v>#N/A</v>
      </c>
      <c r="AO36" s="48" t="e">
        <f>_xlfn.XLOOKUP($D36,Tab_Process_TCs[TC_ID],Tab_Process_TCs[Flow_ID_O_3],,0,)</f>
        <v>#N/A</v>
      </c>
      <c r="AP36" s="100" t="e">
        <f>Tab_Process_TCs2527[[#This Row],[Flow_ID]]</f>
        <v>#N/A</v>
      </c>
      <c r="AQ36" s="48" t="e">
        <f t="shared" si="10"/>
        <v>#N/A</v>
      </c>
      <c r="AR36" s="228"/>
      <c r="AS36" s="57" t="e">
        <f>_xlfn.XLOOKUP($D36,Tab_Process_TCs[TC_ID],#REF!,,0,)</f>
        <v>#REF!</v>
      </c>
      <c r="AT36" s="48" t="e">
        <f>_xlfn.XLOOKUP($D36,Tab_Process_TCs[TC_ID],#REF!,,0,)</f>
        <v>#REF!</v>
      </c>
      <c r="AU36" s="100" t="e">
        <f>Tab_Process_TCs2527[[#This Row],[Flow_ID]]</f>
        <v>#N/A</v>
      </c>
      <c r="AV36" s="100" t="e">
        <f t="shared" si="11"/>
        <v>#N/A</v>
      </c>
      <c r="AW36" s="228"/>
      <c r="AX36" s="57" t="e">
        <f>_xlfn.XLOOKUP($D36,Tab_Process_TCs[TC_ID],#REF!,,0,)</f>
        <v>#REF!</v>
      </c>
      <c r="AY36" s="48" t="e">
        <f>_xlfn.XLOOKUP($D36,Tab_Process_TCs[TC_ID],#REF!,,0,)</f>
        <v>#REF!</v>
      </c>
      <c r="AZ36" s="100" t="e">
        <f>Tab_Process_TCs2527[[#This Row],[Flow_ID]]</f>
        <v>#N/A</v>
      </c>
      <c r="BA36" s="100" t="e">
        <f t="shared" si="12"/>
        <v>#REF!</v>
      </c>
      <c r="BB36" s="228"/>
      <c r="BC36" s="48" t="e">
        <f>_xlfn.XLOOKUP($D36,Tab_Process_TCs[TC_ID],#REF!,,0,)</f>
        <v>#REF!</v>
      </c>
      <c r="BD36" s="48" t="e">
        <f>_xlfn.XLOOKUP($D36,Tab_Process_TCs[TC_ID],#REF!,,0,)</f>
        <v>#REF!</v>
      </c>
      <c r="BE36" s="100" t="e">
        <f>Tab_Process_TCs2527[[#This Row],[Flow_ID]]</f>
        <v>#N/A</v>
      </c>
      <c r="BF36" s="100" t="e">
        <f t="shared" si="13"/>
        <v>#REF!</v>
      </c>
      <c r="BG36" s="109"/>
      <c r="BH36" s="112">
        <f>Tab_Process_TCs2527[[#This Row],[TC O_6_'[%']]]+Tab_Process_TCs2527[[#This Row],[TC O_5_'[%']]]+Tab_Process_TCs2527[[#This Row],[TC_O_4_'[%']]]+Tab_Process_TCs2527[[#This Row],[TC_O_3_'[%']]]+Tab_Process_TCs2527[[#This Row],[TC_O_2_'[%']]]+Tab_Process_TCs2527[[#This Row],[TC_O_1_'[%']]]</f>
        <v>1</v>
      </c>
      <c r="BI36" s="50"/>
      <c r="BJ36" s="50"/>
      <c r="BK36" s="50"/>
      <c r="BL36" s="50"/>
      <c r="BM36" s="50"/>
    </row>
    <row r="37" spans="1:65" x14ac:dyDescent="0.25">
      <c r="A37" s="87" t="b">
        <v>0</v>
      </c>
      <c r="B37" s="48">
        <f t="shared" si="7"/>
        <v>36</v>
      </c>
      <c r="C37" s="107" t="e">
        <f>_xlfn.XLOOKUP($D37,Tab_Process_TCs[Name(EN)],Tab_Process_TCs[Process_ID],,0,)</f>
        <v>#N/A</v>
      </c>
      <c r="D37" s="50"/>
      <c r="E37" s="50" t="s">
        <v>55</v>
      </c>
      <c r="F37" s="48" t="e">
        <f>_xlfn.XLOOKUP($D37,Tab_Process_TCs[Name(EN)],Tab_Process_TCs[TC?],,0,)</f>
        <v>#N/A</v>
      </c>
      <c r="G37" s="48" t="e">
        <f>_xlfn.XLOOKUP($D37,Tab_Process_TCs[Name(EN)],Tab_Process_TCs[Dyn_TC?],,0,)</f>
        <v>#N/A</v>
      </c>
      <c r="H37" s="48" t="e">
        <f>_xlfn.XLOOKUP($E37,Tab_Def_Flows[Name(EN)],Tab_Def_Flows[Flow_ID],,0,1)</f>
        <v>#N/A</v>
      </c>
      <c r="I37" s="50" t="e">
        <f>IF(Tab_Process_TCs2527[[#This Row],[Name(EN)]]="N.A.","N.A.","TC"&amp;"_"&amp;RIGHT(H37,5))</f>
        <v>#N/A</v>
      </c>
      <c r="J37" s="50"/>
      <c r="K37" s="249"/>
      <c r="L37" s="50" t="e">
        <f>_xlfn.XLOOKUP($D37,Tab_Def_Processes[Name(EN)],Tab_Def_Processes[Stock?],,0,)</f>
        <v>#N/A</v>
      </c>
      <c r="M37" s="48"/>
      <c r="N37" s="57" t="e">
        <f>_xlfn.XLOOKUP($D37,Tab_Def_Processes[Name(EN)],Tab_Def_Processes[Input_Flow_I_1],,0,)</f>
        <v>#N/A</v>
      </c>
      <c r="O37" s="48" t="e">
        <f>_xlfn.XLOOKUP($D37,Tab_Def_Processes[Name(EN)],Tab_Def_Processes[Flow_ID_I_1],,0,)</f>
        <v>#N/A</v>
      </c>
      <c r="P37" s="75"/>
      <c r="Q37" s="71" t="e">
        <f>_xlfn.XLOOKUP($D37,Tab_Def_Processes[Name(EN)],Tab_Def_Processes[Input_Flow_I_2],,0,)</f>
        <v>#N/A</v>
      </c>
      <c r="R37" s="48" t="e">
        <f>_xlfn.XLOOKUP($D37,Tab_Def_Processes[Name(EN)],Tab_Def_Processes[Flow_ID_I_2],,0,)</f>
        <v>#N/A</v>
      </c>
      <c r="S37" s="75"/>
      <c r="T37" s="71" t="e">
        <f>_xlfn.XLOOKUP($D37,Tab_Def_Processes[Name(EN)],Tab_Def_Processes[Input_Flow_I_3],,0,)</f>
        <v>#N/A</v>
      </c>
      <c r="U37" s="48" t="e">
        <f>_xlfn.XLOOKUP($D37,Tab_Def_Processes[Name(EN)],Tab_Def_Processes[Flow_ID_I_3],,0,)</f>
        <v>#N/A</v>
      </c>
      <c r="V37" s="75"/>
      <c r="W37" s="71" t="e">
        <f>_xlfn.XLOOKUP($D37,Tab_Def_Processes[Name(EN)],Tab_Def_Processes[Input_Flow_I_4],,0,)</f>
        <v>#N/A</v>
      </c>
      <c r="X37" s="48" t="e">
        <f>_xlfn.XLOOKUP($D37,Tab_Def_Processes[Name(EN)],Tab_Def_Processes[Flow_ID_I_4],,0,)</f>
        <v>#N/A</v>
      </c>
      <c r="Y37" s="75"/>
      <c r="Z37" s="71" t="e">
        <f>_xlfn.XLOOKUP($D37,Tab_Def_Processes[Name(EN)],Tab_Def_Processes[Input_Flow_I_5],,0,)</f>
        <v>#N/A</v>
      </c>
      <c r="AA37" s="48" t="e">
        <f>_xlfn.XLOOKUP($D37,Tab_Def_Processes[Name(EN)],Tab_Def_Processes[Flow_ID_I_5],,0,)</f>
        <v>#N/A</v>
      </c>
      <c r="AB37" s="75"/>
      <c r="AC37" s="74">
        <f>Tab_Process_TCs2527[[#This Row],[Flow_TC_I_1_'[%']]]+Tab_Process_TCs2527[[#This Row],[Flow_TC_I_2_'[%']]]+Tab_Process_TCs2527[[#This Row],[Flow_TC_I_3_'[%']]]+Tab_Process_TCs2527[[#This Row],[Flow_TC_I_4_'[%']]]+Tab_Process_TCs2527[[#This Row],[Flow_TC_I_5_'[%']]]</f>
        <v>0</v>
      </c>
      <c r="AD37" s="57" t="e">
        <f>_xlfn.XLOOKUP($D37,Tab_Process_TCs[TC_ID],Tab_Process_TCs[Output_Flow_O_1],,0,)</f>
        <v>#N/A</v>
      </c>
      <c r="AE37" s="48" t="e">
        <f>_xlfn.XLOOKUP($D37,Tab_Process_TCs[TC_ID],Tab_Process_TCs[Flow_ID_O_1],,0,)</f>
        <v>#N/A</v>
      </c>
      <c r="AF37" s="100" t="e">
        <f>Tab_Process_TCs2527[[#This Row],[Flow_ID]]</f>
        <v>#N/A</v>
      </c>
      <c r="AG37" s="48" t="e">
        <f t="shared" si="8"/>
        <v>#N/A</v>
      </c>
      <c r="AH37" s="109">
        <v>1</v>
      </c>
      <c r="AI37" s="231" t="e">
        <f>_xlfn.XLOOKUP($D37,Tab_Process_TCs[TC_ID],Tab_Process_TCs[Output_Flow_O_2],,0,)</f>
        <v>#N/A</v>
      </c>
      <c r="AJ37" s="113" t="e">
        <f>_xlfn.XLOOKUP($D37,Tab_Process_TCs[TC_ID],Tab_Process_TCs[Flow_ID_O_2],,0,)</f>
        <v>#N/A</v>
      </c>
      <c r="AK37" s="100" t="e">
        <f>Tab_Process_TCs2527[[#This Row],[Flow_ID]]</f>
        <v>#N/A</v>
      </c>
      <c r="AL37" s="48" t="e">
        <f t="shared" si="9"/>
        <v>#N/A</v>
      </c>
      <c r="AM37" s="228"/>
      <c r="AN37" s="57" t="e">
        <f>_xlfn.XLOOKUP($D37,Tab_Process_TCs[TC_ID],Tab_Process_TCs[Output_Flow_O_3],,0,)</f>
        <v>#N/A</v>
      </c>
      <c r="AO37" s="48" t="e">
        <f>_xlfn.XLOOKUP($D37,Tab_Process_TCs[TC_ID],Tab_Process_TCs[Flow_ID_O_3],,0,)</f>
        <v>#N/A</v>
      </c>
      <c r="AP37" s="100" t="e">
        <f>Tab_Process_TCs2527[[#This Row],[Flow_ID]]</f>
        <v>#N/A</v>
      </c>
      <c r="AQ37" s="48" t="e">
        <f t="shared" si="10"/>
        <v>#N/A</v>
      </c>
      <c r="AR37" s="228"/>
      <c r="AS37" s="57" t="e">
        <f>_xlfn.XLOOKUP($D37,Tab_Process_TCs[TC_ID],#REF!,,0,)</f>
        <v>#REF!</v>
      </c>
      <c r="AT37" s="48" t="e">
        <f>_xlfn.XLOOKUP($D37,Tab_Process_TCs[TC_ID],#REF!,,0,)</f>
        <v>#REF!</v>
      </c>
      <c r="AU37" s="100" t="e">
        <f>Tab_Process_TCs2527[[#This Row],[Flow_ID]]</f>
        <v>#N/A</v>
      </c>
      <c r="AV37" s="100" t="e">
        <f t="shared" si="11"/>
        <v>#N/A</v>
      </c>
      <c r="AW37" s="228"/>
      <c r="AX37" s="57" t="e">
        <f>_xlfn.XLOOKUP($D37,Tab_Process_TCs[TC_ID],#REF!,,0,)</f>
        <v>#REF!</v>
      </c>
      <c r="AY37" s="48" t="e">
        <f>_xlfn.XLOOKUP($D37,Tab_Process_TCs[TC_ID],#REF!,,0,)</f>
        <v>#REF!</v>
      </c>
      <c r="AZ37" s="100" t="e">
        <f>Tab_Process_TCs2527[[#This Row],[Flow_ID]]</f>
        <v>#N/A</v>
      </c>
      <c r="BA37" s="100" t="e">
        <f t="shared" si="12"/>
        <v>#REF!</v>
      </c>
      <c r="BB37" s="228"/>
      <c r="BC37" s="48" t="e">
        <f>_xlfn.XLOOKUP($D37,Tab_Process_TCs[TC_ID],#REF!,,0,)</f>
        <v>#REF!</v>
      </c>
      <c r="BD37" s="48" t="e">
        <f>_xlfn.XLOOKUP($D37,Tab_Process_TCs[TC_ID],#REF!,,0,)</f>
        <v>#REF!</v>
      </c>
      <c r="BE37" s="100" t="e">
        <f>Tab_Process_TCs2527[[#This Row],[Flow_ID]]</f>
        <v>#N/A</v>
      </c>
      <c r="BF37" s="100" t="e">
        <f t="shared" si="13"/>
        <v>#REF!</v>
      </c>
      <c r="BG37" s="109"/>
      <c r="BH37" s="112">
        <f>Tab_Process_TCs2527[[#This Row],[TC O_6_'[%']]]+Tab_Process_TCs2527[[#This Row],[TC O_5_'[%']]]+Tab_Process_TCs2527[[#This Row],[TC_O_4_'[%']]]+Tab_Process_TCs2527[[#This Row],[TC_O_3_'[%']]]+Tab_Process_TCs2527[[#This Row],[TC_O_2_'[%']]]+Tab_Process_TCs2527[[#This Row],[TC_O_1_'[%']]]</f>
        <v>1</v>
      </c>
      <c r="BI37" s="50"/>
      <c r="BJ37" s="50"/>
      <c r="BK37" s="50"/>
      <c r="BL37" s="50"/>
      <c r="BM37" s="50"/>
    </row>
    <row r="38" spans="1:65" x14ac:dyDescent="0.25">
      <c r="A38" s="87" t="b">
        <v>0</v>
      </c>
      <c r="B38" s="48">
        <f t="shared" si="7"/>
        <v>37</v>
      </c>
      <c r="C38" s="107" t="e">
        <f>_xlfn.XLOOKUP($D38,Tab_Process_TCs[Name(EN)],Tab_Process_TCs[Process_ID],,0,)</f>
        <v>#N/A</v>
      </c>
      <c r="D38" s="50"/>
      <c r="E38" s="50" t="s">
        <v>55</v>
      </c>
      <c r="F38" s="48" t="e">
        <f>_xlfn.XLOOKUP($D38,Tab_Process_TCs[Name(EN)],Tab_Process_TCs[TC?],,0,)</f>
        <v>#N/A</v>
      </c>
      <c r="G38" s="48" t="e">
        <f>_xlfn.XLOOKUP($D38,Tab_Process_TCs[Name(EN)],Tab_Process_TCs[Dyn_TC?],,0,)</f>
        <v>#N/A</v>
      </c>
      <c r="H38" s="48" t="e">
        <f>_xlfn.XLOOKUP($E38,Tab_Def_Flows[Name(EN)],Tab_Def_Flows[Flow_ID],,0,1)</f>
        <v>#N/A</v>
      </c>
      <c r="I38" s="50" t="e">
        <f>IF(Tab_Process_TCs2527[[#This Row],[Name(EN)]]="N.A.","N.A.","TC"&amp;"_"&amp;RIGHT(H38,5))</f>
        <v>#N/A</v>
      </c>
      <c r="J38" s="50"/>
      <c r="K38" s="249"/>
      <c r="L38" s="50" t="e">
        <f>_xlfn.XLOOKUP($D38,Tab_Def_Processes[Name(EN)],Tab_Def_Processes[Stock?],,0,)</f>
        <v>#N/A</v>
      </c>
      <c r="M38" s="48"/>
      <c r="N38" s="57" t="e">
        <f>_xlfn.XLOOKUP($D38,Tab_Def_Processes[Name(EN)],Tab_Def_Processes[Input_Flow_I_1],,0,)</f>
        <v>#N/A</v>
      </c>
      <c r="O38" s="48" t="e">
        <f>_xlfn.XLOOKUP($D38,Tab_Def_Processes[Name(EN)],Tab_Def_Processes[Flow_ID_I_1],,0,)</f>
        <v>#N/A</v>
      </c>
      <c r="P38" s="75"/>
      <c r="Q38" s="71" t="e">
        <f>_xlfn.XLOOKUP($D38,Tab_Def_Processes[Name(EN)],Tab_Def_Processes[Input_Flow_I_2],,0,)</f>
        <v>#N/A</v>
      </c>
      <c r="R38" s="48" t="e">
        <f>_xlfn.XLOOKUP($D38,Tab_Def_Processes[Name(EN)],Tab_Def_Processes[Flow_ID_I_2],,0,)</f>
        <v>#N/A</v>
      </c>
      <c r="S38" s="75"/>
      <c r="T38" s="71" t="e">
        <f>_xlfn.XLOOKUP($D38,Tab_Def_Processes[Name(EN)],Tab_Def_Processes[Input_Flow_I_3],,0,)</f>
        <v>#N/A</v>
      </c>
      <c r="U38" s="48" t="e">
        <f>_xlfn.XLOOKUP($D38,Tab_Def_Processes[Name(EN)],Tab_Def_Processes[Flow_ID_I_3],,0,)</f>
        <v>#N/A</v>
      </c>
      <c r="V38" s="75"/>
      <c r="W38" s="71" t="e">
        <f>_xlfn.XLOOKUP($D38,Tab_Def_Processes[Name(EN)],Tab_Def_Processes[Input_Flow_I_4],,0,)</f>
        <v>#N/A</v>
      </c>
      <c r="X38" s="48" t="e">
        <f>_xlfn.XLOOKUP($D38,Tab_Def_Processes[Name(EN)],Tab_Def_Processes[Flow_ID_I_4],,0,)</f>
        <v>#N/A</v>
      </c>
      <c r="Y38" s="75"/>
      <c r="Z38" s="71" t="e">
        <f>_xlfn.XLOOKUP($D38,Tab_Def_Processes[Name(EN)],Tab_Def_Processes[Input_Flow_I_5],,0,)</f>
        <v>#N/A</v>
      </c>
      <c r="AA38" s="48" t="e">
        <f>_xlfn.XLOOKUP($D38,Tab_Def_Processes[Name(EN)],Tab_Def_Processes[Flow_ID_I_5],,0,)</f>
        <v>#N/A</v>
      </c>
      <c r="AB38" s="75"/>
      <c r="AC38" s="74">
        <f>Tab_Process_TCs2527[[#This Row],[Flow_TC_I_1_'[%']]]+Tab_Process_TCs2527[[#This Row],[Flow_TC_I_2_'[%']]]+Tab_Process_TCs2527[[#This Row],[Flow_TC_I_3_'[%']]]+Tab_Process_TCs2527[[#This Row],[Flow_TC_I_4_'[%']]]+Tab_Process_TCs2527[[#This Row],[Flow_TC_I_5_'[%']]]</f>
        <v>0</v>
      </c>
      <c r="AD38" s="57" t="e">
        <f>_xlfn.XLOOKUP($D38,Tab_Process_TCs[TC_ID],Tab_Process_TCs[Output_Flow_O_1],,0,)</f>
        <v>#N/A</v>
      </c>
      <c r="AE38" s="48" t="e">
        <f>_xlfn.XLOOKUP($D38,Tab_Process_TCs[TC_ID],Tab_Process_TCs[Flow_ID_O_1],,0,)</f>
        <v>#N/A</v>
      </c>
      <c r="AF38" s="100" t="e">
        <f>Tab_Process_TCs2527[[#This Row],[Flow_ID]]</f>
        <v>#N/A</v>
      </c>
      <c r="AG38" s="48" t="e">
        <f t="shared" si="8"/>
        <v>#N/A</v>
      </c>
      <c r="AH38" s="109">
        <v>1</v>
      </c>
      <c r="AI38" s="231" t="e">
        <f>_xlfn.XLOOKUP($D38,Tab_Process_TCs[TC_ID],Tab_Process_TCs[Output_Flow_O_2],,0,)</f>
        <v>#N/A</v>
      </c>
      <c r="AJ38" s="113" t="e">
        <f>_xlfn.XLOOKUP($D38,Tab_Process_TCs[TC_ID],Tab_Process_TCs[Flow_ID_O_2],,0,)</f>
        <v>#N/A</v>
      </c>
      <c r="AK38" s="100" t="e">
        <f>Tab_Process_TCs2527[[#This Row],[Flow_ID]]</f>
        <v>#N/A</v>
      </c>
      <c r="AL38" s="48" t="e">
        <f t="shared" si="9"/>
        <v>#N/A</v>
      </c>
      <c r="AM38" s="228"/>
      <c r="AN38" s="57" t="e">
        <f>_xlfn.XLOOKUP($D38,Tab_Process_TCs[TC_ID],Tab_Process_TCs[Output_Flow_O_3],,0,)</f>
        <v>#N/A</v>
      </c>
      <c r="AO38" s="48" t="e">
        <f>_xlfn.XLOOKUP($D38,Tab_Process_TCs[TC_ID],Tab_Process_TCs[Flow_ID_O_3],,0,)</f>
        <v>#N/A</v>
      </c>
      <c r="AP38" s="100" t="e">
        <f>Tab_Process_TCs2527[[#This Row],[Flow_ID]]</f>
        <v>#N/A</v>
      </c>
      <c r="AQ38" s="48" t="e">
        <f t="shared" si="10"/>
        <v>#N/A</v>
      </c>
      <c r="AR38" s="228"/>
      <c r="AS38" s="57" t="e">
        <f>_xlfn.XLOOKUP($D38,Tab_Process_TCs[TC_ID],#REF!,,0,)</f>
        <v>#REF!</v>
      </c>
      <c r="AT38" s="48" t="e">
        <f>_xlfn.XLOOKUP($D38,Tab_Process_TCs[TC_ID],#REF!,,0,)</f>
        <v>#REF!</v>
      </c>
      <c r="AU38" s="100" t="e">
        <f>Tab_Process_TCs2527[[#This Row],[Flow_ID]]</f>
        <v>#N/A</v>
      </c>
      <c r="AV38" s="100" t="e">
        <f t="shared" si="11"/>
        <v>#N/A</v>
      </c>
      <c r="AW38" s="228"/>
      <c r="AX38" s="57" t="e">
        <f>_xlfn.XLOOKUP($D38,Tab_Process_TCs[TC_ID],#REF!,,0,)</f>
        <v>#REF!</v>
      </c>
      <c r="AY38" s="48" t="e">
        <f>_xlfn.XLOOKUP($D38,Tab_Process_TCs[TC_ID],#REF!,,0,)</f>
        <v>#REF!</v>
      </c>
      <c r="AZ38" s="100" t="e">
        <f>Tab_Process_TCs2527[[#This Row],[Flow_ID]]</f>
        <v>#N/A</v>
      </c>
      <c r="BA38" s="100" t="e">
        <f t="shared" si="12"/>
        <v>#REF!</v>
      </c>
      <c r="BB38" s="228"/>
      <c r="BC38" s="48" t="e">
        <f>_xlfn.XLOOKUP($D38,Tab_Process_TCs[TC_ID],#REF!,,0,)</f>
        <v>#REF!</v>
      </c>
      <c r="BD38" s="48" t="e">
        <f>_xlfn.XLOOKUP($D38,Tab_Process_TCs[TC_ID],#REF!,,0,)</f>
        <v>#REF!</v>
      </c>
      <c r="BE38" s="100" t="e">
        <f>Tab_Process_TCs2527[[#This Row],[Flow_ID]]</f>
        <v>#N/A</v>
      </c>
      <c r="BF38" s="100" t="e">
        <f t="shared" si="13"/>
        <v>#REF!</v>
      </c>
      <c r="BG38" s="109"/>
      <c r="BH38" s="112">
        <f>Tab_Process_TCs2527[[#This Row],[TC O_6_'[%']]]+Tab_Process_TCs2527[[#This Row],[TC O_5_'[%']]]+Tab_Process_TCs2527[[#This Row],[TC_O_4_'[%']]]+Tab_Process_TCs2527[[#This Row],[TC_O_3_'[%']]]+Tab_Process_TCs2527[[#This Row],[TC_O_2_'[%']]]+Tab_Process_TCs2527[[#This Row],[TC_O_1_'[%']]]</f>
        <v>1</v>
      </c>
      <c r="BI38" s="50"/>
      <c r="BJ38" s="50"/>
      <c r="BK38" s="50"/>
      <c r="BL38" s="50"/>
      <c r="BM38" s="50"/>
    </row>
    <row r="39" spans="1:65" x14ac:dyDescent="0.25">
      <c r="A39" s="87" t="b">
        <v>0</v>
      </c>
      <c r="B39" s="48">
        <f t="shared" si="7"/>
        <v>38</v>
      </c>
      <c r="C39" s="107" t="e">
        <f>_xlfn.XLOOKUP($D39,Tab_Process_TCs[Name(EN)],Tab_Process_TCs[Process_ID],,0,)</f>
        <v>#N/A</v>
      </c>
      <c r="D39" s="50"/>
      <c r="E39" s="50" t="s">
        <v>55</v>
      </c>
      <c r="F39" s="48" t="e">
        <f>_xlfn.XLOOKUP($D39,Tab_Process_TCs[Name(EN)],Tab_Process_TCs[TC?],,0,)</f>
        <v>#N/A</v>
      </c>
      <c r="G39" s="48" t="e">
        <f>_xlfn.XLOOKUP($D39,Tab_Process_TCs[Name(EN)],Tab_Process_TCs[Dyn_TC?],,0,)</f>
        <v>#N/A</v>
      </c>
      <c r="H39" s="48" t="e">
        <f>_xlfn.XLOOKUP($E39,Tab_Def_Flows[Name(EN)],Tab_Def_Flows[Flow_ID],,0,1)</f>
        <v>#N/A</v>
      </c>
      <c r="I39" s="50" t="e">
        <f>IF(Tab_Process_TCs2527[[#This Row],[Name(EN)]]="N.A.","N.A.","TC"&amp;"_"&amp;RIGHT(H39,5))</f>
        <v>#N/A</v>
      </c>
      <c r="J39" s="50"/>
      <c r="K39" s="249"/>
      <c r="L39" s="50" t="e">
        <f>_xlfn.XLOOKUP($D39,Tab_Def_Processes[Name(EN)],Tab_Def_Processes[Stock?],,0,)</f>
        <v>#N/A</v>
      </c>
      <c r="M39" s="48"/>
      <c r="N39" s="57" t="e">
        <f>_xlfn.XLOOKUP($D39,Tab_Def_Processes[Name(EN)],Tab_Def_Processes[Input_Flow_I_1],,0,)</f>
        <v>#N/A</v>
      </c>
      <c r="O39" s="48" t="e">
        <f>_xlfn.XLOOKUP($D39,Tab_Def_Processes[Name(EN)],Tab_Def_Processes[Flow_ID_I_1],,0,)</f>
        <v>#N/A</v>
      </c>
      <c r="P39" s="75"/>
      <c r="Q39" s="71" t="e">
        <f>_xlfn.XLOOKUP($D39,Tab_Def_Processes[Name(EN)],Tab_Def_Processes[Input_Flow_I_2],,0,)</f>
        <v>#N/A</v>
      </c>
      <c r="R39" s="48" t="e">
        <f>_xlfn.XLOOKUP($D39,Tab_Def_Processes[Name(EN)],Tab_Def_Processes[Flow_ID_I_2],,0,)</f>
        <v>#N/A</v>
      </c>
      <c r="S39" s="75"/>
      <c r="T39" s="71" t="e">
        <f>_xlfn.XLOOKUP($D39,Tab_Def_Processes[Name(EN)],Tab_Def_Processes[Input_Flow_I_3],,0,)</f>
        <v>#N/A</v>
      </c>
      <c r="U39" s="48" t="e">
        <f>_xlfn.XLOOKUP($D39,Tab_Def_Processes[Name(EN)],Tab_Def_Processes[Flow_ID_I_3],,0,)</f>
        <v>#N/A</v>
      </c>
      <c r="V39" s="75"/>
      <c r="W39" s="71" t="e">
        <f>_xlfn.XLOOKUP($D39,Tab_Def_Processes[Name(EN)],Tab_Def_Processes[Input_Flow_I_4],,0,)</f>
        <v>#N/A</v>
      </c>
      <c r="X39" s="48" t="e">
        <f>_xlfn.XLOOKUP($D39,Tab_Def_Processes[Name(EN)],Tab_Def_Processes[Flow_ID_I_4],,0,)</f>
        <v>#N/A</v>
      </c>
      <c r="Y39" s="75"/>
      <c r="Z39" s="71" t="e">
        <f>_xlfn.XLOOKUP($D39,Tab_Def_Processes[Name(EN)],Tab_Def_Processes[Input_Flow_I_5],,0,)</f>
        <v>#N/A</v>
      </c>
      <c r="AA39" s="48" t="e">
        <f>_xlfn.XLOOKUP($D39,Tab_Def_Processes[Name(EN)],Tab_Def_Processes[Flow_ID_I_5],,0,)</f>
        <v>#N/A</v>
      </c>
      <c r="AB39" s="75"/>
      <c r="AC39" s="74">
        <f>Tab_Process_TCs2527[[#This Row],[Flow_TC_I_1_'[%']]]+Tab_Process_TCs2527[[#This Row],[Flow_TC_I_2_'[%']]]+Tab_Process_TCs2527[[#This Row],[Flow_TC_I_3_'[%']]]+Tab_Process_TCs2527[[#This Row],[Flow_TC_I_4_'[%']]]+Tab_Process_TCs2527[[#This Row],[Flow_TC_I_5_'[%']]]</f>
        <v>0</v>
      </c>
      <c r="AD39" s="57" t="e">
        <f>_xlfn.XLOOKUP($D39,Tab_Process_TCs[TC_ID],Tab_Process_TCs[Output_Flow_O_1],,0,)</f>
        <v>#N/A</v>
      </c>
      <c r="AE39" s="48" t="e">
        <f>_xlfn.XLOOKUP($D39,Tab_Process_TCs[TC_ID],Tab_Process_TCs[Flow_ID_O_1],,0,)</f>
        <v>#N/A</v>
      </c>
      <c r="AF39" s="100" t="e">
        <f>Tab_Process_TCs2527[[#This Row],[Flow_ID]]</f>
        <v>#N/A</v>
      </c>
      <c r="AG39" s="48" t="e">
        <f t="shared" si="8"/>
        <v>#N/A</v>
      </c>
      <c r="AH39" s="109">
        <v>1</v>
      </c>
      <c r="AI39" s="231" t="e">
        <f>_xlfn.XLOOKUP($D39,Tab_Process_TCs[TC_ID],Tab_Process_TCs[Output_Flow_O_2],,0,)</f>
        <v>#N/A</v>
      </c>
      <c r="AJ39" s="113" t="e">
        <f>_xlfn.XLOOKUP($D39,Tab_Process_TCs[TC_ID],Tab_Process_TCs[Flow_ID_O_2],,0,)</f>
        <v>#N/A</v>
      </c>
      <c r="AK39" s="100" t="e">
        <f>Tab_Process_TCs2527[[#This Row],[Flow_ID]]</f>
        <v>#N/A</v>
      </c>
      <c r="AL39" s="48" t="e">
        <f t="shared" si="9"/>
        <v>#N/A</v>
      </c>
      <c r="AM39" s="228"/>
      <c r="AN39" s="57" t="e">
        <f>_xlfn.XLOOKUP($D39,Tab_Process_TCs[TC_ID],Tab_Process_TCs[Output_Flow_O_3],,0,)</f>
        <v>#N/A</v>
      </c>
      <c r="AO39" s="48" t="e">
        <f>_xlfn.XLOOKUP($D39,Tab_Process_TCs[TC_ID],Tab_Process_TCs[Flow_ID_O_3],,0,)</f>
        <v>#N/A</v>
      </c>
      <c r="AP39" s="100" t="e">
        <f>Tab_Process_TCs2527[[#This Row],[Flow_ID]]</f>
        <v>#N/A</v>
      </c>
      <c r="AQ39" s="48" t="e">
        <f t="shared" si="10"/>
        <v>#N/A</v>
      </c>
      <c r="AR39" s="228"/>
      <c r="AS39" s="57" t="e">
        <f>_xlfn.XLOOKUP($D39,Tab_Process_TCs[TC_ID],#REF!,,0,)</f>
        <v>#REF!</v>
      </c>
      <c r="AT39" s="48" t="e">
        <f>_xlfn.XLOOKUP($D39,Tab_Process_TCs[TC_ID],#REF!,,0,)</f>
        <v>#REF!</v>
      </c>
      <c r="AU39" s="100" t="e">
        <f>Tab_Process_TCs2527[[#This Row],[Flow_ID]]</f>
        <v>#N/A</v>
      </c>
      <c r="AV39" s="100" t="e">
        <f t="shared" si="11"/>
        <v>#N/A</v>
      </c>
      <c r="AW39" s="228"/>
      <c r="AX39" s="57" t="e">
        <f>_xlfn.XLOOKUP($D39,Tab_Process_TCs[TC_ID],#REF!,,0,)</f>
        <v>#REF!</v>
      </c>
      <c r="AY39" s="48" t="e">
        <f>_xlfn.XLOOKUP($D39,Tab_Process_TCs[TC_ID],#REF!,,0,)</f>
        <v>#REF!</v>
      </c>
      <c r="AZ39" s="100" t="e">
        <f>Tab_Process_TCs2527[[#This Row],[Flow_ID]]</f>
        <v>#N/A</v>
      </c>
      <c r="BA39" s="100" t="e">
        <f t="shared" si="12"/>
        <v>#REF!</v>
      </c>
      <c r="BB39" s="228"/>
      <c r="BC39" s="48" t="e">
        <f>_xlfn.XLOOKUP($D39,Tab_Process_TCs[TC_ID],#REF!,,0,)</f>
        <v>#REF!</v>
      </c>
      <c r="BD39" s="48" t="e">
        <f>_xlfn.XLOOKUP($D39,Tab_Process_TCs[TC_ID],#REF!,,0,)</f>
        <v>#REF!</v>
      </c>
      <c r="BE39" s="100" t="e">
        <f>Tab_Process_TCs2527[[#This Row],[Flow_ID]]</f>
        <v>#N/A</v>
      </c>
      <c r="BF39" s="100" t="e">
        <f t="shared" si="13"/>
        <v>#REF!</v>
      </c>
      <c r="BG39" s="109"/>
      <c r="BH39" s="112">
        <f>Tab_Process_TCs2527[[#This Row],[TC O_6_'[%']]]+Tab_Process_TCs2527[[#This Row],[TC O_5_'[%']]]+Tab_Process_TCs2527[[#This Row],[TC_O_4_'[%']]]+Tab_Process_TCs2527[[#This Row],[TC_O_3_'[%']]]+Tab_Process_TCs2527[[#This Row],[TC_O_2_'[%']]]+Tab_Process_TCs2527[[#This Row],[TC_O_1_'[%']]]</f>
        <v>1</v>
      </c>
      <c r="BI39" s="50"/>
      <c r="BJ39" s="50"/>
      <c r="BK39" s="50"/>
      <c r="BL39" s="50"/>
      <c r="BM39" s="50"/>
    </row>
    <row r="40" spans="1:65" x14ac:dyDescent="0.25">
      <c r="A40" s="87" t="b">
        <v>0</v>
      </c>
      <c r="B40" s="48">
        <f t="shared" si="7"/>
        <v>39</v>
      </c>
      <c r="C40" s="107" t="e">
        <f>_xlfn.XLOOKUP($D40,Tab_Process_TCs[Name(EN)],Tab_Process_TCs[Process_ID],,0,)</f>
        <v>#N/A</v>
      </c>
      <c r="D40" s="50"/>
      <c r="E40" s="50" t="s">
        <v>55</v>
      </c>
      <c r="F40" s="48" t="e">
        <f>_xlfn.XLOOKUP($D40,Tab_Process_TCs[Name(EN)],Tab_Process_TCs[TC?],,0,)</f>
        <v>#N/A</v>
      </c>
      <c r="G40" s="48" t="e">
        <f>_xlfn.XLOOKUP($D40,Tab_Process_TCs[Name(EN)],Tab_Process_TCs[Dyn_TC?],,0,)</f>
        <v>#N/A</v>
      </c>
      <c r="H40" s="48" t="e">
        <f>_xlfn.XLOOKUP($E40,Tab_Def_Flows[Name(EN)],Tab_Def_Flows[Flow_ID],,0,1)</f>
        <v>#N/A</v>
      </c>
      <c r="I40" s="50" t="e">
        <f>IF(Tab_Process_TCs2527[[#This Row],[Name(EN)]]="N.A.","N.A.","TC"&amp;"_"&amp;RIGHT(H40,5))</f>
        <v>#N/A</v>
      </c>
      <c r="J40" s="50"/>
      <c r="K40" s="249"/>
      <c r="L40" s="50" t="e">
        <f>_xlfn.XLOOKUP($D40,Tab_Def_Processes[Name(EN)],Tab_Def_Processes[Stock?],,0,)</f>
        <v>#N/A</v>
      </c>
      <c r="M40" s="48"/>
      <c r="N40" s="57" t="e">
        <f>_xlfn.XLOOKUP($D40,Tab_Def_Processes[Name(EN)],Tab_Def_Processes[Input_Flow_I_1],,0,)</f>
        <v>#N/A</v>
      </c>
      <c r="O40" s="48" t="e">
        <f>_xlfn.XLOOKUP($D40,Tab_Def_Processes[Name(EN)],Tab_Def_Processes[Flow_ID_I_1],,0,)</f>
        <v>#N/A</v>
      </c>
      <c r="P40" s="75"/>
      <c r="Q40" s="71" t="e">
        <f>_xlfn.XLOOKUP($D40,Tab_Def_Processes[Name(EN)],Tab_Def_Processes[Input_Flow_I_2],,0,)</f>
        <v>#N/A</v>
      </c>
      <c r="R40" s="48" t="e">
        <f>_xlfn.XLOOKUP($D40,Tab_Def_Processes[Name(EN)],Tab_Def_Processes[Flow_ID_I_2],,0,)</f>
        <v>#N/A</v>
      </c>
      <c r="S40" s="75"/>
      <c r="T40" s="71" t="e">
        <f>_xlfn.XLOOKUP($D40,Tab_Def_Processes[Name(EN)],Tab_Def_Processes[Input_Flow_I_3],,0,)</f>
        <v>#N/A</v>
      </c>
      <c r="U40" s="48" t="e">
        <f>_xlfn.XLOOKUP($D40,Tab_Def_Processes[Name(EN)],Tab_Def_Processes[Flow_ID_I_3],,0,)</f>
        <v>#N/A</v>
      </c>
      <c r="V40" s="75"/>
      <c r="W40" s="71" t="e">
        <f>_xlfn.XLOOKUP($D40,Tab_Def_Processes[Name(EN)],Tab_Def_Processes[Input_Flow_I_4],,0,)</f>
        <v>#N/A</v>
      </c>
      <c r="X40" s="48" t="e">
        <f>_xlfn.XLOOKUP($D40,Tab_Def_Processes[Name(EN)],Tab_Def_Processes[Flow_ID_I_4],,0,)</f>
        <v>#N/A</v>
      </c>
      <c r="Y40" s="75"/>
      <c r="Z40" s="71" t="e">
        <f>_xlfn.XLOOKUP($D40,Tab_Def_Processes[Name(EN)],Tab_Def_Processes[Input_Flow_I_5],,0,)</f>
        <v>#N/A</v>
      </c>
      <c r="AA40" s="48" t="e">
        <f>_xlfn.XLOOKUP($D40,Tab_Def_Processes[Name(EN)],Tab_Def_Processes[Flow_ID_I_5],,0,)</f>
        <v>#N/A</v>
      </c>
      <c r="AB40" s="75"/>
      <c r="AC40" s="74">
        <f>Tab_Process_TCs2527[[#This Row],[Flow_TC_I_1_'[%']]]+Tab_Process_TCs2527[[#This Row],[Flow_TC_I_2_'[%']]]+Tab_Process_TCs2527[[#This Row],[Flow_TC_I_3_'[%']]]+Tab_Process_TCs2527[[#This Row],[Flow_TC_I_4_'[%']]]+Tab_Process_TCs2527[[#This Row],[Flow_TC_I_5_'[%']]]</f>
        <v>0</v>
      </c>
      <c r="AD40" s="57" t="e">
        <f>_xlfn.XLOOKUP($D40,Tab_Process_TCs[TC_ID],Tab_Process_TCs[Output_Flow_O_1],,0,)</f>
        <v>#N/A</v>
      </c>
      <c r="AE40" s="48" t="e">
        <f>_xlfn.XLOOKUP($D40,Tab_Process_TCs[TC_ID],Tab_Process_TCs[Flow_ID_O_1],,0,)</f>
        <v>#N/A</v>
      </c>
      <c r="AF40" s="100" t="e">
        <f>Tab_Process_TCs2527[[#This Row],[Flow_ID]]</f>
        <v>#N/A</v>
      </c>
      <c r="AG40" s="48" t="e">
        <f t="shared" si="8"/>
        <v>#N/A</v>
      </c>
      <c r="AH40" s="109">
        <v>1</v>
      </c>
      <c r="AI40" s="231" t="e">
        <f>_xlfn.XLOOKUP($D40,Tab_Process_TCs[TC_ID],Tab_Process_TCs[Output_Flow_O_2],,0,)</f>
        <v>#N/A</v>
      </c>
      <c r="AJ40" s="113" t="e">
        <f>_xlfn.XLOOKUP($D40,Tab_Process_TCs[TC_ID],Tab_Process_TCs[Flow_ID_O_2],,0,)</f>
        <v>#N/A</v>
      </c>
      <c r="AK40" s="100" t="e">
        <f>Tab_Process_TCs2527[[#This Row],[Flow_ID]]</f>
        <v>#N/A</v>
      </c>
      <c r="AL40" s="48" t="e">
        <f t="shared" si="9"/>
        <v>#N/A</v>
      </c>
      <c r="AM40" s="228"/>
      <c r="AN40" s="57" t="e">
        <f>_xlfn.XLOOKUP($D40,Tab_Process_TCs[TC_ID],Tab_Process_TCs[Output_Flow_O_3],,0,)</f>
        <v>#N/A</v>
      </c>
      <c r="AO40" s="48" t="e">
        <f>_xlfn.XLOOKUP($D40,Tab_Process_TCs[TC_ID],Tab_Process_TCs[Flow_ID_O_3],,0,)</f>
        <v>#N/A</v>
      </c>
      <c r="AP40" s="100" t="e">
        <f>Tab_Process_TCs2527[[#This Row],[Flow_ID]]</f>
        <v>#N/A</v>
      </c>
      <c r="AQ40" s="48" t="e">
        <f t="shared" si="10"/>
        <v>#N/A</v>
      </c>
      <c r="AR40" s="228"/>
      <c r="AS40" s="57" t="e">
        <f>_xlfn.XLOOKUP($D40,Tab_Process_TCs[TC_ID],#REF!,,0,)</f>
        <v>#REF!</v>
      </c>
      <c r="AT40" s="48" t="e">
        <f>_xlfn.XLOOKUP($D40,Tab_Process_TCs[TC_ID],#REF!,,0,)</f>
        <v>#REF!</v>
      </c>
      <c r="AU40" s="100" t="e">
        <f>Tab_Process_TCs2527[[#This Row],[Flow_ID]]</f>
        <v>#N/A</v>
      </c>
      <c r="AV40" s="100" t="e">
        <f t="shared" si="11"/>
        <v>#N/A</v>
      </c>
      <c r="AW40" s="228"/>
      <c r="AX40" s="57" t="e">
        <f>_xlfn.XLOOKUP($D40,Tab_Process_TCs[TC_ID],#REF!,,0,)</f>
        <v>#REF!</v>
      </c>
      <c r="AY40" s="48" t="e">
        <f>_xlfn.XLOOKUP($D40,Tab_Process_TCs[TC_ID],#REF!,,0,)</f>
        <v>#REF!</v>
      </c>
      <c r="AZ40" s="100" t="e">
        <f>Tab_Process_TCs2527[[#This Row],[Flow_ID]]</f>
        <v>#N/A</v>
      </c>
      <c r="BA40" s="100" t="e">
        <f t="shared" si="12"/>
        <v>#REF!</v>
      </c>
      <c r="BB40" s="228"/>
      <c r="BC40" s="48" t="e">
        <f>_xlfn.XLOOKUP($D40,Tab_Process_TCs[TC_ID],#REF!,,0,)</f>
        <v>#REF!</v>
      </c>
      <c r="BD40" s="48" t="e">
        <f>_xlfn.XLOOKUP($D40,Tab_Process_TCs[TC_ID],#REF!,,0,)</f>
        <v>#REF!</v>
      </c>
      <c r="BE40" s="100" t="e">
        <f>Tab_Process_TCs2527[[#This Row],[Flow_ID]]</f>
        <v>#N/A</v>
      </c>
      <c r="BF40" s="100" t="e">
        <f t="shared" si="13"/>
        <v>#REF!</v>
      </c>
      <c r="BG40" s="109"/>
      <c r="BH40" s="112">
        <f>Tab_Process_TCs2527[[#This Row],[TC O_6_'[%']]]+Tab_Process_TCs2527[[#This Row],[TC O_5_'[%']]]+Tab_Process_TCs2527[[#This Row],[TC_O_4_'[%']]]+Tab_Process_TCs2527[[#This Row],[TC_O_3_'[%']]]+Tab_Process_TCs2527[[#This Row],[TC_O_2_'[%']]]+Tab_Process_TCs2527[[#This Row],[TC_O_1_'[%']]]</f>
        <v>1</v>
      </c>
      <c r="BI40" s="50"/>
      <c r="BJ40" s="50"/>
      <c r="BK40" s="50"/>
      <c r="BL40" s="50"/>
      <c r="BM40" s="50"/>
    </row>
    <row r="41" spans="1:65" x14ac:dyDescent="0.25">
      <c r="A41" s="87" t="b">
        <v>0</v>
      </c>
      <c r="B41" s="48">
        <f t="shared" si="7"/>
        <v>40</v>
      </c>
      <c r="C41" s="107" t="e">
        <f>_xlfn.XLOOKUP($D41,Tab_Process_TCs[Name(EN)],Tab_Process_TCs[Process_ID],,0,)</f>
        <v>#N/A</v>
      </c>
      <c r="D41" s="50"/>
      <c r="E41" s="50" t="s">
        <v>55</v>
      </c>
      <c r="F41" s="48" t="e">
        <f>_xlfn.XLOOKUP($D41,Tab_Process_TCs[Name(EN)],Tab_Process_TCs[TC?],,0,)</f>
        <v>#N/A</v>
      </c>
      <c r="G41" s="48" t="e">
        <f>_xlfn.XLOOKUP($D41,Tab_Process_TCs[Name(EN)],Tab_Process_TCs[Dyn_TC?],,0,)</f>
        <v>#N/A</v>
      </c>
      <c r="H41" s="48" t="e">
        <f>_xlfn.XLOOKUP($E41,Tab_Def_Flows[Name(EN)],Tab_Def_Flows[Flow_ID],,0,1)</f>
        <v>#N/A</v>
      </c>
      <c r="I41" s="50" t="e">
        <f>IF(Tab_Process_TCs2527[[#This Row],[Name(EN)]]="N.A.","N.A.","TC"&amp;"_"&amp;RIGHT(H41,5))</f>
        <v>#N/A</v>
      </c>
      <c r="J41" s="50"/>
      <c r="K41" s="249"/>
      <c r="L41" s="50" t="e">
        <f>_xlfn.XLOOKUP($D41,Tab_Def_Processes[Name(EN)],Tab_Def_Processes[Stock?],,0,)</f>
        <v>#N/A</v>
      </c>
      <c r="M41" s="48"/>
      <c r="N41" s="57" t="e">
        <f>_xlfn.XLOOKUP($D41,Tab_Def_Processes[Name(EN)],Tab_Def_Processes[Input_Flow_I_1],,0,)</f>
        <v>#N/A</v>
      </c>
      <c r="O41" s="48" t="e">
        <f>_xlfn.XLOOKUP($D41,Tab_Def_Processes[Name(EN)],Tab_Def_Processes[Flow_ID_I_1],,0,)</f>
        <v>#N/A</v>
      </c>
      <c r="P41" s="75"/>
      <c r="Q41" s="71" t="e">
        <f>_xlfn.XLOOKUP($D41,Tab_Def_Processes[Name(EN)],Tab_Def_Processes[Input_Flow_I_2],,0,)</f>
        <v>#N/A</v>
      </c>
      <c r="R41" s="48" t="e">
        <f>_xlfn.XLOOKUP($D41,Tab_Def_Processes[Name(EN)],Tab_Def_Processes[Flow_ID_I_2],,0,)</f>
        <v>#N/A</v>
      </c>
      <c r="S41" s="75"/>
      <c r="T41" s="71" t="e">
        <f>_xlfn.XLOOKUP($D41,Tab_Def_Processes[Name(EN)],Tab_Def_Processes[Input_Flow_I_3],,0,)</f>
        <v>#N/A</v>
      </c>
      <c r="U41" s="48" t="e">
        <f>_xlfn.XLOOKUP($D41,Tab_Def_Processes[Name(EN)],Tab_Def_Processes[Flow_ID_I_3],,0,)</f>
        <v>#N/A</v>
      </c>
      <c r="V41" s="75"/>
      <c r="W41" s="71" t="e">
        <f>_xlfn.XLOOKUP($D41,Tab_Def_Processes[Name(EN)],Tab_Def_Processes[Input_Flow_I_4],,0,)</f>
        <v>#N/A</v>
      </c>
      <c r="X41" s="48" t="e">
        <f>_xlfn.XLOOKUP($D41,Tab_Def_Processes[Name(EN)],Tab_Def_Processes[Flow_ID_I_4],,0,)</f>
        <v>#N/A</v>
      </c>
      <c r="Y41" s="75"/>
      <c r="Z41" s="71" t="e">
        <f>_xlfn.XLOOKUP($D41,Tab_Def_Processes[Name(EN)],Tab_Def_Processes[Input_Flow_I_5],,0,)</f>
        <v>#N/A</v>
      </c>
      <c r="AA41" s="48" t="e">
        <f>_xlfn.XLOOKUP($D41,Tab_Def_Processes[Name(EN)],Tab_Def_Processes[Flow_ID_I_5],,0,)</f>
        <v>#N/A</v>
      </c>
      <c r="AB41" s="75"/>
      <c r="AC41" s="74">
        <f>Tab_Process_TCs2527[[#This Row],[Flow_TC_I_1_'[%']]]+Tab_Process_TCs2527[[#This Row],[Flow_TC_I_2_'[%']]]+Tab_Process_TCs2527[[#This Row],[Flow_TC_I_3_'[%']]]+Tab_Process_TCs2527[[#This Row],[Flow_TC_I_4_'[%']]]+Tab_Process_TCs2527[[#This Row],[Flow_TC_I_5_'[%']]]</f>
        <v>0</v>
      </c>
      <c r="AD41" s="57" t="e">
        <f>_xlfn.XLOOKUP($D41,Tab_Process_TCs[TC_ID],Tab_Process_TCs[Output_Flow_O_1],,0,)</f>
        <v>#N/A</v>
      </c>
      <c r="AE41" s="48" t="e">
        <f>_xlfn.XLOOKUP($D41,Tab_Process_TCs[TC_ID],Tab_Process_TCs[Flow_ID_O_1],,0,)</f>
        <v>#N/A</v>
      </c>
      <c r="AF41" s="100" t="e">
        <f>Tab_Process_TCs2527[[#This Row],[Flow_ID]]</f>
        <v>#N/A</v>
      </c>
      <c r="AG41" s="48" t="e">
        <f t="shared" si="8"/>
        <v>#N/A</v>
      </c>
      <c r="AH41" s="109">
        <v>1</v>
      </c>
      <c r="AI41" s="231" t="e">
        <f>_xlfn.XLOOKUP($D41,Tab_Process_TCs[TC_ID],Tab_Process_TCs[Output_Flow_O_2],,0,)</f>
        <v>#N/A</v>
      </c>
      <c r="AJ41" s="113" t="e">
        <f>_xlfn.XLOOKUP($D41,Tab_Process_TCs[TC_ID],Tab_Process_TCs[Flow_ID_O_2],,0,)</f>
        <v>#N/A</v>
      </c>
      <c r="AK41" s="100" t="e">
        <f>Tab_Process_TCs2527[[#This Row],[Flow_ID]]</f>
        <v>#N/A</v>
      </c>
      <c r="AL41" s="48" t="e">
        <f t="shared" si="9"/>
        <v>#N/A</v>
      </c>
      <c r="AM41" s="228"/>
      <c r="AN41" s="57" t="e">
        <f>_xlfn.XLOOKUP($D41,Tab_Process_TCs[TC_ID],Tab_Process_TCs[Output_Flow_O_3],,0,)</f>
        <v>#N/A</v>
      </c>
      <c r="AO41" s="48" t="e">
        <f>_xlfn.XLOOKUP($D41,Tab_Process_TCs[TC_ID],Tab_Process_TCs[Flow_ID_O_3],,0,)</f>
        <v>#N/A</v>
      </c>
      <c r="AP41" s="100" t="e">
        <f>Tab_Process_TCs2527[[#This Row],[Flow_ID]]</f>
        <v>#N/A</v>
      </c>
      <c r="AQ41" s="48" t="e">
        <f t="shared" si="10"/>
        <v>#N/A</v>
      </c>
      <c r="AR41" s="228"/>
      <c r="AS41" s="57" t="e">
        <f>_xlfn.XLOOKUP($D41,Tab_Process_TCs[TC_ID],#REF!,,0,)</f>
        <v>#REF!</v>
      </c>
      <c r="AT41" s="48" t="e">
        <f>_xlfn.XLOOKUP($D41,Tab_Process_TCs[TC_ID],#REF!,,0,)</f>
        <v>#REF!</v>
      </c>
      <c r="AU41" s="100" t="e">
        <f>Tab_Process_TCs2527[[#This Row],[Flow_ID]]</f>
        <v>#N/A</v>
      </c>
      <c r="AV41" s="100" t="e">
        <f t="shared" si="11"/>
        <v>#N/A</v>
      </c>
      <c r="AW41" s="228"/>
      <c r="AX41" s="57" t="e">
        <f>_xlfn.XLOOKUP($D41,Tab_Process_TCs[TC_ID],#REF!,,0,)</f>
        <v>#REF!</v>
      </c>
      <c r="AY41" s="48" t="e">
        <f>_xlfn.XLOOKUP($D41,Tab_Process_TCs[TC_ID],#REF!,,0,)</f>
        <v>#REF!</v>
      </c>
      <c r="AZ41" s="100" t="e">
        <f>Tab_Process_TCs2527[[#This Row],[Flow_ID]]</f>
        <v>#N/A</v>
      </c>
      <c r="BA41" s="100" t="e">
        <f t="shared" si="12"/>
        <v>#REF!</v>
      </c>
      <c r="BB41" s="228"/>
      <c r="BC41" s="48" t="e">
        <f>_xlfn.XLOOKUP($D41,Tab_Process_TCs[TC_ID],#REF!,,0,)</f>
        <v>#REF!</v>
      </c>
      <c r="BD41" s="48" t="e">
        <f>_xlfn.XLOOKUP($D41,Tab_Process_TCs[TC_ID],#REF!,,0,)</f>
        <v>#REF!</v>
      </c>
      <c r="BE41" s="100" t="e">
        <f>Tab_Process_TCs2527[[#This Row],[Flow_ID]]</f>
        <v>#N/A</v>
      </c>
      <c r="BF41" s="100" t="e">
        <f t="shared" si="13"/>
        <v>#REF!</v>
      </c>
      <c r="BG41" s="109"/>
      <c r="BH41" s="112">
        <f>Tab_Process_TCs2527[[#This Row],[TC O_6_'[%']]]+Tab_Process_TCs2527[[#This Row],[TC O_5_'[%']]]+Tab_Process_TCs2527[[#This Row],[TC_O_4_'[%']]]+Tab_Process_TCs2527[[#This Row],[TC_O_3_'[%']]]+Tab_Process_TCs2527[[#This Row],[TC_O_2_'[%']]]+Tab_Process_TCs2527[[#This Row],[TC_O_1_'[%']]]</f>
        <v>1</v>
      </c>
      <c r="BI41" s="50"/>
      <c r="BJ41" s="50"/>
      <c r="BK41" s="50"/>
      <c r="BL41" s="50"/>
      <c r="BM41" s="50"/>
    </row>
    <row r="42" spans="1:65" x14ac:dyDescent="0.25">
      <c r="A42" s="87" t="b">
        <v>0</v>
      </c>
      <c r="B42" s="48">
        <f t="shared" si="7"/>
        <v>41</v>
      </c>
      <c r="C42" s="107" t="e">
        <f>_xlfn.XLOOKUP($D42,Tab_Process_TCs[Name(EN)],Tab_Process_TCs[Process_ID],,0,)</f>
        <v>#N/A</v>
      </c>
      <c r="D42" s="50"/>
      <c r="E42" s="50" t="s">
        <v>55</v>
      </c>
      <c r="F42" s="48" t="e">
        <f>_xlfn.XLOOKUP($D42,Tab_Process_TCs[Name(EN)],Tab_Process_TCs[TC?],,0,)</f>
        <v>#N/A</v>
      </c>
      <c r="G42" s="48" t="e">
        <f>_xlfn.XLOOKUP($D42,Tab_Process_TCs[Name(EN)],Tab_Process_TCs[Dyn_TC?],,0,)</f>
        <v>#N/A</v>
      </c>
      <c r="H42" s="48" t="e">
        <f>_xlfn.XLOOKUP($E42,Tab_Def_Flows[Name(EN)],Tab_Def_Flows[Flow_ID],,0,1)</f>
        <v>#N/A</v>
      </c>
      <c r="I42" s="50" t="e">
        <f>IF(Tab_Process_TCs2527[[#This Row],[Name(EN)]]="N.A.","N.A.","TC"&amp;"_"&amp;RIGHT(H42,5))</f>
        <v>#N/A</v>
      </c>
      <c r="J42" s="50"/>
      <c r="K42" s="249"/>
      <c r="L42" s="50" t="e">
        <f>_xlfn.XLOOKUP($D42,Tab_Def_Processes[Name(EN)],Tab_Def_Processes[Stock?],,0,)</f>
        <v>#N/A</v>
      </c>
      <c r="M42" s="48"/>
      <c r="N42" s="57" t="e">
        <f>_xlfn.XLOOKUP($D42,Tab_Def_Processes[Name(EN)],Tab_Def_Processes[Input_Flow_I_1],,0,)</f>
        <v>#N/A</v>
      </c>
      <c r="O42" s="48" t="e">
        <f>_xlfn.XLOOKUP($D42,Tab_Def_Processes[Name(EN)],Tab_Def_Processes[Flow_ID_I_1],,0,)</f>
        <v>#N/A</v>
      </c>
      <c r="P42" s="75"/>
      <c r="Q42" s="71" t="e">
        <f>_xlfn.XLOOKUP($D42,Tab_Def_Processes[Name(EN)],Tab_Def_Processes[Input_Flow_I_2],,0,)</f>
        <v>#N/A</v>
      </c>
      <c r="R42" s="48" t="e">
        <f>_xlfn.XLOOKUP($D42,Tab_Def_Processes[Name(EN)],Tab_Def_Processes[Flow_ID_I_2],,0,)</f>
        <v>#N/A</v>
      </c>
      <c r="S42" s="75"/>
      <c r="T42" s="71" t="e">
        <f>_xlfn.XLOOKUP($D42,Tab_Def_Processes[Name(EN)],Tab_Def_Processes[Input_Flow_I_3],,0,)</f>
        <v>#N/A</v>
      </c>
      <c r="U42" s="48" t="e">
        <f>_xlfn.XLOOKUP($D42,Tab_Def_Processes[Name(EN)],Tab_Def_Processes[Flow_ID_I_3],,0,)</f>
        <v>#N/A</v>
      </c>
      <c r="V42" s="75"/>
      <c r="W42" s="71" t="e">
        <f>_xlfn.XLOOKUP($D42,Tab_Def_Processes[Name(EN)],Tab_Def_Processes[Input_Flow_I_4],,0,)</f>
        <v>#N/A</v>
      </c>
      <c r="X42" s="48" t="e">
        <f>_xlfn.XLOOKUP($D42,Tab_Def_Processes[Name(EN)],Tab_Def_Processes[Flow_ID_I_4],,0,)</f>
        <v>#N/A</v>
      </c>
      <c r="Y42" s="75"/>
      <c r="Z42" s="71" t="e">
        <f>_xlfn.XLOOKUP($D42,Tab_Def_Processes[Name(EN)],Tab_Def_Processes[Input_Flow_I_5],,0,)</f>
        <v>#N/A</v>
      </c>
      <c r="AA42" s="48" t="e">
        <f>_xlfn.XLOOKUP($D42,Tab_Def_Processes[Name(EN)],Tab_Def_Processes[Flow_ID_I_5],,0,)</f>
        <v>#N/A</v>
      </c>
      <c r="AB42" s="75"/>
      <c r="AC42" s="74">
        <f>Tab_Process_TCs2527[[#This Row],[Flow_TC_I_1_'[%']]]+Tab_Process_TCs2527[[#This Row],[Flow_TC_I_2_'[%']]]+Tab_Process_TCs2527[[#This Row],[Flow_TC_I_3_'[%']]]+Tab_Process_TCs2527[[#This Row],[Flow_TC_I_4_'[%']]]+Tab_Process_TCs2527[[#This Row],[Flow_TC_I_5_'[%']]]</f>
        <v>0</v>
      </c>
      <c r="AD42" s="57" t="e">
        <f>_xlfn.XLOOKUP($D42,Tab_Process_TCs[TC_ID],Tab_Process_TCs[Output_Flow_O_1],,0,)</f>
        <v>#N/A</v>
      </c>
      <c r="AE42" s="48" t="e">
        <f>_xlfn.XLOOKUP($D42,Tab_Process_TCs[TC_ID],Tab_Process_TCs[Flow_ID_O_1],,0,)</f>
        <v>#N/A</v>
      </c>
      <c r="AF42" s="100" t="e">
        <f>Tab_Process_TCs2527[[#This Row],[Flow_ID]]</f>
        <v>#N/A</v>
      </c>
      <c r="AG42" s="48" t="e">
        <f t="shared" si="8"/>
        <v>#N/A</v>
      </c>
      <c r="AH42" s="109">
        <v>1</v>
      </c>
      <c r="AI42" s="231" t="e">
        <f>_xlfn.XLOOKUP($D42,Tab_Process_TCs[TC_ID],Tab_Process_TCs[Output_Flow_O_2],,0,)</f>
        <v>#N/A</v>
      </c>
      <c r="AJ42" s="113" t="e">
        <f>_xlfn.XLOOKUP($D42,Tab_Process_TCs[TC_ID],Tab_Process_TCs[Flow_ID_O_2],,0,)</f>
        <v>#N/A</v>
      </c>
      <c r="AK42" s="100" t="e">
        <f>Tab_Process_TCs2527[[#This Row],[Flow_ID]]</f>
        <v>#N/A</v>
      </c>
      <c r="AL42" s="48" t="e">
        <f t="shared" si="9"/>
        <v>#N/A</v>
      </c>
      <c r="AM42" s="228"/>
      <c r="AN42" s="57" t="e">
        <f>_xlfn.XLOOKUP($D42,Tab_Process_TCs[TC_ID],Tab_Process_TCs[Output_Flow_O_3],,0,)</f>
        <v>#N/A</v>
      </c>
      <c r="AO42" s="48" t="e">
        <f>_xlfn.XLOOKUP($D42,Tab_Process_TCs[TC_ID],Tab_Process_TCs[Flow_ID_O_3],,0,)</f>
        <v>#N/A</v>
      </c>
      <c r="AP42" s="100" t="e">
        <f>Tab_Process_TCs2527[[#This Row],[Flow_ID]]</f>
        <v>#N/A</v>
      </c>
      <c r="AQ42" s="48" t="e">
        <f t="shared" si="10"/>
        <v>#N/A</v>
      </c>
      <c r="AR42" s="228"/>
      <c r="AS42" s="57" t="e">
        <f>_xlfn.XLOOKUP($D42,Tab_Process_TCs[TC_ID],#REF!,,0,)</f>
        <v>#REF!</v>
      </c>
      <c r="AT42" s="48" t="e">
        <f>_xlfn.XLOOKUP($D42,Tab_Process_TCs[TC_ID],#REF!,,0,)</f>
        <v>#REF!</v>
      </c>
      <c r="AU42" s="100" t="e">
        <f>Tab_Process_TCs2527[[#This Row],[Flow_ID]]</f>
        <v>#N/A</v>
      </c>
      <c r="AV42" s="100" t="e">
        <f t="shared" si="11"/>
        <v>#N/A</v>
      </c>
      <c r="AW42" s="228"/>
      <c r="AX42" s="57" t="e">
        <f>_xlfn.XLOOKUP($D42,Tab_Process_TCs[TC_ID],#REF!,,0,)</f>
        <v>#REF!</v>
      </c>
      <c r="AY42" s="48" t="e">
        <f>_xlfn.XLOOKUP($D42,Tab_Process_TCs[TC_ID],#REF!,,0,)</f>
        <v>#REF!</v>
      </c>
      <c r="AZ42" s="100" t="e">
        <f>Tab_Process_TCs2527[[#This Row],[Flow_ID]]</f>
        <v>#N/A</v>
      </c>
      <c r="BA42" s="100" t="e">
        <f t="shared" si="12"/>
        <v>#REF!</v>
      </c>
      <c r="BB42" s="228"/>
      <c r="BC42" s="48" t="e">
        <f>_xlfn.XLOOKUP($D42,Tab_Process_TCs[TC_ID],#REF!,,0,)</f>
        <v>#REF!</v>
      </c>
      <c r="BD42" s="48" t="e">
        <f>_xlfn.XLOOKUP($D42,Tab_Process_TCs[TC_ID],#REF!,,0,)</f>
        <v>#REF!</v>
      </c>
      <c r="BE42" s="100" t="e">
        <f>Tab_Process_TCs2527[[#This Row],[Flow_ID]]</f>
        <v>#N/A</v>
      </c>
      <c r="BF42" s="100" t="e">
        <f t="shared" si="13"/>
        <v>#REF!</v>
      </c>
      <c r="BG42" s="109"/>
      <c r="BH42" s="112">
        <f>Tab_Process_TCs2527[[#This Row],[TC O_6_'[%']]]+Tab_Process_TCs2527[[#This Row],[TC O_5_'[%']]]+Tab_Process_TCs2527[[#This Row],[TC_O_4_'[%']]]+Tab_Process_TCs2527[[#This Row],[TC_O_3_'[%']]]+Tab_Process_TCs2527[[#This Row],[TC_O_2_'[%']]]+Tab_Process_TCs2527[[#This Row],[TC_O_1_'[%']]]</f>
        <v>1</v>
      </c>
      <c r="BI42" s="50"/>
      <c r="BJ42" s="50"/>
      <c r="BK42" s="50"/>
      <c r="BL42" s="50"/>
      <c r="BM42" s="50"/>
    </row>
    <row r="43" spans="1:65" x14ac:dyDescent="0.25">
      <c r="A43" s="87" t="b">
        <v>0</v>
      </c>
      <c r="B43" s="48">
        <f t="shared" si="7"/>
        <v>42</v>
      </c>
      <c r="C43" s="107" t="e">
        <f>_xlfn.XLOOKUP($D43,Tab_Process_TCs[Name(EN)],Tab_Process_TCs[Process_ID],,0,)</f>
        <v>#N/A</v>
      </c>
      <c r="D43" s="50"/>
      <c r="E43" s="50" t="s">
        <v>55</v>
      </c>
      <c r="F43" s="48" t="e">
        <f>_xlfn.XLOOKUP($D43,Tab_Process_TCs[Name(EN)],Tab_Process_TCs[TC?],,0,)</f>
        <v>#N/A</v>
      </c>
      <c r="G43" s="48" t="e">
        <f>_xlfn.XLOOKUP($D43,Tab_Process_TCs[Name(EN)],Tab_Process_TCs[Dyn_TC?],,0,)</f>
        <v>#N/A</v>
      </c>
      <c r="H43" s="48" t="e">
        <f>_xlfn.XLOOKUP($E43,Tab_Def_Flows[Name(EN)],Tab_Def_Flows[Flow_ID],,0,1)</f>
        <v>#N/A</v>
      </c>
      <c r="I43" s="50" t="e">
        <f>IF(Tab_Process_TCs2527[[#This Row],[Name(EN)]]="N.A.","N.A.","TC"&amp;"_"&amp;RIGHT(H43,5))</f>
        <v>#N/A</v>
      </c>
      <c r="J43" s="50"/>
      <c r="K43" s="249"/>
      <c r="L43" s="50" t="e">
        <f>_xlfn.XLOOKUP($D43,Tab_Def_Processes[Name(EN)],Tab_Def_Processes[Stock?],,0,)</f>
        <v>#N/A</v>
      </c>
      <c r="M43" s="48"/>
      <c r="N43" s="57" t="e">
        <f>_xlfn.XLOOKUP($D43,Tab_Def_Processes[Name(EN)],Tab_Def_Processes[Input_Flow_I_1],,0,)</f>
        <v>#N/A</v>
      </c>
      <c r="O43" s="48" t="e">
        <f>_xlfn.XLOOKUP($D43,Tab_Def_Processes[Name(EN)],Tab_Def_Processes[Flow_ID_I_1],,0,)</f>
        <v>#N/A</v>
      </c>
      <c r="P43" s="75"/>
      <c r="Q43" s="71" t="e">
        <f>_xlfn.XLOOKUP($D43,Tab_Def_Processes[Name(EN)],Tab_Def_Processes[Input_Flow_I_2],,0,)</f>
        <v>#N/A</v>
      </c>
      <c r="R43" s="48" t="e">
        <f>_xlfn.XLOOKUP($D43,Tab_Def_Processes[Name(EN)],Tab_Def_Processes[Flow_ID_I_2],,0,)</f>
        <v>#N/A</v>
      </c>
      <c r="S43" s="75"/>
      <c r="T43" s="71" t="e">
        <f>_xlfn.XLOOKUP($D43,Tab_Def_Processes[Name(EN)],Tab_Def_Processes[Input_Flow_I_3],,0,)</f>
        <v>#N/A</v>
      </c>
      <c r="U43" s="48" t="e">
        <f>_xlfn.XLOOKUP($D43,Tab_Def_Processes[Name(EN)],Tab_Def_Processes[Flow_ID_I_3],,0,)</f>
        <v>#N/A</v>
      </c>
      <c r="V43" s="75"/>
      <c r="W43" s="71" t="e">
        <f>_xlfn.XLOOKUP($D43,Tab_Def_Processes[Name(EN)],Tab_Def_Processes[Input_Flow_I_4],,0,)</f>
        <v>#N/A</v>
      </c>
      <c r="X43" s="48" t="e">
        <f>_xlfn.XLOOKUP($D43,Tab_Def_Processes[Name(EN)],Tab_Def_Processes[Flow_ID_I_4],,0,)</f>
        <v>#N/A</v>
      </c>
      <c r="Y43" s="75"/>
      <c r="Z43" s="71" t="e">
        <f>_xlfn.XLOOKUP($D43,Tab_Def_Processes[Name(EN)],Tab_Def_Processes[Input_Flow_I_5],,0,)</f>
        <v>#N/A</v>
      </c>
      <c r="AA43" s="48" t="e">
        <f>_xlfn.XLOOKUP($D43,Tab_Def_Processes[Name(EN)],Tab_Def_Processes[Flow_ID_I_5],,0,)</f>
        <v>#N/A</v>
      </c>
      <c r="AB43" s="75"/>
      <c r="AC43" s="74">
        <f>Tab_Process_TCs2527[[#This Row],[Flow_TC_I_1_'[%']]]+Tab_Process_TCs2527[[#This Row],[Flow_TC_I_2_'[%']]]+Tab_Process_TCs2527[[#This Row],[Flow_TC_I_3_'[%']]]+Tab_Process_TCs2527[[#This Row],[Flow_TC_I_4_'[%']]]+Tab_Process_TCs2527[[#This Row],[Flow_TC_I_5_'[%']]]</f>
        <v>0</v>
      </c>
      <c r="AD43" s="57" t="e">
        <f>_xlfn.XLOOKUP($D43,Tab_Process_TCs[TC_ID],Tab_Process_TCs[Output_Flow_O_1],,0,)</f>
        <v>#N/A</v>
      </c>
      <c r="AE43" s="48" t="e">
        <f>_xlfn.XLOOKUP($D43,Tab_Process_TCs[TC_ID],Tab_Process_TCs[Flow_ID_O_1],,0,)</f>
        <v>#N/A</v>
      </c>
      <c r="AF43" s="100" t="e">
        <f>Tab_Process_TCs2527[[#This Row],[Flow_ID]]</f>
        <v>#N/A</v>
      </c>
      <c r="AG43" s="48" t="e">
        <f t="shared" si="8"/>
        <v>#N/A</v>
      </c>
      <c r="AH43" s="109">
        <v>1</v>
      </c>
      <c r="AI43" s="231" t="e">
        <f>_xlfn.XLOOKUP($D43,Tab_Process_TCs[TC_ID],Tab_Process_TCs[Output_Flow_O_2],,0,)</f>
        <v>#N/A</v>
      </c>
      <c r="AJ43" s="113" t="e">
        <f>_xlfn.XLOOKUP($D43,Tab_Process_TCs[TC_ID],Tab_Process_TCs[Flow_ID_O_2],,0,)</f>
        <v>#N/A</v>
      </c>
      <c r="AK43" s="100" t="e">
        <f>Tab_Process_TCs2527[[#This Row],[Flow_ID]]</f>
        <v>#N/A</v>
      </c>
      <c r="AL43" s="48" t="e">
        <f t="shared" si="9"/>
        <v>#N/A</v>
      </c>
      <c r="AM43" s="228"/>
      <c r="AN43" s="57" t="e">
        <f>_xlfn.XLOOKUP($D43,Tab_Process_TCs[TC_ID],Tab_Process_TCs[Output_Flow_O_3],,0,)</f>
        <v>#N/A</v>
      </c>
      <c r="AO43" s="48" t="e">
        <f>_xlfn.XLOOKUP($D43,Tab_Process_TCs[TC_ID],Tab_Process_TCs[Flow_ID_O_3],,0,)</f>
        <v>#N/A</v>
      </c>
      <c r="AP43" s="100" t="e">
        <f>Tab_Process_TCs2527[[#This Row],[Flow_ID]]</f>
        <v>#N/A</v>
      </c>
      <c r="AQ43" s="48" t="e">
        <f t="shared" si="10"/>
        <v>#N/A</v>
      </c>
      <c r="AR43" s="228"/>
      <c r="AS43" s="57" t="e">
        <f>_xlfn.XLOOKUP($D43,Tab_Process_TCs[TC_ID],#REF!,,0,)</f>
        <v>#REF!</v>
      </c>
      <c r="AT43" s="48" t="e">
        <f>_xlfn.XLOOKUP($D43,Tab_Process_TCs[TC_ID],#REF!,,0,)</f>
        <v>#REF!</v>
      </c>
      <c r="AU43" s="100" t="e">
        <f>Tab_Process_TCs2527[[#This Row],[Flow_ID]]</f>
        <v>#N/A</v>
      </c>
      <c r="AV43" s="100" t="e">
        <f t="shared" si="11"/>
        <v>#N/A</v>
      </c>
      <c r="AW43" s="228"/>
      <c r="AX43" s="57" t="e">
        <f>_xlfn.XLOOKUP($D43,Tab_Process_TCs[TC_ID],#REF!,,0,)</f>
        <v>#REF!</v>
      </c>
      <c r="AY43" s="48" t="e">
        <f>_xlfn.XLOOKUP($D43,Tab_Process_TCs[TC_ID],#REF!,,0,)</f>
        <v>#REF!</v>
      </c>
      <c r="AZ43" s="100" t="e">
        <f>Tab_Process_TCs2527[[#This Row],[Flow_ID]]</f>
        <v>#N/A</v>
      </c>
      <c r="BA43" s="100" t="e">
        <f t="shared" si="12"/>
        <v>#REF!</v>
      </c>
      <c r="BB43" s="228"/>
      <c r="BC43" s="48" t="e">
        <f>_xlfn.XLOOKUP($D43,Tab_Process_TCs[TC_ID],#REF!,,0,)</f>
        <v>#REF!</v>
      </c>
      <c r="BD43" s="48" t="e">
        <f>_xlfn.XLOOKUP($D43,Tab_Process_TCs[TC_ID],#REF!,,0,)</f>
        <v>#REF!</v>
      </c>
      <c r="BE43" s="100" t="e">
        <f>Tab_Process_TCs2527[[#This Row],[Flow_ID]]</f>
        <v>#N/A</v>
      </c>
      <c r="BF43" s="100" t="e">
        <f t="shared" si="13"/>
        <v>#REF!</v>
      </c>
      <c r="BG43" s="109"/>
      <c r="BH43" s="112">
        <f>Tab_Process_TCs2527[[#This Row],[TC O_6_'[%']]]+Tab_Process_TCs2527[[#This Row],[TC O_5_'[%']]]+Tab_Process_TCs2527[[#This Row],[TC_O_4_'[%']]]+Tab_Process_TCs2527[[#This Row],[TC_O_3_'[%']]]+Tab_Process_TCs2527[[#This Row],[TC_O_2_'[%']]]+Tab_Process_TCs2527[[#This Row],[TC_O_1_'[%']]]</f>
        <v>1</v>
      </c>
      <c r="BI43" s="50"/>
      <c r="BJ43" s="50"/>
      <c r="BK43" s="50"/>
      <c r="BL43" s="50"/>
      <c r="BM43" s="50"/>
    </row>
    <row r="44" spans="1:65" x14ac:dyDescent="0.25">
      <c r="A44" s="87" t="b">
        <v>0</v>
      </c>
      <c r="B44" s="48">
        <f t="shared" si="7"/>
        <v>43</v>
      </c>
      <c r="C44" s="107" t="e">
        <f>_xlfn.XLOOKUP($D44,Tab_Process_TCs[Name(EN)],Tab_Process_TCs[Process_ID],,0,)</f>
        <v>#N/A</v>
      </c>
      <c r="D44" s="50"/>
      <c r="E44" s="50" t="s">
        <v>55</v>
      </c>
      <c r="F44" s="48" t="e">
        <f>_xlfn.XLOOKUP($D44,Tab_Process_TCs[Name(EN)],Tab_Process_TCs[TC?],,0,)</f>
        <v>#N/A</v>
      </c>
      <c r="G44" s="48" t="e">
        <f>_xlfn.XLOOKUP($D44,Tab_Process_TCs[Name(EN)],Tab_Process_TCs[Dyn_TC?],,0,)</f>
        <v>#N/A</v>
      </c>
      <c r="H44" s="48" t="e">
        <f>_xlfn.XLOOKUP($E44,Tab_Def_Flows[Name(EN)],Tab_Def_Flows[Flow_ID],,0,1)</f>
        <v>#N/A</v>
      </c>
      <c r="I44" s="50" t="e">
        <f>IF(Tab_Process_TCs2527[[#This Row],[Name(EN)]]="N.A.","N.A.","TC"&amp;"_"&amp;RIGHT(H44,5))</f>
        <v>#N/A</v>
      </c>
      <c r="J44" s="50"/>
      <c r="K44" s="249"/>
      <c r="L44" s="50" t="e">
        <f>_xlfn.XLOOKUP($D44,Tab_Def_Processes[Name(EN)],Tab_Def_Processes[Stock?],,0,)</f>
        <v>#N/A</v>
      </c>
      <c r="M44" s="48"/>
      <c r="N44" s="57" t="e">
        <f>_xlfn.XLOOKUP($D44,Tab_Def_Processes[Name(EN)],Tab_Def_Processes[Input_Flow_I_1],,0,)</f>
        <v>#N/A</v>
      </c>
      <c r="O44" s="48" t="e">
        <f>_xlfn.XLOOKUP($D44,Tab_Def_Processes[Name(EN)],Tab_Def_Processes[Flow_ID_I_1],,0,)</f>
        <v>#N/A</v>
      </c>
      <c r="P44" s="75"/>
      <c r="Q44" s="71" t="e">
        <f>_xlfn.XLOOKUP($D44,Tab_Def_Processes[Name(EN)],Tab_Def_Processes[Input_Flow_I_2],,0,)</f>
        <v>#N/A</v>
      </c>
      <c r="R44" s="48" t="e">
        <f>_xlfn.XLOOKUP($D44,Tab_Def_Processes[Name(EN)],Tab_Def_Processes[Flow_ID_I_2],,0,)</f>
        <v>#N/A</v>
      </c>
      <c r="S44" s="75"/>
      <c r="T44" s="71" t="e">
        <f>_xlfn.XLOOKUP($D44,Tab_Def_Processes[Name(EN)],Tab_Def_Processes[Input_Flow_I_3],,0,)</f>
        <v>#N/A</v>
      </c>
      <c r="U44" s="48" t="e">
        <f>_xlfn.XLOOKUP($D44,Tab_Def_Processes[Name(EN)],Tab_Def_Processes[Flow_ID_I_3],,0,)</f>
        <v>#N/A</v>
      </c>
      <c r="V44" s="75"/>
      <c r="W44" s="71" t="e">
        <f>_xlfn.XLOOKUP($D44,Tab_Def_Processes[Name(EN)],Tab_Def_Processes[Input_Flow_I_4],,0,)</f>
        <v>#N/A</v>
      </c>
      <c r="X44" s="48" t="e">
        <f>_xlfn.XLOOKUP($D44,Tab_Def_Processes[Name(EN)],Tab_Def_Processes[Flow_ID_I_4],,0,)</f>
        <v>#N/A</v>
      </c>
      <c r="Y44" s="75"/>
      <c r="Z44" s="71" t="e">
        <f>_xlfn.XLOOKUP($D44,Tab_Def_Processes[Name(EN)],Tab_Def_Processes[Input_Flow_I_5],,0,)</f>
        <v>#N/A</v>
      </c>
      <c r="AA44" s="48" t="e">
        <f>_xlfn.XLOOKUP($D44,Tab_Def_Processes[Name(EN)],Tab_Def_Processes[Flow_ID_I_5],,0,)</f>
        <v>#N/A</v>
      </c>
      <c r="AB44" s="75"/>
      <c r="AC44" s="74">
        <f>Tab_Process_TCs2527[[#This Row],[Flow_TC_I_1_'[%']]]+Tab_Process_TCs2527[[#This Row],[Flow_TC_I_2_'[%']]]+Tab_Process_TCs2527[[#This Row],[Flow_TC_I_3_'[%']]]+Tab_Process_TCs2527[[#This Row],[Flow_TC_I_4_'[%']]]+Tab_Process_TCs2527[[#This Row],[Flow_TC_I_5_'[%']]]</f>
        <v>0</v>
      </c>
      <c r="AD44" s="57" t="e">
        <f>_xlfn.XLOOKUP($D44,Tab_Process_TCs[TC_ID],Tab_Process_TCs[Output_Flow_O_1],,0,)</f>
        <v>#N/A</v>
      </c>
      <c r="AE44" s="48" t="e">
        <f>_xlfn.XLOOKUP($D44,Tab_Process_TCs[TC_ID],Tab_Process_TCs[Flow_ID_O_1],,0,)</f>
        <v>#N/A</v>
      </c>
      <c r="AF44" s="100" t="e">
        <f>Tab_Process_TCs2527[[#This Row],[Flow_ID]]</f>
        <v>#N/A</v>
      </c>
      <c r="AG44" s="48" t="e">
        <f t="shared" si="8"/>
        <v>#N/A</v>
      </c>
      <c r="AH44" s="109">
        <v>1</v>
      </c>
      <c r="AI44" s="231" t="e">
        <f>_xlfn.XLOOKUP($D44,Tab_Process_TCs[TC_ID],Tab_Process_TCs[Output_Flow_O_2],,0,)</f>
        <v>#N/A</v>
      </c>
      <c r="AJ44" s="113" t="e">
        <f>_xlfn.XLOOKUP($D44,Tab_Process_TCs[TC_ID],Tab_Process_TCs[Flow_ID_O_2],,0,)</f>
        <v>#N/A</v>
      </c>
      <c r="AK44" s="100" t="e">
        <f>Tab_Process_TCs2527[[#This Row],[Flow_ID]]</f>
        <v>#N/A</v>
      </c>
      <c r="AL44" s="48" t="e">
        <f t="shared" si="9"/>
        <v>#N/A</v>
      </c>
      <c r="AM44" s="228"/>
      <c r="AN44" s="57" t="e">
        <f>_xlfn.XLOOKUP($D44,Tab_Process_TCs[TC_ID],Tab_Process_TCs[Output_Flow_O_3],,0,)</f>
        <v>#N/A</v>
      </c>
      <c r="AO44" s="48" t="e">
        <f>_xlfn.XLOOKUP($D44,Tab_Process_TCs[TC_ID],Tab_Process_TCs[Flow_ID_O_3],,0,)</f>
        <v>#N/A</v>
      </c>
      <c r="AP44" s="100" t="e">
        <f>Tab_Process_TCs2527[[#This Row],[Flow_ID]]</f>
        <v>#N/A</v>
      </c>
      <c r="AQ44" s="48" t="e">
        <f t="shared" si="10"/>
        <v>#N/A</v>
      </c>
      <c r="AR44" s="228"/>
      <c r="AS44" s="57" t="e">
        <f>_xlfn.XLOOKUP($D44,Tab_Process_TCs[TC_ID],#REF!,,0,)</f>
        <v>#REF!</v>
      </c>
      <c r="AT44" s="48" t="e">
        <f>_xlfn.XLOOKUP($D44,Tab_Process_TCs[TC_ID],#REF!,,0,)</f>
        <v>#REF!</v>
      </c>
      <c r="AU44" s="100" t="e">
        <f>Tab_Process_TCs2527[[#This Row],[Flow_ID]]</f>
        <v>#N/A</v>
      </c>
      <c r="AV44" s="100" t="e">
        <f t="shared" si="11"/>
        <v>#N/A</v>
      </c>
      <c r="AW44" s="228"/>
      <c r="AX44" s="57" t="e">
        <f>_xlfn.XLOOKUP($D44,Tab_Process_TCs[TC_ID],#REF!,,0,)</f>
        <v>#REF!</v>
      </c>
      <c r="AY44" s="48" t="e">
        <f>_xlfn.XLOOKUP($D44,Tab_Process_TCs[TC_ID],#REF!,,0,)</f>
        <v>#REF!</v>
      </c>
      <c r="AZ44" s="100" t="e">
        <f>Tab_Process_TCs2527[[#This Row],[Flow_ID]]</f>
        <v>#N/A</v>
      </c>
      <c r="BA44" s="100" t="e">
        <f t="shared" si="12"/>
        <v>#REF!</v>
      </c>
      <c r="BB44" s="228"/>
      <c r="BC44" s="48" t="e">
        <f>_xlfn.XLOOKUP($D44,Tab_Process_TCs[TC_ID],#REF!,,0,)</f>
        <v>#REF!</v>
      </c>
      <c r="BD44" s="48" t="e">
        <f>_xlfn.XLOOKUP($D44,Tab_Process_TCs[TC_ID],#REF!,,0,)</f>
        <v>#REF!</v>
      </c>
      <c r="BE44" s="100" t="e">
        <f>Tab_Process_TCs2527[[#This Row],[Flow_ID]]</f>
        <v>#N/A</v>
      </c>
      <c r="BF44" s="100" t="e">
        <f t="shared" si="13"/>
        <v>#REF!</v>
      </c>
      <c r="BG44" s="109"/>
      <c r="BH44" s="112">
        <f>Tab_Process_TCs2527[[#This Row],[TC O_6_'[%']]]+Tab_Process_TCs2527[[#This Row],[TC O_5_'[%']]]+Tab_Process_TCs2527[[#This Row],[TC_O_4_'[%']]]+Tab_Process_TCs2527[[#This Row],[TC_O_3_'[%']]]+Tab_Process_TCs2527[[#This Row],[TC_O_2_'[%']]]+Tab_Process_TCs2527[[#This Row],[TC_O_1_'[%']]]</f>
        <v>1</v>
      </c>
      <c r="BI44" s="50"/>
      <c r="BJ44" s="50"/>
      <c r="BK44" s="50"/>
      <c r="BL44" s="50"/>
      <c r="BM44" s="50"/>
    </row>
    <row r="45" spans="1:65" x14ac:dyDescent="0.25">
      <c r="A45" s="87" t="b">
        <v>0</v>
      </c>
      <c r="B45" s="48">
        <f t="shared" si="7"/>
        <v>44</v>
      </c>
      <c r="C45" s="107" t="e">
        <f>_xlfn.XLOOKUP($D45,Tab_Process_TCs[Name(EN)],Tab_Process_TCs[Process_ID],,0,)</f>
        <v>#N/A</v>
      </c>
      <c r="D45" s="50"/>
      <c r="E45" s="50" t="s">
        <v>55</v>
      </c>
      <c r="F45" s="48" t="e">
        <f>_xlfn.XLOOKUP($D45,Tab_Process_TCs[Name(EN)],Tab_Process_TCs[TC?],,0,)</f>
        <v>#N/A</v>
      </c>
      <c r="G45" s="48" t="e">
        <f>_xlfn.XLOOKUP($D45,Tab_Process_TCs[Name(EN)],Tab_Process_TCs[Dyn_TC?],,0,)</f>
        <v>#N/A</v>
      </c>
      <c r="H45" s="48" t="e">
        <f>_xlfn.XLOOKUP($E45,Tab_Def_Flows[Name(EN)],Tab_Def_Flows[Flow_ID],,0,1)</f>
        <v>#N/A</v>
      </c>
      <c r="I45" s="50" t="e">
        <f>IF(Tab_Process_TCs2527[[#This Row],[Name(EN)]]="N.A.","N.A.","TC"&amp;"_"&amp;RIGHT(H45,5))</f>
        <v>#N/A</v>
      </c>
      <c r="J45" s="50"/>
      <c r="K45" s="249"/>
      <c r="L45" s="50" t="e">
        <f>_xlfn.XLOOKUP($D45,Tab_Def_Processes[Name(EN)],Tab_Def_Processes[Stock?],,0,)</f>
        <v>#N/A</v>
      </c>
      <c r="M45" s="48"/>
      <c r="N45" s="57" t="e">
        <f>_xlfn.XLOOKUP($D45,Tab_Def_Processes[Name(EN)],Tab_Def_Processes[Input_Flow_I_1],,0,)</f>
        <v>#N/A</v>
      </c>
      <c r="O45" s="48" t="e">
        <f>_xlfn.XLOOKUP($D45,Tab_Def_Processes[Name(EN)],Tab_Def_Processes[Flow_ID_I_1],,0,)</f>
        <v>#N/A</v>
      </c>
      <c r="P45" s="75"/>
      <c r="Q45" s="71" t="e">
        <f>_xlfn.XLOOKUP($D45,Tab_Def_Processes[Name(EN)],Tab_Def_Processes[Input_Flow_I_2],,0,)</f>
        <v>#N/A</v>
      </c>
      <c r="R45" s="48" t="e">
        <f>_xlfn.XLOOKUP($D45,Tab_Def_Processes[Name(EN)],Tab_Def_Processes[Flow_ID_I_2],,0,)</f>
        <v>#N/A</v>
      </c>
      <c r="S45" s="75"/>
      <c r="T45" s="71" t="e">
        <f>_xlfn.XLOOKUP($D45,Tab_Def_Processes[Name(EN)],Tab_Def_Processes[Input_Flow_I_3],,0,)</f>
        <v>#N/A</v>
      </c>
      <c r="U45" s="48" t="e">
        <f>_xlfn.XLOOKUP($D45,Tab_Def_Processes[Name(EN)],Tab_Def_Processes[Flow_ID_I_3],,0,)</f>
        <v>#N/A</v>
      </c>
      <c r="V45" s="75"/>
      <c r="W45" s="71" t="e">
        <f>_xlfn.XLOOKUP($D45,Tab_Def_Processes[Name(EN)],Tab_Def_Processes[Input_Flow_I_4],,0,)</f>
        <v>#N/A</v>
      </c>
      <c r="X45" s="48" t="e">
        <f>_xlfn.XLOOKUP($D45,Tab_Def_Processes[Name(EN)],Tab_Def_Processes[Flow_ID_I_4],,0,)</f>
        <v>#N/A</v>
      </c>
      <c r="Y45" s="75"/>
      <c r="Z45" s="71" t="e">
        <f>_xlfn.XLOOKUP($D45,Tab_Def_Processes[Name(EN)],Tab_Def_Processes[Input_Flow_I_5],,0,)</f>
        <v>#N/A</v>
      </c>
      <c r="AA45" s="48" t="e">
        <f>_xlfn.XLOOKUP($D45,Tab_Def_Processes[Name(EN)],Tab_Def_Processes[Flow_ID_I_5],,0,)</f>
        <v>#N/A</v>
      </c>
      <c r="AB45" s="75"/>
      <c r="AC45" s="74">
        <f>Tab_Process_TCs2527[[#This Row],[Flow_TC_I_1_'[%']]]+Tab_Process_TCs2527[[#This Row],[Flow_TC_I_2_'[%']]]+Tab_Process_TCs2527[[#This Row],[Flow_TC_I_3_'[%']]]+Tab_Process_TCs2527[[#This Row],[Flow_TC_I_4_'[%']]]+Tab_Process_TCs2527[[#This Row],[Flow_TC_I_5_'[%']]]</f>
        <v>0</v>
      </c>
      <c r="AD45" s="57" t="e">
        <f>_xlfn.XLOOKUP($D45,Tab_Process_TCs[TC_ID],Tab_Process_TCs[Output_Flow_O_1],,0,)</f>
        <v>#N/A</v>
      </c>
      <c r="AE45" s="48" t="e">
        <f>_xlfn.XLOOKUP($D45,Tab_Process_TCs[TC_ID],Tab_Process_TCs[Flow_ID_O_1],,0,)</f>
        <v>#N/A</v>
      </c>
      <c r="AF45" s="100" t="e">
        <f>Tab_Process_TCs2527[[#This Row],[Flow_ID]]</f>
        <v>#N/A</v>
      </c>
      <c r="AG45" s="48" t="e">
        <f t="shared" si="8"/>
        <v>#N/A</v>
      </c>
      <c r="AH45" s="109">
        <v>1</v>
      </c>
      <c r="AI45" s="231" t="e">
        <f>_xlfn.XLOOKUP($D45,Tab_Process_TCs[TC_ID],Tab_Process_TCs[Output_Flow_O_2],,0,)</f>
        <v>#N/A</v>
      </c>
      <c r="AJ45" s="113" t="e">
        <f>_xlfn.XLOOKUP($D45,Tab_Process_TCs[TC_ID],Tab_Process_TCs[Flow_ID_O_2],,0,)</f>
        <v>#N/A</v>
      </c>
      <c r="AK45" s="100" t="e">
        <f>Tab_Process_TCs2527[[#This Row],[Flow_ID]]</f>
        <v>#N/A</v>
      </c>
      <c r="AL45" s="48" t="e">
        <f t="shared" si="9"/>
        <v>#N/A</v>
      </c>
      <c r="AM45" s="228"/>
      <c r="AN45" s="57" t="e">
        <f>_xlfn.XLOOKUP($D45,Tab_Process_TCs[TC_ID],Tab_Process_TCs[Output_Flow_O_3],,0,)</f>
        <v>#N/A</v>
      </c>
      <c r="AO45" s="48" t="e">
        <f>_xlfn.XLOOKUP($D45,Tab_Process_TCs[TC_ID],Tab_Process_TCs[Flow_ID_O_3],,0,)</f>
        <v>#N/A</v>
      </c>
      <c r="AP45" s="100" t="e">
        <f>Tab_Process_TCs2527[[#This Row],[Flow_ID]]</f>
        <v>#N/A</v>
      </c>
      <c r="AQ45" s="48" t="e">
        <f t="shared" si="10"/>
        <v>#N/A</v>
      </c>
      <c r="AR45" s="228"/>
      <c r="AS45" s="57" t="e">
        <f>_xlfn.XLOOKUP($D45,Tab_Process_TCs[TC_ID],#REF!,,0,)</f>
        <v>#REF!</v>
      </c>
      <c r="AT45" s="48" t="e">
        <f>_xlfn.XLOOKUP($D45,Tab_Process_TCs[TC_ID],#REF!,,0,)</f>
        <v>#REF!</v>
      </c>
      <c r="AU45" s="100" t="e">
        <f>Tab_Process_TCs2527[[#This Row],[Flow_ID]]</f>
        <v>#N/A</v>
      </c>
      <c r="AV45" s="100" t="e">
        <f t="shared" si="11"/>
        <v>#N/A</v>
      </c>
      <c r="AW45" s="228"/>
      <c r="AX45" s="57" t="e">
        <f>_xlfn.XLOOKUP($D45,Tab_Process_TCs[TC_ID],#REF!,,0,)</f>
        <v>#REF!</v>
      </c>
      <c r="AY45" s="48" t="e">
        <f>_xlfn.XLOOKUP($D45,Tab_Process_TCs[TC_ID],#REF!,,0,)</f>
        <v>#REF!</v>
      </c>
      <c r="AZ45" s="100" t="e">
        <f>Tab_Process_TCs2527[[#This Row],[Flow_ID]]</f>
        <v>#N/A</v>
      </c>
      <c r="BA45" s="100" t="e">
        <f t="shared" si="12"/>
        <v>#REF!</v>
      </c>
      <c r="BB45" s="228"/>
      <c r="BC45" s="48" t="e">
        <f>_xlfn.XLOOKUP($D45,Tab_Process_TCs[TC_ID],#REF!,,0,)</f>
        <v>#REF!</v>
      </c>
      <c r="BD45" s="48" t="e">
        <f>_xlfn.XLOOKUP($D45,Tab_Process_TCs[TC_ID],#REF!,,0,)</f>
        <v>#REF!</v>
      </c>
      <c r="BE45" s="100" t="e">
        <f>Tab_Process_TCs2527[[#This Row],[Flow_ID]]</f>
        <v>#N/A</v>
      </c>
      <c r="BF45" s="100" t="e">
        <f t="shared" si="13"/>
        <v>#REF!</v>
      </c>
      <c r="BG45" s="109"/>
      <c r="BH45" s="112">
        <f>Tab_Process_TCs2527[[#This Row],[TC O_6_'[%']]]+Tab_Process_TCs2527[[#This Row],[TC O_5_'[%']]]+Tab_Process_TCs2527[[#This Row],[TC_O_4_'[%']]]+Tab_Process_TCs2527[[#This Row],[TC_O_3_'[%']]]+Tab_Process_TCs2527[[#This Row],[TC_O_2_'[%']]]+Tab_Process_TCs2527[[#This Row],[TC_O_1_'[%']]]</f>
        <v>1</v>
      </c>
      <c r="BI45" s="50"/>
      <c r="BJ45" s="50"/>
      <c r="BK45" s="50"/>
      <c r="BL45" s="50"/>
      <c r="BM45" s="50"/>
    </row>
    <row r="46" spans="1:65" x14ac:dyDescent="0.25">
      <c r="A46" s="87" t="b">
        <v>0</v>
      </c>
      <c r="B46" s="48">
        <f t="shared" si="7"/>
        <v>45</v>
      </c>
      <c r="C46" s="107" t="e">
        <f>_xlfn.XLOOKUP($D46,Tab_Process_TCs[Name(EN)],Tab_Process_TCs[Process_ID],,0,)</f>
        <v>#N/A</v>
      </c>
      <c r="D46" s="50"/>
      <c r="E46" s="50" t="s">
        <v>55</v>
      </c>
      <c r="F46" s="48" t="e">
        <f>_xlfn.XLOOKUP($D46,Tab_Process_TCs[Name(EN)],Tab_Process_TCs[TC?],,0,)</f>
        <v>#N/A</v>
      </c>
      <c r="G46" s="48" t="e">
        <f>_xlfn.XLOOKUP($D46,Tab_Process_TCs[Name(EN)],Tab_Process_TCs[Dyn_TC?],,0,)</f>
        <v>#N/A</v>
      </c>
      <c r="H46" s="48" t="e">
        <f>_xlfn.XLOOKUP($E46,Tab_Def_Flows[Name(EN)],Tab_Def_Flows[Flow_ID],,0,1)</f>
        <v>#N/A</v>
      </c>
      <c r="I46" s="50" t="e">
        <f>IF(Tab_Process_TCs2527[[#This Row],[Name(EN)]]="N.A.","N.A.","TC"&amp;"_"&amp;RIGHT(H46,5))</f>
        <v>#N/A</v>
      </c>
      <c r="J46" s="50"/>
      <c r="K46" s="249"/>
      <c r="L46" s="50" t="e">
        <f>_xlfn.XLOOKUP($D46,Tab_Def_Processes[Name(EN)],Tab_Def_Processes[Stock?],,0,)</f>
        <v>#N/A</v>
      </c>
      <c r="M46" s="48"/>
      <c r="N46" s="57" t="e">
        <f>_xlfn.XLOOKUP($D46,Tab_Def_Processes[Name(EN)],Tab_Def_Processes[Input_Flow_I_1],,0,)</f>
        <v>#N/A</v>
      </c>
      <c r="O46" s="48" t="e">
        <f>_xlfn.XLOOKUP($D46,Tab_Def_Processes[Name(EN)],Tab_Def_Processes[Flow_ID_I_1],,0,)</f>
        <v>#N/A</v>
      </c>
      <c r="P46" s="75"/>
      <c r="Q46" s="71" t="e">
        <f>_xlfn.XLOOKUP($D46,Tab_Def_Processes[Name(EN)],Tab_Def_Processes[Input_Flow_I_2],,0,)</f>
        <v>#N/A</v>
      </c>
      <c r="R46" s="48" t="e">
        <f>_xlfn.XLOOKUP($D46,Tab_Def_Processes[Name(EN)],Tab_Def_Processes[Flow_ID_I_2],,0,)</f>
        <v>#N/A</v>
      </c>
      <c r="S46" s="75"/>
      <c r="T46" s="71" t="e">
        <f>_xlfn.XLOOKUP($D46,Tab_Def_Processes[Name(EN)],Tab_Def_Processes[Input_Flow_I_3],,0,)</f>
        <v>#N/A</v>
      </c>
      <c r="U46" s="48" t="e">
        <f>_xlfn.XLOOKUP($D46,Tab_Def_Processes[Name(EN)],Tab_Def_Processes[Flow_ID_I_3],,0,)</f>
        <v>#N/A</v>
      </c>
      <c r="V46" s="75"/>
      <c r="W46" s="71" t="e">
        <f>_xlfn.XLOOKUP($D46,Tab_Def_Processes[Name(EN)],Tab_Def_Processes[Input_Flow_I_4],,0,)</f>
        <v>#N/A</v>
      </c>
      <c r="X46" s="48" t="e">
        <f>_xlfn.XLOOKUP($D46,Tab_Def_Processes[Name(EN)],Tab_Def_Processes[Flow_ID_I_4],,0,)</f>
        <v>#N/A</v>
      </c>
      <c r="Y46" s="75"/>
      <c r="Z46" s="71" t="e">
        <f>_xlfn.XLOOKUP($D46,Tab_Def_Processes[Name(EN)],Tab_Def_Processes[Input_Flow_I_5],,0,)</f>
        <v>#N/A</v>
      </c>
      <c r="AA46" s="48" t="e">
        <f>_xlfn.XLOOKUP($D46,Tab_Def_Processes[Name(EN)],Tab_Def_Processes[Flow_ID_I_5],,0,)</f>
        <v>#N/A</v>
      </c>
      <c r="AB46" s="75"/>
      <c r="AC46" s="74">
        <f>Tab_Process_TCs2527[[#This Row],[Flow_TC_I_1_'[%']]]+Tab_Process_TCs2527[[#This Row],[Flow_TC_I_2_'[%']]]+Tab_Process_TCs2527[[#This Row],[Flow_TC_I_3_'[%']]]+Tab_Process_TCs2527[[#This Row],[Flow_TC_I_4_'[%']]]+Tab_Process_TCs2527[[#This Row],[Flow_TC_I_5_'[%']]]</f>
        <v>0</v>
      </c>
      <c r="AD46" s="57" t="e">
        <f>_xlfn.XLOOKUP($D46,Tab_Process_TCs[TC_ID],Tab_Process_TCs[Output_Flow_O_1],,0,)</f>
        <v>#N/A</v>
      </c>
      <c r="AE46" s="48" t="e">
        <f>_xlfn.XLOOKUP($D46,Tab_Process_TCs[TC_ID],Tab_Process_TCs[Flow_ID_O_1],,0,)</f>
        <v>#N/A</v>
      </c>
      <c r="AF46" s="100" t="e">
        <f>Tab_Process_TCs2527[[#This Row],[Flow_ID]]</f>
        <v>#N/A</v>
      </c>
      <c r="AG46" s="48" t="e">
        <f t="shared" si="8"/>
        <v>#N/A</v>
      </c>
      <c r="AH46" s="109">
        <v>1</v>
      </c>
      <c r="AI46" s="231" t="e">
        <f>_xlfn.XLOOKUP($D46,Tab_Process_TCs[TC_ID],Tab_Process_TCs[Output_Flow_O_2],,0,)</f>
        <v>#N/A</v>
      </c>
      <c r="AJ46" s="113" t="e">
        <f>_xlfn.XLOOKUP($D46,Tab_Process_TCs[TC_ID],Tab_Process_TCs[Flow_ID_O_2],,0,)</f>
        <v>#N/A</v>
      </c>
      <c r="AK46" s="100" t="e">
        <f>Tab_Process_TCs2527[[#This Row],[Flow_ID]]</f>
        <v>#N/A</v>
      </c>
      <c r="AL46" s="48" t="e">
        <f t="shared" si="9"/>
        <v>#N/A</v>
      </c>
      <c r="AM46" s="228"/>
      <c r="AN46" s="57" t="e">
        <f>_xlfn.XLOOKUP($D46,Tab_Process_TCs[TC_ID],Tab_Process_TCs[Output_Flow_O_3],,0,)</f>
        <v>#N/A</v>
      </c>
      <c r="AO46" s="48" t="e">
        <f>_xlfn.XLOOKUP($D46,Tab_Process_TCs[TC_ID],Tab_Process_TCs[Flow_ID_O_3],,0,)</f>
        <v>#N/A</v>
      </c>
      <c r="AP46" s="100" t="e">
        <f>Tab_Process_TCs2527[[#This Row],[Flow_ID]]</f>
        <v>#N/A</v>
      </c>
      <c r="AQ46" s="48" t="e">
        <f t="shared" si="10"/>
        <v>#N/A</v>
      </c>
      <c r="AR46" s="228"/>
      <c r="AS46" s="57" t="e">
        <f>_xlfn.XLOOKUP($D46,Tab_Process_TCs[TC_ID],#REF!,,0,)</f>
        <v>#REF!</v>
      </c>
      <c r="AT46" s="48" t="e">
        <f>_xlfn.XLOOKUP($D46,Tab_Process_TCs[TC_ID],#REF!,,0,)</f>
        <v>#REF!</v>
      </c>
      <c r="AU46" s="100" t="e">
        <f>Tab_Process_TCs2527[[#This Row],[Flow_ID]]</f>
        <v>#N/A</v>
      </c>
      <c r="AV46" s="100" t="e">
        <f t="shared" si="11"/>
        <v>#N/A</v>
      </c>
      <c r="AW46" s="228"/>
      <c r="AX46" s="57" t="e">
        <f>_xlfn.XLOOKUP($D46,Tab_Process_TCs[TC_ID],#REF!,,0,)</f>
        <v>#REF!</v>
      </c>
      <c r="AY46" s="48" t="e">
        <f>_xlfn.XLOOKUP($D46,Tab_Process_TCs[TC_ID],#REF!,,0,)</f>
        <v>#REF!</v>
      </c>
      <c r="AZ46" s="100" t="e">
        <f>Tab_Process_TCs2527[[#This Row],[Flow_ID]]</f>
        <v>#N/A</v>
      </c>
      <c r="BA46" s="100" t="e">
        <f t="shared" si="12"/>
        <v>#REF!</v>
      </c>
      <c r="BB46" s="228"/>
      <c r="BC46" s="48" t="e">
        <f>_xlfn.XLOOKUP($D46,Tab_Process_TCs[TC_ID],#REF!,,0,)</f>
        <v>#REF!</v>
      </c>
      <c r="BD46" s="48" t="e">
        <f>_xlfn.XLOOKUP($D46,Tab_Process_TCs[TC_ID],#REF!,,0,)</f>
        <v>#REF!</v>
      </c>
      <c r="BE46" s="100" t="e">
        <f>Tab_Process_TCs2527[[#This Row],[Flow_ID]]</f>
        <v>#N/A</v>
      </c>
      <c r="BF46" s="100" t="e">
        <f t="shared" si="13"/>
        <v>#REF!</v>
      </c>
      <c r="BG46" s="109"/>
      <c r="BH46" s="112">
        <f>Tab_Process_TCs2527[[#This Row],[TC O_6_'[%']]]+Tab_Process_TCs2527[[#This Row],[TC O_5_'[%']]]+Tab_Process_TCs2527[[#This Row],[TC_O_4_'[%']]]+Tab_Process_TCs2527[[#This Row],[TC_O_3_'[%']]]+Tab_Process_TCs2527[[#This Row],[TC_O_2_'[%']]]+Tab_Process_TCs2527[[#This Row],[TC_O_1_'[%']]]</f>
        <v>1</v>
      </c>
      <c r="BI46" s="50"/>
      <c r="BJ46" s="50"/>
      <c r="BK46" s="50"/>
      <c r="BL46" s="50"/>
      <c r="BM46" s="50"/>
    </row>
    <row r="47" spans="1:65" x14ac:dyDescent="0.25">
      <c r="A47" s="87" t="b">
        <v>0</v>
      </c>
      <c r="B47" s="48">
        <f t="shared" si="7"/>
        <v>46</v>
      </c>
      <c r="C47" s="107" t="e">
        <f>_xlfn.XLOOKUP($D47,Tab_Process_TCs[Name(EN)],Tab_Process_TCs[Process_ID],,0,)</f>
        <v>#N/A</v>
      </c>
      <c r="D47" s="50"/>
      <c r="E47" s="50" t="s">
        <v>55</v>
      </c>
      <c r="F47" s="48" t="e">
        <f>_xlfn.XLOOKUP($D47,Tab_Process_TCs[Name(EN)],Tab_Process_TCs[TC?],,0,)</f>
        <v>#N/A</v>
      </c>
      <c r="G47" s="48" t="e">
        <f>_xlfn.XLOOKUP($D47,Tab_Process_TCs[Name(EN)],Tab_Process_TCs[Dyn_TC?],,0,)</f>
        <v>#N/A</v>
      </c>
      <c r="H47" s="48" t="e">
        <f>_xlfn.XLOOKUP($E47,Tab_Def_Flows[Name(EN)],Tab_Def_Flows[Flow_ID],,0,1)</f>
        <v>#N/A</v>
      </c>
      <c r="I47" s="50" t="e">
        <f>IF(Tab_Process_TCs2527[[#This Row],[Name(EN)]]="N.A.","N.A.","TC"&amp;"_"&amp;RIGHT(H47,5))</f>
        <v>#N/A</v>
      </c>
      <c r="J47" s="50"/>
      <c r="K47" s="249"/>
      <c r="L47" s="50" t="e">
        <f>_xlfn.XLOOKUP($D47,Tab_Def_Processes[Name(EN)],Tab_Def_Processes[Stock?],,0,)</f>
        <v>#N/A</v>
      </c>
      <c r="M47" s="48"/>
      <c r="N47" s="57" t="e">
        <f>_xlfn.XLOOKUP($D47,Tab_Def_Processes[Name(EN)],Tab_Def_Processes[Input_Flow_I_1],,0,)</f>
        <v>#N/A</v>
      </c>
      <c r="O47" s="48" t="e">
        <f>_xlfn.XLOOKUP($D47,Tab_Def_Processes[Name(EN)],Tab_Def_Processes[Flow_ID_I_1],,0,)</f>
        <v>#N/A</v>
      </c>
      <c r="P47" s="75"/>
      <c r="Q47" s="71" t="e">
        <f>_xlfn.XLOOKUP($D47,Tab_Def_Processes[Name(EN)],Tab_Def_Processes[Input_Flow_I_2],,0,)</f>
        <v>#N/A</v>
      </c>
      <c r="R47" s="48" t="e">
        <f>_xlfn.XLOOKUP($D47,Tab_Def_Processes[Name(EN)],Tab_Def_Processes[Flow_ID_I_2],,0,)</f>
        <v>#N/A</v>
      </c>
      <c r="S47" s="75"/>
      <c r="T47" s="71" t="e">
        <f>_xlfn.XLOOKUP($D47,Tab_Def_Processes[Name(EN)],Tab_Def_Processes[Input_Flow_I_3],,0,)</f>
        <v>#N/A</v>
      </c>
      <c r="U47" s="48" t="e">
        <f>_xlfn.XLOOKUP($D47,Tab_Def_Processes[Name(EN)],Tab_Def_Processes[Flow_ID_I_3],,0,)</f>
        <v>#N/A</v>
      </c>
      <c r="V47" s="75"/>
      <c r="W47" s="71" t="e">
        <f>_xlfn.XLOOKUP($D47,Tab_Def_Processes[Name(EN)],Tab_Def_Processes[Input_Flow_I_4],,0,)</f>
        <v>#N/A</v>
      </c>
      <c r="X47" s="48" t="e">
        <f>_xlfn.XLOOKUP($D47,Tab_Def_Processes[Name(EN)],Tab_Def_Processes[Flow_ID_I_4],,0,)</f>
        <v>#N/A</v>
      </c>
      <c r="Y47" s="75"/>
      <c r="Z47" s="71" t="e">
        <f>_xlfn.XLOOKUP($D47,Tab_Def_Processes[Name(EN)],Tab_Def_Processes[Input_Flow_I_5],,0,)</f>
        <v>#N/A</v>
      </c>
      <c r="AA47" s="48" t="e">
        <f>_xlfn.XLOOKUP($D47,Tab_Def_Processes[Name(EN)],Tab_Def_Processes[Flow_ID_I_5],,0,)</f>
        <v>#N/A</v>
      </c>
      <c r="AB47" s="75"/>
      <c r="AC47" s="74">
        <f>Tab_Process_TCs2527[[#This Row],[Flow_TC_I_1_'[%']]]+Tab_Process_TCs2527[[#This Row],[Flow_TC_I_2_'[%']]]+Tab_Process_TCs2527[[#This Row],[Flow_TC_I_3_'[%']]]+Tab_Process_TCs2527[[#This Row],[Flow_TC_I_4_'[%']]]+Tab_Process_TCs2527[[#This Row],[Flow_TC_I_5_'[%']]]</f>
        <v>0</v>
      </c>
      <c r="AD47" s="57" t="e">
        <f>_xlfn.XLOOKUP($D47,Tab_Process_TCs[TC_ID],Tab_Process_TCs[Output_Flow_O_1],,0,)</f>
        <v>#N/A</v>
      </c>
      <c r="AE47" s="48" t="e">
        <f>_xlfn.XLOOKUP($D47,Tab_Process_TCs[TC_ID],Tab_Process_TCs[Flow_ID_O_1],,0,)</f>
        <v>#N/A</v>
      </c>
      <c r="AF47" s="100" t="e">
        <f>Tab_Process_TCs2527[[#This Row],[Flow_ID]]</f>
        <v>#N/A</v>
      </c>
      <c r="AG47" s="48" t="e">
        <f t="shared" si="8"/>
        <v>#N/A</v>
      </c>
      <c r="AH47" s="109">
        <v>1</v>
      </c>
      <c r="AI47" s="231" t="e">
        <f>_xlfn.XLOOKUP($D47,Tab_Process_TCs[TC_ID],Tab_Process_TCs[Output_Flow_O_2],,0,)</f>
        <v>#N/A</v>
      </c>
      <c r="AJ47" s="113" t="e">
        <f>_xlfn.XLOOKUP($D47,Tab_Process_TCs[TC_ID],Tab_Process_TCs[Flow_ID_O_2],,0,)</f>
        <v>#N/A</v>
      </c>
      <c r="AK47" s="100" t="e">
        <f>Tab_Process_TCs2527[[#This Row],[Flow_ID]]</f>
        <v>#N/A</v>
      </c>
      <c r="AL47" s="48" t="e">
        <f t="shared" si="9"/>
        <v>#N/A</v>
      </c>
      <c r="AM47" s="228"/>
      <c r="AN47" s="57" t="e">
        <f>_xlfn.XLOOKUP($D47,Tab_Process_TCs[TC_ID],Tab_Process_TCs[Output_Flow_O_3],,0,)</f>
        <v>#N/A</v>
      </c>
      <c r="AO47" s="48" t="e">
        <f>_xlfn.XLOOKUP($D47,Tab_Process_TCs[TC_ID],Tab_Process_TCs[Flow_ID_O_3],,0,)</f>
        <v>#N/A</v>
      </c>
      <c r="AP47" s="100" t="e">
        <f>Tab_Process_TCs2527[[#This Row],[Flow_ID]]</f>
        <v>#N/A</v>
      </c>
      <c r="AQ47" s="48" t="e">
        <f t="shared" si="10"/>
        <v>#N/A</v>
      </c>
      <c r="AR47" s="228"/>
      <c r="AS47" s="57" t="e">
        <f>_xlfn.XLOOKUP($D47,Tab_Process_TCs[TC_ID],#REF!,,0,)</f>
        <v>#REF!</v>
      </c>
      <c r="AT47" s="48" t="e">
        <f>_xlfn.XLOOKUP($D47,Tab_Process_TCs[TC_ID],#REF!,,0,)</f>
        <v>#REF!</v>
      </c>
      <c r="AU47" s="100" t="e">
        <f>Tab_Process_TCs2527[[#This Row],[Flow_ID]]</f>
        <v>#N/A</v>
      </c>
      <c r="AV47" s="100" t="e">
        <f t="shared" si="11"/>
        <v>#N/A</v>
      </c>
      <c r="AW47" s="228"/>
      <c r="AX47" s="57" t="e">
        <f>_xlfn.XLOOKUP($D47,Tab_Process_TCs[TC_ID],#REF!,,0,)</f>
        <v>#REF!</v>
      </c>
      <c r="AY47" s="48" t="e">
        <f>_xlfn.XLOOKUP($D47,Tab_Process_TCs[TC_ID],#REF!,,0,)</f>
        <v>#REF!</v>
      </c>
      <c r="AZ47" s="100" t="e">
        <f>Tab_Process_TCs2527[[#This Row],[Flow_ID]]</f>
        <v>#N/A</v>
      </c>
      <c r="BA47" s="100" t="e">
        <f t="shared" si="12"/>
        <v>#REF!</v>
      </c>
      <c r="BB47" s="228"/>
      <c r="BC47" s="48" t="e">
        <f>_xlfn.XLOOKUP($D47,Tab_Process_TCs[TC_ID],#REF!,,0,)</f>
        <v>#REF!</v>
      </c>
      <c r="BD47" s="48" t="e">
        <f>_xlfn.XLOOKUP($D47,Tab_Process_TCs[TC_ID],#REF!,,0,)</f>
        <v>#REF!</v>
      </c>
      <c r="BE47" s="100" t="e">
        <f>Tab_Process_TCs2527[[#This Row],[Flow_ID]]</f>
        <v>#N/A</v>
      </c>
      <c r="BF47" s="100" t="e">
        <f t="shared" si="13"/>
        <v>#REF!</v>
      </c>
      <c r="BG47" s="109"/>
      <c r="BH47" s="112">
        <f>Tab_Process_TCs2527[[#This Row],[TC O_6_'[%']]]+Tab_Process_TCs2527[[#This Row],[TC O_5_'[%']]]+Tab_Process_TCs2527[[#This Row],[TC_O_4_'[%']]]+Tab_Process_TCs2527[[#This Row],[TC_O_3_'[%']]]+Tab_Process_TCs2527[[#This Row],[TC_O_2_'[%']]]+Tab_Process_TCs2527[[#This Row],[TC_O_1_'[%']]]</f>
        <v>1</v>
      </c>
      <c r="BI47" s="50"/>
      <c r="BJ47" s="50"/>
      <c r="BK47" s="50"/>
      <c r="BL47" s="50"/>
      <c r="BM47" s="50"/>
    </row>
    <row r="48" spans="1:65" x14ac:dyDescent="0.25">
      <c r="A48" s="87" t="b">
        <v>0</v>
      </c>
      <c r="B48" s="48">
        <f t="shared" si="7"/>
        <v>47</v>
      </c>
      <c r="C48" s="107" t="e">
        <f>_xlfn.XLOOKUP($D48,Tab_Process_TCs[Name(EN)],Tab_Process_TCs[Process_ID],,0,)</f>
        <v>#N/A</v>
      </c>
      <c r="D48" s="50"/>
      <c r="E48" s="50" t="s">
        <v>55</v>
      </c>
      <c r="F48" s="48" t="e">
        <f>_xlfn.XLOOKUP($D48,Tab_Process_TCs[Name(EN)],Tab_Process_TCs[TC?],,0,)</f>
        <v>#N/A</v>
      </c>
      <c r="G48" s="48" t="e">
        <f>_xlfn.XLOOKUP($D48,Tab_Process_TCs[Name(EN)],Tab_Process_TCs[Dyn_TC?],,0,)</f>
        <v>#N/A</v>
      </c>
      <c r="H48" s="48" t="e">
        <f>_xlfn.XLOOKUP($E48,Tab_Def_Flows[Name(EN)],Tab_Def_Flows[Flow_ID],,0,1)</f>
        <v>#N/A</v>
      </c>
      <c r="I48" s="50" t="e">
        <f>IF(Tab_Process_TCs2527[[#This Row],[Name(EN)]]="N.A.","N.A.","TC"&amp;"_"&amp;RIGHT(H48,5))</f>
        <v>#N/A</v>
      </c>
      <c r="J48" s="50"/>
      <c r="K48" s="249"/>
      <c r="L48" s="50" t="e">
        <f>_xlfn.XLOOKUP($D48,Tab_Def_Processes[Name(EN)],Tab_Def_Processes[Stock?],,0,)</f>
        <v>#N/A</v>
      </c>
      <c r="M48" s="48"/>
      <c r="N48" s="57" t="e">
        <f>_xlfn.XLOOKUP($D48,Tab_Def_Processes[Name(EN)],Tab_Def_Processes[Input_Flow_I_1],,0,)</f>
        <v>#N/A</v>
      </c>
      <c r="O48" s="48" t="e">
        <f>_xlfn.XLOOKUP($D48,Tab_Def_Processes[Name(EN)],Tab_Def_Processes[Flow_ID_I_1],,0,)</f>
        <v>#N/A</v>
      </c>
      <c r="P48" s="75"/>
      <c r="Q48" s="71" t="e">
        <f>_xlfn.XLOOKUP($D48,Tab_Def_Processes[Name(EN)],Tab_Def_Processes[Input_Flow_I_2],,0,)</f>
        <v>#N/A</v>
      </c>
      <c r="R48" s="48" t="e">
        <f>_xlfn.XLOOKUP($D48,Tab_Def_Processes[Name(EN)],Tab_Def_Processes[Flow_ID_I_2],,0,)</f>
        <v>#N/A</v>
      </c>
      <c r="S48" s="75"/>
      <c r="T48" s="71" t="e">
        <f>_xlfn.XLOOKUP($D48,Tab_Def_Processes[Name(EN)],Tab_Def_Processes[Input_Flow_I_3],,0,)</f>
        <v>#N/A</v>
      </c>
      <c r="U48" s="48" t="e">
        <f>_xlfn.XLOOKUP($D48,Tab_Def_Processes[Name(EN)],Tab_Def_Processes[Flow_ID_I_3],,0,)</f>
        <v>#N/A</v>
      </c>
      <c r="V48" s="75"/>
      <c r="W48" s="71" t="e">
        <f>_xlfn.XLOOKUP($D48,Tab_Def_Processes[Name(EN)],Tab_Def_Processes[Input_Flow_I_4],,0,)</f>
        <v>#N/A</v>
      </c>
      <c r="X48" s="48" t="e">
        <f>_xlfn.XLOOKUP($D48,Tab_Def_Processes[Name(EN)],Tab_Def_Processes[Flow_ID_I_4],,0,)</f>
        <v>#N/A</v>
      </c>
      <c r="Y48" s="75"/>
      <c r="Z48" s="71" t="e">
        <f>_xlfn.XLOOKUP($D48,Tab_Def_Processes[Name(EN)],Tab_Def_Processes[Input_Flow_I_5],,0,)</f>
        <v>#N/A</v>
      </c>
      <c r="AA48" s="48" t="e">
        <f>_xlfn.XLOOKUP($D48,Tab_Def_Processes[Name(EN)],Tab_Def_Processes[Flow_ID_I_5],,0,)</f>
        <v>#N/A</v>
      </c>
      <c r="AB48" s="75"/>
      <c r="AC48" s="74">
        <f>Tab_Process_TCs2527[[#This Row],[Flow_TC_I_1_'[%']]]+Tab_Process_TCs2527[[#This Row],[Flow_TC_I_2_'[%']]]+Tab_Process_TCs2527[[#This Row],[Flow_TC_I_3_'[%']]]+Tab_Process_TCs2527[[#This Row],[Flow_TC_I_4_'[%']]]+Tab_Process_TCs2527[[#This Row],[Flow_TC_I_5_'[%']]]</f>
        <v>0</v>
      </c>
      <c r="AD48" s="57" t="e">
        <f>_xlfn.XLOOKUP($D48,Tab_Process_TCs[TC_ID],Tab_Process_TCs[Output_Flow_O_1],,0,)</f>
        <v>#N/A</v>
      </c>
      <c r="AE48" s="48" t="e">
        <f>_xlfn.XLOOKUP($D48,Tab_Process_TCs[TC_ID],Tab_Process_TCs[Flow_ID_O_1],,0,)</f>
        <v>#N/A</v>
      </c>
      <c r="AF48" s="100" t="e">
        <f>Tab_Process_TCs2527[[#This Row],[Flow_ID]]</f>
        <v>#N/A</v>
      </c>
      <c r="AG48" s="48" t="e">
        <f t="shared" si="8"/>
        <v>#N/A</v>
      </c>
      <c r="AH48" s="109">
        <v>1</v>
      </c>
      <c r="AI48" s="231" t="e">
        <f>_xlfn.XLOOKUP($D48,Tab_Process_TCs[TC_ID],Tab_Process_TCs[Output_Flow_O_2],,0,)</f>
        <v>#N/A</v>
      </c>
      <c r="AJ48" s="113" t="e">
        <f>_xlfn.XLOOKUP($D48,Tab_Process_TCs[TC_ID],Tab_Process_TCs[Flow_ID_O_2],,0,)</f>
        <v>#N/A</v>
      </c>
      <c r="AK48" s="100" t="e">
        <f>Tab_Process_TCs2527[[#This Row],[Flow_ID]]</f>
        <v>#N/A</v>
      </c>
      <c r="AL48" s="48" t="e">
        <f t="shared" si="9"/>
        <v>#N/A</v>
      </c>
      <c r="AM48" s="228"/>
      <c r="AN48" s="57" t="e">
        <f>_xlfn.XLOOKUP($D48,Tab_Process_TCs[TC_ID],Tab_Process_TCs[Output_Flow_O_3],,0,)</f>
        <v>#N/A</v>
      </c>
      <c r="AO48" s="48" t="e">
        <f>_xlfn.XLOOKUP($D48,Tab_Process_TCs[TC_ID],Tab_Process_TCs[Flow_ID_O_3],,0,)</f>
        <v>#N/A</v>
      </c>
      <c r="AP48" s="100" t="e">
        <f>Tab_Process_TCs2527[[#This Row],[Flow_ID]]</f>
        <v>#N/A</v>
      </c>
      <c r="AQ48" s="48" t="e">
        <f t="shared" si="10"/>
        <v>#N/A</v>
      </c>
      <c r="AR48" s="228"/>
      <c r="AS48" s="57" t="e">
        <f>_xlfn.XLOOKUP($D48,Tab_Process_TCs[TC_ID],#REF!,,0,)</f>
        <v>#REF!</v>
      </c>
      <c r="AT48" s="48" t="e">
        <f>_xlfn.XLOOKUP($D48,Tab_Process_TCs[TC_ID],#REF!,,0,)</f>
        <v>#REF!</v>
      </c>
      <c r="AU48" s="100" t="e">
        <f>Tab_Process_TCs2527[[#This Row],[Flow_ID]]</f>
        <v>#N/A</v>
      </c>
      <c r="AV48" s="100" t="e">
        <f t="shared" si="11"/>
        <v>#N/A</v>
      </c>
      <c r="AW48" s="228"/>
      <c r="AX48" s="57" t="e">
        <f>_xlfn.XLOOKUP($D48,Tab_Process_TCs[TC_ID],#REF!,,0,)</f>
        <v>#REF!</v>
      </c>
      <c r="AY48" s="48" t="e">
        <f>_xlfn.XLOOKUP($D48,Tab_Process_TCs[TC_ID],#REF!,,0,)</f>
        <v>#REF!</v>
      </c>
      <c r="AZ48" s="100" t="e">
        <f>Tab_Process_TCs2527[[#This Row],[Flow_ID]]</f>
        <v>#N/A</v>
      </c>
      <c r="BA48" s="100" t="e">
        <f t="shared" si="12"/>
        <v>#REF!</v>
      </c>
      <c r="BB48" s="228"/>
      <c r="BC48" s="48" t="e">
        <f>_xlfn.XLOOKUP($D48,Tab_Process_TCs[TC_ID],#REF!,,0,)</f>
        <v>#REF!</v>
      </c>
      <c r="BD48" s="48" t="e">
        <f>_xlfn.XLOOKUP($D48,Tab_Process_TCs[TC_ID],#REF!,,0,)</f>
        <v>#REF!</v>
      </c>
      <c r="BE48" s="100" t="e">
        <f>Tab_Process_TCs2527[[#This Row],[Flow_ID]]</f>
        <v>#N/A</v>
      </c>
      <c r="BF48" s="100" t="e">
        <f t="shared" si="13"/>
        <v>#REF!</v>
      </c>
      <c r="BG48" s="109"/>
      <c r="BH48" s="112">
        <f>Tab_Process_TCs2527[[#This Row],[TC O_6_'[%']]]+Tab_Process_TCs2527[[#This Row],[TC O_5_'[%']]]+Tab_Process_TCs2527[[#This Row],[TC_O_4_'[%']]]+Tab_Process_TCs2527[[#This Row],[TC_O_3_'[%']]]+Tab_Process_TCs2527[[#This Row],[TC_O_2_'[%']]]+Tab_Process_TCs2527[[#This Row],[TC_O_1_'[%']]]</f>
        <v>1</v>
      </c>
      <c r="BI48" s="50"/>
      <c r="BJ48" s="50"/>
      <c r="BK48" s="50"/>
      <c r="BL48" s="50"/>
      <c r="BM48" s="50"/>
    </row>
    <row r="49" spans="1:65" x14ac:dyDescent="0.25">
      <c r="A49" s="87" t="b">
        <v>0</v>
      </c>
      <c r="B49" s="48">
        <f t="shared" si="7"/>
        <v>48</v>
      </c>
      <c r="C49" s="107" t="e">
        <f>_xlfn.XLOOKUP($D49,Tab_Process_TCs[Name(EN)],Tab_Process_TCs[Process_ID],,0,)</f>
        <v>#N/A</v>
      </c>
      <c r="D49" s="50"/>
      <c r="E49" s="50" t="s">
        <v>55</v>
      </c>
      <c r="F49" s="48" t="e">
        <f>_xlfn.XLOOKUP($D49,Tab_Process_TCs[Name(EN)],Tab_Process_TCs[TC?],,0,)</f>
        <v>#N/A</v>
      </c>
      <c r="G49" s="48" t="e">
        <f>_xlfn.XLOOKUP($D49,Tab_Process_TCs[Name(EN)],Tab_Process_TCs[Dyn_TC?],,0,)</f>
        <v>#N/A</v>
      </c>
      <c r="H49" s="48" t="e">
        <f>_xlfn.XLOOKUP($E49,Tab_Def_Flows[Name(EN)],Tab_Def_Flows[Flow_ID],,0,1)</f>
        <v>#N/A</v>
      </c>
      <c r="I49" s="50" t="e">
        <f>IF(Tab_Process_TCs2527[[#This Row],[Name(EN)]]="N.A.","N.A.","TC"&amp;"_"&amp;RIGHT(H49,5))</f>
        <v>#N/A</v>
      </c>
      <c r="J49" s="50"/>
      <c r="K49" s="249"/>
      <c r="L49" s="50" t="e">
        <f>_xlfn.XLOOKUP($D49,Tab_Def_Processes[Name(EN)],Tab_Def_Processes[Stock?],,0,)</f>
        <v>#N/A</v>
      </c>
      <c r="M49" s="48"/>
      <c r="N49" s="57" t="e">
        <f>_xlfn.XLOOKUP($D49,Tab_Def_Processes[Name(EN)],Tab_Def_Processes[Input_Flow_I_1],,0,)</f>
        <v>#N/A</v>
      </c>
      <c r="O49" s="48" t="e">
        <f>_xlfn.XLOOKUP($D49,Tab_Def_Processes[Name(EN)],Tab_Def_Processes[Flow_ID_I_1],,0,)</f>
        <v>#N/A</v>
      </c>
      <c r="P49" s="75"/>
      <c r="Q49" s="71" t="e">
        <f>_xlfn.XLOOKUP($D49,Tab_Def_Processes[Name(EN)],Tab_Def_Processes[Input_Flow_I_2],,0,)</f>
        <v>#N/A</v>
      </c>
      <c r="R49" s="48" t="e">
        <f>_xlfn.XLOOKUP($D49,Tab_Def_Processes[Name(EN)],Tab_Def_Processes[Flow_ID_I_2],,0,)</f>
        <v>#N/A</v>
      </c>
      <c r="S49" s="75"/>
      <c r="T49" s="71" t="e">
        <f>_xlfn.XLOOKUP($D49,Tab_Def_Processes[Name(EN)],Tab_Def_Processes[Input_Flow_I_3],,0,)</f>
        <v>#N/A</v>
      </c>
      <c r="U49" s="48" t="e">
        <f>_xlfn.XLOOKUP($D49,Tab_Def_Processes[Name(EN)],Tab_Def_Processes[Flow_ID_I_3],,0,)</f>
        <v>#N/A</v>
      </c>
      <c r="V49" s="75"/>
      <c r="W49" s="71" t="e">
        <f>_xlfn.XLOOKUP($D49,Tab_Def_Processes[Name(EN)],Tab_Def_Processes[Input_Flow_I_4],,0,)</f>
        <v>#N/A</v>
      </c>
      <c r="X49" s="48" t="e">
        <f>_xlfn.XLOOKUP($D49,Tab_Def_Processes[Name(EN)],Tab_Def_Processes[Flow_ID_I_4],,0,)</f>
        <v>#N/A</v>
      </c>
      <c r="Y49" s="75"/>
      <c r="Z49" s="71" t="e">
        <f>_xlfn.XLOOKUP($D49,Tab_Def_Processes[Name(EN)],Tab_Def_Processes[Input_Flow_I_5],,0,)</f>
        <v>#N/A</v>
      </c>
      <c r="AA49" s="48" t="e">
        <f>_xlfn.XLOOKUP($D49,Tab_Def_Processes[Name(EN)],Tab_Def_Processes[Flow_ID_I_5],,0,)</f>
        <v>#N/A</v>
      </c>
      <c r="AB49" s="75"/>
      <c r="AC49" s="74">
        <f>Tab_Process_TCs2527[[#This Row],[Flow_TC_I_1_'[%']]]+Tab_Process_TCs2527[[#This Row],[Flow_TC_I_2_'[%']]]+Tab_Process_TCs2527[[#This Row],[Flow_TC_I_3_'[%']]]+Tab_Process_TCs2527[[#This Row],[Flow_TC_I_4_'[%']]]+Tab_Process_TCs2527[[#This Row],[Flow_TC_I_5_'[%']]]</f>
        <v>0</v>
      </c>
      <c r="AD49" s="57" t="e">
        <f>_xlfn.XLOOKUP($D49,Tab_Process_TCs[TC_ID],Tab_Process_TCs[Output_Flow_O_1],,0,)</f>
        <v>#N/A</v>
      </c>
      <c r="AE49" s="48" t="e">
        <f>_xlfn.XLOOKUP($D49,Tab_Process_TCs[TC_ID],Tab_Process_TCs[Flow_ID_O_1],,0,)</f>
        <v>#N/A</v>
      </c>
      <c r="AF49" s="100" t="e">
        <f>Tab_Process_TCs2527[[#This Row],[Flow_ID]]</f>
        <v>#N/A</v>
      </c>
      <c r="AG49" s="48" t="e">
        <f t="shared" si="8"/>
        <v>#N/A</v>
      </c>
      <c r="AH49" s="109">
        <v>1</v>
      </c>
      <c r="AI49" s="231" t="e">
        <f>_xlfn.XLOOKUP($D49,Tab_Process_TCs[TC_ID],Tab_Process_TCs[Output_Flow_O_2],,0,)</f>
        <v>#N/A</v>
      </c>
      <c r="AJ49" s="113" t="e">
        <f>_xlfn.XLOOKUP($D49,Tab_Process_TCs[TC_ID],Tab_Process_TCs[Flow_ID_O_2],,0,)</f>
        <v>#N/A</v>
      </c>
      <c r="AK49" s="100" t="e">
        <f>Tab_Process_TCs2527[[#This Row],[Flow_ID]]</f>
        <v>#N/A</v>
      </c>
      <c r="AL49" s="48" t="e">
        <f t="shared" si="9"/>
        <v>#N/A</v>
      </c>
      <c r="AM49" s="228"/>
      <c r="AN49" s="57" t="e">
        <f>_xlfn.XLOOKUP($D49,Tab_Process_TCs[TC_ID],Tab_Process_TCs[Output_Flow_O_3],,0,)</f>
        <v>#N/A</v>
      </c>
      <c r="AO49" s="48" t="e">
        <f>_xlfn.XLOOKUP($D49,Tab_Process_TCs[TC_ID],Tab_Process_TCs[Flow_ID_O_3],,0,)</f>
        <v>#N/A</v>
      </c>
      <c r="AP49" s="100" t="e">
        <f>Tab_Process_TCs2527[[#This Row],[Flow_ID]]</f>
        <v>#N/A</v>
      </c>
      <c r="AQ49" s="48" t="e">
        <f t="shared" si="10"/>
        <v>#N/A</v>
      </c>
      <c r="AR49" s="228"/>
      <c r="AS49" s="57" t="e">
        <f>_xlfn.XLOOKUP($D49,Tab_Process_TCs[TC_ID],#REF!,,0,)</f>
        <v>#REF!</v>
      </c>
      <c r="AT49" s="48" t="e">
        <f>_xlfn.XLOOKUP($D49,Tab_Process_TCs[TC_ID],#REF!,,0,)</f>
        <v>#REF!</v>
      </c>
      <c r="AU49" s="100" t="e">
        <f>Tab_Process_TCs2527[[#This Row],[Flow_ID]]</f>
        <v>#N/A</v>
      </c>
      <c r="AV49" s="100" t="e">
        <f t="shared" si="11"/>
        <v>#N/A</v>
      </c>
      <c r="AW49" s="228"/>
      <c r="AX49" s="57" t="e">
        <f>_xlfn.XLOOKUP($D49,Tab_Process_TCs[TC_ID],#REF!,,0,)</f>
        <v>#REF!</v>
      </c>
      <c r="AY49" s="48" t="e">
        <f>_xlfn.XLOOKUP($D49,Tab_Process_TCs[TC_ID],#REF!,,0,)</f>
        <v>#REF!</v>
      </c>
      <c r="AZ49" s="100" t="e">
        <f>Tab_Process_TCs2527[[#This Row],[Flow_ID]]</f>
        <v>#N/A</v>
      </c>
      <c r="BA49" s="100" t="e">
        <f t="shared" si="12"/>
        <v>#REF!</v>
      </c>
      <c r="BB49" s="228"/>
      <c r="BC49" s="48" t="e">
        <f>_xlfn.XLOOKUP($D49,Tab_Process_TCs[TC_ID],#REF!,,0,)</f>
        <v>#REF!</v>
      </c>
      <c r="BD49" s="48" t="e">
        <f>_xlfn.XLOOKUP($D49,Tab_Process_TCs[TC_ID],#REF!,,0,)</f>
        <v>#REF!</v>
      </c>
      <c r="BE49" s="100" t="e">
        <f>Tab_Process_TCs2527[[#This Row],[Flow_ID]]</f>
        <v>#N/A</v>
      </c>
      <c r="BF49" s="100" t="e">
        <f t="shared" si="13"/>
        <v>#REF!</v>
      </c>
      <c r="BG49" s="109"/>
      <c r="BH49" s="112">
        <f>Tab_Process_TCs2527[[#This Row],[TC O_6_'[%']]]+Tab_Process_TCs2527[[#This Row],[TC O_5_'[%']]]+Tab_Process_TCs2527[[#This Row],[TC_O_4_'[%']]]+Tab_Process_TCs2527[[#This Row],[TC_O_3_'[%']]]+Tab_Process_TCs2527[[#This Row],[TC_O_2_'[%']]]+Tab_Process_TCs2527[[#This Row],[TC_O_1_'[%']]]</f>
        <v>1</v>
      </c>
      <c r="BI49" s="50"/>
      <c r="BJ49" s="50"/>
      <c r="BK49" s="50"/>
      <c r="BL49" s="50"/>
      <c r="BM49" s="50"/>
    </row>
    <row r="50" spans="1:65" x14ac:dyDescent="0.25">
      <c r="A50" s="87" t="b">
        <v>0</v>
      </c>
      <c r="B50" s="48">
        <f t="shared" si="7"/>
        <v>49</v>
      </c>
      <c r="C50" s="107" t="e">
        <f>_xlfn.XLOOKUP($D50,Tab_Process_TCs[Name(EN)],Tab_Process_TCs[Process_ID],,0,)</f>
        <v>#N/A</v>
      </c>
      <c r="D50" s="50"/>
      <c r="E50" s="50" t="s">
        <v>55</v>
      </c>
      <c r="F50" s="48" t="e">
        <f>_xlfn.XLOOKUP($D50,Tab_Process_TCs[Name(EN)],Tab_Process_TCs[TC?],,0,)</f>
        <v>#N/A</v>
      </c>
      <c r="G50" s="48" t="e">
        <f>_xlfn.XLOOKUP($D50,Tab_Process_TCs[Name(EN)],Tab_Process_TCs[Dyn_TC?],,0,)</f>
        <v>#N/A</v>
      </c>
      <c r="H50" s="48" t="e">
        <f>_xlfn.XLOOKUP($E50,Tab_Def_Flows[Name(EN)],Tab_Def_Flows[Flow_ID],,0,1)</f>
        <v>#N/A</v>
      </c>
      <c r="I50" s="50" t="e">
        <f>IF(Tab_Process_TCs2527[[#This Row],[Name(EN)]]="N.A.","N.A.","TC"&amp;"_"&amp;RIGHT(H50,5))</f>
        <v>#N/A</v>
      </c>
      <c r="J50" s="50"/>
      <c r="K50" s="249"/>
      <c r="L50" s="50" t="e">
        <f>_xlfn.XLOOKUP($D50,Tab_Def_Processes[Name(EN)],Tab_Def_Processes[Stock?],,0,)</f>
        <v>#N/A</v>
      </c>
      <c r="M50" s="48"/>
      <c r="N50" s="57" t="e">
        <f>_xlfn.XLOOKUP($D50,Tab_Def_Processes[Name(EN)],Tab_Def_Processes[Input_Flow_I_1],,0,)</f>
        <v>#N/A</v>
      </c>
      <c r="O50" s="48" t="e">
        <f>_xlfn.XLOOKUP($D50,Tab_Def_Processes[Name(EN)],Tab_Def_Processes[Flow_ID_I_1],,0,)</f>
        <v>#N/A</v>
      </c>
      <c r="P50" s="75"/>
      <c r="Q50" s="71" t="e">
        <f>_xlfn.XLOOKUP($D50,Tab_Def_Processes[Name(EN)],Tab_Def_Processes[Input_Flow_I_2],,0,)</f>
        <v>#N/A</v>
      </c>
      <c r="R50" s="48" t="e">
        <f>_xlfn.XLOOKUP($D50,Tab_Def_Processes[Name(EN)],Tab_Def_Processes[Flow_ID_I_2],,0,)</f>
        <v>#N/A</v>
      </c>
      <c r="S50" s="75"/>
      <c r="T50" s="71" t="e">
        <f>_xlfn.XLOOKUP($D50,Tab_Def_Processes[Name(EN)],Tab_Def_Processes[Input_Flow_I_3],,0,)</f>
        <v>#N/A</v>
      </c>
      <c r="U50" s="48" t="e">
        <f>_xlfn.XLOOKUP($D50,Tab_Def_Processes[Name(EN)],Tab_Def_Processes[Flow_ID_I_3],,0,)</f>
        <v>#N/A</v>
      </c>
      <c r="V50" s="75"/>
      <c r="W50" s="71" t="e">
        <f>_xlfn.XLOOKUP($D50,Tab_Def_Processes[Name(EN)],Tab_Def_Processes[Input_Flow_I_4],,0,)</f>
        <v>#N/A</v>
      </c>
      <c r="X50" s="48" t="e">
        <f>_xlfn.XLOOKUP($D50,Tab_Def_Processes[Name(EN)],Tab_Def_Processes[Flow_ID_I_4],,0,)</f>
        <v>#N/A</v>
      </c>
      <c r="Y50" s="75"/>
      <c r="Z50" s="71" t="e">
        <f>_xlfn.XLOOKUP($D50,Tab_Def_Processes[Name(EN)],Tab_Def_Processes[Input_Flow_I_5],,0,)</f>
        <v>#N/A</v>
      </c>
      <c r="AA50" s="48" t="e">
        <f>_xlfn.XLOOKUP($D50,Tab_Def_Processes[Name(EN)],Tab_Def_Processes[Flow_ID_I_5],,0,)</f>
        <v>#N/A</v>
      </c>
      <c r="AB50" s="75"/>
      <c r="AC50" s="74">
        <f>Tab_Process_TCs2527[[#This Row],[Flow_TC_I_1_'[%']]]+Tab_Process_TCs2527[[#This Row],[Flow_TC_I_2_'[%']]]+Tab_Process_TCs2527[[#This Row],[Flow_TC_I_3_'[%']]]+Tab_Process_TCs2527[[#This Row],[Flow_TC_I_4_'[%']]]+Tab_Process_TCs2527[[#This Row],[Flow_TC_I_5_'[%']]]</f>
        <v>0</v>
      </c>
      <c r="AD50" s="57" t="e">
        <f>_xlfn.XLOOKUP($D50,Tab_Process_TCs[TC_ID],Tab_Process_TCs[Output_Flow_O_1],,0,)</f>
        <v>#N/A</v>
      </c>
      <c r="AE50" s="48" t="e">
        <f>_xlfn.XLOOKUP($D50,Tab_Process_TCs[TC_ID],Tab_Process_TCs[Flow_ID_O_1],,0,)</f>
        <v>#N/A</v>
      </c>
      <c r="AF50" s="100" t="e">
        <f>Tab_Process_TCs2527[[#This Row],[Flow_ID]]</f>
        <v>#N/A</v>
      </c>
      <c r="AG50" s="48" t="e">
        <f t="shared" si="8"/>
        <v>#N/A</v>
      </c>
      <c r="AH50" s="109">
        <v>1</v>
      </c>
      <c r="AI50" s="231" t="e">
        <f>_xlfn.XLOOKUP($D50,Tab_Process_TCs[TC_ID],Tab_Process_TCs[Output_Flow_O_2],,0,)</f>
        <v>#N/A</v>
      </c>
      <c r="AJ50" s="113" t="e">
        <f>_xlfn.XLOOKUP($D50,Tab_Process_TCs[TC_ID],Tab_Process_TCs[Flow_ID_O_2],,0,)</f>
        <v>#N/A</v>
      </c>
      <c r="AK50" s="100" t="e">
        <f>Tab_Process_TCs2527[[#This Row],[Flow_ID]]</f>
        <v>#N/A</v>
      </c>
      <c r="AL50" s="48" t="e">
        <f t="shared" si="9"/>
        <v>#N/A</v>
      </c>
      <c r="AM50" s="228"/>
      <c r="AN50" s="57" t="e">
        <f>_xlfn.XLOOKUP($D50,Tab_Process_TCs[TC_ID],Tab_Process_TCs[Output_Flow_O_3],,0,)</f>
        <v>#N/A</v>
      </c>
      <c r="AO50" s="48" t="e">
        <f>_xlfn.XLOOKUP($D50,Tab_Process_TCs[TC_ID],Tab_Process_TCs[Flow_ID_O_3],,0,)</f>
        <v>#N/A</v>
      </c>
      <c r="AP50" s="100" t="e">
        <f>Tab_Process_TCs2527[[#This Row],[Flow_ID]]</f>
        <v>#N/A</v>
      </c>
      <c r="AQ50" s="48" t="e">
        <f t="shared" si="10"/>
        <v>#N/A</v>
      </c>
      <c r="AR50" s="228"/>
      <c r="AS50" s="57" t="e">
        <f>_xlfn.XLOOKUP($D50,Tab_Process_TCs[TC_ID],#REF!,,0,)</f>
        <v>#REF!</v>
      </c>
      <c r="AT50" s="48" t="e">
        <f>_xlfn.XLOOKUP($D50,Tab_Process_TCs[TC_ID],#REF!,,0,)</f>
        <v>#REF!</v>
      </c>
      <c r="AU50" s="100" t="e">
        <f>Tab_Process_TCs2527[[#This Row],[Flow_ID]]</f>
        <v>#N/A</v>
      </c>
      <c r="AV50" s="100" t="e">
        <f t="shared" si="11"/>
        <v>#N/A</v>
      </c>
      <c r="AW50" s="228"/>
      <c r="AX50" s="57" t="e">
        <f>_xlfn.XLOOKUP($D50,Tab_Process_TCs[TC_ID],#REF!,,0,)</f>
        <v>#REF!</v>
      </c>
      <c r="AY50" s="48" t="e">
        <f>_xlfn.XLOOKUP($D50,Tab_Process_TCs[TC_ID],#REF!,,0,)</f>
        <v>#REF!</v>
      </c>
      <c r="AZ50" s="100" t="e">
        <f>Tab_Process_TCs2527[[#This Row],[Flow_ID]]</f>
        <v>#N/A</v>
      </c>
      <c r="BA50" s="100" t="e">
        <f t="shared" si="12"/>
        <v>#REF!</v>
      </c>
      <c r="BB50" s="228"/>
      <c r="BC50" s="48" t="e">
        <f>_xlfn.XLOOKUP($D50,Tab_Process_TCs[TC_ID],#REF!,,0,)</f>
        <v>#REF!</v>
      </c>
      <c r="BD50" s="48" t="e">
        <f>_xlfn.XLOOKUP($D50,Tab_Process_TCs[TC_ID],#REF!,,0,)</f>
        <v>#REF!</v>
      </c>
      <c r="BE50" s="100" t="e">
        <f>Tab_Process_TCs2527[[#This Row],[Flow_ID]]</f>
        <v>#N/A</v>
      </c>
      <c r="BF50" s="100" t="e">
        <f t="shared" si="13"/>
        <v>#REF!</v>
      </c>
      <c r="BG50" s="109"/>
      <c r="BH50" s="112">
        <f>Tab_Process_TCs2527[[#This Row],[TC O_6_'[%']]]+Tab_Process_TCs2527[[#This Row],[TC O_5_'[%']]]+Tab_Process_TCs2527[[#This Row],[TC_O_4_'[%']]]+Tab_Process_TCs2527[[#This Row],[TC_O_3_'[%']]]+Tab_Process_TCs2527[[#This Row],[TC_O_2_'[%']]]+Tab_Process_TCs2527[[#This Row],[TC_O_1_'[%']]]</f>
        <v>1</v>
      </c>
      <c r="BI50" s="50"/>
      <c r="BJ50" s="50"/>
      <c r="BK50" s="50"/>
      <c r="BL50" s="50"/>
      <c r="BM50" s="50"/>
    </row>
    <row r="51" spans="1:65" x14ac:dyDescent="0.25">
      <c r="A51" s="87" t="b">
        <v>0</v>
      </c>
      <c r="B51" s="48">
        <f t="shared" si="7"/>
        <v>50</v>
      </c>
      <c r="C51" s="107" t="e">
        <f>_xlfn.XLOOKUP($D51,Tab_Process_TCs[Name(EN)],Tab_Process_TCs[Process_ID],,0,)</f>
        <v>#N/A</v>
      </c>
      <c r="D51" s="50"/>
      <c r="E51" s="50" t="s">
        <v>55</v>
      </c>
      <c r="F51" s="48" t="e">
        <f>_xlfn.XLOOKUP($D51,Tab_Process_TCs[Name(EN)],Tab_Process_TCs[TC?],,0,)</f>
        <v>#N/A</v>
      </c>
      <c r="G51" s="48" t="e">
        <f>_xlfn.XLOOKUP($D51,Tab_Process_TCs[Name(EN)],Tab_Process_TCs[Dyn_TC?],,0,)</f>
        <v>#N/A</v>
      </c>
      <c r="H51" s="48" t="e">
        <f>_xlfn.XLOOKUP($E51,Tab_Def_Flows[Name(EN)],Tab_Def_Flows[Flow_ID],,0,1)</f>
        <v>#N/A</v>
      </c>
      <c r="I51" s="50" t="e">
        <f>IF(Tab_Process_TCs2527[[#This Row],[Name(EN)]]="N.A.","N.A.","TC"&amp;"_"&amp;RIGHT(H51,5))</f>
        <v>#N/A</v>
      </c>
      <c r="J51" s="50"/>
      <c r="K51" s="249"/>
      <c r="L51" s="50" t="e">
        <f>_xlfn.XLOOKUP($D51,Tab_Def_Processes[Name(EN)],Tab_Def_Processes[Stock?],,0,)</f>
        <v>#N/A</v>
      </c>
      <c r="M51" s="48"/>
      <c r="N51" s="57" t="e">
        <f>_xlfn.XLOOKUP($D51,Tab_Def_Processes[Name(EN)],Tab_Def_Processes[Input_Flow_I_1],,0,)</f>
        <v>#N/A</v>
      </c>
      <c r="O51" s="48" t="e">
        <f>_xlfn.XLOOKUP($D51,Tab_Def_Processes[Name(EN)],Tab_Def_Processes[Flow_ID_I_1],,0,)</f>
        <v>#N/A</v>
      </c>
      <c r="P51" s="75"/>
      <c r="Q51" s="71" t="e">
        <f>_xlfn.XLOOKUP($D51,Tab_Def_Processes[Name(EN)],Tab_Def_Processes[Input_Flow_I_2],,0,)</f>
        <v>#N/A</v>
      </c>
      <c r="R51" s="48" t="e">
        <f>_xlfn.XLOOKUP($D51,Tab_Def_Processes[Name(EN)],Tab_Def_Processes[Flow_ID_I_2],,0,)</f>
        <v>#N/A</v>
      </c>
      <c r="S51" s="75"/>
      <c r="T51" s="71" t="e">
        <f>_xlfn.XLOOKUP($D51,Tab_Def_Processes[Name(EN)],Tab_Def_Processes[Input_Flow_I_3],,0,)</f>
        <v>#N/A</v>
      </c>
      <c r="U51" s="48" t="e">
        <f>_xlfn.XLOOKUP($D51,Tab_Def_Processes[Name(EN)],Tab_Def_Processes[Flow_ID_I_3],,0,)</f>
        <v>#N/A</v>
      </c>
      <c r="V51" s="75"/>
      <c r="W51" s="71" t="e">
        <f>_xlfn.XLOOKUP($D51,Tab_Def_Processes[Name(EN)],Tab_Def_Processes[Input_Flow_I_4],,0,)</f>
        <v>#N/A</v>
      </c>
      <c r="X51" s="48" t="e">
        <f>_xlfn.XLOOKUP($D51,Tab_Def_Processes[Name(EN)],Tab_Def_Processes[Flow_ID_I_4],,0,)</f>
        <v>#N/A</v>
      </c>
      <c r="Y51" s="75"/>
      <c r="Z51" s="71" t="e">
        <f>_xlfn.XLOOKUP($D51,Tab_Def_Processes[Name(EN)],Tab_Def_Processes[Input_Flow_I_5],,0,)</f>
        <v>#N/A</v>
      </c>
      <c r="AA51" s="48" t="e">
        <f>_xlfn.XLOOKUP($D51,Tab_Def_Processes[Name(EN)],Tab_Def_Processes[Flow_ID_I_5],,0,)</f>
        <v>#N/A</v>
      </c>
      <c r="AB51" s="75"/>
      <c r="AC51" s="74">
        <f>Tab_Process_TCs2527[[#This Row],[Flow_TC_I_1_'[%']]]+Tab_Process_TCs2527[[#This Row],[Flow_TC_I_2_'[%']]]+Tab_Process_TCs2527[[#This Row],[Flow_TC_I_3_'[%']]]+Tab_Process_TCs2527[[#This Row],[Flow_TC_I_4_'[%']]]+Tab_Process_TCs2527[[#This Row],[Flow_TC_I_5_'[%']]]</f>
        <v>0</v>
      </c>
      <c r="AD51" s="57" t="e">
        <f>_xlfn.XLOOKUP($D51,Tab_Process_TCs[TC_ID],Tab_Process_TCs[Output_Flow_O_1],,0,)</f>
        <v>#N/A</v>
      </c>
      <c r="AE51" s="48" t="e">
        <f>_xlfn.XLOOKUP($D51,Tab_Process_TCs[TC_ID],Tab_Process_TCs[Flow_ID_O_1],,0,)</f>
        <v>#N/A</v>
      </c>
      <c r="AF51" s="100" t="e">
        <f>Tab_Process_TCs2527[[#This Row],[Flow_ID]]</f>
        <v>#N/A</v>
      </c>
      <c r="AG51" s="48" t="e">
        <f t="shared" si="8"/>
        <v>#N/A</v>
      </c>
      <c r="AH51" s="109">
        <v>1</v>
      </c>
      <c r="AI51" s="231" t="e">
        <f>_xlfn.XLOOKUP($D51,Tab_Process_TCs[TC_ID],Tab_Process_TCs[Output_Flow_O_2],,0,)</f>
        <v>#N/A</v>
      </c>
      <c r="AJ51" s="113" t="e">
        <f>_xlfn.XLOOKUP($D51,Tab_Process_TCs[TC_ID],Tab_Process_TCs[Flow_ID_O_2],,0,)</f>
        <v>#N/A</v>
      </c>
      <c r="AK51" s="100" t="e">
        <f>Tab_Process_TCs2527[[#This Row],[Flow_ID]]</f>
        <v>#N/A</v>
      </c>
      <c r="AL51" s="48" t="e">
        <f t="shared" si="9"/>
        <v>#N/A</v>
      </c>
      <c r="AM51" s="228"/>
      <c r="AN51" s="57" t="e">
        <f>_xlfn.XLOOKUP($D51,Tab_Process_TCs[TC_ID],Tab_Process_TCs[Output_Flow_O_3],,0,)</f>
        <v>#N/A</v>
      </c>
      <c r="AO51" s="48" t="e">
        <f>_xlfn.XLOOKUP($D51,Tab_Process_TCs[TC_ID],Tab_Process_TCs[Flow_ID_O_3],,0,)</f>
        <v>#N/A</v>
      </c>
      <c r="AP51" s="100" t="e">
        <f>Tab_Process_TCs2527[[#This Row],[Flow_ID]]</f>
        <v>#N/A</v>
      </c>
      <c r="AQ51" s="48" t="e">
        <f t="shared" si="10"/>
        <v>#N/A</v>
      </c>
      <c r="AR51" s="228"/>
      <c r="AS51" s="57" t="e">
        <f>_xlfn.XLOOKUP($D51,Tab_Process_TCs[TC_ID],#REF!,,0,)</f>
        <v>#REF!</v>
      </c>
      <c r="AT51" s="48" t="e">
        <f>_xlfn.XLOOKUP($D51,Tab_Process_TCs[TC_ID],#REF!,,0,)</f>
        <v>#REF!</v>
      </c>
      <c r="AU51" s="100" t="e">
        <f>Tab_Process_TCs2527[[#This Row],[Flow_ID]]</f>
        <v>#N/A</v>
      </c>
      <c r="AV51" s="100" t="e">
        <f t="shared" si="11"/>
        <v>#N/A</v>
      </c>
      <c r="AW51" s="228"/>
      <c r="AX51" s="57" t="e">
        <f>_xlfn.XLOOKUP($D51,Tab_Process_TCs[TC_ID],#REF!,,0,)</f>
        <v>#REF!</v>
      </c>
      <c r="AY51" s="48" t="e">
        <f>_xlfn.XLOOKUP($D51,Tab_Process_TCs[TC_ID],#REF!,,0,)</f>
        <v>#REF!</v>
      </c>
      <c r="AZ51" s="100" t="e">
        <f>Tab_Process_TCs2527[[#This Row],[Flow_ID]]</f>
        <v>#N/A</v>
      </c>
      <c r="BA51" s="100" t="e">
        <f t="shared" si="12"/>
        <v>#REF!</v>
      </c>
      <c r="BB51" s="228"/>
      <c r="BC51" s="48" t="e">
        <f>_xlfn.XLOOKUP($D51,Tab_Process_TCs[TC_ID],#REF!,,0,)</f>
        <v>#REF!</v>
      </c>
      <c r="BD51" s="48" t="e">
        <f>_xlfn.XLOOKUP($D51,Tab_Process_TCs[TC_ID],#REF!,,0,)</f>
        <v>#REF!</v>
      </c>
      <c r="BE51" s="100" t="e">
        <f>Tab_Process_TCs2527[[#This Row],[Flow_ID]]</f>
        <v>#N/A</v>
      </c>
      <c r="BF51" s="100" t="e">
        <f t="shared" si="13"/>
        <v>#REF!</v>
      </c>
      <c r="BG51" s="109"/>
      <c r="BH51" s="112">
        <f>Tab_Process_TCs2527[[#This Row],[TC O_6_'[%']]]+Tab_Process_TCs2527[[#This Row],[TC O_5_'[%']]]+Tab_Process_TCs2527[[#This Row],[TC_O_4_'[%']]]+Tab_Process_TCs2527[[#This Row],[TC_O_3_'[%']]]+Tab_Process_TCs2527[[#This Row],[TC_O_2_'[%']]]+Tab_Process_TCs2527[[#This Row],[TC_O_1_'[%']]]</f>
        <v>1</v>
      </c>
      <c r="BI51" s="50"/>
      <c r="BJ51" s="50"/>
      <c r="BK51" s="50"/>
      <c r="BL51" s="50"/>
      <c r="BM51" s="50"/>
    </row>
    <row r="52" spans="1:65" x14ac:dyDescent="0.25">
      <c r="A52" s="87" t="b">
        <v>0</v>
      </c>
      <c r="B52" s="48">
        <f t="shared" si="7"/>
        <v>51</v>
      </c>
      <c r="C52" s="107" t="e">
        <f>_xlfn.XLOOKUP($D52,Tab_Process_TCs[Name(EN)],Tab_Process_TCs[Process_ID],,0,)</f>
        <v>#N/A</v>
      </c>
      <c r="D52" s="50"/>
      <c r="E52" s="50" t="s">
        <v>55</v>
      </c>
      <c r="F52" s="48" t="e">
        <f>_xlfn.XLOOKUP($D52,Tab_Process_TCs[Name(EN)],Tab_Process_TCs[TC?],,0,)</f>
        <v>#N/A</v>
      </c>
      <c r="G52" s="48" t="e">
        <f>_xlfn.XLOOKUP($D52,Tab_Process_TCs[Name(EN)],Tab_Process_TCs[Dyn_TC?],,0,)</f>
        <v>#N/A</v>
      </c>
      <c r="H52" s="48" t="e">
        <f>_xlfn.XLOOKUP($E52,Tab_Def_Flows[Name(EN)],Tab_Def_Flows[Flow_ID],,0,1)</f>
        <v>#N/A</v>
      </c>
      <c r="I52" s="50" t="e">
        <f>IF(Tab_Process_TCs2527[[#This Row],[Name(EN)]]="N.A.","N.A.","TC"&amp;"_"&amp;RIGHT(H52,5))</f>
        <v>#N/A</v>
      </c>
      <c r="J52" s="50"/>
      <c r="K52" s="249"/>
      <c r="L52" s="50" t="e">
        <f>_xlfn.XLOOKUP($D52,Tab_Def_Processes[Name(EN)],Tab_Def_Processes[Stock?],,0,)</f>
        <v>#N/A</v>
      </c>
      <c r="M52" s="48"/>
      <c r="N52" s="57" t="e">
        <f>_xlfn.XLOOKUP($D52,Tab_Def_Processes[Name(EN)],Tab_Def_Processes[Input_Flow_I_1],,0,)</f>
        <v>#N/A</v>
      </c>
      <c r="O52" s="48" t="e">
        <f>_xlfn.XLOOKUP($D52,Tab_Def_Processes[Name(EN)],Tab_Def_Processes[Flow_ID_I_1],,0,)</f>
        <v>#N/A</v>
      </c>
      <c r="P52" s="75"/>
      <c r="Q52" s="71" t="e">
        <f>_xlfn.XLOOKUP($D52,Tab_Def_Processes[Name(EN)],Tab_Def_Processes[Input_Flow_I_2],,0,)</f>
        <v>#N/A</v>
      </c>
      <c r="R52" s="48" t="e">
        <f>_xlfn.XLOOKUP($D52,Tab_Def_Processes[Name(EN)],Tab_Def_Processes[Flow_ID_I_2],,0,)</f>
        <v>#N/A</v>
      </c>
      <c r="S52" s="75"/>
      <c r="T52" s="71" t="e">
        <f>_xlfn.XLOOKUP($D52,Tab_Def_Processes[Name(EN)],Tab_Def_Processes[Input_Flow_I_3],,0,)</f>
        <v>#N/A</v>
      </c>
      <c r="U52" s="48" t="e">
        <f>_xlfn.XLOOKUP($D52,Tab_Def_Processes[Name(EN)],Tab_Def_Processes[Flow_ID_I_3],,0,)</f>
        <v>#N/A</v>
      </c>
      <c r="V52" s="75"/>
      <c r="W52" s="71" t="e">
        <f>_xlfn.XLOOKUP($D52,Tab_Def_Processes[Name(EN)],Tab_Def_Processes[Input_Flow_I_4],,0,)</f>
        <v>#N/A</v>
      </c>
      <c r="X52" s="48" t="e">
        <f>_xlfn.XLOOKUP($D52,Tab_Def_Processes[Name(EN)],Tab_Def_Processes[Flow_ID_I_4],,0,)</f>
        <v>#N/A</v>
      </c>
      <c r="Y52" s="75"/>
      <c r="Z52" s="71" t="e">
        <f>_xlfn.XLOOKUP($D52,Tab_Def_Processes[Name(EN)],Tab_Def_Processes[Input_Flow_I_5],,0,)</f>
        <v>#N/A</v>
      </c>
      <c r="AA52" s="48" t="e">
        <f>_xlfn.XLOOKUP($D52,Tab_Def_Processes[Name(EN)],Tab_Def_Processes[Flow_ID_I_5],,0,)</f>
        <v>#N/A</v>
      </c>
      <c r="AB52" s="75"/>
      <c r="AC52" s="74">
        <f>Tab_Process_TCs2527[[#This Row],[Flow_TC_I_1_'[%']]]+Tab_Process_TCs2527[[#This Row],[Flow_TC_I_2_'[%']]]+Tab_Process_TCs2527[[#This Row],[Flow_TC_I_3_'[%']]]+Tab_Process_TCs2527[[#This Row],[Flow_TC_I_4_'[%']]]+Tab_Process_TCs2527[[#This Row],[Flow_TC_I_5_'[%']]]</f>
        <v>0</v>
      </c>
      <c r="AD52" s="57" t="e">
        <f>_xlfn.XLOOKUP($D52,Tab_Process_TCs[TC_ID],Tab_Process_TCs[Output_Flow_O_1],,0,)</f>
        <v>#N/A</v>
      </c>
      <c r="AE52" s="48" t="e">
        <f>_xlfn.XLOOKUP($D52,Tab_Process_TCs[TC_ID],Tab_Process_TCs[Flow_ID_O_1],,0,)</f>
        <v>#N/A</v>
      </c>
      <c r="AF52" s="100" t="e">
        <f>Tab_Process_TCs2527[[#This Row],[Flow_ID]]</f>
        <v>#N/A</v>
      </c>
      <c r="AG52" s="48" t="e">
        <f t="shared" si="8"/>
        <v>#N/A</v>
      </c>
      <c r="AH52" s="109">
        <v>1</v>
      </c>
      <c r="AI52" s="231" t="e">
        <f>_xlfn.XLOOKUP($D52,Tab_Process_TCs[TC_ID],Tab_Process_TCs[Output_Flow_O_2],,0,)</f>
        <v>#N/A</v>
      </c>
      <c r="AJ52" s="113" t="e">
        <f>_xlfn.XLOOKUP($D52,Tab_Process_TCs[TC_ID],Tab_Process_TCs[Flow_ID_O_2],,0,)</f>
        <v>#N/A</v>
      </c>
      <c r="AK52" s="100" t="e">
        <f>Tab_Process_TCs2527[[#This Row],[Flow_ID]]</f>
        <v>#N/A</v>
      </c>
      <c r="AL52" s="48" t="e">
        <f t="shared" si="9"/>
        <v>#N/A</v>
      </c>
      <c r="AM52" s="228"/>
      <c r="AN52" s="57" t="e">
        <f>_xlfn.XLOOKUP($D52,Tab_Process_TCs[TC_ID],Tab_Process_TCs[Output_Flow_O_3],,0,)</f>
        <v>#N/A</v>
      </c>
      <c r="AO52" s="48" t="e">
        <f>_xlfn.XLOOKUP($D52,Tab_Process_TCs[TC_ID],Tab_Process_TCs[Flow_ID_O_3],,0,)</f>
        <v>#N/A</v>
      </c>
      <c r="AP52" s="100" t="e">
        <f>Tab_Process_TCs2527[[#This Row],[Flow_ID]]</f>
        <v>#N/A</v>
      </c>
      <c r="AQ52" s="48" t="e">
        <f t="shared" si="10"/>
        <v>#N/A</v>
      </c>
      <c r="AR52" s="228"/>
      <c r="AS52" s="57" t="e">
        <f>_xlfn.XLOOKUP($D52,Tab_Process_TCs[TC_ID],#REF!,,0,)</f>
        <v>#REF!</v>
      </c>
      <c r="AT52" s="48" t="e">
        <f>_xlfn.XLOOKUP($D52,Tab_Process_TCs[TC_ID],#REF!,,0,)</f>
        <v>#REF!</v>
      </c>
      <c r="AU52" s="100" t="e">
        <f>Tab_Process_TCs2527[[#This Row],[Flow_ID]]</f>
        <v>#N/A</v>
      </c>
      <c r="AV52" s="100" t="e">
        <f t="shared" si="11"/>
        <v>#N/A</v>
      </c>
      <c r="AW52" s="228"/>
      <c r="AX52" s="57" t="e">
        <f>_xlfn.XLOOKUP($D52,Tab_Process_TCs[TC_ID],#REF!,,0,)</f>
        <v>#REF!</v>
      </c>
      <c r="AY52" s="48" t="e">
        <f>_xlfn.XLOOKUP($D52,Tab_Process_TCs[TC_ID],#REF!,,0,)</f>
        <v>#REF!</v>
      </c>
      <c r="AZ52" s="100" t="e">
        <f>Tab_Process_TCs2527[[#This Row],[Flow_ID]]</f>
        <v>#N/A</v>
      </c>
      <c r="BA52" s="100" t="e">
        <f t="shared" si="12"/>
        <v>#REF!</v>
      </c>
      <c r="BB52" s="228"/>
      <c r="BC52" s="48" t="e">
        <f>_xlfn.XLOOKUP($D52,Tab_Process_TCs[TC_ID],#REF!,,0,)</f>
        <v>#REF!</v>
      </c>
      <c r="BD52" s="48" t="e">
        <f>_xlfn.XLOOKUP($D52,Tab_Process_TCs[TC_ID],#REF!,,0,)</f>
        <v>#REF!</v>
      </c>
      <c r="BE52" s="100" t="e">
        <f>Tab_Process_TCs2527[[#This Row],[Flow_ID]]</f>
        <v>#N/A</v>
      </c>
      <c r="BF52" s="100" t="e">
        <f t="shared" si="13"/>
        <v>#REF!</v>
      </c>
      <c r="BG52" s="109"/>
      <c r="BH52" s="112">
        <f>Tab_Process_TCs2527[[#This Row],[TC O_6_'[%']]]+Tab_Process_TCs2527[[#This Row],[TC O_5_'[%']]]+Tab_Process_TCs2527[[#This Row],[TC_O_4_'[%']]]+Tab_Process_TCs2527[[#This Row],[TC_O_3_'[%']]]+Tab_Process_TCs2527[[#This Row],[TC_O_2_'[%']]]+Tab_Process_TCs2527[[#This Row],[TC_O_1_'[%']]]</f>
        <v>1</v>
      </c>
      <c r="BI52" s="50"/>
      <c r="BJ52" s="50"/>
      <c r="BK52" s="50"/>
      <c r="BL52" s="50"/>
      <c r="BM52" s="50"/>
    </row>
    <row r="53" spans="1:65" x14ac:dyDescent="0.25">
      <c r="A53" s="87" t="b">
        <v>0</v>
      </c>
      <c r="B53" s="48">
        <f t="shared" si="7"/>
        <v>52</v>
      </c>
      <c r="C53" s="107" t="e">
        <f>_xlfn.XLOOKUP($D53,Tab_Process_TCs[Name(EN)],Tab_Process_TCs[Process_ID],,0,)</f>
        <v>#N/A</v>
      </c>
      <c r="D53" s="50"/>
      <c r="E53" s="50" t="s">
        <v>55</v>
      </c>
      <c r="F53" s="48" t="e">
        <f>_xlfn.XLOOKUP($D53,Tab_Process_TCs[Name(EN)],Tab_Process_TCs[TC?],,0,)</f>
        <v>#N/A</v>
      </c>
      <c r="G53" s="48" t="e">
        <f>_xlfn.XLOOKUP($D53,Tab_Process_TCs[Name(EN)],Tab_Process_TCs[Dyn_TC?],,0,)</f>
        <v>#N/A</v>
      </c>
      <c r="H53" s="48" t="e">
        <f>_xlfn.XLOOKUP($E53,Tab_Def_Flows[Name(EN)],Tab_Def_Flows[Flow_ID],,0,1)</f>
        <v>#N/A</v>
      </c>
      <c r="I53" s="50" t="e">
        <f>IF(Tab_Process_TCs2527[[#This Row],[Name(EN)]]="N.A.","N.A.","TC"&amp;"_"&amp;RIGHT(H53,5))</f>
        <v>#N/A</v>
      </c>
      <c r="J53" s="50"/>
      <c r="K53" s="249"/>
      <c r="L53" s="50" t="e">
        <f>_xlfn.XLOOKUP($D53,Tab_Def_Processes[Name(EN)],Tab_Def_Processes[Stock?],,0,)</f>
        <v>#N/A</v>
      </c>
      <c r="M53" s="48"/>
      <c r="N53" s="57" t="e">
        <f>_xlfn.XLOOKUP($D53,Tab_Def_Processes[Name(EN)],Tab_Def_Processes[Input_Flow_I_1],,0,)</f>
        <v>#N/A</v>
      </c>
      <c r="O53" s="48" t="e">
        <f>_xlfn.XLOOKUP($D53,Tab_Def_Processes[Name(EN)],Tab_Def_Processes[Flow_ID_I_1],,0,)</f>
        <v>#N/A</v>
      </c>
      <c r="P53" s="75"/>
      <c r="Q53" s="71" t="e">
        <f>_xlfn.XLOOKUP($D53,Tab_Def_Processes[Name(EN)],Tab_Def_Processes[Input_Flow_I_2],,0,)</f>
        <v>#N/A</v>
      </c>
      <c r="R53" s="48" t="e">
        <f>_xlfn.XLOOKUP($D53,Tab_Def_Processes[Name(EN)],Tab_Def_Processes[Flow_ID_I_2],,0,)</f>
        <v>#N/A</v>
      </c>
      <c r="S53" s="75"/>
      <c r="T53" s="71" t="e">
        <f>_xlfn.XLOOKUP($D53,Tab_Def_Processes[Name(EN)],Tab_Def_Processes[Input_Flow_I_3],,0,)</f>
        <v>#N/A</v>
      </c>
      <c r="U53" s="48" t="e">
        <f>_xlfn.XLOOKUP($D53,Tab_Def_Processes[Name(EN)],Tab_Def_Processes[Flow_ID_I_3],,0,)</f>
        <v>#N/A</v>
      </c>
      <c r="V53" s="75"/>
      <c r="W53" s="71" t="e">
        <f>_xlfn.XLOOKUP($D53,Tab_Def_Processes[Name(EN)],Tab_Def_Processes[Input_Flow_I_4],,0,)</f>
        <v>#N/A</v>
      </c>
      <c r="X53" s="48" t="e">
        <f>_xlfn.XLOOKUP($D53,Tab_Def_Processes[Name(EN)],Tab_Def_Processes[Flow_ID_I_4],,0,)</f>
        <v>#N/A</v>
      </c>
      <c r="Y53" s="75"/>
      <c r="Z53" s="71" t="e">
        <f>_xlfn.XLOOKUP($D53,Tab_Def_Processes[Name(EN)],Tab_Def_Processes[Input_Flow_I_5],,0,)</f>
        <v>#N/A</v>
      </c>
      <c r="AA53" s="48" t="e">
        <f>_xlfn.XLOOKUP($D53,Tab_Def_Processes[Name(EN)],Tab_Def_Processes[Flow_ID_I_5],,0,)</f>
        <v>#N/A</v>
      </c>
      <c r="AB53" s="75"/>
      <c r="AC53" s="74">
        <f>Tab_Process_TCs2527[[#This Row],[Flow_TC_I_1_'[%']]]+Tab_Process_TCs2527[[#This Row],[Flow_TC_I_2_'[%']]]+Tab_Process_TCs2527[[#This Row],[Flow_TC_I_3_'[%']]]+Tab_Process_TCs2527[[#This Row],[Flow_TC_I_4_'[%']]]+Tab_Process_TCs2527[[#This Row],[Flow_TC_I_5_'[%']]]</f>
        <v>0</v>
      </c>
      <c r="AD53" s="57" t="e">
        <f>_xlfn.XLOOKUP($D53,Tab_Process_TCs[TC_ID],Tab_Process_TCs[Output_Flow_O_1],,0,)</f>
        <v>#N/A</v>
      </c>
      <c r="AE53" s="48" t="e">
        <f>_xlfn.XLOOKUP($D53,Tab_Process_TCs[TC_ID],Tab_Process_TCs[Flow_ID_O_1],,0,)</f>
        <v>#N/A</v>
      </c>
      <c r="AF53" s="100" t="e">
        <f>Tab_Process_TCs2527[[#This Row],[Flow_ID]]</f>
        <v>#N/A</v>
      </c>
      <c r="AG53" s="48" t="e">
        <f t="shared" si="8"/>
        <v>#N/A</v>
      </c>
      <c r="AH53" s="109">
        <v>1</v>
      </c>
      <c r="AI53" s="231" t="e">
        <f>_xlfn.XLOOKUP($D53,Tab_Process_TCs[TC_ID],Tab_Process_TCs[Output_Flow_O_2],,0,)</f>
        <v>#N/A</v>
      </c>
      <c r="AJ53" s="113" t="e">
        <f>_xlfn.XLOOKUP($D53,Tab_Process_TCs[TC_ID],Tab_Process_TCs[Flow_ID_O_2],,0,)</f>
        <v>#N/A</v>
      </c>
      <c r="AK53" s="100" t="e">
        <f>Tab_Process_TCs2527[[#This Row],[Flow_ID]]</f>
        <v>#N/A</v>
      </c>
      <c r="AL53" s="48" t="e">
        <f t="shared" si="9"/>
        <v>#N/A</v>
      </c>
      <c r="AM53" s="228"/>
      <c r="AN53" s="57" t="e">
        <f>_xlfn.XLOOKUP($D53,Tab_Process_TCs[TC_ID],Tab_Process_TCs[Output_Flow_O_3],,0,)</f>
        <v>#N/A</v>
      </c>
      <c r="AO53" s="48" t="e">
        <f>_xlfn.XLOOKUP($D53,Tab_Process_TCs[TC_ID],Tab_Process_TCs[Flow_ID_O_3],,0,)</f>
        <v>#N/A</v>
      </c>
      <c r="AP53" s="100" t="e">
        <f>Tab_Process_TCs2527[[#This Row],[Flow_ID]]</f>
        <v>#N/A</v>
      </c>
      <c r="AQ53" s="48" t="e">
        <f t="shared" si="10"/>
        <v>#N/A</v>
      </c>
      <c r="AR53" s="228"/>
      <c r="AS53" s="57" t="e">
        <f>_xlfn.XLOOKUP($D53,Tab_Process_TCs[TC_ID],#REF!,,0,)</f>
        <v>#REF!</v>
      </c>
      <c r="AT53" s="48" t="e">
        <f>_xlfn.XLOOKUP($D53,Tab_Process_TCs[TC_ID],#REF!,,0,)</f>
        <v>#REF!</v>
      </c>
      <c r="AU53" s="100" t="e">
        <f>Tab_Process_TCs2527[[#This Row],[Flow_ID]]</f>
        <v>#N/A</v>
      </c>
      <c r="AV53" s="100" t="e">
        <f t="shared" si="11"/>
        <v>#N/A</v>
      </c>
      <c r="AW53" s="228"/>
      <c r="AX53" s="57" t="e">
        <f>_xlfn.XLOOKUP($D53,Tab_Process_TCs[TC_ID],#REF!,,0,)</f>
        <v>#REF!</v>
      </c>
      <c r="AY53" s="48" t="e">
        <f>_xlfn.XLOOKUP($D53,Tab_Process_TCs[TC_ID],#REF!,,0,)</f>
        <v>#REF!</v>
      </c>
      <c r="AZ53" s="100" t="e">
        <f>Tab_Process_TCs2527[[#This Row],[Flow_ID]]</f>
        <v>#N/A</v>
      </c>
      <c r="BA53" s="100" t="e">
        <f t="shared" si="12"/>
        <v>#REF!</v>
      </c>
      <c r="BB53" s="228"/>
      <c r="BC53" s="48" t="e">
        <f>_xlfn.XLOOKUP($D53,Tab_Process_TCs[TC_ID],#REF!,,0,)</f>
        <v>#REF!</v>
      </c>
      <c r="BD53" s="48" t="e">
        <f>_xlfn.XLOOKUP($D53,Tab_Process_TCs[TC_ID],#REF!,,0,)</f>
        <v>#REF!</v>
      </c>
      <c r="BE53" s="100" t="e">
        <f>Tab_Process_TCs2527[[#This Row],[Flow_ID]]</f>
        <v>#N/A</v>
      </c>
      <c r="BF53" s="100" t="e">
        <f t="shared" si="13"/>
        <v>#REF!</v>
      </c>
      <c r="BG53" s="109"/>
      <c r="BH53" s="112">
        <f>Tab_Process_TCs2527[[#This Row],[TC O_6_'[%']]]+Tab_Process_TCs2527[[#This Row],[TC O_5_'[%']]]+Tab_Process_TCs2527[[#This Row],[TC_O_4_'[%']]]+Tab_Process_TCs2527[[#This Row],[TC_O_3_'[%']]]+Tab_Process_TCs2527[[#This Row],[TC_O_2_'[%']]]+Tab_Process_TCs2527[[#This Row],[TC_O_1_'[%']]]</f>
        <v>1</v>
      </c>
      <c r="BI53" s="50"/>
      <c r="BJ53" s="50"/>
      <c r="BK53" s="50"/>
      <c r="BL53" s="50"/>
      <c r="BM53" s="50"/>
    </row>
    <row r="54" spans="1:65" x14ac:dyDescent="0.25">
      <c r="A54" s="87" t="b">
        <v>0</v>
      </c>
      <c r="B54" s="48">
        <f t="shared" si="7"/>
        <v>53</v>
      </c>
      <c r="C54" s="107" t="e">
        <f>_xlfn.XLOOKUP($D54,Tab_Process_TCs[Name(EN)],Tab_Process_TCs[Process_ID],,0,)</f>
        <v>#N/A</v>
      </c>
      <c r="D54" s="50"/>
      <c r="E54" s="50" t="s">
        <v>55</v>
      </c>
      <c r="F54" s="48" t="e">
        <f>_xlfn.XLOOKUP($D54,Tab_Process_TCs[Name(EN)],Tab_Process_TCs[TC?],,0,)</f>
        <v>#N/A</v>
      </c>
      <c r="G54" s="48" t="e">
        <f>_xlfn.XLOOKUP($D54,Tab_Process_TCs[Name(EN)],Tab_Process_TCs[Dyn_TC?],,0,)</f>
        <v>#N/A</v>
      </c>
      <c r="H54" s="48" t="e">
        <f>_xlfn.XLOOKUP($E54,Tab_Def_Flows[Name(EN)],Tab_Def_Flows[Flow_ID],,0,1)</f>
        <v>#N/A</v>
      </c>
      <c r="I54" s="50" t="e">
        <f>IF(Tab_Process_TCs2527[[#This Row],[Name(EN)]]="N.A.","N.A.","TC"&amp;"_"&amp;RIGHT(H54,5))</f>
        <v>#N/A</v>
      </c>
      <c r="J54" s="50"/>
      <c r="K54" s="249"/>
      <c r="L54" s="50" t="e">
        <f>_xlfn.XLOOKUP($D54,Tab_Def_Processes[Name(EN)],Tab_Def_Processes[Stock?],,0,)</f>
        <v>#N/A</v>
      </c>
      <c r="M54" s="48"/>
      <c r="N54" s="57" t="e">
        <f>_xlfn.XLOOKUP($D54,Tab_Def_Processes[Name(EN)],Tab_Def_Processes[Input_Flow_I_1],,0,)</f>
        <v>#N/A</v>
      </c>
      <c r="O54" s="48" t="e">
        <f>_xlfn.XLOOKUP($D54,Tab_Def_Processes[Name(EN)],Tab_Def_Processes[Flow_ID_I_1],,0,)</f>
        <v>#N/A</v>
      </c>
      <c r="P54" s="75"/>
      <c r="Q54" s="71" t="e">
        <f>_xlfn.XLOOKUP($D54,Tab_Def_Processes[Name(EN)],Tab_Def_Processes[Input_Flow_I_2],,0,)</f>
        <v>#N/A</v>
      </c>
      <c r="R54" s="48" t="e">
        <f>_xlfn.XLOOKUP($D54,Tab_Def_Processes[Name(EN)],Tab_Def_Processes[Flow_ID_I_2],,0,)</f>
        <v>#N/A</v>
      </c>
      <c r="S54" s="75"/>
      <c r="T54" s="71" t="e">
        <f>_xlfn.XLOOKUP($D54,Tab_Def_Processes[Name(EN)],Tab_Def_Processes[Input_Flow_I_3],,0,)</f>
        <v>#N/A</v>
      </c>
      <c r="U54" s="48" t="e">
        <f>_xlfn.XLOOKUP($D54,Tab_Def_Processes[Name(EN)],Tab_Def_Processes[Flow_ID_I_3],,0,)</f>
        <v>#N/A</v>
      </c>
      <c r="V54" s="75"/>
      <c r="W54" s="71" t="e">
        <f>_xlfn.XLOOKUP($D54,Tab_Def_Processes[Name(EN)],Tab_Def_Processes[Input_Flow_I_4],,0,)</f>
        <v>#N/A</v>
      </c>
      <c r="X54" s="48" t="e">
        <f>_xlfn.XLOOKUP($D54,Tab_Def_Processes[Name(EN)],Tab_Def_Processes[Flow_ID_I_4],,0,)</f>
        <v>#N/A</v>
      </c>
      <c r="Y54" s="75"/>
      <c r="Z54" s="71" t="e">
        <f>_xlfn.XLOOKUP($D54,Tab_Def_Processes[Name(EN)],Tab_Def_Processes[Input_Flow_I_5],,0,)</f>
        <v>#N/A</v>
      </c>
      <c r="AA54" s="48" t="e">
        <f>_xlfn.XLOOKUP($D54,Tab_Def_Processes[Name(EN)],Tab_Def_Processes[Flow_ID_I_5],,0,)</f>
        <v>#N/A</v>
      </c>
      <c r="AB54" s="75"/>
      <c r="AC54" s="74">
        <f>Tab_Process_TCs2527[[#This Row],[Flow_TC_I_1_'[%']]]+Tab_Process_TCs2527[[#This Row],[Flow_TC_I_2_'[%']]]+Tab_Process_TCs2527[[#This Row],[Flow_TC_I_3_'[%']]]+Tab_Process_TCs2527[[#This Row],[Flow_TC_I_4_'[%']]]+Tab_Process_TCs2527[[#This Row],[Flow_TC_I_5_'[%']]]</f>
        <v>0</v>
      </c>
      <c r="AD54" s="57" t="e">
        <f>_xlfn.XLOOKUP($D54,Tab_Process_TCs[TC_ID],Tab_Process_TCs[Output_Flow_O_1],,0,)</f>
        <v>#N/A</v>
      </c>
      <c r="AE54" s="48" t="e">
        <f>_xlfn.XLOOKUP($D54,Tab_Process_TCs[TC_ID],Tab_Process_TCs[Flow_ID_O_1],,0,)</f>
        <v>#N/A</v>
      </c>
      <c r="AF54" s="100" t="e">
        <f>Tab_Process_TCs2527[[#This Row],[Flow_ID]]</f>
        <v>#N/A</v>
      </c>
      <c r="AG54" s="48" t="e">
        <f t="shared" si="8"/>
        <v>#N/A</v>
      </c>
      <c r="AH54" s="109">
        <v>1</v>
      </c>
      <c r="AI54" s="231" t="e">
        <f>_xlfn.XLOOKUP($D54,Tab_Process_TCs[TC_ID],Tab_Process_TCs[Output_Flow_O_2],,0,)</f>
        <v>#N/A</v>
      </c>
      <c r="AJ54" s="113" t="e">
        <f>_xlfn.XLOOKUP($D54,Tab_Process_TCs[TC_ID],Tab_Process_TCs[Flow_ID_O_2],,0,)</f>
        <v>#N/A</v>
      </c>
      <c r="AK54" s="100" t="e">
        <f>Tab_Process_TCs2527[[#This Row],[Flow_ID]]</f>
        <v>#N/A</v>
      </c>
      <c r="AL54" s="48" t="e">
        <f t="shared" si="9"/>
        <v>#N/A</v>
      </c>
      <c r="AM54" s="228"/>
      <c r="AN54" s="57" t="e">
        <f>_xlfn.XLOOKUP($D54,Tab_Process_TCs[TC_ID],Tab_Process_TCs[Output_Flow_O_3],,0,)</f>
        <v>#N/A</v>
      </c>
      <c r="AO54" s="48" t="e">
        <f>_xlfn.XLOOKUP($D54,Tab_Process_TCs[TC_ID],Tab_Process_TCs[Flow_ID_O_3],,0,)</f>
        <v>#N/A</v>
      </c>
      <c r="AP54" s="100" t="e">
        <f>Tab_Process_TCs2527[[#This Row],[Flow_ID]]</f>
        <v>#N/A</v>
      </c>
      <c r="AQ54" s="48" t="e">
        <f t="shared" si="10"/>
        <v>#N/A</v>
      </c>
      <c r="AR54" s="228"/>
      <c r="AS54" s="57" t="e">
        <f>_xlfn.XLOOKUP($D54,Tab_Process_TCs[TC_ID],#REF!,,0,)</f>
        <v>#REF!</v>
      </c>
      <c r="AT54" s="48" t="e">
        <f>_xlfn.XLOOKUP($D54,Tab_Process_TCs[TC_ID],#REF!,,0,)</f>
        <v>#REF!</v>
      </c>
      <c r="AU54" s="100" t="e">
        <f>Tab_Process_TCs2527[[#This Row],[Flow_ID]]</f>
        <v>#N/A</v>
      </c>
      <c r="AV54" s="100" t="e">
        <f t="shared" si="11"/>
        <v>#N/A</v>
      </c>
      <c r="AW54" s="228"/>
      <c r="AX54" s="57" t="e">
        <f>_xlfn.XLOOKUP($D54,Tab_Process_TCs[TC_ID],#REF!,,0,)</f>
        <v>#REF!</v>
      </c>
      <c r="AY54" s="48" t="e">
        <f>_xlfn.XLOOKUP($D54,Tab_Process_TCs[TC_ID],#REF!,,0,)</f>
        <v>#REF!</v>
      </c>
      <c r="AZ54" s="100" t="e">
        <f>Tab_Process_TCs2527[[#This Row],[Flow_ID]]</f>
        <v>#N/A</v>
      </c>
      <c r="BA54" s="100" t="e">
        <f t="shared" si="12"/>
        <v>#REF!</v>
      </c>
      <c r="BB54" s="228"/>
      <c r="BC54" s="48" t="e">
        <f>_xlfn.XLOOKUP($D54,Tab_Process_TCs[TC_ID],#REF!,,0,)</f>
        <v>#REF!</v>
      </c>
      <c r="BD54" s="48" t="e">
        <f>_xlfn.XLOOKUP($D54,Tab_Process_TCs[TC_ID],#REF!,,0,)</f>
        <v>#REF!</v>
      </c>
      <c r="BE54" s="100" t="e">
        <f>Tab_Process_TCs2527[[#This Row],[Flow_ID]]</f>
        <v>#N/A</v>
      </c>
      <c r="BF54" s="100" t="e">
        <f t="shared" si="13"/>
        <v>#REF!</v>
      </c>
      <c r="BG54" s="109"/>
      <c r="BH54" s="112">
        <f>Tab_Process_TCs2527[[#This Row],[TC O_6_'[%']]]+Tab_Process_TCs2527[[#This Row],[TC O_5_'[%']]]+Tab_Process_TCs2527[[#This Row],[TC_O_4_'[%']]]+Tab_Process_TCs2527[[#This Row],[TC_O_3_'[%']]]+Tab_Process_TCs2527[[#This Row],[TC_O_2_'[%']]]+Tab_Process_TCs2527[[#This Row],[TC_O_1_'[%']]]</f>
        <v>1</v>
      </c>
      <c r="BI54" s="50"/>
      <c r="BJ54" s="50"/>
      <c r="BK54" s="50"/>
      <c r="BL54" s="50"/>
      <c r="BM54" s="50"/>
    </row>
    <row r="55" spans="1:65" x14ac:dyDescent="0.25">
      <c r="A55" s="87" t="b">
        <v>0</v>
      </c>
      <c r="B55" s="48">
        <f t="shared" si="7"/>
        <v>54</v>
      </c>
      <c r="C55" s="107" t="e">
        <f>_xlfn.XLOOKUP($D55,Tab_Process_TCs[Name(EN)],Tab_Process_TCs[Process_ID],,0,)</f>
        <v>#N/A</v>
      </c>
      <c r="D55" s="50"/>
      <c r="E55" s="50" t="s">
        <v>55</v>
      </c>
      <c r="F55" s="48" t="e">
        <f>_xlfn.XLOOKUP($D55,Tab_Process_TCs[Name(EN)],Tab_Process_TCs[TC?],,0,)</f>
        <v>#N/A</v>
      </c>
      <c r="G55" s="48" t="e">
        <f>_xlfn.XLOOKUP($D55,Tab_Process_TCs[Name(EN)],Tab_Process_TCs[Dyn_TC?],,0,)</f>
        <v>#N/A</v>
      </c>
      <c r="H55" s="48" t="e">
        <f>_xlfn.XLOOKUP($E55,Tab_Def_Flows[Name(EN)],Tab_Def_Flows[Flow_ID],,0,1)</f>
        <v>#N/A</v>
      </c>
      <c r="I55" s="50" t="e">
        <f>IF(Tab_Process_TCs2527[[#This Row],[Name(EN)]]="N.A.","N.A.","TC"&amp;"_"&amp;RIGHT(H55,5))</f>
        <v>#N/A</v>
      </c>
      <c r="J55" s="50"/>
      <c r="K55" s="249"/>
      <c r="L55" s="50" t="e">
        <f>_xlfn.XLOOKUP($D55,Tab_Def_Processes[Name(EN)],Tab_Def_Processes[Stock?],,0,)</f>
        <v>#N/A</v>
      </c>
      <c r="M55" s="48"/>
      <c r="N55" s="57" t="e">
        <f>_xlfn.XLOOKUP($D55,Tab_Def_Processes[Name(EN)],Tab_Def_Processes[Input_Flow_I_1],,0,)</f>
        <v>#N/A</v>
      </c>
      <c r="O55" s="48" t="e">
        <f>_xlfn.XLOOKUP($D55,Tab_Def_Processes[Name(EN)],Tab_Def_Processes[Flow_ID_I_1],,0,)</f>
        <v>#N/A</v>
      </c>
      <c r="P55" s="75"/>
      <c r="Q55" s="71" t="e">
        <f>_xlfn.XLOOKUP($D55,Tab_Def_Processes[Name(EN)],Tab_Def_Processes[Input_Flow_I_2],,0,)</f>
        <v>#N/A</v>
      </c>
      <c r="R55" s="48" t="e">
        <f>_xlfn.XLOOKUP($D55,Tab_Def_Processes[Name(EN)],Tab_Def_Processes[Flow_ID_I_2],,0,)</f>
        <v>#N/A</v>
      </c>
      <c r="S55" s="75"/>
      <c r="T55" s="71" t="e">
        <f>_xlfn.XLOOKUP($D55,Tab_Def_Processes[Name(EN)],Tab_Def_Processes[Input_Flow_I_3],,0,)</f>
        <v>#N/A</v>
      </c>
      <c r="U55" s="48" t="e">
        <f>_xlfn.XLOOKUP($D55,Tab_Def_Processes[Name(EN)],Tab_Def_Processes[Flow_ID_I_3],,0,)</f>
        <v>#N/A</v>
      </c>
      <c r="V55" s="75"/>
      <c r="W55" s="71" t="e">
        <f>_xlfn.XLOOKUP($D55,Tab_Def_Processes[Name(EN)],Tab_Def_Processes[Input_Flow_I_4],,0,)</f>
        <v>#N/A</v>
      </c>
      <c r="X55" s="48" t="e">
        <f>_xlfn.XLOOKUP($D55,Tab_Def_Processes[Name(EN)],Tab_Def_Processes[Flow_ID_I_4],,0,)</f>
        <v>#N/A</v>
      </c>
      <c r="Y55" s="75"/>
      <c r="Z55" s="71" t="e">
        <f>_xlfn.XLOOKUP($D55,Tab_Def_Processes[Name(EN)],Tab_Def_Processes[Input_Flow_I_5],,0,)</f>
        <v>#N/A</v>
      </c>
      <c r="AA55" s="48" t="e">
        <f>_xlfn.XLOOKUP($D55,Tab_Def_Processes[Name(EN)],Tab_Def_Processes[Flow_ID_I_5],,0,)</f>
        <v>#N/A</v>
      </c>
      <c r="AB55" s="75"/>
      <c r="AC55" s="74">
        <f>Tab_Process_TCs2527[[#This Row],[Flow_TC_I_1_'[%']]]+Tab_Process_TCs2527[[#This Row],[Flow_TC_I_2_'[%']]]+Tab_Process_TCs2527[[#This Row],[Flow_TC_I_3_'[%']]]+Tab_Process_TCs2527[[#This Row],[Flow_TC_I_4_'[%']]]+Tab_Process_TCs2527[[#This Row],[Flow_TC_I_5_'[%']]]</f>
        <v>0</v>
      </c>
      <c r="AD55" s="57" t="e">
        <f>_xlfn.XLOOKUP($D55,Tab_Process_TCs[TC_ID],Tab_Process_TCs[Output_Flow_O_1],,0,)</f>
        <v>#N/A</v>
      </c>
      <c r="AE55" s="48" t="e">
        <f>_xlfn.XLOOKUP($D55,Tab_Process_TCs[TC_ID],Tab_Process_TCs[Flow_ID_O_1],,0,)</f>
        <v>#N/A</v>
      </c>
      <c r="AF55" s="100" t="e">
        <f>Tab_Process_TCs2527[[#This Row],[Flow_ID]]</f>
        <v>#N/A</v>
      </c>
      <c r="AG55" s="48" t="e">
        <f t="shared" si="8"/>
        <v>#N/A</v>
      </c>
      <c r="AH55" s="109">
        <v>1</v>
      </c>
      <c r="AI55" s="231" t="e">
        <f>_xlfn.XLOOKUP($D55,Tab_Process_TCs[TC_ID],Tab_Process_TCs[Output_Flow_O_2],,0,)</f>
        <v>#N/A</v>
      </c>
      <c r="AJ55" s="113" t="e">
        <f>_xlfn.XLOOKUP($D55,Tab_Process_TCs[TC_ID],Tab_Process_TCs[Flow_ID_O_2],,0,)</f>
        <v>#N/A</v>
      </c>
      <c r="AK55" s="100" t="e">
        <f>Tab_Process_TCs2527[[#This Row],[Flow_ID]]</f>
        <v>#N/A</v>
      </c>
      <c r="AL55" s="48" t="e">
        <f t="shared" si="9"/>
        <v>#N/A</v>
      </c>
      <c r="AM55" s="228"/>
      <c r="AN55" s="57" t="e">
        <f>_xlfn.XLOOKUP($D55,Tab_Process_TCs[TC_ID],Tab_Process_TCs[Output_Flow_O_3],,0,)</f>
        <v>#N/A</v>
      </c>
      <c r="AO55" s="48" t="e">
        <f>_xlfn.XLOOKUP($D55,Tab_Process_TCs[TC_ID],Tab_Process_TCs[Flow_ID_O_3],,0,)</f>
        <v>#N/A</v>
      </c>
      <c r="AP55" s="100" t="e">
        <f>Tab_Process_TCs2527[[#This Row],[Flow_ID]]</f>
        <v>#N/A</v>
      </c>
      <c r="AQ55" s="48" t="e">
        <f t="shared" si="10"/>
        <v>#N/A</v>
      </c>
      <c r="AR55" s="228"/>
      <c r="AS55" s="57" t="e">
        <f>_xlfn.XLOOKUP($D55,Tab_Process_TCs[TC_ID],#REF!,,0,)</f>
        <v>#REF!</v>
      </c>
      <c r="AT55" s="48" t="e">
        <f>_xlfn.XLOOKUP($D55,Tab_Process_TCs[TC_ID],#REF!,,0,)</f>
        <v>#REF!</v>
      </c>
      <c r="AU55" s="100" t="e">
        <f>Tab_Process_TCs2527[[#This Row],[Flow_ID]]</f>
        <v>#N/A</v>
      </c>
      <c r="AV55" s="100" t="e">
        <f t="shared" si="11"/>
        <v>#N/A</v>
      </c>
      <c r="AW55" s="228"/>
      <c r="AX55" s="57" t="e">
        <f>_xlfn.XLOOKUP($D55,Tab_Process_TCs[TC_ID],#REF!,,0,)</f>
        <v>#REF!</v>
      </c>
      <c r="AY55" s="48" t="e">
        <f>_xlfn.XLOOKUP($D55,Tab_Process_TCs[TC_ID],#REF!,,0,)</f>
        <v>#REF!</v>
      </c>
      <c r="AZ55" s="100" t="e">
        <f>Tab_Process_TCs2527[[#This Row],[Flow_ID]]</f>
        <v>#N/A</v>
      </c>
      <c r="BA55" s="100" t="e">
        <f t="shared" si="12"/>
        <v>#REF!</v>
      </c>
      <c r="BB55" s="228"/>
      <c r="BC55" s="48" t="e">
        <f>_xlfn.XLOOKUP($D55,Tab_Process_TCs[TC_ID],#REF!,,0,)</f>
        <v>#REF!</v>
      </c>
      <c r="BD55" s="48" t="e">
        <f>_xlfn.XLOOKUP($D55,Tab_Process_TCs[TC_ID],#REF!,,0,)</f>
        <v>#REF!</v>
      </c>
      <c r="BE55" s="100" t="e">
        <f>Tab_Process_TCs2527[[#This Row],[Flow_ID]]</f>
        <v>#N/A</v>
      </c>
      <c r="BF55" s="100" t="e">
        <f t="shared" si="13"/>
        <v>#REF!</v>
      </c>
      <c r="BG55" s="109"/>
      <c r="BH55" s="112">
        <f>Tab_Process_TCs2527[[#This Row],[TC O_6_'[%']]]+Tab_Process_TCs2527[[#This Row],[TC O_5_'[%']]]+Tab_Process_TCs2527[[#This Row],[TC_O_4_'[%']]]+Tab_Process_TCs2527[[#This Row],[TC_O_3_'[%']]]+Tab_Process_TCs2527[[#This Row],[TC_O_2_'[%']]]+Tab_Process_TCs2527[[#This Row],[TC_O_1_'[%']]]</f>
        <v>1</v>
      </c>
      <c r="BI55" s="50"/>
      <c r="BJ55" s="50"/>
      <c r="BK55" s="50"/>
      <c r="BL55" s="50"/>
      <c r="BM55" s="50"/>
    </row>
    <row r="56" spans="1:65" x14ac:dyDescent="0.25">
      <c r="A56" s="87" t="b">
        <v>0</v>
      </c>
      <c r="B56" s="48">
        <f t="shared" si="7"/>
        <v>55</v>
      </c>
      <c r="C56" s="107" t="e">
        <f>_xlfn.XLOOKUP($D56,Tab_Process_TCs[Name(EN)],Tab_Process_TCs[Process_ID],,0,)</f>
        <v>#N/A</v>
      </c>
      <c r="D56" s="50"/>
      <c r="E56" s="50" t="s">
        <v>55</v>
      </c>
      <c r="F56" s="48" t="e">
        <f>_xlfn.XLOOKUP($D56,Tab_Process_TCs[Name(EN)],Tab_Process_TCs[TC?],,0,)</f>
        <v>#N/A</v>
      </c>
      <c r="G56" s="48" t="e">
        <f>_xlfn.XLOOKUP($D56,Tab_Process_TCs[Name(EN)],Tab_Process_TCs[Dyn_TC?],,0,)</f>
        <v>#N/A</v>
      </c>
      <c r="H56" s="48" t="e">
        <f>_xlfn.XLOOKUP($E56,Tab_Def_Flows[Name(EN)],Tab_Def_Flows[Flow_ID],,0,1)</f>
        <v>#N/A</v>
      </c>
      <c r="I56" s="50" t="e">
        <f>IF(Tab_Process_TCs2527[[#This Row],[Name(EN)]]="N.A.","N.A.","TC"&amp;"_"&amp;RIGHT(H56,5))</f>
        <v>#N/A</v>
      </c>
      <c r="J56" s="50"/>
      <c r="K56" s="249"/>
      <c r="L56" s="50" t="e">
        <f>_xlfn.XLOOKUP($D56,Tab_Def_Processes[Name(EN)],Tab_Def_Processes[Stock?],,0,)</f>
        <v>#N/A</v>
      </c>
      <c r="M56" s="48"/>
      <c r="N56" s="57" t="e">
        <f>_xlfn.XLOOKUP($D56,Tab_Def_Processes[Name(EN)],Tab_Def_Processes[Input_Flow_I_1],,0,)</f>
        <v>#N/A</v>
      </c>
      <c r="O56" s="48" t="e">
        <f>_xlfn.XLOOKUP($D56,Tab_Def_Processes[Name(EN)],Tab_Def_Processes[Flow_ID_I_1],,0,)</f>
        <v>#N/A</v>
      </c>
      <c r="P56" s="75"/>
      <c r="Q56" s="71" t="e">
        <f>_xlfn.XLOOKUP($D56,Tab_Def_Processes[Name(EN)],Tab_Def_Processes[Input_Flow_I_2],,0,)</f>
        <v>#N/A</v>
      </c>
      <c r="R56" s="48" t="e">
        <f>_xlfn.XLOOKUP($D56,Tab_Def_Processes[Name(EN)],Tab_Def_Processes[Flow_ID_I_2],,0,)</f>
        <v>#N/A</v>
      </c>
      <c r="S56" s="75"/>
      <c r="T56" s="71" t="e">
        <f>_xlfn.XLOOKUP($D56,Tab_Def_Processes[Name(EN)],Tab_Def_Processes[Input_Flow_I_3],,0,)</f>
        <v>#N/A</v>
      </c>
      <c r="U56" s="48" t="e">
        <f>_xlfn.XLOOKUP($D56,Tab_Def_Processes[Name(EN)],Tab_Def_Processes[Flow_ID_I_3],,0,)</f>
        <v>#N/A</v>
      </c>
      <c r="V56" s="75"/>
      <c r="W56" s="71" t="e">
        <f>_xlfn.XLOOKUP($D56,Tab_Def_Processes[Name(EN)],Tab_Def_Processes[Input_Flow_I_4],,0,)</f>
        <v>#N/A</v>
      </c>
      <c r="X56" s="48" t="e">
        <f>_xlfn.XLOOKUP($D56,Tab_Def_Processes[Name(EN)],Tab_Def_Processes[Flow_ID_I_4],,0,)</f>
        <v>#N/A</v>
      </c>
      <c r="Y56" s="75"/>
      <c r="Z56" s="71" t="e">
        <f>_xlfn.XLOOKUP($D56,Tab_Def_Processes[Name(EN)],Tab_Def_Processes[Input_Flow_I_5],,0,)</f>
        <v>#N/A</v>
      </c>
      <c r="AA56" s="48" t="e">
        <f>_xlfn.XLOOKUP($D56,Tab_Def_Processes[Name(EN)],Tab_Def_Processes[Flow_ID_I_5],,0,)</f>
        <v>#N/A</v>
      </c>
      <c r="AB56" s="75"/>
      <c r="AC56" s="74">
        <f>Tab_Process_TCs2527[[#This Row],[Flow_TC_I_1_'[%']]]+Tab_Process_TCs2527[[#This Row],[Flow_TC_I_2_'[%']]]+Tab_Process_TCs2527[[#This Row],[Flow_TC_I_3_'[%']]]+Tab_Process_TCs2527[[#This Row],[Flow_TC_I_4_'[%']]]+Tab_Process_TCs2527[[#This Row],[Flow_TC_I_5_'[%']]]</f>
        <v>0</v>
      </c>
      <c r="AD56" s="57" t="e">
        <f>_xlfn.XLOOKUP($D56,Tab_Process_TCs[TC_ID],Tab_Process_TCs[Output_Flow_O_1],,0,)</f>
        <v>#N/A</v>
      </c>
      <c r="AE56" s="48" t="e">
        <f>_xlfn.XLOOKUP($D56,Tab_Process_TCs[TC_ID],Tab_Process_TCs[Flow_ID_O_1],,0,)</f>
        <v>#N/A</v>
      </c>
      <c r="AF56" s="100" t="e">
        <f>Tab_Process_TCs2527[[#This Row],[Flow_ID]]</f>
        <v>#N/A</v>
      </c>
      <c r="AG56" s="48" t="e">
        <f t="shared" si="8"/>
        <v>#N/A</v>
      </c>
      <c r="AH56" s="109">
        <v>1</v>
      </c>
      <c r="AI56" s="231" t="e">
        <f>_xlfn.XLOOKUP($D56,Tab_Process_TCs[TC_ID],Tab_Process_TCs[Output_Flow_O_2],,0,)</f>
        <v>#N/A</v>
      </c>
      <c r="AJ56" s="113" t="e">
        <f>_xlfn.XLOOKUP($D56,Tab_Process_TCs[TC_ID],Tab_Process_TCs[Flow_ID_O_2],,0,)</f>
        <v>#N/A</v>
      </c>
      <c r="AK56" s="100" t="e">
        <f>Tab_Process_TCs2527[[#This Row],[Flow_ID]]</f>
        <v>#N/A</v>
      </c>
      <c r="AL56" s="48" t="e">
        <f t="shared" si="9"/>
        <v>#N/A</v>
      </c>
      <c r="AM56" s="228"/>
      <c r="AN56" s="57" t="e">
        <f>_xlfn.XLOOKUP($D56,Tab_Process_TCs[TC_ID],Tab_Process_TCs[Output_Flow_O_3],,0,)</f>
        <v>#N/A</v>
      </c>
      <c r="AO56" s="48" t="e">
        <f>_xlfn.XLOOKUP($D56,Tab_Process_TCs[TC_ID],Tab_Process_TCs[Flow_ID_O_3],,0,)</f>
        <v>#N/A</v>
      </c>
      <c r="AP56" s="100" t="e">
        <f>Tab_Process_TCs2527[[#This Row],[Flow_ID]]</f>
        <v>#N/A</v>
      </c>
      <c r="AQ56" s="48" t="e">
        <f t="shared" si="10"/>
        <v>#N/A</v>
      </c>
      <c r="AR56" s="228"/>
      <c r="AS56" s="57" t="e">
        <f>_xlfn.XLOOKUP($D56,Tab_Process_TCs[TC_ID],#REF!,,0,)</f>
        <v>#REF!</v>
      </c>
      <c r="AT56" s="48" t="e">
        <f>_xlfn.XLOOKUP($D56,Tab_Process_TCs[TC_ID],#REF!,,0,)</f>
        <v>#REF!</v>
      </c>
      <c r="AU56" s="100" t="e">
        <f>Tab_Process_TCs2527[[#This Row],[Flow_ID]]</f>
        <v>#N/A</v>
      </c>
      <c r="AV56" s="100" t="e">
        <f t="shared" si="11"/>
        <v>#N/A</v>
      </c>
      <c r="AW56" s="228"/>
      <c r="AX56" s="57" t="e">
        <f>_xlfn.XLOOKUP($D56,Tab_Process_TCs[TC_ID],#REF!,,0,)</f>
        <v>#REF!</v>
      </c>
      <c r="AY56" s="48" t="e">
        <f>_xlfn.XLOOKUP($D56,Tab_Process_TCs[TC_ID],#REF!,,0,)</f>
        <v>#REF!</v>
      </c>
      <c r="AZ56" s="100" t="e">
        <f>Tab_Process_TCs2527[[#This Row],[Flow_ID]]</f>
        <v>#N/A</v>
      </c>
      <c r="BA56" s="100" t="e">
        <f t="shared" si="12"/>
        <v>#REF!</v>
      </c>
      <c r="BB56" s="228"/>
      <c r="BC56" s="48" t="e">
        <f>_xlfn.XLOOKUP($D56,Tab_Process_TCs[TC_ID],#REF!,,0,)</f>
        <v>#REF!</v>
      </c>
      <c r="BD56" s="48" t="e">
        <f>_xlfn.XLOOKUP($D56,Tab_Process_TCs[TC_ID],#REF!,,0,)</f>
        <v>#REF!</v>
      </c>
      <c r="BE56" s="100" t="e">
        <f>Tab_Process_TCs2527[[#This Row],[Flow_ID]]</f>
        <v>#N/A</v>
      </c>
      <c r="BF56" s="100" t="e">
        <f t="shared" si="13"/>
        <v>#REF!</v>
      </c>
      <c r="BG56" s="109"/>
      <c r="BH56" s="112">
        <f>Tab_Process_TCs2527[[#This Row],[TC O_6_'[%']]]+Tab_Process_TCs2527[[#This Row],[TC O_5_'[%']]]+Tab_Process_TCs2527[[#This Row],[TC_O_4_'[%']]]+Tab_Process_TCs2527[[#This Row],[TC_O_3_'[%']]]+Tab_Process_TCs2527[[#This Row],[TC_O_2_'[%']]]+Tab_Process_TCs2527[[#This Row],[TC_O_1_'[%']]]</f>
        <v>1</v>
      </c>
      <c r="BI56" s="50"/>
      <c r="BJ56" s="50"/>
      <c r="BK56" s="50"/>
      <c r="BL56" s="50"/>
      <c r="BM56" s="50"/>
    </row>
    <row r="57" spans="1:65" x14ac:dyDescent="0.25">
      <c r="A57" s="87" t="b">
        <v>0</v>
      </c>
      <c r="B57" s="48">
        <f t="shared" si="7"/>
        <v>56</v>
      </c>
      <c r="C57" s="107" t="e">
        <f>_xlfn.XLOOKUP($D57,Tab_Process_TCs[Name(EN)],Tab_Process_TCs[Process_ID],,0,)</f>
        <v>#N/A</v>
      </c>
      <c r="D57" s="50"/>
      <c r="E57" s="50" t="s">
        <v>55</v>
      </c>
      <c r="F57" s="48" t="e">
        <f>_xlfn.XLOOKUP($D57,Tab_Process_TCs[Name(EN)],Tab_Process_TCs[TC?],,0,)</f>
        <v>#N/A</v>
      </c>
      <c r="G57" s="48" t="e">
        <f>_xlfn.XLOOKUP($D57,Tab_Process_TCs[Name(EN)],Tab_Process_TCs[Dyn_TC?],,0,)</f>
        <v>#N/A</v>
      </c>
      <c r="H57" s="48" t="e">
        <f>_xlfn.XLOOKUP($E57,Tab_Def_Flows[Name(EN)],Tab_Def_Flows[Flow_ID],,0,1)</f>
        <v>#N/A</v>
      </c>
      <c r="I57" s="50" t="e">
        <f>IF(Tab_Process_TCs2527[[#This Row],[Name(EN)]]="N.A.","N.A.","TC"&amp;"_"&amp;RIGHT(H57,5))</f>
        <v>#N/A</v>
      </c>
      <c r="J57" s="50"/>
      <c r="K57" s="249"/>
      <c r="L57" s="50" t="e">
        <f>_xlfn.XLOOKUP($D57,Tab_Def_Processes[Name(EN)],Tab_Def_Processes[Stock?],,0,)</f>
        <v>#N/A</v>
      </c>
      <c r="M57" s="48"/>
      <c r="N57" s="57" t="e">
        <f>_xlfn.XLOOKUP($D57,Tab_Def_Processes[Name(EN)],Tab_Def_Processes[Input_Flow_I_1],,0,)</f>
        <v>#N/A</v>
      </c>
      <c r="O57" s="48" t="e">
        <f>_xlfn.XLOOKUP($D57,Tab_Def_Processes[Name(EN)],Tab_Def_Processes[Flow_ID_I_1],,0,)</f>
        <v>#N/A</v>
      </c>
      <c r="P57" s="75"/>
      <c r="Q57" s="71" t="e">
        <f>_xlfn.XLOOKUP($D57,Tab_Def_Processes[Name(EN)],Tab_Def_Processes[Input_Flow_I_2],,0,)</f>
        <v>#N/A</v>
      </c>
      <c r="R57" s="48" t="e">
        <f>_xlfn.XLOOKUP($D57,Tab_Def_Processes[Name(EN)],Tab_Def_Processes[Flow_ID_I_2],,0,)</f>
        <v>#N/A</v>
      </c>
      <c r="S57" s="75"/>
      <c r="T57" s="71" t="e">
        <f>_xlfn.XLOOKUP($D57,Tab_Def_Processes[Name(EN)],Tab_Def_Processes[Input_Flow_I_3],,0,)</f>
        <v>#N/A</v>
      </c>
      <c r="U57" s="48" t="e">
        <f>_xlfn.XLOOKUP($D57,Tab_Def_Processes[Name(EN)],Tab_Def_Processes[Flow_ID_I_3],,0,)</f>
        <v>#N/A</v>
      </c>
      <c r="V57" s="75"/>
      <c r="W57" s="71" t="e">
        <f>_xlfn.XLOOKUP($D57,Tab_Def_Processes[Name(EN)],Tab_Def_Processes[Input_Flow_I_4],,0,)</f>
        <v>#N/A</v>
      </c>
      <c r="X57" s="48" t="e">
        <f>_xlfn.XLOOKUP($D57,Tab_Def_Processes[Name(EN)],Tab_Def_Processes[Flow_ID_I_4],,0,)</f>
        <v>#N/A</v>
      </c>
      <c r="Y57" s="75"/>
      <c r="Z57" s="71" t="e">
        <f>_xlfn.XLOOKUP($D57,Tab_Def_Processes[Name(EN)],Tab_Def_Processes[Input_Flow_I_5],,0,)</f>
        <v>#N/A</v>
      </c>
      <c r="AA57" s="48" t="e">
        <f>_xlfn.XLOOKUP($D57,Tab_Def_Processes[Name(EN)],Tab_Def_Processes[Flow_ID_I_5],,0,)</f>
        <v>#N/A</v>
      </c>
      <c r="AB57" s="75"/>
      <c r="AC57" s="74">
        <f>Tab_Process_TCs2527[[#This Row],[Flow_TC_I_1_'[%']]]+Tab_Process_TCs2527[[#This Row],[Flow_TC_I_2_'[%']]]+Tab_Process_TCs2527[[#This Row],[Flow_TC_I_3_'[%']]]+Tab_Process_TCs2527[[#This Row],[Flow_TC_I_4_'[%']]]+Tab_Process_TCs2527[[#This Row],[Flow_TC_I_5_'[%']]]</f>
        <v>0</v>
      </c>
      <c r="AD57" s="57" t="e">
        <f>_xlfn.XLOOKUP($D57,Tab_Process_TCs[TC_ID],Tab_Process_TCs[Output_Flow_O_1],,0,)</f>
        <v>#N/A</v>
      </c>
      <c r="AE57" s="48" t="e">
        <f>_xlfn.XLOOKUP($D57,Tab_Process_TCs[TC_ID],Tab_Process_TCs[Flow_ID_O_1],,0,)</f>
        <v>#N/A</v>
      </c>
      <c r="AF57" s="100" t="e">
        <f>Tab_Process_TCs2527[[#This Row],[Flow_ID]]</f>
        <v>#N/A</v>
      </c>
      <c r="AG57" s="48" t="e">
        <f t="shared" si="8"/>
        <v>#N/A</v>
      </c>
      <c r="AH57" s="109">
        <v>1</v>
      </c>
      <c r="AI57" s="231" t="e">
        <f>_xlfn.XLOOKUP($D57,Tab_Process_TCs[TC_ID],Tab_Process_TCs[Output_Flow_O_2],,0,)</f>
        <v>#N/A</v>
      </c>
      <c r="AJ57" s="113" t="e">
        <f>_xlfn.XLOOKUP($D57,Tab_Process_TCs[TC_ID],Tab_Process_TCs[Flow_ID_O_2],,0,)</f>
        <v>#N/A</v>
      </c>
      <c r="AK57" s="100" t="e">
        <f>Tab_Process_TCs2527[[#This Row],[Flow_ID]]</f>
        <v>#N/A</v>
      </c>
      <c r="AL57" s="48" t="e">
        <f t="shared" si="9"/>
        <v>#N/A</v>
      </c>
      <c r="AM57" s="228"/>
      <c r="AN57" s="57" t="e">
        <f>_xlfn.XLOOKUP($D57,Tab_Process_TCs[TC_ID],Tab_Process_TCs[Output_Flow_O_3],,0,)</f>
        <v>#N/A</v>
      </c>
      <c r="AO57" s="48" t="e">
        <f>_xlfn.XLOOKUP($D57,Tab_Process_TCs[TC_ID],Tab_Process_TCs[Flow_ID_O_3],,0,)</f>
        <v>#N/A</v>
      </c>
      <c r="AP57" s="100" t="e">
        <f>Tab_Process_TCs2527[[#This Row],[Flow_ID]]</f>
        <v>#N/A</v>
      </c>
      <c r="AQ57" s="48" t="e">
        <f t="shared" si="10"/>
        <v>#N/A</v>
      </c>
      <c r="AR57" s="228"/>
      <c r="AS57" s="57" t="e">
        <f>_xlfn.XLOOKUP($D57,Tab_Process_TCs[TC_ID],#REF!,,0,)</f>
        <v>#REF!</v>
      </c>
      <c r="AT57" s="48" t="e">
        <f>_xlfn.XLOOKUP($D57,Tab_Process_TCs[TC_ID],#REF!,,0,)</f>
        <v>#REF!</v>
      </c>
      <c r="AU57" s="100" t="e">
        <f>Tab_Process_TCs2527[[#This Row],[Flow_ID]]</f>
        <v>#N/A</v>
      </c>
      <c r="AV57" s="100" t="e">
        <f t="shared" si="11"/>
        <v>#N/A</v>
      </c>
      <c r="AW57" s="228"/>
      <c r="AX57" s="57" t="e">
        <f>_xlfn.XLOOKUP($D57,Tab_Process_TCs[TC_ID],#REF!,,0,)</f>
        <v>#REF!</v>
      </c>
      <c r="AY57" s="48" t="e">
        <f>_xlfn.XLOOKUP($D57,Tab_Process_TCs[TC_ID],#REF!,,0,)</f>
        <v>#REF!</v>
      </c>
      <c r="AZ57" s="100" t="e">
        <f>Tab_Process_TCs2527[[#This Row],[Flow_ID]]</f>
        <v>#N/A</v>
      </c>
      <c r="BA57" s="100" t="e">
        <f t="shared" si="12"/>
        <v>#REF!</v>
      </c>
      <c r="BB57" s="228"/>
      <c r="BC57" s="48" t="e">
        <f>_xlfn.XLOOKUP($D57,Tab_Process_TCs[TC_ID],#REF!,,0,)</f>
        <v>#REF!</v>
      </c>
      <c r="BD57" s="48" t="e">
        <f>_xlfn.XLOOKUP($D57,Tab_Process_TCs[TC_ID],#REF!,,0,)</f>
        <v>#REF!</v>
      </c>
      <c r="BE57" s="100" t="e">
        <f>Tab_Process_TCs2527[[#This Row],[Flow_ID]]</f>
        <v>#N/A</v>
      </c>
      <c r="BF57" s="100" t="e">
        <f t="shared" si="13"/>
        <v>#REF!</v>
      </c>
      <c r="BG57" s="109"/>
      <c r="BH57" s="112">
        <f>Tab_Process_TCs2527[[#This Row],[TC O_6_'[%']]]+Tab_Process_TCs2527[[#This Row],[TC O_5_'[%']]]+Tab_Process_TCs2527[[#This Row],[TC_O_4_'[%']]]+Tab_Process_TCs2527[[#This Row],[TC_O_3_'[%']]]+Tab_Process_TCs2527[[#This Row],[TC_O_2_'[%']]]+Tab_Process_TCs2527[[#This Row],[TC_O_1_'[%']]]</f>
        <v>1</v>
      </c>
      <c r="BI57" s="50"/>
      <c r="BJ57" s="50"/>
      <c r="BK57" s="50"/>
      <c r="BL57" s="50"/>
      <c r="BM57" s="50"/>
    </row>
    <row r="58" spans="1:65" x14ac:dyDescent="0.25">
      <c r="A58" s="87" t="b">
        <v>0</v>
      </c>
      <c r="B58" s="48">
        <f t="shared" si="7"/>
        <v>57</v>
      </c>
      <c r="C58" s="107" t="e">
        <f>_xlfn.XLOOKUP($D58,Tab_Process_TCs[Name(EN)],Tab_Process_TCs[Process_ID],,0,)</f>
        <v>#N/A</v>
      </c>
      <c r="D58" s="50"/>
      <c r="E58" s="50" t="s">
        <v>55</v>
      </c>
      <c r="F58" s="48" t="e">
        <f>_xlfn.XLOOKUP($D58,Tab_Process_TCs[Name(EN)],Tab_Process_TCs[TC?],,0,)</f>
        <v>#N/A</v>
      </c>
      <c r="G58" s="48" t="e">
        <f>_xlfn.XLOOKUP($D58,Tab_Process_TCs[Name(EN)],Tab_Process_TCs[Dyn_TC?],,0,)</f>
        <v>#N/A</v>
      </c>
      <c r="H58" s="48" t="e">
        <f>_xlfn.XLOOKUP($E58,Tab_Def_Flows[Name(EN)],Tab_Def_Flows[Flow_ID],,0,1)</f>
        <v>#N/A</v>
      </c>
      <c r="I58" s="50" t="e">
        <f>IF(Tab_Process_TCs2527[[#This Row],[Name(EN)]]="N.A.","N.A.","TC"&amp;"_"&amp;RIGHT(H58,5))</f>
        <v>#N/A</v>
      </c>
      <c r="J58" s="50"/>
      <c r="K58" s="249"/>
      <c r="L58" s="50" t="e">
        <f>_xlfn.XLOOKUP($D58,Tab_Def_Processes[Name(EN)],Tab_Def_Processes[Stock?],,0,)</f>
        <v>#N/A</v>
      </c>
      <c r="M58" s="48"/>
      <c r="N58" s="57" t="e">
        <f>_xlfn.XLOOKUP($D58,Tab_Def_Processes[Name(EN)],Tab_Def_Processes[Input_Flow_I_1],,0,)</f>
        <v>#N/A</v>
      </c>
      <c r="O58" s="48" t="e">
        <f>_xlfn.XLOOKUP($D58,Tab_Def_Processes[Name(EN)],Tab_Def_Processes[Flow_ID_I_1],,0,)</f>
        <v>#N/A</v>
      </c>
      <c r="P58" s="75"/>
      <c r="Q58" s="71" t="e">
        <f>_xlfn.XLOOKUP($D58,Tab_Def_Processes[Name(EN)],Tab_Def_Processes[Input_Flow_I_2],,0,)</f>
        <v>#N/A</v>
      </c>
      <c r="R58" s="48" t="e">
        <f>_xlfn.XLOOKUP($D58,Tab_Def_Processes[Name(EN)],Tab_Def_Processes[Flow_ID_I_2],,0,)</f>
        <v>#N/A</v>
      </c>
      <c r="S58" s="75"/>
      <c r="T58" s="71" t="e">
        <f>_xlfn.XLOOKUP($D58,Tab_Def_Processes[Name(EN)],Tab_Def_Processes[Input_Flow_I_3],,0,)</f>
        <v>#N/A</v>
      </c>
      <c r="U58" s="48" t="e">
        <f>_xlfn.XLOOKUP($D58,Tab_Def_Processes[Name(EN)],Tab_Def_Processes[Flow_ID_I_3],,0,)</f>
        <v>#N/A</v>
      </c>
      <c r="V58" s="75"/>
      <c r="W58" s="71" t="e">
        <f>_xlfn.XLOOKUP($D58,Tab_Def_Processes[Name(EN)],Tab_Def_Processes[Input_Flow_I_4],,0,)</f>
        <v>#N/A</v>
      </c>
      <c r="X58" s="48" t="e">
        <f>_xlfn.XLOOKUP($D58,Tab_Def_Processes[Name(EN)],Tab_Def_Processes[Flow_ID_I_4],,0,)</f>
        <v>#N/A</v>
      </c>
      <c r="Y58" s="75"/>
      <c r="Z58" s="71" t="e">
        <f>_xlfn.XLOOKUP($D58,Tab_Def_Processes[Name(EN)],Tab_Def_Processes[Input_Flow_I_5],,0,)</f>
        <v>#N/A</v>
      </c>
      <c r="AA58" s="48" t="e">
        <f>_xlfn.XLOOKUP($D58,Tab_Def_Processes[Name(EN)],Tab_Def_Processes[Flow_ID_I_5],,0,)</f>
        <v>#N/A</v>
      </c>
      <c r="AB58" s="75"/>
      <c r="AC58" s="74">
        <f>Tab_Process_TCs2527[[#This Row],[Flow_TC_I_1_'[%']]]+Tab_Process_TCs2527[[#This Row],[Flow_TC_I_2_'[%']]]+Tab_Process_TCs2527[[#This Row],[Flow_TC_I_3_'[%']]]+Tab_Process_TCs2527[[#This Row],[Flow_TC_I_4_'[%']]]+Tab_Process_TCs2527[[#This Row],[Flow_TC_I_5_'[%']]]</f>
        <v>0</v>
      </c>
      <c r="AD58" s="57" t="e">
        <f>_xlfn.XLOOKUP($D58,Tab_Process_TCs[TC_ID],Tab_Process_TCs[Output_Flow_O_1],,0,)</f>
        <v>#N/A</v>
      </c>
      <c r="AE58" s="48" t="e">
        <f>_xlfn.XLOOKUP($D58,Tab_Process_TCs[TC_ID],Tab_Process_TCs[Flow_ID_O_1],,0,)</f>
        <v>#N/A</v>
      </c>
      <c r="AF58" s="100" t="e">
        <f>Tab_Process_TCs2527[[#This Row],[Flow_ID]]</f>
        <v>#N/A</v>
      </c>
      <c r="AG58" s="48" t="e">
        <f t="shared" si="8"/>
        <v>#N/A</v>
      </c>
      <c r="AH58" s="109">
        <v>1</v>
      </c>
      <c r="AI58" s="231" t="e">
        <f>_xlfn.XLOOKUP($D58,Tab_Process_TCs[TC_ID],Tab_Process_TCs[Output_Flow_O_2],,0,)</f>
        <v>#N/A</v>
      </c>
      <c r="AJ58" s="113" t="e">
        <f>_xlfn.XLOOKUP($D58,Tab_Process_TCs[TC_ID],Tab_Process_TCs[Flow_ID_O_2],,0,)</f>
        <v>#N/A</v>
      </c>
      <c r="AK58" s="100" t="e">
        <f>Tab_Process_TCs2527[[#This Row],[Flow_ID]]</f>
        <v>#N/A</v>
      </c>
      <c r="AL58" s="48" t="e">
        <f t="shared" si="9"/>
        <v>#N/A</v>
      </c>
      <c r="AM58" s="228"/>
      <c r="AN58" s="57" t="e">
        <f>_xlfn.XLOOKUP($D58,Tab_Process_TCs[TC_ID],Tab_Process_TCs[Output_Flow_O_3],,0,)</f>
        <v>#N/A</v>
      </c>
      <c r="AO58" s="48" t="e">
        <f>_xlfn.XLOOKUP($D58,Tab_Process_TCs[TC_ID],Tab_Process_TCs[Flow_ID_O_3],,0,)</f>
        <v>#N/A</v>
      </c>
      <c r="AP58" s="100" t="e">
        <f>Tab_Process_TCs2527[[#This Row],[Flow_ID]]</f>
        <v>#N/A</v>
      </c>
      <c r="AQ58" s="48" t="e">
        <f t="shared" si="10"/>
        <v>#N/A</v>
      </c>
      <c r="AR58" s="228"/>
      <c r="AS58" s="57" t="e">
        <f>_xlfn.XLOOKUP($D58,Tab_Process_TCs[TC_ID],#REF!,,0,)</f>
        <v>#REF!</v>
      </c>
      <c r="AT58" s="48" t="e">
        <f>_xlfn.XLOOKUP($D58,Tab_Process_TCs[TC_ID],#REF!,,0,)</f>
        <v>#REF!</v>
      </c>
      <c r="AU58" s="100" t="e">
        <f>Tab_Process_TCs2527[[#This Row],[Flow_ID]]</f>
        <v>#N/A</v>
      </c>
      <c r="AV58" s="100" t="e">
        <f t="shared" si="11"/>
        <v>#N/A</v>
      </c>
      <c r="AW58" s="228"/>
      <c r="AX58" s="57" t="e">
        <f>_xlfn.XLOOKUP($D58,Tab_Process_TCs[TC_ID],#REF!,,0,)</f>
        <v>#REF!</v>
      </c>
      <c r="AY58" s="48" t="e">
        <f>_xlfn.XLOOKUP($D58,Tab_Process_TCs[TC_ID],#REF!,,0,)</f>
        <v>#REF!</v>
      </c>
      <c r="AZ58" s="100" t="e">
        <f>Tab_Process_TCs2527[[#This Row],[Flow_ID]]</f>
        <v>#N/A</v>
      </c>
      <c r="BA58" s="100" t="e">
        <f t="shared" si="12"/>
        <v>#REF!</v>
      </c>
      <c r="BB58" s="228"/>
      <c r="BC58" s="48" t="e">
        <f>_xlfn.XLOOKUP($D58,Tab_Process_TCs[TC_ID],#REF!,,0,)</f>
        <v>#REF!</v>
      </c>
      <c r="BD58" s="48" t="e">
        <f>_xlfn.XLOOKUP($D58,Tab_Process_TCs[TC_ID],#REF!,,0,)</f>
        <v>#REF!</v>
      </c>
      <c r="BE58" s="100" t="e">
        <f>Tab_Process_TCs2527[[#This Row],[Flow_ID]]</f>
        <v>#N/A</v>
      </c>
      <c r="BF58" s="100" t="e">
        <f t="shared" si="13"/>
        <v>#REF!</v>
      </c>
      <c r="BG58" s="109"/>
      <c r="BH58" s="112">
        <f>Tab_Process_TCs2527[[#This Row],[TC O_6_'[%']]]+Tab_Process_TCs2527[[#This Row],[TC O_5_'[%']]]+Tab_Process_TCs2527[[#This Row],[TC_O_4_'[%']]]+Tab_Process_TCs2527[[#This Row],[TC_O_3_'[%']]]+Tab_Process_TCs2527[[#This Row],[TC_O_2_'[%']]]+Tab_Process_TCs2527[[#This Row],[TC_O_1_'[%']]]</f>
        <v>1</v>
      </c>
      <c r="BI58" s="50"/>
      <c r="BJ58" s="50"/>
      <c r="BK58" s="50"/>
      <c r="BL58" s="50"/>
      <c r="BM58" s="50"/>
    </row>
    <row r="59" spans="1:65" x14ac:dyDescent="0.25">
      <c r="A59" s="87" t="b">
        <v>0</v>
      </c>
      <c r="B59" s="48">
        <f t="shared" si="7"/>
        <v>58</v>
      </c>
      <c r="C59" s="107" t="e">
        <f>_xlfn.XLOOKUP($D59,Tab_Process_TCs[Name(EN)],Tab_Process_TCs[Process_ID],,0,)</f>
        <v>#N/A</v>
      </c>
      <c r="D59" s="50"/>
      <c r="E59" s="50" t="s">
        <v>55</v>
      </c>
      <c r="F59" s="48" t="e">
        <f>_xlfn.XLOOKUP($D59,Tab_Process_TCs[Name(EN)],Tab_Process_TCs[TC?],,0,)</f>
        <v>#N/A</v>
      </c>
      <c r="G59" s="48" t="e">
        <f>_xlfn.XLOOKUP($D59,Tab_Process_TCs[Name(EN)],Tab_Process_TCs[Dyn_TC?],,0,)</f>
        <v>#N/A</v>
      </c>
      <c r="H59" s="48" t="e">
        <f>_xlfn.XLOOKUP($E59,Tab_Def_Flows[Name(EN)],Tab_Def_Flows[Flow_ID],,0,1)</f>
        <v>#N/A</v>
      </c>
      <c r="I59" s="50" t="e">
        <f>IF(Tab_Process_TCs2527[[#This Row],[Name(EN)]]="N.A.","N.A.","TC"&amp;"_"&amp;RIGHT(H59,5))</f>
        <v>#N/A</v>
      </c>
      <c r="J59" s="50"/>
      <c r="K59" s="249"/>
      <c r="L59" s="50" t="e">
        <f>_xlfn.XLOOKUP($D59,Tab_Def_Processes[Name(EN)],Tab_Def_Processes[Stock?],,0,)</f>
        <v>#N/A</v>
      </c>
      <c r="M59" s="48"/>
      <c r="N59" s="57" t="e">
        <f>_xlfn.XLOOKUP($D59,Tab_Def_Processes[Name(EN)],Tab_Def_Processes[Input_Flow_I_1],,0,)</f>
        <v>#N/A</v>
      </c>
      <c r="O59" s="48" t="e">
        <f>_xlfn.XLOOKUP($D59,Tab_Def_Processes[Name(EN)],Tab_Def_Processes[Flow_ID_I_1],,0,)</f>
        <v>#N/A</v>
      </c>
      <c r="P59" s="75"/>
      <c r="Q59" s="71" t="e">
        <f>_xlfn.XLOOKUP($D59,Tab_Def_Processes[Name(EN)],Tab_Def_Processes[Input_Flow_I_2],,0,)</f>
        <v>#N/A</v>
      </c>
      <c r="R59" s="48" t="e">
        <f>_xlfn.XLOOKUP($D59,Tab_Def_Processes[Name(EN)],Tab_Def_Processes[Flow_ID_I_2],,0,)</f>
        <v>#N/A</v>
      </c>
      <c r="S59" s="75"/>
      <c r="T59" s="71" t="e">
        <f>_xlfn.XLOOKUP($D59,Tab_Def_Processes[Name(EN)],Tab_Def_Processes[Input_Flow_I_3],,0,)</f>
        <v>#N/A</v>
      </c>
      <c r="U59" s="48" t="e">
        <f>_xlfn.XLOOKUP($D59,Tab_Def_Processes[Name(EN)],Tab_Def_Processes[Flow_ID_I_3],,0,)</f>
        <v>#N/A</v>
      </c>
      <c r="V59" s="75"/>
      <c r="W59" s="71" t="e">
        <f>_xlfn.XLOOKUP($D59,Tab_Def_Processes[Name(EN)],Tab_Def_Processes[Input_Flow_I_4],,0,)</f>
        <v>#N/A</v>
      </c>
      <c r="X59" s="48" t="e">
        <f>_xlfn.XLOOKUP($D59,Tab_Def_Processes[Name(EN)],Tab_Def_Processes[Flow_ID_I_4],,0,)</f>
        <v>#N/A</v>
      </c>
      <c r="Y59" s="75"/>
      <c r="Z59" s="71" t="e">
        <f>_xlfn.XLOOKUP($D59,Tab_Def_Processes[Name(EN)],Tab_Def_Processes[Input_Flow_I_5],,0,)</f>
        <v>#N/A</v>
      </c>
      <c r="AA59" s="48" t="e">
        <f>_xlfn.XLOOKUP($D59,Tab_Def_Processes[Name(EN)],Tab_Def_Processes[Flow_ID_I_5],,0,)</f>
        <v>#N/A</v>
      </c>
      <c r="AB59" s="75"/>
      <c r="AC59" s="74">
        <f>Tab_Process_TCs2527[[#This Row],[Flow_TC_I_1_'[%']]]+Tab_Process_TCs2527[[#This Row],[Flow_TC_I_2_'[%']]]+Tab_Process_TCs2527[[#This Row],[Flow_TC_I_3_'[%']]]+Tab_Process_TCs2527[[#This Row],[Flow_TC_I_4_'[%']]]+Tab_Process_TCs2527[[#This Row],[Flow_TC_I_5_'[%']]]</f>
        <v>0</v>
      </c>
      <c r="AD59" s="57" t="e">
        <f>_xlfn.XLOOKUP($D59,Tab_Process_TCs[TC_ID],Tab_Process_TCs[Output_Flow_O_1],,0,)</f>
        <v>#N/A</v>
      </c>
      <c r="AE59" s="48" t="e">
        <f>_xlfn.XLOOKUP($D59,Tab_Process_TCs[TC_ID],Tab_Process_TCs[Flow_ID_O_1],,0,)</f>
        <v>#N/A</v>
      </c>
      <c r="AF59" s="100" t="e">
        <f>Tab_Process_TCs2527[[#This Row],[Flow_ID]]</f>
        <v>#N/A</v>
      </c>
      <c r="AG59" s="48" t="e">
        <f t="shared" si="8"/>
        <v>#N/A</v>
      </c>
      <c r="AH59" s="109">
        <v>1</v>
      </c>
      <c r="AI59" s="231" t="e">
        <f>_xlfn.XLOOKUP($D59,Tab_Process_TCs[TC_ID],Tab_Process_TCs[Output_Flow_O_2],,0,)</f>
        <v>#N/A</v>
      </c>
      <c r="AJ59" s="113" t="e">
        <f>_xlfn.XLOOKUP($D59,Tab_Process_TCs[TC_ID],Tab_Process_TCs[Flow_ID_O_2],,0,)</f>
        <v>#N/A</v>
      </c>
      <c r="AK59" s="100" t="e">
        <f>Tab_Process_TCs2527[[#This Row],[Flow_ID]]</f>
        <v>#N/A</v>
      </c>
      <c r="AL59" s="48" t="e">
        <f t="shared" si="9"/>
        <v>#N/A</v>
      </c>
      <c r="AM59" s="228"/>
      <c r="AN59" s="57" t="e">
        <f>_xlfn.XLOOKUP($D59,Tab_Process_TCs[TC_ID],Tab_Process_TCs[Output_Flow_O_3],,0,)</f>
        <v>#N/A</v>
      </c>
      <c r="AO59" s="48" t="e">
        <f>_xlfn.XLOOKUP($D59,Tab_Process_TCs[TC_ID],Tab_Process_TCs[Flow_ID_O_3],,0,)</f>
        <v>#N/A</v>
      </c>
      <c r="AP59" s="100" t="e">
        <f>Tab_Process_TCs2527[[#This Row],[Flow_ID]]</f>
        <v>#N/A</v>
      </c>
      <c r="AQ59" s="48" t="e">
        <f t="shared" si="10"/>
        <v>#N/A</v>
      </c>
      <c r="AR59" s="228"/>
      <c r="AS59" s="57" t="e">
        <f>_xlfn.XLOOKUP($D59,Tab_Process_TCs[TC_ID],#REF!,,0,)</f>
        <v>#REF!</v>
      </c>
      <c r="AT59" s="48" t="e">
        <f>_xlfn.XLOOKUP($D59,Tab_Process_TCs[TC_ID],#REF!,,0,)</f>
        <v>#REF!</v>
      </c>
      <c r="AU59" s="100" t="e">
        <f>Tab_Process_TCs2527[[#This Row],[Flow_ID]]</f>
        <v>#N/A</v>
      </c>
      <c r="AV59" s="100" t="e">
        <f t="shared" si="11"/>
        <v>#N/A</v>
      </c>
      <c r="AW59" s="228"/>
      <c r="AX59" s="57" t="e">
        <f>_xlfn.XLOOKUP($D59,Tab_Process_TCs[TC_ID],#REF!,,0,)</f>
        <v>#REF!</v>
      </c>
      <c r="AY59" s="48" t="e">
        <f>_xlfn.XLOOKUP($D59,Tab_Process_TCs[TC_ID],#REF!,,0,)</f>
        <v>#REF!</v>
      </c>
      <c r="AZ59" s="100" t="e">
        <f>Tab_Process_TCs2527[[#This Row],[Flow_ID]]</f>
        <v>#N/A</v>
      </c>
      <c r="BA59" s="100" t="e">
        <f t="shared" si="12"/>
        <v>#REF!</v>
      </c>
      <c r="BB59" s="228"/>
      <c r="BC59" s="48" t="e">
        <f>_xlfn.XLOOKUP($D59,Tab_Process_TCs[TC_ID],#REF!,,0,)</f>
        <v>#REF!</v>
      </c>
      <c r="BD59" s="48" t="e">
        <f>_xlfn.XLOOKUP($D59,Tab_Process_TCs[TC_ID],#REF!,,0,)</f>
        <v>#REF!</v>
      </c>
      <c r="BE59" s="100" t="e">
        <f>Tab_Process_TCs2527[[#This Row],[Flow_ID]]</f>
        <v>#N/A</v>
      </c>
      <c r="BF59" s="100" t="e">
        <f t="shared" si="13"/>
        <v>#REF!</v>
      </c>
      <c r="BG59" s="109"/>
      <c r="BH59" s="112">
        <f>Tab_Process_TCs2527[[#This Row],[TC O_6_'[%']]]+Tab_Process_TCs2527[[#This Row],[TC O_5_'[%']]]+Tab_Process_TCs2527[[#This Row],[TC_O_4_'[%']]]+Tab_Process_TCs2527[[#This Row],[TC_O_3_'[%']]]+Tab_Process_TCs2527[[#This Row],[TC_O_2_'[%']]]+Tab_Process_TCs2527[[#This Row],[TC_O_1_'[%']]]</f>
        <v>1</v>
      </c>
      <c r="BI59" s="50"/>
      <c r="BJ59" s="50"/>
      <c r="BK59" s="50"/>
      <c r="BL59" s="50"/>
      <c r="BM59" s="50"/>
    </row>
    <row r="60" spans="1:65" x14ac:dyDescent="0.25">
      <c r="A60" s="87" t="b">
        <v>0</v>
      </c>
      <c r="B60" s="48">
        <f t="shared" si="7"/>
        <v>59</v>
      </c>
      <c r="C60" s="107" t="e">
        <f>_xlfn.XLOOKUP($D60,Tab_Process_TCs[Name(EN)],Tab_Process_TCs[Process_ID],,0,)</f>
        <v>#N/A</v>
      </c>
      <c r="D60" s="50"/>
      <c r="E60" s="50" t="s">
        <v>55</v>
      </c>
      <c r="F60" s="48" t="e">
        <f>_xlfn.XLOOKUP($D60,Tab_Process_TCs[Name(EN)],Tab_Process_TCs[TC?],,0,)</f>
        <v>#N/A</v>
      </c>
      <c r="G60" s="48" t="e">
        <f>_xlfn.XLOOKUP($D60,Tab_Process_TCs[Name(EN)],Tab_Process_TCs[Dyn_TC?],,0,)</f>
        <v>#N/A</v>
      </c>
      <c r="H60" s="48" t="e">
        <f>_xlfn.XLOOKUP($E60,Tab_Def_Flows[Name(EN)],Tab_Def_Flows[Flow_ID],,0,1)</f>
        <v>#N/A</v>
      </c>
      <c r="I60" s="50" t="e">
        <f>IF(Tab_Process_TCs2527[[#This Row],[Name(EN)]]="N.A.","N.A.","TC"&amp;"_"&amp;RIGHT(H60,5))</f>
        <v>#N/A</v>
      </c>
      <c r="J60" s="50"/>
      <c r="K60" s="249"/>
      <c r="L60" s="50" t="e">
        <f>_xlfn.XLOOKUP($D60,Tab_Def_Processes[Name(EN)],Tab_Def_Processes[Stock?],,0,)</f>
        <v>#N/A</v>
      </c>
      <c r="M60" s="48"/>
      <c r="N60" s="57" t="e">
        <f>_xlfn.XLOOKUP($D60,Tab_Def_Processes[Name(EN)],Tab_Def_Processes[Input_Flow_I_1],,0,)</f>
        <v>#N/A</v>
      </c>
      <c r="O60" s="48" t="e">
        <f>_xlfn.XLOOKUP($D60,Tab_Def_Processes[Name(EN)],Tab_Def_Processes[Flow_ID_I_1],,0,)</f>
        <v>#N/A</v>
      </c>
      <c r="P60" s="75"/>
      <c r="Q60" s="71" t="e">
        <f>_xlfn.XLOOKUP($D60,Tab_Def_Processes[Name(EN)],Tab_Def_Processes[Input_Flow_I_2],,0,)</f>
        <v>#N/A</v>
      </c>
      <c r="R60" s="48" t="e">
        <f>_xlfn.XLOOKUP($D60,Tab_Def_Processes[Name(EN)],Tab_Def_Processes[Flow_ID_I_2],,0,)</f>
        <v>#N/A</v>
      </c>
      <c r="S60" s="75"/>
      <c r="T60" s="71" t="e">
        <f>_xlfn.XLOOKUP($D60,Tab_Def_Processes[Name(EN)],Tab_Def_Processes[Input_Flow_I_3],,0,)</f>
        <v>#N/A</v>
      </c>
      <c r="U60" s="48" t="e">
        <f>_xlfn.XLOOKUP($D60,Tab_Def_Processes[Name(EN)],Tab_Def_Processes[Flow_ID_I_3],,0,)</f>
        <v>#N/A</v>
      </c>
      <c r="V60" s="75"/>
      <c r="W60" s="71" t="e">
        <f>_xlfn.XLOOKUP($D60,Tab_Def_Processes[Name(EN)],Tab_Def_Processes[Input_Flow_I_4],,0,)</f>
        <v>#N/A</v>
      </c>
      <c r="X60" s="48" t="e">
        <f>_xlfn.XLOOKUP($D60,Tab_Def_Processes[Name(EN)],Tab_Def_Processes[Flow_ID_I_4],,0,)</f>
        <v>#N/A</v>
      </c>
      <c r="Y60" s="75"/>
      <c r="Z60" s="71" t="e">
        <f>_xlfn.XLOOKUP($D60,Tab_Def_Processes[Name(EN)],Tab_Def_Processes[Input_Flow_I_5],,0,)</f>
        <v>#N/A</v>
      </c>
      <c r="AA60" s="48" t="e">
        <f>_xlfn.XLOOKUP($D60,Tab_Def_Processes[Name(EN)],Tab_Def_Processes[Flow_ID_I_5],,0,)</f>
        <v>#N/A</v>
      </c>
      <c r="AB60" s="75"/>
      <c r="AC60" s="74">
        <f>Tab_Process_TCs2527[[#This Row],[Flow_TC_I_1_'[%']]]+Tab_Process_TCs2527[[#This Row],[Flow_TC_I_2_'[%']]]+Tab_Process_TCs2527[[#This Row],[Flow_TC_I_3_'[%']]]+Tab_Process_TCs2527[[#This Row],[Flow_TC_I_4_'[%']]]+Tab_Process_TCs2527[[#This Row],[Flow_TC_I_5_'[%']]]</f>
        <v>0</v>
      </c>
      <c r="AD60" s="57" t="e">
        <f>_xlfn.XLOOKUP($D60,Tab_Process_TCs[TC_ID],Tab_Process_TCs[Output_Flow_O_1],,0,)</f>
        <v>#N/A</v>
      </c>
      <c r="AE60" s="48" t="e">
        <f>_xlfn.XLOOKUP($D60,Tab_Process_TCs[TC_ID],Tab_Process_TCs[Flow_ID_O_1],,0,)</f>
        <v>#N/A</v>
      </c>
      <c r="AF60" s="100" t="e">
        <f>Tab_Process_TCs2527[[#This Row],[Flow_ID]]</f>
        <v>#N/A</v>
      </c>
      <c r="AG60" s="48" t="e">
        <f t="shared" si="8"/>
        <v>#N/A</v>
      </c>
      <c r="AH60" s="109">
        <v>1</v>
      </c>
      <c r="AI60" s="231" t="e">
        <f>_xlfn.XLOOKUP($D60,Tab_Process_TCs[TC_ID],Tab_Process_TCs[Output_Flow_O_2],,0,)</f>
        <v>#N/A</v>
      </c>
      <c r="AJ60" s="113" t="e">
        <f>_xlfn.XLOOKUP($D60,Tab_Process_TCs[TC_ID],Tab_Process_TCs[Flow_ID_O_2],,0,)</f>
        <v>#N/A</v>
      </c>
      <c r="AK60" s="100" t="e">
        <f>Tab_Process_TCs2527[[#This Row],[Flow_ID]]</f>
        <v>#N/A</v>
      </c>
      <c r="AL60" s="48" t="e">
        <f t="shared" si="9"/>
        <v>#N/A</v>
      </c>
      <c r="AM60" s="228"/>
      <c r="AN60" s="57" t="e">
        <f>_xlfn.XLOOKUP($D60,Tab_Process_TCs[TC_ID],Tab_Process_TCs[Output_Flow_O_3],,0,)</f>
        <v>#N/A</v>
      </c>
      <c r="AO60" s="48" t="e">
        <f>_xlfn.XLOOKUP($D60,Tab_Process_TCs[TC_ID],Tab_Process_TCs[Flow_ID_O_3],,0,)</f>
        <v>#N/A</v>
      </c>
      <c r="AP60" s="100" t="e">
        <f>Tab_Process_TCs2527[[#This Row],[Flow_ID]]</f>
        <v>#N/A</v>
      </c>
      <c r="AQ60" s="48" t="e">
        <f t="shared" si="10"/>
        <v>#N/A</v>
      </c>
      <c r="AR60" s="228"/>
      <c r="AS60" s="57" t="e">
        <f>_xlfn.XLOOKUP($D60,Tab_Process_TCs[TC_ID],#REF!,,0,)</f>
        <v>#REF!</v>
      </c>
      <c r="AT60" s="48" t="e">
        <f>_xlfn.XLOOKUP($D60,Tab_Process_TCs[TC_ID],#REF!,,0,)</f>
        <v>#REF!</v>
      </c>
      <c r="AU60" s="100" t="e">
        <f>Tab_Process_TCs2527[[#This Row],[Flow_ID]]</f>
        <v>#N/A</v>
      </c>
      <c r="AV60" s="100" t="e">
        <f t="shared" si="11"/>
        <v>#N/A</v>
      </c>
      <c r="AW60" s="228"/>
      <c r="AX60" s="57" t="e">
        <f>_xlfn.XLOOKUP($D60,Tab_Process_TCs[TC_ID],#REF!,,0,)</f>
        <v>#REF!</v>
      </c>
      <c r="AY60" s="48" t="e">
        <f>_xlfn.XLOOKUP($D60,Tab_Process_TCs[TC_ID],#REF!,,0,)</f>
        <v>#REF!</v>
      </c>
      <c r="AZ60" s="100" t="e">
        <f>Tab_Process_TCs2527[[#This Row],[Flow_ID]]</f>
        <v>#N/A</v>
      </c>
      <c r="BA60" s="100" t="e">
        <f t="shared" si="12"/>
        <v>#REF!</v>
      </c>
      <c r="BB60" s="228"/>
      <c r="BC60" s="48" t="e">
        <f>_xlfn.XLOOKUP($D60,Tab_Process_TCs[TC_ID],#REF!,,0,)</f>
        <v>#REF!</v>
      </c>
      <c r="BD60" s="48" t="e">
        <f>_xlfn.XLOOKUP($D60,Tab_Process_TCs[TC_ID],#REF!,,0,)</f>
        <v>#REF!</v>
      </c>
      <c r="BE60" s="100" t="e">
        <f>Tab_Process_TCs2527[[#This Row],[Flow_ID]]</f>
        <v>#N/A</v>
      </c>
      <c r="BF60" s="100" t="e">
        <f t="shared" si="13"/>
        <v>#REF!</v>
      </c>
      <c r="BG60" s="109"/>
      <c r="BH60" s="112">
        <f>Tab_Process_TCs2527[[#This Row],[TC O_6_'[%']]]+Tab_Process_TCs2527[[#This Row],[TC O_5_'[%']]]+Tab_Process_TCs2527[[#This Row],[TC_O_4_'[%']]]+Tab_Process_TCs2527[[#This Row],[TC_O_3_'[%']]]+Tab_Process_TCs2527[[#This Row],[TC_O_2_'[%']]]+Tab_Process_TCs2527[[#This Row],[TC_O_1_'[%']]]</f>
        <v>1</v>
      </c>
      <c r="BI60" s="50"/>
      <c r="BJ60" s="50"/>
      <c r="BK60" s="50"/>
      <c r="BL60" s="50"/>
      <c r="BM60" s="50"/>
    </row>
    <row r="61" spans="1:65" x14ac:dyDescent="0.25">
      <c r="A61" s="87" t="b">
        <v>0</v>
      </c>
      <c r="B61" s="48">
        <f t="shared" si="7"/>
        <v>60</v>
      </c>
      <c r="C61" s="107" t="e">
        <f>_xlfn.XLOOKUP($D61,Tab_Process_TCs[Name(EN)],Tab_Process_TCs[Process_ID],,0,)</f>
        <v>#N/A</v>
      </c>
      <c r="D61" s="50"/>
      <c r="E61" s="50" t="s">
        <v>55</v>
      </c>
      <c r="F61" s="48" t="e">
        <f>_xlfn.XLOOKUP($D61,Tab_Process_TCs[Name(EN)],Tab_Process_TCs[TC?],,0,)</f>
        <v>#N/A</v>
      </c>
      <c r="G61" s="48" t="e">
        <f>_xlfn.XLOOKUP($D61,Tab_Process_TCs[Name(EN)],Tab_Process_TCs[Dyn_TC?],,0,)</f>
        <v>#N/A</v>
      </c>
      <c r="H61" s="48" t="e">
        <f>_xlfn.XLOOKUP($E61,Tab_Def_Flows[Name(EN)],Tab_Def_Flows[Flow_ID],,0,1)</f>
        <v>#N/A</v>
      </c>
      <c r="I61" s="50" t="e">
        <f>IF(Tab_Process_TCs2527[[#This Row],[Name(EN)]]="N.A.","N.A.","TC"&amp;"_"&amp;RIGHT(H61,5))</f>
        <v>#N/A</v>
      </c>
      <c r="J61" s="50"/>
      <c r="K61" s="249"/>
      <c r="L61" s="50" t="e">
        <f>_xlfn.XLOOKUP($D61,Tab_Def_Processes[Name(EN)],Tab_Def_Processes[Stock?],,0,)</f>
        <v>#N/A</v>
      </c>
      <c r="M61" s="48"/>
      <c r="N61" s="57" t="e">
        <f>_xlfn.XLOOKUP($D61,Tab_Def_Processes[Name(EN)],Tab_Def_Processes[Input_Flow_I_1],,0,)</f>
        <v>#N/A</v>
      </c>
      <c r="O61" s="48" t="e">
        <f>_xlfn.XLOOKUP($D61,Tab_Def_Processes[Name(EN)],Tab_Def_Processes[Flow_ID_I_1],,0,)</f>
        <v>#N/A</v>
      </c>
      <c r="P61" s="75"/>
      <c r="Q61" s="71" t="e">
        <f>_xlfn.XLOOKUP($D61,Tab_Def_Processes[Name(EN)],Tab_Def_Processes[Input_Flow_I_2],,0,)</f>
        <v>#N/A</v>
      </c>
      <c r="R61" s="48" t="e">
        <f>_xlfn.XLOOKUP($D61,Tab_Def_Processes[Name(EN)],Tab_Def_Processes[Flow_ID_I_2],,0,)</f>
        <v>#N/A</v>
      </c>
      <c r="S61" s="75"/>
      <c r="T61" s="71" t="e">
        <f>_xlfn.XLOOKUP($D61,Tab_Def_Processes[Name(EN)],Tab_Def_Processes[Input_Flow_I_3],,0,)</f>
        <v>#N/A</v>
      </c>
      <c r="U61" s="48" t="e">
        <f>_xlfn.XLOOKUP($D61,Tab_Def_Processes[Name(EN)],Tab_Def_Processes[Flow_ID_I_3],,0,)</f>
        <v>#N/A</v>
      </c>
      <c r="V61" s="75"/>
      <c r="W61" s="71" t="e">
        <f>_xlfn.XLOOKUP($D61,Tab_Def_Processes[Name(EN)],Tab_Def_Processes[Input_Flow_I_4],,0,)</f>
        <v>#N/A</v>
      </c>
      <c r="X61" s="48" t="e">
        <f>_xlfn.XLOOKUP($D61,Tab_Def_Processes[Name(EN)],Tab_Def_Processes[Flow_ID_I_4],,0,)</f>
        <v>#N/A</v>
      </c>
      <c r="Y61" s="75"/>
      <c r="Z61" s="71" t="e">
        <f>_xlfn.XLOOKUP($D61,Tab_Def_Processes[Name(EN)],Tab_Def_Processes[Input_Flow_I_5],,0,)</f>
        <v>#N/A</v>
      </c>
      <c r="AA61" s="48" t="e">
        <f>_xlfn.XLOOKUP($D61,Tab_Def_Processes[Name(EN)],Tab_Def_Processes[Flow_ID_I_5],,0,)</f>
        <v>#N/A</v>
      </c>
      <c r="AB61" s="75"/>
      <c r="AC61" s="74">
        <f>Tab_Process_TCs2527[[#This Row],[Flow_TC_I_1_'[%']]]+Tab_Process_TCs2527[[#This Row],[Flow_TC_I_2_'[%']]]+Tab_Process_TCs2527[[#This Row],[Flow_TC_I_3_'[%']]]+Tab_Process_TCs2527[[#This Row],[Flow_TC_I_4_'[%']]]+Tab_Process_TCs2527[[#This Row],[Flow_TC_I_5_'[%']]]</f>
        <v>0</v>
      </c>
      <c r="AD61" s="57" t="e">
        <f>_xlfn.XLOOKUP($D61,Tab_Process_TCs[TC_ID],Tab_Process_TCs[Output_Flow_O_1],,0,)</f>
        <v>#N/A</v>
      </c>
      <c r="AE61" s="48" t="e">
        <f>_xlfn.XLOOKUP($D61,Tab_Process_TCs[TC_ID],Tab_Process_TCs[Flow_ID_O_1],,0,)</f>
        <v>#N/A</v>
      </c>
      <c r="AF61" s="100" t="e">
        <f>Tab_Process_TCs2527[[#This Row],[Flow_ID]]</f>
        <v>#N/A</v>
      </c>
      <c r="AG61" s="48" t="e">
        <f t="shared" si="8"/>
        <v>#N/A</v>
      </c>
      <c r="AH61" s="109">
        <v>1</v>
      </c>
      <c r="AI61" s="231" t="e">
        <f>_xlfn.XLOOKUP($D61,Tab_Process_TCs[TC_ID],Tab_Process_TCs[Output_Flow_O_2],,0,)</f>
        <v>#N/A</v>
      </c>
      <c r="AJ61" s="113" t="e">
        <f>_xlfn.XLOOKUP($D61,Tab_Process_TCs[TC_ID],Tab_Process_TCs[Flow_ID_O_2],,0,)</f>
        <v>#N/A</v>
      </c>
      <c r="AK61" s="100" t="e">
        <f>Tab_Process_TCs2527[[#This Row],[Flow_ID]]</f>
        <v>#N/A</v>
      </c>
      <c r="AL61" s="48" t="e">
        <f t="shared" si="9"/>
        <v>#N/A</v>
      </c>
      <c r="AM61" s="228"/>
      <c r="AN61" s="57" t="e">
        <f>_xlfn.XLOOKUP($D61,Tab_Process_TCs[TC_ID],Tab_Process_TCs[Output_Flow_O_3],,0,)</f>
        <v>#N/A</v>
      </c>
      <c r="AO61" s="48" t="e">
        <f>_xlfn.XLOOKUP($D61,Tab_Process_TCs[TC_ID],Tab_Process_TCs[Flow_ID_O_3],,0,)</f>
        <v>#N/A</v>
      </c>
      <c r="AP61" s="100" t="e">
        <f>Tab_Process_TCs2527[[#This Row],[Flow_ID]]</f>
        <v>#N/A</v>
      </c>
      <c r="AQ61" s="48" t="e">
        <f t="shared" si="10"/>
        <v>#N/A</v>
      </c>
      <c r="AR61" s="228"/>
      <c r="AS61" s="57" t="e">
        <f>_xlfn.XLOOKUP($D61,Tab_Process_TCs[TC_ID],#REF!,,0,)</f>
        <v>#REF!</v>
      </c>
      <c r="AT61" s="48" t="e">
        <f>_xlfn.XLOOKUP($D61,Tab_Process_TCs[TC_ID],#REF!,,0,)</f>
        <v>#REF!</v>
      </c>
      <c r="AU61" s="100" t="e">
        <f>Tab_Process_TCs2527[[#This Row],[Flow_ID]]</f>
        <v>#N/A</v>
      </c>
      <c r="AV61" s="100" t="e">
        <f t="shared" si="11"/>
        <v>#N/A</v>
      </c>
      <c r="AW61" s="228"/>
      <c r="AX61" s="57" t="e">
        <f>_xlfn.XLOOKUP($D61,Tab_Process_TCs[TC_ID],#REF!,,0,)</f>
        <v>#REF!</v>
      </c>
      <c r="AY61" s="48" t="e">
        <f>_xlfn.XLOOKUP($D61,Tab_Process_TCs[TC_ID],#REF!,,0,)</f>
        <v>#REF!</v>
      </c>
      <c r="AZ61" s="100" t="e">
        <f>Tab_Process_TCs2527[[#This Row],[Flow_ID]]</f>
        <v>#N/A</v>
      </c>
      <c r="BA61" s="100" t="e">
        <f t="shared" si="12"/>
        <v>#REF!</v>
      </c>
      <c r="BB61" s="228"/>
      <c r="BC61" s="48" t="e">
        <f>_xlfn.XLOOKUP($D61,Tab_Process_TCs[TC_ID],#REF!,,0,)</f>
        <v>#REF!</v>
      </c>
      <c r="BD61" s="48" t="e">
        <f>_xlfn.XLOOKUP($D61,Tab_Process_TCs[TC_ID],#REF!,,0,)</f>
        <v>#REF!</v>
      </c>
      <c r="BE61" s="100" t="e">
        <f>Tab_Process_TCs2527[[#This Row],[Flow_ID]]</f>
        <v>#N/A</v>
      </c>
      <c r="BF61" s="100" t="e">
        <f t="shared" si="13"/>
        <v>#REF!</v>
      </c>
      <c r="BG61" s="109"/>
      <c r="BH61" s="112">
        <f>Tab_Process_TCs2527[[#This Row],[TC O_6_'[%']]]+Tab_Process_TCs2527[[#This Row],[TC O_5_'[%']]]+Tab_Process_TCs2527[[#This Row],[TC_O_4_'[%']]]+Tab_Process_TCs2527[[#This Row],[TC_O_3_'[%']]]+Tab_Process_TCs2527[[#This Row],[TC_O_2_'[%']]]+Tab_Process_TCs2527[[#This Row],[TC_O_1_'[%']]]</f>
        <v>1</v>
      </c>
      <c r="BI61" s="50"/>
      <c r="BJ61" s="50"/>
      <c r="BK61" s="50"/>
      <c r="BL61" s="50"/>
      <c r="BM61" s="50"/>
    </row>
    <row r="62" spans="1:65" x14ac:dyDescent="0.25">
      <c r="A62" s="87" t="b">
        <v>0</v>
      </c>
      <c r="B62" s="48">
        <f t="shared" si="7"/>
        <v>61</v>
      </c>
      <c r="C62" s="107" t="e">
        <f>_xlfn.XLOOKUP($D62,Tab_Process_TCs[Name(EN)],Tab_Process_TCs[Process_ID],,0,)</f>
        <v>#N/A</v>
      </c>
      <c r="D62" s="50"/>
      <c r="E62" s="50" t="s">
        <v>55</v>
      </c>
      <c r="F62" s="48" t="e">
        <f>_xlfn.XLOOKUP($D62,Tab_Process_TCs[Name(EN)],Tab_Process_TCs[TC?],,0,)</f>
        <v>#N/A</v>
      </c>
      <c r="G62" s="48" t="e">
        <f>_xlfn.XLOOKUP($D62,Tab_Process_TCs[Name(EN)],Tab_Process_TCs[Dyn_TC?],,0,)</f>
        <v>#N/A</v>
      </c>
      <c r="H62" s="48" t="e">
        <f>_xlfn.XLOOKUP($E62,Tab_Def_Flows[Name(EN)],Tab_Def_Flows[Flow_ID],,0,1)</f>
        <v>#N/A</v>
      </c>
      <c r="I62" s="50" t="e">
        <f>IF(Tab_Process_TCs2527[[#This Row],[Name(EN)]]="N.A.","N.A.","TC"&amp;"_"&amp;RIGHT(H62,5))</f>
        <v>#N/A</v>
      </c>
      <c r="J62" s="50"/>
      <c r="K62" s="249"/>
      <c r="L62" s="50" t="e">
        <f>_xlfn.XLOOKUP($D62,Tab_Def_Processes[Name(EN)],Tab_Def_Processes[Stock?],,0,)</f>
        <v>#N/A</v>
      </c>
      <c r="M62" s="48"/>
      <c r="N62" s="57" t="e">
        <f>_xlfn.XLOOKUP($D62,Tab_Def_Processes[Name(EN)],Tab_Def_Processes[Input_Flow_I_1],,0,)</f>
        <v>#N/A</v>
      </c>
      <c r="O62" s="48" t="e">
        <f>_xlfn.XLOOKUP($D62,Tab_Def_Processes[Name(EN)],Tab_Def_Processes[Flow_ID_I_1],,0,)</f>
        <v>#N/A</v>
      </c>
      <c r="P62" s="75"/>
      <c r="Q62" s="71" t="e">
        <f>_xlfn.XLOOKUP($D62,Tab_Def_Processes[Name(EN)],Tab_Def_Processes[Input_Flow_I_2],,0,)</f>
        <v>#N/A</v>
      </c>
      <c r="R62" s="48" t="e">
        <f>_xlfn.XLOOKUP($D62,Tab_Def_Processes[Name(EN)],Tab_Def_Processes[Flow_ID_I_2],,0,)</f>
        <v>#N/A</v>
      </c>
      <c r="S62" s="75"/>
      <c r="T62" s="71" t="e">
        <f>_xlfn.XLOOKUP($D62,Tab_Def_Processes[Name(EN)],Tab_Def_Processes[Input_Flow_I_3],,0,)</f>
        <v>#N/A</v>
      </c>
      <c r="U62" s="48" t="e">
        <f>_xlfn.XLOOKUP($D62,Tab_Def_Processes[Name(EN)],Tab_Def_Processes[Flow_ID_I_3],,0,)</f>
        <v>#N/A</v>
      </c>
      <c r="V62" s="75"/>
      <c r="W62" s="71" t="e">
        <f>_xlfn.XLOOKUP($D62,Tab_Def_Processes[Name(EN)],Tab_Def_Processes[Input_Flow_I_4],,0,)</f>
        <v>#N/A</v>
      </c>
      <c r="X62" s="48" t="e">
        <f>_xlfn.XLOOKUP($D62,Tab_Def_Processes[Name(EN)],Tab_Def_Processes[Flow_ID_I_4],,0,)</f>
        <v>#N/A</v>
      </c>
      <c r="Y62" s="75"/>
      <c r="Z62" s="71" t="e">
        <f>_xlfn.XLOOKUP($D62,Tab_Def_Processes[Name(EN)],Tab_Def_Processes[Input_Flow_I_5],,0,)</f>
        <v>#N/A</v>
      </c>
      <c r="AA62" s="48" t="e">
        <f>_xlfn.XLOOKUP($D62,Tab_Def_Processes[Name(EN)],Tab_Def_Processes[Flow_ID_I_5],,0,)</f>
        <v>#N/A</v>
      </c>
      <c r="AB62" s="75"/>
      <c r="AC62" s="74">
        <f>Tab_Process_TCs2527[[#This Row],[Flow_TC_I_1_'[%']]]+Tab_Process_TCs2527[[#This Row],[Flow_TC_I_2_'[%']]]+Tab_Process_TCs2527[[#This Row],[Flow_TC_I_3_'[%']]]+Tab_Process_TCs2527[[#This Row],[Flow_TC_I_4_'[%']]]+Tab_Process_TCs2527[[#This Row],[Flow_TC_I_5_'[%']]]</f>
        <v>0</v>
      </c>
      <c r="AD62" s="57" t="e">
        <f>_xlfn.XLOOKUP($D62,Tab_Process_TCs[TC_ID],Tab_Process_TCs[Output_Flow_O_1],,0,)</f>
        <v>#N/A</v>
      </c>
      <c r="AE62" s="48" t="e">
        <f>_xlfn.XLOOKUP($D62,Tab_Process_TCs[TC_ID],Tab_Process_TCs[Flow_ID_O_1],,0,)</f>
        <v>#N/A</v>
      </c>
      <c r="AF62" s="100" t="e">
        <f>Tab_Process_TCs2527[[#This Row],[Flow_ID]]</f>
        <v>#N/A</v>
      </c>
      <c r="AG62" s="48" t="e">
        <f t="shared" si="8"/>
        <v>#N/A</v>
      </c>
      <c r="AH62" s="109">
        <v>0.3</v>
      </c>
      <c r="AI62" s="231" t="e">
        <f>_xlfn.XLOOKUP($D62,Tab_Process_TCs[TC_ID],Tab_Process_TCs[Output_Flow_O_2],,0,)</f>
        <v>#N/A</v>
      </c>
      <c r="AJ62" s="113" t="e">
        <f>_xlfn.XLOOKUP($D62,Tab_Process_TCs[TC_ID],Tab_Process_TCs[Flow_ID_O_2],,0,)</f>
        <v>#N/A</v>
      </c>
      <c r="AK62" s="100" t="e">
        <f>Tab_Process_TCs2527[[#This Row],[Flow_ID]]</f>
        <v>#N/A</v>
      </c>
      <c r="AL62" s="48" t="e">
        <f t="shared" si="9"/>
        <v>#N/A</v>
      </c>
      <c r="AM62" s="228">
        <v>0.45</v>
      </c>
      <c r="AN62" s="57" t="e">
        <f>_xlfn.XLOOKUP($D62,Tab_Process_TCs[TC_ID],Tab_Process_TCs[Output_Flow_O_3],,0,)</f>
        <v>#N/A</v>
      </c>
      <c r="AO62" s="48" t="e">
        <f>_xlfn.XLOOKUP($D62,Tab_Process_TCs[TC_ID],Tab_Process_TCs[Flow_ID_O_3],,0,)</f>
        <v>#N/A</v>
      </c>
      <c r="AP62" s="100" t="e">
        <f>Tab_Process_TCs2527[[#This Row],[Flow_ID]]</f>
        <v>#N/A</v>
      </c>
      <c r="AQ62" s="48" t="e">
        <f t="shared" si="10"/>
        <v>#N/A</v>
      </c>
      <c r="AR62" s="228">
        <v>0.25</v>
      </c>
      <c r="AS62" s="57" t="e">
        <f>_xlfn.XLOOKUP($D62,Tab_Process_TCs[TC_ID],#REF!,,0,)</f>
        <v>#REF!</v>
      </c>
      <c r="AT62" s="48" t="e">
        <f>_xlfn.XLOOKUP($D62,Tab_Process_TCs[TC_ID],#REF!,,0,)</f>
        <v>#REF!</v>
      </c>
      <c r="AU62" s="100" t="e">
        <f>Tab_Process_TCs2527[[#This Row],[Flow_ID]]</f>
        <v>#N/A</v>
      </c>
      <c r="AV62" s="100" t="e">
        <f t="shared" si="11"/>
        <v>#N/A</v>
      </c>
      <c r="AW62" s="228"/>
      <c r="AX62" s="57" t="e">
        <f>_xlfn.XLOOKUP($D62,Tab_Process_TCs[TC_ID],#REF!,,0,)</f>
        <v>#REF!</v>
      </c>
      <c r="AY62" s="48" t="e">
        <f>_xlfn.XLOOKUP($D62,Tab_Process_TCs[TC_ID],#REF!,,0,)</f>
        <v>#REF!</v>
      </c>
      <c r="AZ62" s="100" t="e">
        <f>Tab_Process_TCs2527[[#This Row],[Flow_ID]]</f>
        <v>#N/A</v>
      </c>
      <c r="BA62" s="100" t="e">
        <f t="shared" si="12"/>
        <v>#REF!</v>
      </c>
      <c r="BB62" s="228"/>
      <c r="BC62" s="48" t="e">
        <f>_xlfn.XLOOKUP($D62,Tab_Process_TCs[TC_ID],#REF!,,0,)</f>
        <v>#REF!</v>
      </c>
      <c r="BD62" s="48" t="e">
        <f>_xlfn.XLOOKUP($D62,Tab_Process_TCs[TC_ID],#REF!,,0,)</f>
        <v>#REF!</v>
      </c>
      <c r="BE62" s="100" t="e">
        <f>Tab_Process_TCs2527[[#This Row],[Flow_ID]]</f>
        <v>#N/A</v>
      </c>
      <c r="BF62" s="100" t="e">
        <f t="shared" si="13"/>
        <v>#REF!</v>
      </c>
      <c r="BG62" s="109"/>
      <c r="BH62" s="112">
        <f>Tab_Process_TCs2527[[#This Row],[TC O_6_'[%']]]+Tab_Process_TCs2527[[#This Row],[TC O_5_'[%']]]+Tab_Process_TCs2527[[#This Row],[TC_O_4_'[%']]]+Tab_Process_TCs2527[[#This Row],[TC_O_3_'[%']]]+Tab_Process_TCs2527[[#This Row],[TC_O_2_'[%']]]+Tab_Process_TCs2527[[#This Row],[TC_O_1_'[%']]]</f>
        <v>1</v>
      </c>
      <c r="BI62" s="50"/>
      <c r="BJ62" s="50"/>
      <c r="BK62" s="50"/>
      <c r="BL62" s="50"/>
      <c r="BM62" s="50"/>
    </row>
    <row r="63" spans="1:65" x14ac:dyDescent="0.25">
      <c r="A63" s="87" t="b">
        <v>0</v>
      </c>
      <c r="B63" s="48">
        <f t="shared" si="7"/>
        <v>62</v>
      </c>
      <c r="C63" s="107" t="e">
        <f>_xlfn.XLOOKUP($D63,Tab_Process_TCs[Name(EN)],Tab_Process_TCs[Process_ID],,0,)</f>
        <v>#N/A</v>
      </c>
      <c r="D63" s="50"/>
      <c r="E63" s="50" t="s">
        <v>55</v>
      </c>
      <c r="F63" s="48" t="e">
        <f>_xlfn.XLOOKUP($D63,Tab_Process_TCs[Name(EN)],Tab_Process_TCs[TC?],,0,)</f>
        <v>#N/A</v>
      </c>
      <c r="G63" s="48" t="e">
        <f>_xlfn.XLOOKUP($D63,Tab_Process_TCs[Name(EN)],Tab_Process_TCs[Dyn_TC?],,0,)</f>
        <v>#N/A</v>
      </c>
      <c r="H63" s="48" t="e">
        <f>_xlfn.XLOOKUP($E63,Tab_Def_Flows[Name(EN)],Tab_Def_Flows[Flow_ID],,0,1)</f>
        <v>#N/A</v>
      </c>
      <c r="I63" s="50" t="e">
        <f>IF(Tab_Process_TCs2527[[#This Row],[Name(EN)]]="N.A.","N.A.","TC"&amp;"_"&amp;RIGHT(H63,5))</f>
        <v>#N/A</v>
      </c>
      <c r="J63" s="50"/>
      <c r="K63" s="249"/>
      <c r="L63" s="50" t="e">
        <f>_xlfn.XLOOKUP($D63,Tab_Def_Processes[Name(EN)],Tab_Def_Processes[Stock?],,0,)</f>
        <v>#N/A</v>
      </c>
      <c r="M63" s="48"/>
      <c r="N63" s="57" t="e">
        <f>_xlfn.XLOOKUP($D63,Tab_Def_Processes[Name(EN)],Tab_Def_Processes[Input_Flow_I_1],,0,)</f>
        <v>#N/A</v>
      </c>
      <c r="O63" s="48" t="e">
        <f>_xlfn.XLOOKUP($D63,Tab_Def_Processes[Name(EN)],Tab_Def_Processes[Flow_ID_I_1],,0,)</f>
        <v>#N/A</v>
      </c>
      <c r="P63" s="75"/>
      <c r="Q63" s="71" t="e">
        <f>_xlfn.XLOOKUP($D63,Tab_Def_Processes[Name(EN)],Tab_Def_Processes[Input_Flow_I_2],,0,)</f>
        <v>#N/A</v>
      </c>
      <c r="R63" s="48" t="e">
        <f>_xlfn.XLOOKUP($D63,Tab_Def_Processes[Name(EN)],Tab_Def_Processes[Flow_ID_I_2],,0,)</f>
        <v>#N/A</v>
      </c>
      <c r="S63" s="75"/>
      <c r="T63" s="71" t="e">
        <f>_xlfn.XLOOKUP($D63,Tab_Def_Processes[Name(EN)],Tab_Def_Processes[Input_Flow_I_3],,0,)</f>
        <v>#N/A</v>
      </c>
      <c r="U63" s="48" t="e">
        <f>_xlfn.XLOOKUP($D63,Tab_Def_Processes[Name(EN)],Tab_Def_Processes[Flow_ID_I_3],,0,)</f>
        <v>#N/A</v>
      </c>
      <c r="V63" s="75"/>
      <c r="W63" s="71" t="e">
        <f>_xlfn.XLOOKUP($D63,Tab_Def_Processes[Name(EN)],Tab_Def_Processes[Input_Flow_I_4],,0,)</f>
        <v>#N/A</v>
      </c>
      <c r="X63" s="48" t="e">
        <f>_xlfn.XLOOKUP($D63,Tab_Def_Processes[Name(EN)],Tab_Def_Processes[Flow_ID_I_4],,0,)</f>
        <v>#N/A</v>
      </c>
      <c r="Y63" s="75"/>
      <c r="Z63" s="71" t="e">
        <f>_xlfn.XLOOKUP($D63,Tab_Def_Processes[Name(EN)],Tab_Def_Processes[Input_Flow_I_5],,0,)</f>
        <v>#N/A</v>
      </c>
      <c r="AA63" s="48" t="e">
        <f>_xlfn.XLOOKUP($D63,Tab_Def_Processes[Name(EN)],Tab_Def_Processes[Flow_ID_I_5],,0,)</f>
        <v>#N/A</v>
      </c>
      <c r="AB63" s="75"/>
      <c r="AC63" s="74">
        <f>Tab_Process_TCs2527[[#This Row],[Flow_TC_I_1_'[%']]]+Tab_Process_TCs2527[[#This Row],[Flow_TC_I_2_'[%']]]+Tab_Process_TCs2527[[#This Row],[Flow_TC_I_3_'[%']]]+Tab_Process_TCs2527[[#This Row],[Flow_TC_I_4_'[%']]]+Tab_Process_TCs2527[[#This Row],[Flow_TC_I_5_'[%']]]</f>
        <v>0</v>
      </c>
      <c r="AD63" s="57" t="e">
        <f>_xlfn.XLOOKUP($D63,Tab_Process_TCs[TC_ID],Tab_Process_TCs[Output_Flow_O_1],,0,)</f>
        <v>#N/A</v>
      </c>
      <c r="AE63" s="48" t="e">
        <f>_xlfn.XLOOKUP($D63,Tab_Process_TCs[TC_ID],Tab_Process_TCs[Flow_ID_O_1],,0,)</f>
        <v>#N/A</v>
      </c>
      <c r="AF63" s="100" t="e">
        <f>Tab_Process_TCs2527[[#This Row],[Flow_ID]]</f>
        <v>#N/A</v>
      </c>
      <c r="AG63" s="48" t="e">
        <f t="shared" si="8"/>
        <v>#N/A</v>
      </c>
      <c r="AH63" s="109">
        <f t="shared" ref="AH63:AH87" si="14">AH62+0.01</f>
        <v>0.31</v>
      </c>
      <c r="AI63" s="231" t="e">
        <f>_xlfn.XLOOKUP($D63,Tab_Process_TCs[TC_ID],Tab_Process_TCs[Output_Flow_O_2],,0,)</f>
        <v>#N/A</v>
      </c>
      <c r="AJ63" s="113" t="e">
        <f>_xlfn.XLOOKUP($D63,Tab_Process_TCs[TC_ID],Tab_Process_TCs[Flow_ID_O_2],,0,)</f>
        <v>#N/A</v>
      </c>
      <c r="AK63" s="100" t="e">
        <f>Tab_Process_TCs2527[[#This Row],[Flow_ID]]</f>
        <v>#N/A</v>
      </c>
      <c r="AL63" s="48" t="e">
        <f t="shared" si="9"/>
        <v>#N/A</v>
      </c>
      <c r="AM63" s="228">
        <f t="shared" ref="AM63:AM87" si="15">AM62-0.01</f>
        <v>0.44</v>
      </c>
      <c r="AN63" s="57" t="e">
        <f>_xlfn.XLOOKUP($D63,Tab_Process_TCs[TC_ID],Tab_Process_TCs[Output_Flow_O_3],,0,)</f>
        <v>#N/A</v>
      </c>
      <c r="AO63" s="48" t="e">
        <f>_xlfn.XLOOKUP($D63,Tab_Process_TCs[TC_ID],Tab_Process_TCs[Flow_ID_O_3],,0,)</f>
        <v>#N/A</v>
      </c>
      <c r="AP63" s="100" t="e">
        <f>Tab_Process_TCs2527[[#This Row],[Flow_ID]]</f>
        <v>#N/A</v>
      </c>
      <c r="AQ63" s="48" t="e">
        <f t="shared" si="10"/>
        <v>#N/A</v>
      </c>
      <c r="AR63" s="228">
        <v>0.25</v>
      </c>
      <c r="AS63" s="57" t="e">
        <f>_xlfn.XLOOKUP($D63,Tab_Process_TCs[TC_ID],#REF!,,0,)</f>
        <v>#REF!</v>
      </c>
      <c r="AT63" s="48" t="e">
        <f>_xlfn.XLOOKUP($D63,Tab_Process_TCs[TC_ID],#REF!,,0,)</f>
        <v>#REF!</v>
      </c>
      <c r="AU63" s="100" t="e">
        <f>Tab_Process_TCs2527[[#This Row],[Flow_ID]]</f>
        <v>#N/A</v>
      </c>
      <c r="AV63" s="100" t="e">
        <f t="shared" si="11"/>
        <v>#N/A</v>
      </c>
      <c r="AW63" s="228"/>
      <c r="AX63" s="57" t="e">
        <f>_xlfn.XLOOKUP($D63,Tab_Process_TCs[TC_ID],#REF!,,0,)</f>
        <v>#REF!</v>
      </c>
      <c r="AY63" s="48" t="e">
        <f>_xlfn.XLOOKUP($D63,Tab_Process_TCs[TC_ID],#REF!,,0,)</f>
        <v>#REF!</v>
      </c>
      <c r="AZ63" s="100" t="e">
        <f>Tab_Process_TCs2527[[#This Row],[Flow_ID]]</f>
        <v>#N/A</v>
      </c>
      <c r="BA63" s="100" t="e">
        <f t="shared" si="12"/>
        <v>#REF!</v>
      </c>
      <c r="BB63" s="228"/>
      <c r="BC63" s="48" t="e">
        <f>_xlfn.XLOOKUP($D63,Tab_Process_TCs[TC_ID],#REF!,,0,)</f>
        <v>#REF!</v>
      </c>
      <c r="BD63" s="48" t="e">
        <f>_xlfn.XLOOKUP($D63,Tab_Process_TCs[TC_ID],#REF!,,0,)</f>
        <v>#REF!</v>
      </c>
      <c r="BE63" s="100" t="e">
        <f>Tab_Process_TCs2527[[#This Row],[Flow_ID]]</f>
        <v>#N/A</v>
      </c>
      <c r="BF63" s="100" t="e">
        <f t="shared" si="13"/>
        <v>#REF!</v>
      </c>
      <c r="BG63" s="109"/>
      <c r="BH63" s="112">
        <f>Tab_Process_TCs2527[[#This Row],[TC O_6_'[%']]]+Tab_Process_TCs2527[[#This Row],[TC O_5_'[%']]]+Tab_Process_TCs2527[[#This Row],[TC_O_4_'[%']]]+Tab_Process_TCs2527[[#This Row],[TC_O_3_'[%']]]+Tab_Process_TCs2527[[#This Row],[TC_O_2_'[%']]]+Tab_Process_TCs2527[[#This Row],[TC_O_1_'[%']]]</f>
        <v>1</v>
      </c>
      <c r="BI63" s="50"/>
      <c r="BJ63" s="50"/>
      <c r="BK63" s="50"/>
      <c r="BL63" s="50"/>
      <c r="BM63" s="50"/>
    </row>
    <row r="64" spans="1:65" x14ac:dyDescent="0.25">
      <c r="A64" s="87" t="b">
        <v>0</v>
      </c>
      <c r="B64" s="48">
        <f t="shared" si="7"/>
        <v>63</v>
      </c>
      <c r="C64" s="107" t="e">
        <f>_xlfn.XLOOKUP($D64,Tab_Process_TCs[Name(EN)],Tab_Process_TCs[Process_ID],,0,)</f>
        <v>#N/A</v>
      </c>
      <c r="D64" s="50"/>
      <c r="E64" s="50" t="s">
        <v>55</v>
      </c>
      <c r="F64" s="48" t="e">
        <f>_xlfn.XLOOKUP($D64,Tab_Process_TCs[Name(EN)],Tab_Process_TCs[TC?],,0,)</f>
        <v>#N/A</v>
      </c>
      <c r="G64" s="48" t="e">
        <f>_xlfn.XLOOKUP($D64,Tab_Process_TCs[Name(EN)],Tab_Process_TCs[Dyn_TC?],,0,)</f>
        <v>#N/A</v>
      </c>
      <c r="H64" s="48" t="e">
        <f>_xlfn.XLOOKUP($E64,Tab_Def_Flows[Name(EN)],Tab_Def_Flows[Flow_ID],,0,1)</f>
        <v>#N/A</v>
      </c>
      <c r="I64" s="50" t="e">
        <f>IF(Tab_Process_TCs2527[[#This Row],[Name(EN)]]="N.A.","N.A.","TC"&amp;"_"&amp;RIGHT(H64,5))</f>
        <v>#N/A</v>
      </c>
      <c r="J64" s="50"/>
      <c r="K64" s="249"/>
      <c r="L64" s="50" t="e">
        <f>_xlfn.XLOOKUP($D64,Tab_Def_Processes[Name(EN)],Tab_Def_Processes[Stock?],,0,)</f>
        <v>#N/A</v>
      </c>
      <c r="M64" s="48"/>
      <c r="N64" s="57" t="e">
        <f>_xlfn.XLOOKUP($D64,Tab_Def_Processes[Name(EN)],Tab_Def_Processes[Input_Flow_I_1],,0,)</f>
        <v>#N/A</v>
      </c>
      <c r="O64" s="48" t="e">
        <f>_xlfn.XLOOKUP($D64,Tab_Def_Processes[Name(EN)],Tab_Def_Processes[Flow_ID_I_1],,0,)</f>
        <v>#N/A</v>
      </c>
      <c r="P64" s="75"/>
      <c r="Q64" s="71" t="e">
        <f>_xlfn.XLOOKUP($D64,Tab_Def_Processes[Name(EN)],Tab_Def_Processes[Input_Flow_I_2],,0,)</f>
        <v>#N/A</v>
      </c>
      <c r="R64" s="48" t="e">
        <f>_xlfn.XLOOKUP($D64,Tab_Def_Processes[Name(EN)],Tab_Def_Processes[Flow_ID_I_2],,0,)</f>
        <v>#N/A</v>
      </c>
      <c r="S64" s="75"/>
      <c r="T64" s="71" t="e">
        <f>_xlfn.XLOOKUP($D64,Tab_Def_Processes[Name(EN)],Tab_Def_Processes[Input_Flow_I_3],,0,)</f>
        <v>#N/A</v>
      </c>
      <c r="U64" s="48" t="e">
        <f>_xlfn.XLOOKUP($D64,Tab_Def_Processes[Name(EN)],Tab_Def_Processes[Flow_ID_I_3],,0,)</f>
        <v>#N/A</v>
      </c>
      <c r="V64" s="75"/>
      <c r="W64" s="71" t="e">
        <f>_xlfn.XLOOKUP($D64,Tab_Def_Processes[Name(EN)],Tab_Def_Processes[Input_Flow_I_4],,0,)</f>
        <v>#N/A</v>
      </c>
      <c r="X64" s="48" t="e">
        <f>_xlfn.XLOOKUP($D64,Tab_Def_Processes[Name(EN)],Tab_Def_Processes[Flow_ID_I_4],,0,)</f>
        <v>#N/A</v>
      </c>
      <c r="Y64" s="75"/>
      <c r="Z64" s="71" t="e">
        <f>_xlfn.XLOOKUP($D64,Tab_Def_Processes[Name(EN)],Tab_Def_Processes[Input_Flow_I_5],,0,)</f>
        <v>#N/A</v>
      </c>
      <c r="AA64" s="48" t="e">
        <f>_xlfn.XLOOKUP($D64,Tab_Def_Processes[Name(EN)],Tab_Def_Processes[Flow_ID_I_5],,0,)</f>
        <v>#N/A</v>
      </c>
      <c r="AB64" s="75"/>
      <c r="AC64" s="74">
        <f>Tab_Process_TCs2527[[#This Row],[Flow_TC_I_1_'[%']]]+Tab_Process_TCs2527[[#This Row],[Flow_TC_I_2_'[%']]]+Tab_Process_TCs2527[[#This Row],[Flow_TC_I_3_'[%']]]+Tab_Process_TCs2527[[#This Row],[Flow_TC_I_4_'[%']]]+Tab_Process_TCs2527[[#This Row],[Flow_TC_I_5_'[%']]]</f>
        <v>0</v>
      </c>
      <c r="AD64" s="57" t="e">
        <f>_xlfn.XLOOKUP($D64,Tab_Process_TCs[TC_ID],Tab_Process_TCs[Output_Flow_O_1],,0,)</f>
        <v>#N/A</v>
      </c>
      <c r="AE64" s="48" t="e">
        <f>_xlfn.XLOOKUP($D64,Tab_Process_TCs[TC_ID],Tab_Process_TCs[Flow_ID_O_1],,0,)</f>
        <v>#N/A</v>
      </c>
      <c r="AF64" s="100" t="e">
        <f>Tab_Process_TCs2527[[#This Row],[Flow_ID]]</f>
        <v>#N/A</v>
      </c>
      <c r="AG64" s="48" t="e">
        <f t="shared" si="8"/>
        <v>#N/A</v>
      </c>
      <c r="AH64" s="109">
        <f t="shared" si="14"/>
        <v>0.32</v>
      </c>
      <c r="AI64" s="231" t="e">
        <f>_xlfn.XLOOKUP($D64,Tab_Process_TCs[TC_ID],Tab_Process_TCs[Output_Flow_O_2],,0,)</f>
        <v>#N/A</v>
      </c>
      <c r="AJ64" s="113" t="e">
        <f>_xlfn.XLOOKUP($D64,Tab_Process_TCs[TC_ID],Tab_Process_TCs[Flow_ID_O_2],,0,)</f>
        <v>#N/A</v>
      </c>
      <c r="AK64" s="100" t="e">
        <f>Tab_Process_TCs2527[[#This Row],[Flow_ID]]</f>
        <v>#N/A</v>
      </c>
      <c r="AL64" s="48" t="e">
        <f t="shared" si="9"/>
        <v>#N/A</v>
      </c>
      <c r="AM64" s="228">
        <f t="shared" si="15"/>
        <v>0.43</v>
      </c>
      <c r="AN64" s="57" t="e">
        <f>_xlfn.XLOOKUP($D64,Tab_Process_TCs[TC_ID],Tab_Process_TCs[Output_Flow_O_3],,0,)</f>
        <v>#N/A</v>
      </c>
      <c r="AO64" s="48" t="e">
        <f>_xlfn.XLOOKUP($D64,Tab_Process_TCs[TC_ID],Tab_Process_TCs[Flow_ID_O_3],,0,)</f>
        <v>#N/A</v>
      </c>
      <c r="AP64" s="100" t="e">
        <f>Tab_Process_TCs2527[[#This Row],[Flow_ID]]</f>
        <v>#N/A</v>
      </c>
      <c r="AQ64" s="48" t="e">
        <f t="shared" si="10"/>
        <v>#N/A</v>
      </c>
      <c r="AR64" s="228">
        <v>0.25</v>
      </c>
      <c r="AS64" s="57" t="e">
        <f>_xlfn.XLOOKUP($D64,Tab_Process_TCs[TC_ID],#REF!,,0,)</f>
        <v>#REF!</v>
      </c>
      <c r="AT64" s="48" t="e">
        <f>_xlfn.XLOOKUP($D64,Tab_Process_TCs[TC_ID],#REF!,,0,)</f>
        <v>#REF!</v>
      </c>
      <c r="AU64" s="100" t="e">
        <f>Tab_Process_TCs2527[[#This Row],[Flow_ID]]</f>
        <v>#N/A</v>
      </c>
      <c r="AV64" s="100" t="e">
        <f t="shared" si="11"/>
        <v>#N/A</v>
      </c>
      <c r="AW64" s="228"/>
      <c r="AX64" s="57" t="e">
        <f>_xlfn.XLOOKUP($D64,Tab_Process_TCs[TC_ID],#REF!,,0,)</f>
        <v>#REF!</v>
      </c>
      <c r="AY64" s="48" t="e">
        <f>_xlfn.XLOOKUP($D64,Tab_Process_TCs[TC_ID],#REF!,,0,)</f>
        <v>#REF!</v>
      </c>
      <c r="AZ64" s="100" t="e">
        <f>Tab_Process_TCs2527[[#This Row],[Flow_ID]]</f>
        <v>#N/A</v>
      </c>
      <c r="BA64" s="100" t="e">
        <f t="shared" si="12"/>
        <v>#REF!</v>
      </c>
      <c r="BB64" s="228"/>
      <c r="BC64" s="48" t="e">
        <f>_xlfn.XLOOKUP($D64,Tab_Process_TCs[TC_ID],#REF!,,0,)</f>
        <v>#REF!</v>
      </c>
      <c r="BD64" s="48" t="e">
        <f>_xlfn.XLOOKUP($D64,Tab_Process_TCs[TC_ID],#REF!,,0,)</f>
        <v>#REF!</v>
      </c>
      <c r="BE64" s="100" t="e">
        <f>Tab_Process_TCs2527[[#This Row],[Flow_ID]]</f>
        <v>#N/A</v>
      </c>
      <c r="BF64" s="100" t="e">
        <f t="shared" si="13"/>
        <v>#REF!</v>
      </c>
      <c r="BG64" s="109"/>
      <c r="BH64" s="112">
        <f>Tab_Process_TCs2527[[#This Row],[TC O_6_'[%']]]+Tab_Process_TCs2527[[#This Row],[TC O_5_'[%']]]+Tab_Process_TCs2527[[#This Row],[TC_O_4_'[%']]]+Tab_Process_TCs2527[[#This Row],[TC_O_3_'[%']]]+Tab_Process_TCs2527[[#This Row],[TC_O_2_'[%']]]+Tab_Process_TCs2527[[#This Row],[TC_O_1_'[%']]]</f>
        <v>1</v>
      </c>
      <c r="BI64" s="50"/>
      <c r="BJ64" s="50"/>
      <c r="BK64" s="50"/>
      <c r="BL64" s="50"/>
      <c r="BM64" s="50"/>
    </row>
    <row r="65" spans="1:65" x14ac:dyDescent="0.25">
      <c r="A65" s="87" t="b">
        <v>0</v>
      </c>
      <c r="B65" s="48">
        <f t="shared" si="7"/>
        <v>64</v>
      </c>
      <c r="C65" s="107" t="e">
        <f>_xlfn.XLOOKUP($D65,Tab_Process_TCs[Name(EN)],Tab_Process_TCs[Process_ID],,0,)</f>
        <v>#N/A</v>
      </c>
      <c r="D65" s="50"/>
      <c r="E65" s="50" t="s">
        <v>55</v>
      </c>
      <c r="F65" s="48" t="e">
        <f>_xlfn.XLOOKUP($D65,Tab_Process_TCs[Name(EN)],Tab_Process_TCs[TC?],,0,)</f>
        <v>#N/A</v>
      </c>
      <c r="G65" s="48" t="e">
        <f>_xlfn.XLOOKUP($D65,Tab_Process_TCs[Name(EN)],Tab_Process_TCs[Dyn_TC?],,0,)</f>
        <v>#N/A</v>
      </c>
      <c r="H65" s="48" t="e">
        <f>_xlfn.XLOOKUP($E65,Tab_Def_Flows[Name(EN)],Tab_Def_Flows[Flow_ID],,0,1)</f>
        <v>#N/A</v>
      </c>
      <c r="I65" s="50" t="e">
        <f>IF(Tab_Process_TCs2527[[#This Row],[Name(EN)]]="N.A.","N.A.","TC"&amp;"_"&amp;RIGHT(H65,5))</f>
        <v>#N/A</v>
      </c>
      <c r="J65" s="50"/>
      <c r="K65" s="249"/>
      <c r="L65" s="50" t="e">
        <f>_xlfn.XLOOKUP($D65,Tab_Def_Processes[Name(EN)],Tab_Def_Processes[Stock?],,0,)</f>
        <v>#N/A</v>
      </c>
      <c r="M65" s="48"/>
      <c r="N65" s="57" t="e">
        <f>_xlfn.XLOOKUP($D65,Tab_Def_Processes[Name(EN)],Tab_Def_Processes[Input_Flow_I_1],,0,)</f>
        <v>#N/A</v>
      </c>
      <c r="O65" s="48" t="e">
        <f>_xlfn.XLOOKUP($D65,Tab_Def_Processes[Name(EN)],Tab_Def_Processes[Flow_ID_I_1],,0,)</f>
        <v>#N/A</v>
      </c>
      <c r="P65" s="75"/>
      <c r="Q65" s="71" t="e">
        <f>_xlfn.XLOOKUP($D65,Tab_Def_Processes[Name(EN)],Tab_Def_Processes[Input_Flow_I_2],,0,)</f>
        <v>#N/A</v>
      </c>
      <c r="R65" s="48" t="e">
        <f>_xlfn.XLOOKUP($D65,Tab_Def_Processes[Name(EN)],Tab_Def_Processes[Flow_ID_I_2],,0,)</f>
        <v>#N/A</v>
      </c>
      <c r="S65" s="75"/>
      <c r="T65" s="71" t="e">
        <f>_xlfn.XLOOKUP($D65,Tab_Def_Processes[Name(EN)],Tab_Def_Processes[Input_Flow_I_3],,0,)</f>
        <v>#N/A</v>
      </c>
      <c r="U65" s="48" t="e">
        <f>_xlfn.XLOOKUP($D65,Tab_Def_Processes[Name(EN)],Tab_Def_Processes[Flow_ID_I_3],,0,)</f>
        <v>#N/A</v>
      </c>
      <c r="V65" s="75"/>
      <c r="W65" s="71" t="e">
        <f>_xlfn.XLOOKUP($D65,Tab_Def_Processes[Name(EN)],Tab_Def_Processes[Input_Flow_I_4],,0,)</f>
        <v>#N/A</v>
      </c>
      <c r="X65" s="48" t="e">
        <f>_xlfn.XLOOKUP($D65,Tab_Def_Processes[Name(EN)],Tab_Def_Processes[Flow_ID_I_4],,0,)</f>
        <v>#N/A</v>
      </c>
      <c r="Y65" s="75"/>
      <c r="Z65" s="71" t="e">
        <f>_xlfn.XLOOKUP($D65,Tab_Def_Processes[Name(EN)],Tab_Def_Processes[Input_Flow_I_5],,0,)</f>
        <v>#N/A</v>
      </c>
      <c r="AA65" s="48" t="e">
        <f>_xlfn.XLOOKUP($D65,Tab_Def_Processes[Name(EN)],Tab_Def_Processes[Flow_ID_I_5],,0,)</f>
        <v>#N/A</v>
      </c>
      <c r="AB65" s="75"/>
      <c r="AC65" s="74">
        <f>Tab_Process_TCs2527[[#This Row],[Flow_TC_I_1_'[%']]]+Tab_Process_TCs2527[[#This Row],[Flow_TC_I_2_'[%']]]+Tab_Process_TCs2527[[#This Row],[Flow_TC_I_3_'[%']]]+Tab_Process_TCs2527[[#This Row],[Flow_TC_I_4_'[%']]]+Tab_Process_TCs2527[[#This Row],[Flow_TC_I_5_'[%']]]</f>
        <v>0</v>
      </c>
      <c r="AD65" s="57" t="e">
        <f>_xlfn.XLOOKUP($D65,Tab_Process_TCs[TC_ID],Tab_Process_TCs[Output_Flow_O_1],,0,)</f>
        <v>#N/A</v>
      </c>
      <c r="AE65" s="48" t="e">
        <f>_xlfn.XLOOKUP($D65,Tab_Process_TCs[TC_ID],Tab_Process_TCs[Flow_ID_O_1],,0,)</f>
        <v>#N/A</v>
      </c>
      <c r="AF65" s="100" t="e">
        <f>Tab_Process_TCs2527[[#This Row],[Flow_ID]]</f>
        <v>#N/A</v>
      </c>
      <c r="AG65" s="48" t="e">
        <f t="shared" si="8"/>
        <v>#N/A</v>
      </c>
      <c r="AH65" s="109">
        <f t="shared" si="14"/>
        <v>0.33</v>
      </c>
      <c r="AI65" s="231" t="e">
        <f>_xlfn.XLOOKUP($D65,Tab_Process_TCs[TC_ID],Tab_Process_TCs[Output_Flow_O_2],,0,)</f>
        <v>#N/A</v>
      </c>
      <c r="AJ65" s="113" t="e">
        <f>_xlfn.XLOOKUP($D65,Tab_Process_TCs[TC_ID],Tab_Process_TCs[Flow_ID_O_2],,0,)</f>
        <v>#N/A</v>
      </c>
      <c r="AK65" s="100" t="e">
        <f>Tab_Process_TCs2527[[#This Row],[Flow_ID]]</f>
        <v>#N/A</v>
      </c>
      <c r="AL65" s="48" t="e">
        <f t="shared" si="9"/>
        <v>#N/A</v>
      </c>
      <c r="AM65" s="228">
        <f t="shared" si="15"/>
        <v>0.42</v>
      </c>
      <c r="AN65" s="57" t="e">
        <f>_xlfn.XLOOKUP($D65,Tab_Process_TCs[TC_ID],Tab_Process_TCs[Output_Flow_O_3],,0,)</f>
        <v>#N/A</v>
      </c>
      <c r="AO65" s="48" t="e">
        <f>_xlfn.XLOOKUP($D65,Tab_Process_TCs[TC_ID],Tab_Process_TCs[Flow_ID_O_3],,0,)</f>
        <v>#N/A</v>
      </c>
      <c r="AP65" s="100" t="e">
        <f>Tab_Process_TCs2527[[#This Row],[Flow_ID]]</f>
        <v>#N/A</v>
      </c>
      <c r="AQ65" s="48" t="e">
        <f t="shared" si="10"/>
        <v>#N/A</v>
      </c>
      <c r="AR65" s="228">
        <v>0.25</v>
      </c>
      <c r="AS65" s="57" t="e">
        <f>_xlfn.XLOOKUP($D65,Tab_Process_TCs[TC_ID],#REF!,,0,)</f>
        <v>#REF!</v>
      </c>
      <c r="AT65" s="48" t="e">
        <f>_xlfn.XLOOKUP($D65,Tab_Process_TCs[TC_ID],#REF!,,0,)</f>
        <v>#REF!</v>
      </c>
      <c r="AU65" s="100" t="e">
        <f>Tab_Process_TCs2527[[#This Row],[Flow_ID]]</f>
        <v>#N/A</v>
      </c>
      <c r="AV65" s="100" t="e">
        <f t="shared" si="11"/>
        <v>#N/A</v>
      </c>
      <c r="AW65" s="228"/>
      <c r="AX65" s="57" t="e">
        <f>_xlfn.XLOOKUP($D65,Tab_Process_TCs[TC_ID],#REF!,,0,)</f>
        <v>#REF!</v>
      </c>
      <c r="AY65" s="48" t="e">
        <f>_xlfn.XLOOKUP($D65,Tab_Process_TCs[TC_ID],#REF!,,0,)</f>
        <v>#REF!</v>
      </c>
      <c r="AZ65" s="100" t="e">
        <f>Tab_Process_TCs2527[[#This Row],[Flow_ID]]</f>
        <v>#N/A</v>
      </c>
      <c r="BA65" s="100" t="e">
        <f t="shared" si="12"/>
        <v>#REF!</v>
      </c>
      <c r="BB65" s="228"/>
      <c r="BC65" s="48" t="e">
        <f>_xlfn.XLOOKUP($D65,Tab_Process_TCs[TC_ID],#REF!,,0,)</f>
        <v>#REF!</v>
      </c>
      <c r="BD65" s="48" t="e">
        <f>_xlfn.XLOOKUP($D65,Tab_Process_TCs[TC_ID],#REF!,,0,)</f>
        <v>#REF!</v>
      </c>
      <c r="BE65" s="100" t="e">
        <f>Tab_Process_TCs2527[[#This Row],[Flow_ID]]</f>
        <v>#N/A</v>
      </c>
      <c r="BF65" s="100" t="e">
        <f t="shared" si="13"/>
        <v>#REF!</v>
      </c>
      <c r="BG65" s="109"/>
      <c r="BH65" s="112">
        <f>Tab_Process_TCs2527[[#This Row],[TC O_6_'[%']]]+Tab_Process_TCs2527[[#This Row],[TC O_5_'[%']]]+Tab_Process_TCs2527[[#This Row],[TC_O_4_'[%']]]+Tab_Process_TCs2527[[#This Row],[TC_O_3_'[%']]]+Tab_Process_TCs2527[[#This Row],[TC_O_2_'[%']]]+Tab_Process_TCs2527[[#This Row],[TC_O_1_'[%']]]</f>
        <v>1</v>
      </c>
      <c r="BI65" s="50"/>
      <c r="BJ65" s="50"/>
      <c r="BK65" s="50"/>
      <c r="BL65" s="50"/>
      <c r="BM65" s="50"/>
    </row>
    <row r="66" spans="1:65" x14ac:dyDescent="0.25">
      <c r="A66" s="87" t="b">
        <v>0</v>
      </c>
      <c r="B66" s="48">
        <f t="shared" ref="B66:B97" si="16">ROW()-1</f>
        <v>65</v>
      </c>
      <c r="C66" s="107" t="e">
        <f>_xlfn.XLOOKUP($D66,Tab_Process_TCs[Name(EN)],Tab_Process_TCs[Process_ID],,0,)</f>
        <v>#N/A</v>
      </c>
      <c r="D66" s="50"/>
      <c r="E66" s="50" t="s">
        <v>55</v>
      </c>
      <c r="F66" s="48" t="e">
        <f>_xlfn.XLOOKUP($D66,Tab_Process_TCs[Name(EN)],Tab_Process_TCs[TC?],,0,)</f>
        <v>#N/A</v>
      </c>
      <c r="G66" s="48" t="e">
        <f>_xlfn.XLOOKUP($D66,Tab_Process_TCs[Name(EN)],Tab_Process_TCs[Dyn_TC?],,0,)</f>
        <v>#N/A</v>
      </c>
      <c r="H66" s="48" t="e">
        <f>_xlfn.XLOOKUP($E66,Tab_Def_Flows[Name(EN)],Tab_Def_Flows[Flow_ID],,0,1)</f>
        <v>#N/A</v>
      </c>
      <c r="I66" s="50" t="e">
        <f>IF(Tab_Process_TCs2527[[#This Row],[Name(EN)]]="N.A.","N.A.","TC"&amp;"_"&amp;RIGHT(H66,5))</f>
        <v>#N/A</v>
      </c>
      <c r="J66" s="50"/>
      <c r="K66" s="249"/>
      <c r="L66" s="50" t="e">
        <f>_xlfn.XLOOKUP($D66,Tab_Def_Processes[Name(EN)],Tab_Def_Processes[Stock?],,0,)</f>
        <v>#N/A</v>
      </c>
      <c r="M66" s="48"/>
      <c r="N66" s="57" t="e">
        <f>_xlfn.XLOOKUP($D66,Tab_Def_Processes[Name(EN)],Tab_Def_Processes[Input_Flow_I_1],,0,)</f>
        <v>#N/A</v>
      </c>
      <c r="O66" s="48" t="e">
        <f>_xlfn.XLOOKUP($D66,Tab_Def_Processes[Name(EN)],Tab_Def_Processes[Flow_ID_I_1],,0,)</f>
        <v>#N/A</v>
      </c>
      <c r="P66" s="75"/>
      <c r="Q66" s="71" t="e">
        <f>_xlfn.XLOOKUP($D66,Tab_Def_Processes[Name(EN)],Tab_Def_Processes[Input_Flow_I_2],,0,)</f>
        <v>#N/A</v>
      </c>
      <c r="R66" s="48" t="e">
        <f>_xlfn.XLOOKUP($D66,Tab_Def_Processes[Name(EN)],Tab_Def_Processes[Flow_ID_I_2],,0,)</f>
        <v>#N/A</v>
      </c>
      <c r="S66" s="75"/>
      <c r="T66" s="71" t="e">
        <f>_xlfn.XLOOKUP($D66,Tab_Def_Processes[Name(EN)],Tab_Def_Processes[Input_Flow_I_3],,0,)</f>
        <v>#N/A</v>
      </c>
      <c r="U66" s="48" t="e">
        <f>_xlfn.XLOOKUP($D66,Tab_Def_Processes[Name(EN)],Tab_Def_Processes[Flow_ID_I_3],,0,)</f>
        <v>#N/A</v>
      </c>
      <c r="V66" s="75"/>
      <c r="W66" s="71" t="e">
        <f>_xlfn.XLOOKUP($D66,Tab_Def_Processes[Name(EN)],Tab_Def_Processes[Input_Flow_I_4],,0,)</f>
        <v>#N/A</v>
      </c>
      <c r="X66" s="48" t="e">
        <f>_xlfn.XLOOKUP($D66,Tab_Def_Processes[Name(EN)],Tab_Def_Processes[Flow_ID_I_4],,0,)</f>
        <v>#N/A</v>
      </c>
      <c r="Y66" s="75"/>
      <c r="Z66" s="71" t="e">
        <f>_xlfn.XLOOKUP($D66,Tab_Def_Processes[Name(EN)],Tab_Def_Processes[Input_Flow_I_5],,0,)</f>
        <v>#N/A</v>
      </c>
      <c r="AA66" s="48" t="e">
        <f>_xlfn.XLOOKUP($D66,Tab_Def_Processes[Name(EN)],Tab_Def_Processes[Flow_ID_I_5],,0,)</f>
        <v>#N/A</v>
      </c>
      <c r="AB66" s="75"/>
      <c r="AC66" s="74">
        <f>Tab_Process_TCs2527[[#This Row],[Flow_TC_I_1_'[%']]]+Tab_Process_TCs2527[[#This Row],[Flow_TC_I_2_'[%']]]+Tab_Process_TCs2527[[#This Row],[Flow_TC_I_3_'[%']]]+Tab_Process_TCs2527[[#This Row],[Flow_TC_I_4_'[%']]]+Tab_Process_TCs2527[[#This Row],[Flow_TC_I_5_'[%']]]</f>
        <v>0</v>
      </c>
      <c r="AD66" s="57" t="e">
        <f>_xlfn.XLOOKUP($D66,Tab_Process_TCs[TC_ID],Tab_Process_TCs[Output_Flow_O_1],,0,)</f>
        <v>#N/A</v>
      </c>
      <c r="AE66" s="48" t="e">
        <f>_xlfn.XLOOKUP($D66,Tab_Process_TCs[TC_ID],Tab_Process_TCs[Flow_ID_O_1],,0,)</f>
        <v>#N/A</v>
      </c>
      <c r="AF66" s="100" t="e">
        <f>Tab_Process_TCs2527[[#This Row],[Flow_ID]]</f>
        <v>#N/A</v>
      </c>
      <c r="AG66" s="48" t="e">
        <f t="shared" ref="AG66:AG97" si="17">"TC"&amp;"_"&amp;RIGHT(AE66,5)</f>
        <v>#N/A</v>
      </c>
      <c r="AH66" s="109">
        <f t="shared" si="14"/>
        <v>0.34</v>
      </c>
      <c r="AI66" s="231" t="e">
        <f>_xlfn.XLOOKUP($D66,Tab_Process_TCs[TC_ID],Tab_Process_TCs[Output_Flow_O_2],,0,)</f>
        <v>#N/A</v>
      </c>
      <c r="AJ66" s="113" t="e">
        <f>_xlfn.XLOOKUP($D66,Tab_Process_TCs[TC_ID],Tab_Process_TCs[Flow_ID_O_2],,0,)</f>
        <v>#N/A</v>
      </c>
      <c r="AK66" s="100" t="e">
        <f>Tab_Process_TCs2527[[#This Row],[Flow_ID]]</f>
        <v>#N/A</v>
      </c>
      <c r="AL66" s="48" t="e">
        <f t="shared" ref="AL66:AL97" si="18">"TC"&amp;"_"&amp;RIGHT(AJ66,5)</f>
        <v>#N/A</v>
      </c>
      <c r="AM66" s="228">
        <f t="shared" si="15"/>
        <v>0.41</v>
      </c>
      <c r="AN66" s="57" t="e">
        <f>_xlfn.XLOOKUP($D66,Tab_Process_TCs[TC_ID],Tab_Process_TCs[Output_Flow_O_3],,0,)</f>
        <v>#N/A</v>
      </c>
      <c r="AO66" s="48" t="e">
        <f>_xlfn.XLOOKUP($D66,Tab_Process_TCs[TC_ID],Tab_Process_TCs[Flow_ID_O_3],,0,)</f>
        <v>#N/A</v>
      </c>
      <c r="AP66" s="100" t="e">
        <f>Tab_Process_TCs2527[[#This Row],[Flow_ID]]</f>
        <v>#N/A</v>
      </c>
      <c r="AQ66" s="48" t="e">
        <f t="shared" ref="AQ66:AQ97" si="19">"TC"&amp;"_"&amp;RIGHT(AO66,5)</f>
        <v>#N/A</v>
      </c>
      <c r="AR66" s="228">
        <v>0.25</v>
      </c>
      <c r="AS66" s="57" t="e">
        <f>_xlfn.XLOOKUP($D66,Tab_Process_TCs[TC_ID],#REF!,,0,)</f>
        <v>#REF!</v>
      </c>
      <c r="AT66" s="48" t="e">
        <f>_xlfn.XLOOKUP($D66,Tab_Process_TCs[TC_ID],#REF!,,0,)</f>
        <v>#REF!</v>
      </c>
      <c r="AU66" s="100" t="e">
        <f>Tab_Process_TCs2527[[#This Row],[Flow_ID]]</f>
        <v>#N/A</v>
      </c>
      <c r="AV66" s="100" t="e">
        <f t="shared" ref="AV66:AV97" si="20">"TC"&amp;"_"&amp;RIGHT(AO66,5)</f>
        <v>#N/A</v>
      </c>
      <c r="AW66" s="228"/>
      <c r="AX66" s="57" t="e">
        <f>_xlfn.XLOOKUP($D66,Tab_Process_TCs[TC_ID],#REF!,,0,)</f>
        <v>#REF!</v>
      </c>
      <c r="AY66" s="48" t="e">
        <f>_xlfn.XLOOKUP($D66,Tab_Process_TCs[TC_ID],#REF!,,0,)</f>
        <v>#REF!</v>
      </c>
      <c r="AZ66" s="100" t="e">
        <f>Tab_Process_TCs2527[[#This Row],[Flow_ID]]</f>
        <v>#N/A</v>
      </c>
      <c r="BA66" s="100" t="e">
        <f t="shared" ref="BA66:BA97" si="21">"TC"&amp;"_"&amp;RIGHT(AY66,5)</f>
        <v>#REF!</v>
      </c>
      <c r="BB66" s="228"/>
      <c r="BC66" s="48" t="e">
        <f>_xlfn.XLOOKUP($D66,Tab_Process_TCs[TC_ID],#REF!,,0,)</f>
        <v>#REF!</v>
      </c>
      <c r="BD66" s="48" t="e">
        <f>_xlfn.XLOOKUP($D66,Tab_Process_TCs[TC_ID],#REF!,,0,)</f>
        <v>#REF!</v>
      </c>
      <c r="BE66" s="100" t="e">
        <f>Tab_Process_TCs2527[[#This Row],[Flow_ID]]</f>
        <v>#N/A</v>
      </c>
      <c r="BF66" s="100" t="e">
        <f t="shared" ref="BF66:BF97" si="22">"TC"&amp;"_"&amp;RIGHT(BD66,5)</f>
        <v>#REF!</v>
      </c>
      <c r="BG66" s="109"/>
      <c r="BH66" s="112">
        <f>Tab_Process_TCs2527[[#This Row],[TC O_6_'[%']]]+Tab_Process_TCs2527[[#This Row],[TC O_5_'[%']]]+Tab_Process_TCs2527[[#This Row],[TC_O_4_'[%']]]+Tab_Process_TCs2527[[#This Row],[TC_O_3_'[%']]]+Tab_Process_TCs2527[[#This Row],[TC_O_2_'[%']]]+Tab_Process_TCs2527[[#This Row],[TC_O_1_'[%']]]</f>
        <v>1</v>
      </c>
      <c r="BI66" s="50"/>
      <c r="BJ66" s="50"/>
      <c r="BK66" s="50"/>
      <c r="BL66" s="50"/>
      <c r="BM66" s="50"/>
    </row>
    <row r="67" spans="1:65" x14ac:dyDescent="0.25">
      <c r="A67" s="87" t="b">
        <v>0</v>
      </c>
      <c r="B67" s="48">
        <f t="shared" si="16"/>
        <v>66</v>
      </c>
      <c r="C67" s="107" t="e">
        <f>_xlfn.XLOOKUP($D67,Tab_Process_TCs[Name(EN)],Tab_Process_TCs[Process_ID],,0,)</f>
        <v>#N/A</v>
      </c>
      <c r="D67" s="50"/>
      <c r="E67" s="50" t="s">
        <v>55</v>
      </c>
      <c r="F67" s="48" t="e">
        <f>_xlfn.XLOOKUP($D67,Tab_Process_TCs[Name(EN)],Tab_Process_TCs[TC?],,0,)</f>
        <v>#N/A</v>
      </c>
      <c r="G67" s="48" t="e">
        <f>_xlfn.XLOOKUP($D67,Tab_Process_TCs[Name(EN)],Tab_Process_TCs[Dyn_TC?],,0,)</f>
        <v>#N/A</v>
      </c>
      <c r="H67" s="48" t="e">
        <f>_xlfn.XLOOKUP($E67,Tab_Def_Flows[Name(EN)],Tab_Def_Flows[Flow_ID],,0,1)</f>
        <v>#N/A</v>
      </c>
      <c r="I67" s="50" t="e">
        <f>IF(Tab_Process_TCs2527[[#This Row],[Name(EN)]]="N.A.","N.A.","TC"&amp;"_"&amp;RIGHT(H67,5))</f>
        <v>#N/A</v>
      </c>
      <c r="J67" s="50"/>
      <c r="K67" s="249"/>
      <c r="L67" s="50" t="e">
        <f>_xlfn.XLOOKUP($D67,Tab_Def_Processes[Name(EN)],Tab_Def_Processes[Stock?],,0,)</f>
        <v>#N/A</v>
      </c>
      <c r="M67" s="48"/>
      <c r="N67" s="57" t="e">
        <f>_xlfn.XLOOKUP($D67,Tab_Def_Processes[Name(EN)],Tab_Def_Processes[Input_Flow_I_1],,0,)</f>
        <v>#N/A</v>
      </c>
      <c r="O67" s="48" t="e">
        <f>_xlfn.XLOOKUP($D67,Tab_Def_Processes[Name(EN)],Tab_Def_Processes[Flow_ID_I_1],,0,)</f>
        <v>#N/A</v>
      </c>
      <c r="P67" s="75"/>
      <c r="Q67" s="71" t="e">
        <f>_xlfn.XLOOKUP($D67,Tab_Def_Processes[Name(EN)],Tab_Def_Processes[Input_Flow_I_2],,0,)</f>
        <v>#N/A</v>
      </c>
      <c r="R67" s="48" t="e">
        <f>_xlfn.XLOOKUP($D67,Tab_Def_Processes[Name(EN)],Tab_Def_Processes[Flow_ID_I_2],,0,)</f>
        <v>#N/A</v>
      </c>
      <c r="S67" s="75"/>
      <c r="T67" s="71" t="e">
        <f>_xlfn.XLOOKUP($D67,Tab_Def_Processes[Name(EN)],Tab_Def_Processes[Input_Flow_I_3],,0,)</f>
        <v>#N/A</v>
      </c>
      <c r="U67" s="48" t="e">
        <f>_xlfn.XLOOKUP($D67,Tab_Def_Processes[Name(EN)],Tab_Def_Processes[Flow_ID_I_3],,0,)</f>
        <v>#N/A</v>
      </c>
      <c r="V67" s="75"/>
      <c r="W67" s="71" t="e">
        <f>_xlfn.XLOOKUP($D67,Tab_Def_Processes[Name(EN)],Tab_Def_Processes[Input_Flow_I_4],,0,)</f>
        <v>#N/A</v>
      </c>
      <c r="X67" s="48" t="e">
        <f>_xlfn.XLOOKUP($D67,Tab_Def_Processes[Name(EN)],Tab_Def_Processes[Flow_ID_I_4],,0,)</f>
        <v>#N/A</v>
      </c>
      <c r="Y67" s="75"/>
      <c r="Z67" s="71" t="e">
        <f>_xlfn.XLOOKUP($D67,Tab_Def_Processes[Name(EN)],Tab_Def_Processes[Input_Flow_I_5],,0,)</f>
        <v>#N/A</v>
      </c>
      <c r="AA67" s="48" t="e">
        <f>_xlfn.XLOOKUP($D67,Tab_Def_Processes[Name(EN)],Tab_Def_Processes[Flow_ID_I_5],,0,)</f>
        <v>#N/A</v>
      </c>
      <c r="AB67" s="75"/>
      <c r="AC67" s="74">
        <f>Tab_Process_TCs2527[[#This Row],[Flow_TC_I_1_'[%']]]+Tab_Process_TCs2527[[#This Row],[Flow_TC_I_2_'[%']]]+Tab_Process_TCs2527[[#This Row],[Flow_TC_I_3_'[%']]]+Tab_Process_TCs2527[[#This Row],[Flow_TC_I_4_'[%']]]+Tab_Process_TCs2527[[#This Row],[Flow_TC_I_5_'[%']]]</f>
        <v>0</v>
      </c>
      <c r="AD67" s="57" t="e">
        <f>_xlfn.XLOOKUP($D67,Tab_Process_TCs[TC_ID],Tab_Process_TCs[Output_Flow_O_1],,0,)</f>
        <v>#N/A</v>
      </c>
      <c r="AE67" s="48" t="e">
        <f>_xlfn.XLOOKUP($D67,Tab_Process_TCs[TC_ID],Tab_Process_TCs[Flow_ID_O_1],,0,)</f>
        <v>#N/A</v>
      </c>
      <c r="AF67" s="100" t="e">
        <f>Tab_Process_TCs2527[[#This Row],[Flow_ID]]</f>
        <v>#N/A</v>
      </c>
      <c r="AG67" s="48" t="e">
        <f t="shared" si="17"/>
        <v>#N/A</v>
      </c>
      <c r="AH67" s="109">
        <f t="shared" si="14"/>
        <v>0.35000000000000003</v>
      </c>
      <c r="AI67" s="231" t="e">
        <f>_xlfn.XLOOKUP($D67,Tab_Process_TCs[TC_ID],Tab_Process_TCs[Output_Flow_O_2],,0,)</f>
        <v>#N/A</v>
      </c>
      <c r="AJ67" s="113" t="e">
        <f>_xlfn.XLOOKUP($D67,Tab_Process_TCs[TC_ID],Tab_Process_TCs[Flow_ID_O_2],,0,)</f>
        <v>#N/A</v>
      </c>
      <c r="AK67" s="100" t="e">
        <f>Tab_Process_TCs2527[[#This Row],[Flow_ID]]</f>
        <v>#N/A</v>
      </c>
      <c r="AL67" s="48" t="e">
        <f t="shared" si="18"/>
        <v>#N/A</v>
      </c>
      <c r="AM67" s="228">
        <f t="shared" si="15"/>
        <v>0.39999999999999997</v>
      </c>
      <c r="AN67" s="57" t="e">
        <f>_xlfn.XLOOKUP($D67,Tab_Process_TCs[TC_ID],Tab_Process_TCs[Output_Flow_O_3],,0,)</f>
        <v>#N/A</v>
      </c>
      <c r="AO67" s="48" t="e">
        <f>_xlfn.XLOOKUP($D67,Tab_Process_TCs[TC_ID],Tab_Process_TCs[Flow_ID_O_3],,0,)</f>
        <v>#N/A</v>
      </c>
      <c r="AP67" s="100" t="e">
        <f>Tab_Process_TCs2527[[#This Row],[Flow_ID]]</f>
        <v>#N/A</v>
      </c>
      <c r="AQ67" s="48" t="e">
        <f t="shared" si="19"/>
        <v>#N/A</v>
      </c>
      <c r="AR67" s="228">
        <v>0.25</v>
      </c>
      <c r="AS67" s="57" t="e">
        <f>_xlfn.XLOOKUP($D67,Tab_Process_TCs[TC_ID],#REF!,,0,)</f>
        <v>#REF!</v>
      </c>
      <c r="AT67" s="48" t="e">
        <f>_xlfn.XLOOKUP($D67,Tab_Process_TCs[TC_ID],#REF!,,0,)</f>
        <v>#REF!</v>
      </c>
      <c r="AU67" s="100" t="e">
        <f>Tab_Process_TCs2527[[#This Row],[Flow_ID]]</f>
        <v>#N/A</v>
      </c>
      <c r="AV67" s="100" t="e">
        <f t="shared" si="20"/>
        <v>#N/A</v>
      </c>
      <c r="AW67" s="228"/>
      <c r="AX67" s="57" t="e">
        <f>_xlfn.XLOOKUP($D67,Tab_Process_TCs[TC_ID],#REF!,,0,)</f>
        <v>#REF!</v>
      </c>
      <c r="AY67" s="48" t="e">
        <f>_xlfn.XLOOKUP($D67,Tab_Process_TCs[TC_ID],#REF!,,0,)</f>
        <v>#REF!</v>
      </c>
      <c r="AZ67" s="100" t="e">
        <f>Tab_Process_TCs2527[[#This Row],[Flow_ID]]</f>
        <v>#N/A</v>
      </c>
      <c r="BA67" s="100" t="e">
        <f t="shared" si="21"/>
        <v>#REF!</v>
      </c>
      <c r="BB67" s="228"/>
      <c r="BC67" s="48" t="e">
        <f>_xlfn.XLOOKUP($D67,Tab_Process_TCs[TC_ID],#REF!,,0,)</f>
        <v>#REF!</v>
      </c>
      <c r="BD67" s="48" t="e">
        <f>_xlfn.XLOOKUP($D67,Tab_Process_TCs[TC_ID],#REF!,,0,)</f>
        <v>#REF!</v>
      </c>
      <c r="BE67" s="100" t="e">
        <f>Tab_Process_TCs2527[[#This Row],[Flow_ID]]</f>
        <v>#N/A</v>
      </c>
      <c r="BF67" s="100" t="e">
        <f t="shared" si="22"/>
        <v>#REF!</v>
      </c>
      <c r="BG67" s="109"/>
      <c r="BH67" s="112">
        <f>Tab_Process_TCs2527[[#This Row],[TC O_6_'[%']]]+Tab_Process_TCs2527[[#This Row],[TC O_5_'[%']]]+Tab_Process_TCs2527[[#This Row],[TC_O_4_'[%']]]+Tab_Process_TCs2527[[#This Row],[TC_O_3_'[%']]]+Tab_Process_TCs2527[[#This Row],[TC_O_2_'[%']]]+Tab_Process_TCs2527[[#This Row],[TC_O_1_'[%']]]</f>
        <v>1</v>
      </c>
      <c r="BI67" s="50"/>
      <c r="BJ67" s="50"/>
      <c r="BK67" s="50"/>
      <c r="BL67" s="50"/>
      <c r="BM67" s="50"/>
    </row>
    <row r="68" spans="1:65" x14ac:dyDescent="0.25">
      <c r="A68" s="87" t="b">
        <v>0</v>
      </c>
      <c r="B68" s="48">
        <f t="shared" si="16"/>
        <v>67</v>
      </c>
      <c r="C68" s="107" t="e">
        <f>_xlfn.XLOOKUP($D68,Tab_Process_TCs[Name(EN)],Tab_Process_TCs[Process_ID],,0,)</f>
        <v>#N/A</v>
      </c>
      <c r="D68" s="50"/>
      <c r="E68" s="50" t="s">
        <v>55</v>
      </c>
      <c r="F68" s="48" t="e">
        <f>_xlfn.XLOOKUP($D68,Tab_Process_TCs[Name(EN)],Tab_Process_TCs[TC?],,0,)</f>
        <v>#N/A</v>
      </c>
      <c r="G68" s="48" t="e">
        <f>_xlfn.XLOOKUP($D68,Tab_Process_TCs[Name(EN)],Tab_Process_TCs[Dyn_TC?],,0,)</f>
        <v>#N/A</v>
      </c>
      <c r="H68" s="48" t="e">
        <f>_xlfn.XLOOKUP($E68,Tab_Def_Flows[Name(EN)],Tab_Def_Flows[Flow_ID],,0,1)</f>
        <v>#N/A</v>
      </c>
      <c r="I68" s="50" t="e">
        <f>IF(Tab_Process_TCs2527[[#This Row],[Name(EN)]]="N.A.","N.A.","TC"&amp;"_"&amp;RIGHT(H68,5))</f>
        <v>#N/A</v>
      </c>
      <c r="J68" s="50"/>
      <c r="K68" s="249"/>
      <c r="L68" s="50" t="e">
        <f>_xlfn.XLOOKUP($D68,Tab_Def_Processes[Name(EN)],Tab_Def_Processes[Stock?],,0,)</f>
        <v>#N/A</v>
      </c>
      <c r="M68" s="48"/>
      <c r="N68" s="57" t="e">
        <f>_xlfn.XLOOKUP($D68,Tab_Def_Processes[Name(EN)],Tab_Def_Processes[Input_Flow_I_1],,0,)</f>
        <v>#N/A</v>
      </c>
      <c r="O68" s="48" t="e">
        <f>_xlfn.XLOOKUP($D68,Tab_Def_Processes[Name(EN)],Tab_Def_Processes[Flow_ID_I_1],,0,)</f>
        <v>#N/A</v>
      </c>
      <c r="P68" s="75"/>
      <c r="Q68" s="71" t="e">
        <f>_xlfn.XLOOKUP($D68,Tab_Def_Processes[Name(EN)],Tab_Def_Processes[Input_Flow_I_2],,0,)</f>
        <v>#N/A</v>
      </c>
      <c r="R68" s="48" t="e">
        <f>_xlfn.XLOOKUP($D68,Tab_Def_Processes[Name(EN)],Tab_Def_Processes[Flow_ID_I_2],,0,)</f>
        <v>#N/A</v>
      </c>
      <c r="S68" s="75"/>
      <c r="T68" s="71" t="e">
        <f>_xlfn.XLOOKUP($D68,Tab_Def_Processes[Name(EN)],Tab_Def_Processes[Input_Flow_I_3],,0,)</f>
        <v>#N/A</v>
      </c>
      <c r="U68" s="48" t="e">
        <f>_xlfn.XLOOKUP($D68,Tab_Def_Processes[Name(EN)],Tab_Def_Processes[Flow_ID_I_3],,0,)</f>
        <v>#N/A</v>
      </c>
      <c r="V68" s="75"/>
      <c r="W68" s="71" t="e">
        <f>_xlfn.XLOOKUP($D68,Tab_Def_Processes[Name(EN)],Tab_Def_Processes[Input_Flow_I_4],,0,)</f>
        <v>#N/A</v>
      </c>
      <c r="X68" s="48" t="e">
        <f>_xlfn.XLOOKUP($D68,Tab_Def_Processes[Name(EN)],Tab_Def_Processes[Flow_ID_I_4],,0,)</f>
        <v>#N/A</v>
      </c>
      <c r="Y68" s="75"/>
      <c r="Z68" s="71" t="e">
        <f>_xlfn.XLOOKUP($D68,Tab_Def_Processes[Name(EN)],Tab_Def_Processes[Input_Flow_I_5],,0,)</f>
        <v>#N/A</v>
      </c>
      <c r="AA68" s="48" t="e">
        <f>_xlfn.XLOOKUP($D68,Tab_Def_Processes[Name(EN)],Tab_Def_Processes[Flow_ID_I_5],,0,)</f>
        <v>#N/A</v>
      </c>
      <c r="AB68" s="75"/>
      <c r="AC68" s="74">
        <f>Tab_Process_TCs2527[[#This Row],[Flow_TC_I_1_'[%']]]+Tab_Process_TCs2527[[#This Row],[Flow_TC_I_2_'[%']]]+Tab_Process_TCs2527[[#This Row],[Flow_TC_I_3_'[%']]]+Tab_Process_TCs2527[[#This Row],[Flow_TC_I_4_'[%']]]+Tab_Process_TCs2527[[#This Row],[Flow_TC_I_5_'[%']]]</f>
        <v>0</v>
      </c>
      <c r="AD68" s="57" t="e">
        <f>_xlfn.XLOOKUP($D68,Tab_Process_TCs[TC_ID],Tab_Process_TCs[Output_Flow_O_1],,0,)</f>
        <v>#N/A</v>
      </c>
      <c r="AE68" s="48" t="e">
        <f>_xlfn.XLOOKUP($D68,Tab_Process_TCs[TC_ID],Tab_Process_TCs[Flow_ID_O_1],,0,)</f>
        <v>#N/A</v>
      </c>
      <c r="AF68" s="100" t="e">
        <f>Tab_Process_TCs2527[[#This Row],[Flow_ID]]</f>
        <v>#N/A</v>
      </c>
      <c r="AG68" s="48" t="e">
        <f t="shared" si="17"/>
        <v>#N/A</v>
      </c>
      <c r="AH68" s="109">
        <f t="shared" si="14"/>
        <v>0.36000000000000004</v>
      </c>
      <c r="AI68" s="231" t="e">
        <f>_xlfn.XLOOKUP($D68,Tab_Process_TCs[TC_ID],Tab_Process_TCs[Output_Flow_O_2],,0,)</f>
        <v>#N/A</v>
      </c>
      <c r="AJ68" s="113" t="e">
        <f>_xlfn.XLOOKUP($D68,Tab_Process_TCs[TC_ID],Tab_Process_TCs[Flow_ID_O_2],,0,)</f>
        <v>#N/A</v>
      </c>
      <c r="AK68" s="100" t="e">
        <f>Tab_Process_TCs2527[[#This Row],[Flow_ID]]</f>
        <v>#N/A</v>
      </c>
      <c r="AL68" s="48" t="e">
        <f t="shared" si="18"/>
        <v>#N/A</v>
      </c>
      <c r="AM68" s="228">
        <f t="shared" si="15"/>
        <v>0.38999999999999996</v>
      </c>
      <c r="AN68" s="57" t="e">
        <f>_xlfn.XLOOKUP($D68,Tab_Process_TCs[TC_ID],Tab_Process_TCs[Output_Flow_O_3],,0,)</f>
        <v>#N/A</v>
      </c>
      <c r="AO68" s="48" t="e">
        <f>_xlfn.XLOOKUP($D68,Tab_Process_TCs[TC_ID],Tab_Process_TCs[Flow_ID_O_3],,0,)</f>
        <v>#N/A</v>
      </c>
      <c r="AP68" s="100" t="e">
        <f>Tab_Process_TCs2527[[#This Row],[Flow_ID]]</f>
        <v>#N/A</v>
      </c>
      <c r="AQ68" s="48" t="e">
        <f t="shared" si="19"/>
        <v>#N/A</v>
      </c>
      <c r="AR68" s="228">
        <v>0.25</v>
      </c>
      <c r="AS68" s="57" t="e">
        <f>_xlfn.XLOOKUP($D68,Tab_Process_TCs[TC_ID],#REF!,,0,)</f>
        <v>#REF!</v>
      </c>
      <c r="AT68" s="48" t="e">
        <f>_xlfn.XLOOKUP($D68,Tab_Process_TCs[TC_ID],#REF!,,0,)</f>
        <v>#REF!</v>
      </c>
      <c r="AU68" s="100" t="e">
        <f>Tab_Process_TCs2527[[#This Row],[Flow_ID]]</f>
        <v>#N/A</v>
      </c>
      <c r="AV68" s="100" t="e">
        <f t="shared" si="20"/>
        <v>#N/A</v>
      </c>
      <c r="AW68" s="228"/>
      <c r="AX68" s="57" t="e">
        <f>_xlfn.XLOOKUP($D68,Tab_Process_TCs[TC_ID],#REF!,,0,)</f>
        <v>#REF!</v>
      </c>
      <c r="AY68" s="48" t="e">
        <f>_xlfn.XLOOKUP($D68,Tab_Process_TCs[TC_ID],#REF!,,0,)</f>
        <v>#REF!</v>
      </c>
      <c r="AZ68" s="100" t="e">
        <f>Tab_Process_TCs2527[[#This Row],[Flow_ID]]</f>
        <v>#N/A</v>
      </c>
      <c r="BA68" s="100" t="e">
        <f t="shared" si="21"/>
        <v>#REF!</v>
      </c>
      <c r="BB68" s="228"/>
      <c r="BC68" s="48" t="e">
        <f>_xlfn.XLOOKUP($D68,Tab_Process_TCs[TC_ID],#REF!,,0,)</f>
        <v>#REF!</v>
      </c>
      <c r="BD68" s="48" t="e">
        <f>_xlfn.XLOOKUP($D68,Tab_Process_TCs[TC_ID],#REF!,,0,)</f>
        <v>#REF!</v>
      </c>
      <c r="BE68" s="100" t="e">
        <f>Tab_Process_TCs2527[[#This Row],[Flow_ID]]</f>
        <v>#N/A</v>
      </c>
      <c r="BF68" s="100" t="e">
        <f t="shared" si="22"/>
        <v>#REF!</v>
      </c>
      <c r="BG68" s="109"/>
      <c r="BH68" s="112">
        <f>Tab_Process_TCs2527[[#This Row],[TC O_6_'[%']]]+Tab_Process_TCs2527[[#This Row],[TC O_5_'[%']]]+Tab_Process_TCs2527[[#This Row],[TC_O_4_'[%']]]+Tab_Process_TCs2527[[#This Row],[TC_O_3_'[%']]]+Tab_Process_TCs2527[[#This Row],[TC_O_2_'[%']]]+Tab_Process_TCs2527[[#This Row],[TC_O_1_'[%']]]</f>
        <v>1</v>
      </c>
      <c r="BI68" s="50"/>
      <c r="BJ68" s="50"/>
      <c r="BK68" s="50"/>
      <c r="BL68" s="50"/>
      <c r="BM68" s="50"/>
    </row>
    <row r="69" spans="1:65" x14ac:dyDescent="0.25">
      <c r="A69" s="87" t="b">
        <v>0</v>
      </c>
      <c r="B69" s="48">
        <f t="shared" si="16"/>
        <v>68</v>
      </c>
      <c r="C69" s="107" t="e">
        <f>_xlfn.XLOOKUP($D69,Tab_Process_TCs[Name(EN)],Tab_Process_TCs[Process_ID],,0,)</f>
        <v>#N/A</v>
      </c>
      <c r="D69" s="50"/>
      <c r="E69" s="50" t="s">
        <v>55</v>
      </c>
      <c r="F69" s="48" t="e">
        <f>_xlfn.XLOOKUP($D69,Tab_Process_TCs[Name(EN)],Tab_Process_TCs[TC?],,0,)</f>
        <v>#N/A</v>
      </c>
      <c r="G69" s="48" t="e">
        <f>_xlfn.XLOOKUP($D69,Tab_Process_TCs[Name(EN)],Tab_Process_TCs[Dyn_TC?],,0,)</f>
        <v>#N/A</v>
      </c>
      <c r="H69" s="48" t="e">
        <f>_xlfn.XLOOKUP($E69,Tab_Def_Flows[Name(EN)],Tab_Def_Flows[Flow_ID],,0,1)</f>
        <v>#N/A</v>
      </c>
      <c r="I69" s="50" t="e">
        <f>IF(Tab_Process_TCs2527[[#This Row],[Name(EN)]]="N.A.","N.A.","TC"&amp;"_"&amp;RIGHT(H69,5))</f>
        <v>#N/A</v>
      </c>
      <c r="J69" s="50"/>
      <c r="K69" s="249"/>
      <c r="L69" s="50" t="e">
        <f>_xlfn.XLOOKUP($D69,Tab_Def_Processes[Name(EN)],Tab_Def_Processes[Stock?],,0,)</f>
        <v>#N/A</v>
      </c>
      <c r="M69" s="48"/>
      <c r="N69" s="57" t="e">
        <f>_xlfn.XLOOKUP($D69,Tab_Def_Processes[Name(EN)],Tab_Def_Processes[Input_Flow_I_1],,0,)</f>
        <v>#N/A</v>
      </c>
      <c r="O69" s="48" t="e">
        <f>_xlfn.XLOOKUP($D69,Tab_Def_Processes[Name(EN)],Tab_Def_Processes[Flow_ID_I_1],,0,)</f>
        <v>#N/A</v>
      </c>
      <c r="P69" s="75"/>
      <c r="Q69" s="71" t="e">
        <f>_xlfn.XLOOKUP($D69,Tab_Def_Processes[Name(EN)],Tab_Def_Processes[Input_Flow_I_2],,0,)</f>
        <v>#N/A</v>
      </c>
      <c r="R69" s="48" t="e">
        <f>_xlfn.XLOOKUP($D69,Tab_Def_Processes[Name(EN)],Tab_Def_Processes[Flow_ID_I_2],,0,)</f>
        <v>#N/A</v>
      </c>
      <c r="S69" s="75"/>
      <c r="T69" s="71" t="e">
        <f>_xlfn.XLOOKUP($D69,Tab_Def_Processes[Name(EN)],Tab_Def_Processes[Input_Flow_I_3],,0,)</f>
        <v>#N/A</v>
      </c>
      <c r="U69" s="48" t="e">
        <f>_xlfn.XLOOKUP($D69,Tab_Def_Processes[Name(EN)],Tab_Def_Processes[Flow_ID_I_3],,0,)</f>
        <v>#N/A</v>
      </c>
      <c r="V69" s="75"/>
      <c r="W69" s="71" t="e">
        <f>_xlfn.XLOOKUP($D69,Tab_Def_Processes[Name(EN)],Tab_Def_Processes[Input_Flow_I_4],,0,)</f>
        <v>#N/A</v>
      </c>
      <c r="X69" s="48" t="e">
        <f>_xlfn.XLOOKUP($D69,Tab_Def_Processes[Name(EN)],Tab_Def_Processes[Flow_ID_I_4],,0,)</f>
        <v>#N/A</v>
      </c>
      <c r="Y69" s="75"/>
      <c r="Z69" s="71" t="e">
        <f>_xlfn.XLOOKUP($D69,Tab_Def_Processes[Name(EN)],Tab_Def_Processes[Input_Flow_I_5],,0,)</f>
        <v>#N/A</v>
      </c>
      <c r="AA69" s="48" t="e">
        <f>_xlfn.XLOOKUP($D69,Tab_Def_Processes[Name(EN)],Tab_Def_Processes[Flow_ID_I_5],,0,)</f>
        <v>#N/A</v>
      </c>
      <c r="AB69" s="75"/>
      <c r="AC69" s="74">
        <f>Tab_Process_TCs2527[[#This Row],[Flow_TC_I_1_'[%']]]+Tab_Process_TCs2527[[#This Row],[Flow_TC_I_2_'[%']]]+Tab_Process_TCs2527[[#This Row],[Flow_TC_I_3_'[%']]]+Tab_Process_TCs2527[[#This Row],[Flow_TC_I_4_'[%']]]+Tab_Process_TCs2527[[#This Row],[Flow_TC_I_5_'[%']]]</f>
        <v>0</v>
      </c>
      <c r="AD69" s="57" t="e">
        <f>_xlfn.XLOOKUP($D69,Tab_Process_TCs[TC_ID],Tab_Process_TCs[Output_Flow_O_1],,0,)</f>
        <v>#N/A</v>
      </c>
      <c r="AE69" s="48" t="e">
        <f>_xlfn.XLOOKUP($D69,Tab_Process_TCs[TC_ID],Tab_Process_TCs[Flow_ID_O_1],,0,)</f>
        <v>#N/A</v>
      </c>
      <c r="AF69" s="100" t="e">
        <f>Tab_Process_TCs2527[[#This Row],[Flow_ID]]</f>
        <v>#N/A</v>
      </c>
      <c r="AG69" s="48" t="e">
        <f t="shared" si="17"/>
        <v>#N/A</v>
      </c>
      <c r="AH69" s="109">
        <f t="shared" si="14"/>
        <v>0.37000000000000005</v>
      </c>
      <c r="AI69" s="231" t="e">
        <f>_xlfn.XLOOKUP($D69,Tab_Process_TCs[TC_ID],Tab_Process_TCs[Output_Flow_O_2],,0,)</f>
        <v>#N/A</v>
      </c>
      <c r="AJ69" s="113" t="e">
        <f>_xlfn.XLOOKUP($D69,Tab_Process_TCs[TC_ID],Tab_Process_TCs[Flow_ID_O_2],,0,)</f>
        <v>#N/A</v>
      </c>
      <c r="AK69" s="100" t="e">
        <f>Tab_Process_TCs2527[[#This Row],[Flow_ID]]</f>
        <v>#N/A</v>
      </c>
      <c r="AL69" s="48" t="e">
        <f t="shared" si="18"/>
        <v>#N/A</v>
      </c>
      <c r="AM69" s="228">
        <f t="shared" si="15"/>
        <v>0.37999999999999995</v>
      </c>
      <c r="AN69" s="57" t="e">
        <f>_xlfn.XLOOKUP($D69,Tab_Process_TCs[TC_ID],Tab_Process_TCs[Output_Flow_O_3],,0,)</f>
        <v>#N/A</v>
      </c>
      <c r="AO69" s="48" t="e">
        <f>_xlfn.XLOOKUP($D69,Tab_Process_TCs[TC_ID],Tab_Process_TCs[Flow_ID_O_3],,0,)</f>
        <v>#N/A</v>
      </c>
      <c r="AP69" s="100" t="e">
        <f>Tab_Process_TCs2527[[#This Row],[Flow_ID]]</f>
        <v>#N/A</v>
      </c>
      <c r="AQ69" s="48" t="e">
        <f t="shared" si="19"/>
        <v>#N/A</v>
      </c>
      <c r="AR69" s="228">
        <v>0.25</v>
      </c>
      <c r="AS69" s="57" t="e">
        <f>_xlfn.XLOOKUP($D69,Tab_Process_TCs[TC_ID],#REF!,,0,)</f>
        <v>#REF!</v>
      </c>
      <c r="AT69" s="48" t="e">
        <f>_xlfn.XLOOKUP($D69,Tab_Process_TCs[TC_ID],#REF!,,0,)</f>
        <v>#REF!</v>
      </c>
      <c r="AU69" s="100" t="e">
        <f>Tab_Process_TCs2527[[#This Row],[Flow_ID]]</f>
        <v>#N/A</v>
      </c>
      <c r="AV69" s="100" t="e">
        <f t="shared" si="20"/>
        <v>#N/A</v>
      </c>
      <c r="AW69" s="228"/>
      <c r="AX69" s="57" t="e">
        <f>_xlfn.XLOOKUP($D69,Tab_Process_TCs[TC_ID],#REF!,,0,)</f>
        <v>#REF!</v>
      </c>
      <c r="AY69" s="48" t="e">
        <f>_xlfn.XLOOKUP($D69,Tab_Process_TCs[TC_ID],#REF!,,0,)</f>
        <v>#REF!</v>
      </c>
      <c r="AZ69" s="100" t="e">
        <f>Tab_Process_TCs2527[[#This Row],[Flow_ID]]</f>
        <v>#N/A</v>
      </c>
      <c r="BA69" s="100" t="e">
        <f t="shared" si="21"/>
        <v>#REF!</v>
      </c>
      <c r="BB69" s="228"/>
      <c r="BC69" s="48" t="e">
        <f>_xlfn.XLOOKUP($D69,Tab_Process_TCs[TC_ID],#REF!,,0,)</f>
        <v>#REF!</v>
      </c>
      <c r="BD69" s="48" t="e">
        <f>_xlfn.XLOOKUP($D69,Tab_Process_TCs[TC_ID],#REF!,,0,)</f>
        <v>#REF!</v>
      </c>
      <c r="BE69" s="100" t="e">
        <f>Tab_Process_TCs2527[[#This Row],[Flow_ID]]</f>
        <v>#N/A</v>
      </c>
      <c r="BF69" s="100" t="e">
        <f t="shared" si="22"/>
        <v>#REF!</v>
      </c>
      <c r="BG69" s="109"/>
      <c r="BH69" s="112">
        <f>Tab_Process_TCs2527[[#This Row],[TC O_6_'[%']]]+Tab_Process_TCs2527[[#This Row],[TC O_5_'[%']]]+Tab_Process_TCs2527[[#This Row],[TC_O_4_'[%']]]+Tab_Process_TCs2527[[#This Row],[TC_O_3_'[%']]]+Tab_Process_TCs2527[[#This Row],[TC_O_2_'[%']]]+Tab_Process_TCs2527[[#This Row],[TC_O_1_'[%']]]</f>
        <v>1</v>
      </c>
      <c r="BI69" s="50"/>
      <c r="BJ69" s="50"/>
      <c r="BK69" s="50"/>
      <c r="BL69" s="50"/>
      <c r="BM69" s="50"/>
    </row>
    <row r="70" spans="1:65" x14ac:dyDescent="0.25">
      <c r="A70" s="87" t="b">
        <v>0</v>
      </c>
      <c r="B70" s="48">
        <f t="shared" si="16"/>
        <v>69</v>
      </c>
      <c r="C70" s="107" t="e">
        <f>_xlfn.XLOOKUP($D70,Tab_Process_TCs[Name(EN)],Tab_Process_TCs[Process_ID],,0,)</f>
        <v>#N/A</v>
      </c>
      <c r="D70" s="50"/>
      <c r="E70" s="50" t="s">
        <v>55</v>
      </c>
      <c r="F70" s="48" t="e">
        <f>_xlfn.XLOOKUP($D70,Tab_Process_TCs[Name(EN)],Tab_Process_TCs[TC?],,0,)</f>
        <v>#N/A</v>
      </c>
      <c r="G70" s="48" t="e">
        <f>_xlfn.XLOOKUP($D70,Tab_Process_TCs[Name(EN)],Tab_Process_TCs[Dyn_TC?],,0,)</f>
        <v>#N/A</v>
      </c>
      <c r="H70" s="48" t="e">
        <f>_xlfn.XLOOKUP($E70,Tab_Def_Flows[Name(EN)],Tab_Def_Flows[Flow_ID],,0,1)</f>
        <v>#N/A</v>
      </c>
      <c r="I70" s="50" t="e">
        <f>IF(Tab_Process_TCs2527[[#This Row],[Name(EN)]]="N.A.","N.A.","TC"&amp;"_"&amp;RIGHT(H70,5))</f>
        <v>#N/A</v>
      </c>
      <c r="J70" s="50"/>
      <c r="K70" s="249"/>
      <c r="L70" s="50" t="e">
        <f>_xlfn.XLOOKUP($D70,Tab_Def_Processes[Name(EN)],Tab_Def_Processes[Stock?],,0,)</f>
        <v>#N/A</v>
      </c>
      <c r="M70" s="48"/>
      <c r="N70" s="57" t="e">
        <f>_xlfn.XLOOKUP($D70,Tab_Def_Processes[Name(EN)],Tab_Def_Processes[Input_Flow_I_1],,0,)</f>
        <v>#N/A</v>
      </c>
      <c r="O70" s="48" t="e">
        <f>_xlfn.XLOOKUP($D70,Tab_Def_Processes[Name(EN)],Tab_Def_Processes[Flow_ID_I_1],,0,)</f>
        <v>#N/A</v>
      </c>
      <c r="P70" s="75"/>
      <c r="Q70" s="71" t="e">
        <f>_xlfn.XLOOKUP($D70,Tab_Def_Processes[Name(EN)],Tab_Def_Processes[Input_Flow_I_2],,0,)</f>
        <v>#N/A</v>
      </c>
      <c r="R70" s="48" t="e">
        <f>_xlfn.XLOOKUP($D70,Tab_Def_Processes[Name(EN)],Tab_Def_Processes[Flow_ID_I_2],,0,)</f>
        <v>#N/A</v>
      </c>
      <c r="S70" s="75"/>
      <c r="T70" s="71" t="e">
        <f>_xlfn.XLOOKUP($D70,Tab_Def_Processes[Name(EN)],Tab_Def_Processes[Input_Flow_I_3],,0,)</f>
        <v>#N/A</v>
      </c>
      <c r="U70" s="48" t="e">
        <f>_xlfn.XLOOKUP($D70,Tab_Def_Processes[Name(EN)],Tab_Def_Processes[Flow_ID_I_3],,0,)</f>
        <v>#N/A</v>
      </c>
      <c r="V70" s="75"/>
      <c r="W70" s="71" t="e">
        <f>_xlfn.XLOOKUP($D70,Tab_Def_Processes[Name(EN)],Tab_Def_Processes[Input_Flow_I_4],,0,)</f>
        <v>#N/A</v>
      </c>
      <c r="X70" s="48" t="e">
        <f>_xlfn.XLOOKUP($D70,Tab_Def_Processes[Name(EN)],Tab_Def_Processes[Flow_ID_I_4],,0,)</f>
        <v>#N/A</v>
      </c>
      <c r="Y70" s="75"/>
      <c r="Z70" s="71" t="e">
        <f>_xlfn.XLOOKUP($D70,Tab_Def_Processes[Name(EN)],Tab_Def_Processes[Input_Flow_I_5],,0,)</f>
        <v>#N/A</v>
      </c>
      <c r="AA70" s="48" t="e">
        <f>_xlfn.XLOOKUP($D70,Tab_Def_Processes[Name(EN)],Tab_Def_Processes[Flow_ID_I_5],,0,)</f>
        <v>#N/A</v>
      </c>
      <c r="AB70" s="75"/>
      <c r="AC70" s="74">
        <f>Tab_Process_TCs2527[[#This Row],[Flow_TC_I_1_'[%']]]+Tab_Process_TCs2527[[#This Row],[Flow_TC_I_2_'[%']]]+Tab_Process_TCs2527[[#This Row],[Flow_TC_I_3_'[%']]]+Tab_Process_TCs2527[[#This Row],[Flow_TC_I_4_'[%']]]+Tab_Process_TCs2527[[#This Row],[Flow_TC_I_5_'[%']]]</f>
        <v>0</v>
      </c>
      <c r="AD70" s="57" t="e">
        <f>_xlfn.XLOOKUP($D70,Tab_Process_TCs[TC_ID],Tab_Process_TCs[Output_Flow_O_1],,0,)</f>
        <v>#N/A</v>
      </c>
      <c r="AE70" s="48" t="e">
        <f>_xlfn.XLOOKUP($D70,Tab_Process_TCs[TC_ID],Tab_Process_TCs[Flow_ID_O_1],,0,)</f>
        <v>#N/A</v>
      </c>
      <c r="AF70" s="100" t="e">
        <f>Tab_Process_TCs2527[[#This Row],[Flow_ID]]</f>
        <v>#N/A</v>
      </c>
      <c r="AG70" s="48" t="e">
        <f t="shared" si="17"/>
        <v>#N/A</v>
      </c>
      <c r="AH70" s="109">
        <f t="shared" si="14"/>
        <v>0.38000000000000006</v>
      </c>
      <c r="AI70" s="231" t="e">
        <f>_xlfn.XLOOKUP($D70,Tab_Process_TCs[TC_ID],Tab_Process_TCs[Output_Flow_O_2],,0,)</f>
        <v>#N/A</v>
      </c>
      <c r="AJ70" s="113" t="e">
        <f>_xlfn.XLOOKUP($D70,Tab_Process_TCs[TC_ID],Tab_Process_TCs[Flow_ID_O_2],,0,)</f>
        <v>#N/A</v>
      </c>
      <c r="AK70" s="100" t="e">
        <f>Tab_Process_TCs2527[[#This Row],[Flow_ID]]</f>
        <v>#N/A</v>
      </c>
      <c r="AL70" s="48" t="e">
        <f t="shared" si="18"/>
        <v>#N/A</v>
      </c>
      <c r="AM70" s="228">
        <f t="shared" si="15"/>
        <v>0.36999999999999994</v>
      </c>
      <c r="AN70" s="57" t="e">
        <f>_xlfn.XLOOKUP($D70,Tab_Process_TCs[TC_ID],Tab_Process_TCs[Output_Flow_O_3],,0,)</f>
        <v>#N/A</v>
      </c>
      <c r="AO70" s="48" t="e">
        <f>_xlfn.XLOOKUP($D70,Tab_Process_TCs[TC_ID],Tab_Process_TCs[Flow_ID_O_3],,0,)</f>
        <v>#N/A</v>
      </c>
      <c r="AP70" s="100" t="e">
        <f>Tab_Process_TCs2527[[#This Row],[Flow_ID]]</f>
        <v>#N/A</v>
      </c>
      <c r="AQ70" s="48" t="e">
        <f t="shared" si="19"/>
        <v>#N/A</v>
      </c>
      <c r="AR70" s="228">
        <v>0.25</v>
      </c>
      <c r="AS70" s="57" t="e">
        <f>_xlfn.XLOOKUP($D70,Tab_Process_TCs[TC_ID],#REF!,,0,)</f>
        <v>#REF!</v>
      </c>
      <c r="AT70" s="48" t="e">
        <f>_xlfn.XLOOKUP($D70,Tab_Process_TCs[TC_ID],#REF!,,0,)</f>
        <v>#REF!</v>
      </c>
      <c r="AU70" s="100" t="e">
        <f>Tab_Process_TCs2527[[#This Row],[Flow_ID]]</f>
        <v>#N/A</v>
      </c>
      <c r="AV70" s="100" t="e">
        <f t="shared" si="20"/>
        <v>#N/A</v>
      </c>
      <c r="AW70" s="228"/>
      <c r="AX70" s="57" t="e">
        <f>_xlfn.XLOOKUP($D70,Tab_Process_TCs[TC_ID],#REF!,,0,)</f>
        <v>#REF!</v>
      </c>
      <c r="AY70" s="48" t="e">
        <f>_xlfn.XLOOKUP($D70,Tab_Process_TCs[TC_ID],#REF!,,0,)</f>
        <v>#REF!</v>
      </c>
      <c r="AZ70" s="100" t="e">
        <f>Tab_Process_TCs2527[[#This Row],[Flow_ID]]</f>
        <v>#N/A</v>
      </c>
      <c r="BA70" s="100" t="e">
        <f t="shared" si="21"/>
        <v>#REF!</v>
      </c>
      <c r="BB70" s="228"/>
      <c r="BC70" s="48" t="e">
        <f>_xlfn.XLOOKUP($D70,Tab_Process_TCs[TC_ID],#REF!,,0,)</f>
        <v>#REF!</v>
      </c>
      <c r="BD70" s="48" t="e">
        <f>_xlfn.XLOOKUP($D70,Tab_Process_TCs[TC_ID],#REF!,,0,)</f>
        <v>#REF!</v>
      </c>
      <c r="BE70" s="100" t="e">
        <f>Tab_Process_TCs2527[[#This Row],[Flow_ID]]</f>
        <v>#N/A</v>
      </c>
      <c r="BF70" s="100" t="e">
        <f t="shared" si="22"/>
        <v>#REF!</v>
      </c>
      <c r="BG70" s="109"/>
      <c r="BH70" s="112">
        <f>Tab_Process_TCs2527[[#This Row],[TC O_6_'[%']]]+Tab_Process_TCs2527[[#This Row],[TC O_5_'[%']]]+Tab_Process_TCs2527[[#This Row],[TC_O_4_'[%']]]+Tab_Process_TCs2527[[#This Row],[TC_O_3_'[%']]]+Tab_Process_TCs2527[[#This Row],[TC_O_2_'[%']]]+Tab_Process_TCs2527[[#This Row],[TC_O_1_'[%']]]</f>
        <v>1</v>
      </c>
      <c r="BI70" s="50"/>
      <c r="BJ70" s="50"/>
      <c r="BK70" s="50"/>
      <c r="BL70" s="50"/>
      <c r="BM70" s="50"/>
    </row>
    <row r="71" spans="1:65" x14ac:dyDescent="0.25">
      <c r="A71" s="87" t="b">
        <v>0</v>
      </c>
      <c r="B71" s="48">
        <f t="shared" si="16"/>
        <v>70</v>
      </c>
      <c r="C71" s="107" t="e">
        <f>_xlfn.XLOOKUP($D71,Tab_Process_TCs[Name(EN)],Tab_Process_TCs[Process_ID],,0,)</f>
        <v>#N/A</v>
      </c>
      <c r="D71" s="50"/>
      <c r="E71" s="50" t="s">
        <v>55</v>
      </c>
      <c r="F71" s="48" t="e">
        <f>_xlfn.XLOOKUP($D71,Tab_Process_TCs[Name(EN)],Tab_Process_TCs[TC?],,0,)</f>
        <v>#N/A</v>
      </c>
      <c r="G71" s="48" t="e">
        <f>_xlfn.XLOOKUP($D71,Tab_Process_TCs[Name(EN)],Tab_Process_TCs[Dyn_TC?],,0,)</f>
        <v>#N/A</v>
      </c>
      <c r="H71" s="48" t="e">
        <f>_xlfn.XLOOKUP($E71,Tab_Def_Flows[Name(EN)],Tab_Def_Flows[Flow_ID],,0,1)</f>
        <v>#N/A</v>
      </c>
      <c r="I71" s="50" t="e">
        <f>IF(Tab_Process_TCs2527[[#This Row],[Name(EN)]]="N.A.","N.A.","TC"&amp;"_"&amp;RIGHT(H71,5))</f>
        <v>#N/A</v>
      </c>
      <c r="J71" s="50"/>
      <c r="K71" s="249"/>
      <c r="L71" s="50" t="e">
        <f>_xlfn.XLOOKUP($D71,Tab_Def_Processes[Name(EN)],Tab_Def_Processes[Stock?],,0,)</f>
        <v>#N/A</v>
      </c>
      <c r="M71" s="48"/>
      <c r="N71" s="57" t="e">
        <f>_xlfn.XLOOKUP($D71,Tab_Def_Processes[Name(EN)],Tab_Def_Processes[Input_Flow_I_1],,0,)</f>
        <v>#N/A</v>
      </c>
      <c r="O71" s="48" t="e">
        <f>_xlfn.XLOOKUP($D71,Tab_Def_Processes[Name(EN)],Tab_Def_Processes[Flow_ID_I_1],,0,)</f>
        <v>#N/A</v>
      </c>
      <c r="P71" s="75"/>
      <c r="Q71" s="71" t="e">
        <f>_xlfn.XLOOKUP($D71,Tab_Def_Processes[Name(EN)],Tab_Def_Processes[Input_Flow_I_2],,0,)</f>
        <v>#N/A</v>
      </c>
      <c r="R71" s="48" t="e">
        <f>_xlfn.XLOOKUP($D71,Tab_Def_Processes[Name(EN)],Tab_Def_Processes[Flow_ID_I_2],,0,)</f>
        <v>#N/A</v>
      </c>
      <c r="S71" s="75"/>
      <c r="T71" s="71" t="e">
        <f>_xlfn.XLOOKUP($D71,Tab_Def_Processes[Name(EN)],Tab_Def_Processes[Input_Flow_I_3],,0,)</f>
        <v>#N/A</v>
      </c>
      <c r="U71" s="48" t="e">
        <f>_xlfn.XLOOKUP($D71,Tab_Def_Processes[Name(EN)],Tab_Def_Processes[Flow_ID_I_3],,0,)</f>
        <v>#N/A</v>
      </c>
      <c r="V71" s="75"/>
      <c r="W71" s="71" t="e">
        <f>_xlfn.XLOOKUP($D71,Tab_Def_Processes[Name(EN)],Tab_Def_Processes[Input_Flow_I_4],,0,)</f>
        <v>#N/A</v>
      </c>
      <c r="X71" s="48" t="e">
        <f>_xlfn.XLOOKUP($D71,Tab_Def_Processes[Name(EN)],Tab_Def_Processes[Flow_ID_I_4],,0,)</f>
        <v>#N/A</v>
      </c>
      <c r="Y71" s="75"/>
      <c r="Z71" s="71" t="e">
        <f>_xlfn.XLOOKUP($D71,Tab_Def_Processes[Name(EN)],Tab_Def_Processes[Input_Flow_I_5],,0,)</f>
        <v>#N/A</v>
      </c>
      <c r="AA71" s="48" t="e">
        <f>_xlfn.XLOOKUP($D71,Tab_Def_Processes[Name(EN)],Tab_Def_Processes[Flow_ID_I_5],,0,)</f>
        <v>#N/A</v>
      </c>
      <c r="AB71" s="75"/>
      <c r="AC71" s="74">
        <f>Tab_Process_TCs2527[[#This Row],[Flow_TC_I_1_'[%']]]+Tab_Process_TCs2527[[#This Row],[Flow_TC_I_2_'[%']]]+Tab_Process_TCs2527[[#This Row],[Flow_TC_I_3_'[%']]]+Tab_Process_TCs2527[[#This Row],[Flow_TC_I_4_'[%']]]+Tab_Process_TCs2527[[#This Row],[Flow_TC_I_5_'[%']]]</f>
        <v>0</v>
      </c>
      <c r="AD71" s="57" t="e">
        <f>_xlfn.XLOOKUP($D71,Tab_Process_TCs[TC_ID],Tab_Process_TCs[Output_Flow_O_1],,0,)</f>
        <v>#N/A</v>
      </c>
      <c r="AE71" s="48" t="e">
        <f>_xlfn.XLOOKUP($D71,Tab_Process_TCs[TC_ID],Tab_Process_TCs[Flow_ID_O_1],,0,)</f>
        <v>#N/A</v>
      </c>
      <c r="AF71" s="100" t="e">
        <f>Tab_Process_TCs2527[[#This Row],[Flow_ID]]</f>
        <v>#N/A</v>
      </c>
      <c r="AG71" s="48" t="e">
        <f t="shared" si="17"/>
        <v>#N/A</v>
      </c>
      <c r="AH71" s="109">
        <f t="shared" si="14"/>
        <v>0.39000000000000007</v>
      </c>
      <c r="AI71" s="231" t="e">
        <f>_xlfn.XLOOKUP($D71,Tab_Process_TCs[TC_ID],Tab_Process_TCs[Output_Flow_O_2],,0,)</f>
        <v>#N/A</v>
      </c>
      <c r="AJ71" s="113" t="e">
        <f>_xlfn.XLOOKUP($D71,Tab_Process_TCs[TC_ID],Tab_Process_TCs[Flow_ID_O_2],,0,)</f>
        <v>#N/A</v>
      </c>
      <c r="AK71" s="100" t="e">
        <f>Tab_Process_TCs2527[[#This Row],[Flow_ID]]</f>
        <v>#N/A</v>
      </c>
      <c r="AL71" s="48" t="e">
        <f t="shared" si="18"/>
        <v>#N/A</v>
      </c>
      <c r="AM71" s="228">
        <f t="shared" si="15"/>
        <v>0.35999999999999993</v>
      </c>
      <c r="AN71" s="57" t="e">
        <f>_xlfn.XLOOKUP($D71,Tab_Process_TCs[TC_ID],Tab_Process_TCs[Output_Flow_O_3],,0,)</f>
        <v>#N/A</v>
      </c>
      <c r="AO71" s="48" t="e">
        <f>_xlfn.XLOOKUP($D71,Tab_Process_TCs[TC_ID],Tab_Process_TCs[Flow_ID_O_3],,0,)</f>
        <v>#N/A</v>
      </c>
      <c r="AP71" s="100" t="e">
        <f>Tab_Process_TCs2527[[#This Row],[Flow_ID]]</f>
        <v>#N/A</v>
      </c>
      <c r="AQ71" s="48" t="e">
        <f t="shared" si="19"/>
        <v>#N/A</v>
      </c>
      <c r="AR71" s="228">
        <v>0.25</v>
      </c>
      <c r="AS71" s="57" t="e">
        <f>_xlfn.XLOOKUP($D71,Tab_Process_TCs[TC_ID],#REF!,,0,)</f>
        <v>#REF!</v>
      </c>
      <c r="AT71" s="48" t="e">
        <f>_xlfn.XLOOKUP($D71,Tab_Process_TCs[TC_ID],#REF!,,0,)</f>
        <v>#REF!</v>
      </c>
      <c r="AU71" s="100" t="e">
        <f>Tab_Process_TCs2527[[#This Row],[Flow_ID]]</f>
        <v>#N/A</v>
      </c>
      <c r="AV71" s="100" t="e">
        <f t="shared" si="20"/>
        <v>#N/A</v>
      </c>
      <c r="AW71" s="228"/>
      <c r="AX71" s="57" t="e">
        <f>_xlfn.XLOOKUP($D71,Tab_Process_TCs[TC_ID],#REF!,,0,)</f>
        <v>#REF!</v>
      </c>
      <c r="AY71" s="48" t="e">
        <f>_xlfn.XLOOKUP($D71,Tab_Process_TCs[TC_ID],#REF!,,0,)</f>
        <v>#REF!</v>
      </c>
      <c r="AZ71" s="100" t="e">
        <f>Tab_Process_TCs2527[[#This Row],[Flow_ID]]</f>
        <v>#N/A</v>
      </c>
      <c r="BA71" s="100" t="e">
        <f t="shared" si="21"/>
        <v>#REF!</v>
      </c>
      <c r="BB71" s="228"/>
      <c r="BC71" s="48" t="e">
        <f>_xlfn.XLOOKUP($D71,Tab_Process_TCs[TC_ID],#REF!,,0,)</f>
        <v>#REF!</v>
      </c>
      <c r="BD71" s="48" t="e">
        <f>_xlfn.XLOOKUP($D71,Tab_Process_TCs[TC_ID],#REF!,,0,)</f>
        <v>#REF!</v>
      </c>
      <c r="BE71" s="100" t="e">
        <f>Tab_Process_TCs2527[[#This Row],[Flow_ID]]</f>
        <v>#N/A</v>
      </c>
      <c r="BF71" s="100" t="e">
        <f t="shared" si="22"/>
        <v>#REF!</v>
      </c>
      <c r="BG71" s="109"/>
      <c r="BH71" s="112">
        <f>Tab_Process_TCs2527[[#This Row],[TC O_6_'[%']]]+Tab_Process_TCs2527[[#This Row],[TC O_5_'[%']]]+Tab_Process_TCs2527[[#This Row],[TC_O_4_'[%']]]+Tab_Process_TCs2527[[#This Row],[TC_O_3_'[%']]]+Tab_Process_TCs2527[[#This Row],[TC_O_2_'[%']]]+Tab_Process_TCs2527[[#This Row],[TC_O_1_'[%']]]</f>
        <v>1</v>
      </c>
      <c r="BI71" s="50"/>
      <c r="BJ71" s="50"/>
      <c r="BK71" s="50"/>
      <c r="BL71" s="50"/>
      <c r="BM71" s="50"/>
    </row>
    <row r="72" spans="1:65" x14ac:dyDescent="0.25">
      <c r="A72" s="87" t="b">
        <v>0</v>
      </c>
      <c r="B72" s="48">
        <f t="shared" si="16"/>
        <v>71</v>
      </c>
      <c r="C72" s="107" t="e">
        <f>_xlfn.XLOOKUP($D72,Tab_Process_TCs[Name(EN)],Tab_Process_TCs[Process_ID],,0,)</f>
        <v>#N/A</v>
      </c>
      <c r="D72" s="50"/>
      <c r="E72" s="50" t="s">
        <v>55</v>
      </c>
      <c r="F72" s="48" t="e">
        <f>_xlfn.XLOOKUP($D72,Tab_Process_TCs[Name(EN)],Tab_Process_TCs[TC?],,0,)</f>
        <v>#N/A</v>
      </c>
      <c r="G72" s="48" t="e">
        <f>_xlfn.XLOOKUP($D72,Tab_Process_TCs[Name(EN)],Tab_Process_TCs[Dyn_TC?],,0,)</f>
        <v>#N/A</v>
      </c>
      <c r="H72" s="48" t="e">
        <f>_xlfn.XLOOKUP($E72,Tab_Def_Flows[Name(EN)],Tab_Def_Flows[Flow_ID],,0,1)</f>
        <v>#N/A</v>
      </c>
      <c r="I72" s="50" t="e">
        <f>IF(Tab_Process_TCs2527[[#This Row],[Name(EN)]]="N.A.","N.A.","TC"&amp;"_"&amp;RIGHT(H72,5))</f>
        <v>#N/A</v>
      </c>
      <c r="J72" s="50"/>
      <c r="K72" s="249"/>
      <c r="L72" s="50" t="e">
        <f>_xlfn.XLOOKUP($D72,Tab_Def_Processes[Name(EN)],Tab_Def_Processes[Stock?],,0,)</f>
        <v>#N/A</v>
      </c>
      <c r="M72" s="48"/>
      <c r="N72" s="57" t="e">
        <f>_xlfn.XLOOKUP($D72,Tab_Def_Processes[Name(EN)],Tab_Def_Processes[Input_Flow_I_1],,0,)</f>
        <v>#N/A</v>
      </c>
      <c r="O72" s="48" t="e">
        <f>_xlfn.XLOOKUP($D72,Tab_Def_Processes[Name(EN)],Tab_Def_Processes[Flow_ID_I_1],,0,)</f>
        <v>#N/A</v>
      </c>
      <c r="P72" s="75"/>
      <c r="Q72" s="71" t="e">
        <f>_xlfn.XLOOKUP($D72,Tab_Def_Processes[Name(EN)],Tab_Def_Processes[Input_Flow_I_2],,0,)</f>
        <v>#N/A</v>
      </c>
      <c r="R72" s="48" t="e">
        <f>_xlfn.XLOOKUP($D72,Tab_Def_Processes[Name(EN)],Tab_Def_Processes[Flow_ID_I_2],,0,)</f>
        <v>#N/A</v>
      </c>
      <c r="S72" s="75"/>
      <c r="T72" s="71" t="e">
        <f>_xlfn.XLOOKUP($D72,Tab_Def_Processes[Name(EN)],Tab_Def_Processes[Input_Flow_I_3],,0,)</f>
        <v>#N/A</v>
      </c>
      <c r="U72" s="48" t="e">
        <f>_xlfn.XLOOKUP($D72,Tab_Def_Processes[Name(EN)],Tab_Def_Processes[Flow_ID_I_3],,0,)</f>
        <v>#N/A</v>
      </c>
      <c r="V72" s="75"/>
      <c r="W72" s="71" t="e">
        <f>_xlfn.XLOOKUP($D72,Tab_Def_Processes[Name(EN)],Tab_Def_Processes[Input_Flow_I_4],,0,)</f>
        <v>#N/A</v>
      </c>
      <c r="X72" s="48" t="e">
        <f>_xlfn.XLOOKUP($D72,Tab_Def_Processes[Name(EN)],Tab_Def_Processes[Flow_ID_I_4],,0,)</f>
        <v>#N/A</v>
      </c>
      <c r="Y72" s="75"/>
      <c r="Z72" s="71" t="e">
        <f>_xlfn.XLOOKUP($D72,Tab_Def_Processes[Name(EN)],Tab_Def_Processes[Input_Flow_I_5],,0,)</f>
        <v>#N/A</v>
      </c>
      <c r="AA72" s="48" t="e">
        <f>_xlfn.XLOOKUP($D72,Tab_Def_Processes[Name(EN)],Tab_Def_Processes[Flow_ID_I_5],,0,)</f>
        <v>#N/A</v>
      </c>
      <c r="AB72" s="75"/>
      <c r="AC72" s="74">
        <f>Tab_Process_TCs2527[[#This Row],[Flow_TC_I_1_'[%']]]+Tab_Process_TCs2527[[#This Row],[Flow_TC_I_2_'[%']]]+Tab_Process_TCs2527[[#This Row],[Flow_TC_I_3_'[%']]]+Tab_Process_TCs2527[[#This Row],[Flow_TC_I_4_'[%']]]+Tab_Process_TCs2527[[#This Row],[Flow_TC_I_5_'[%']]]</f>
        <v>0</v>
      </c>
      <c r="AD72" s="57" t="e">
        <f>_xlfn.XLOOKUP($D72,Tab_Process_TCs[TC_ID],Tab_Process_TCs[Output_Flow_O_1],,0,)</f>
        <v>#N/A</v>
      </c>
      <c r="AE72" s="48" t="e">
        <f>_xlfn.XLOOKUP($D72,Tab_Process_TCs[TC_ID],Tab_Process_TCs[Flow_ID_O_1],,0,)</f>
        <v>#N/A</v>
      </c>
      <c r="AF72" s="100" t="e">
        <f>Tab_Process_TCs2527[[#This Row],[Flow_ID]]</f>
        <v>#N/A</v>
      </c>
      <c r="AG72" s="48" t="e">
        <f t="shared" si="17"/>
        <v>#N/A</v>
      </c>
      <c r="AH72" s="109">
        <f t="shared" si="14"/>
        <v>0.40000000000000008</v>
      </c>
      <c r="AI72" s="231" t="e">
        <f>_xlfn.XLOOKUP($D72,Tab_Process_TCs[TC_ID],Tab_Process_TCs[Output_Flow_O_2],,0,)</f>
        <v>#N/A</v>
      </c>
      <c r="AJ72" s="113" t="e">
        <f>_xlfn.XLOOKUP($D72,Tab_Process_TCs[TC_ID],Tab_Process_TCs[Flow_ID_O_2],,0,)</f>
        <v>#N/A</v>
      </c>
      <c r="AK72" s="100" t="e">
        <f>Tab_Process_TCs2527[[#This Row],[Flow_ID]]</f>
        <v>#N/A</v>
      </c>
      <c r="AL72" s="48" t="e">
        <f t="shared" si="18"/>
        <v>#N/A</v>
      </c>
      <c r="AM72" s="228">
        <f t="shared" si="15"/>
        <v>0.34999999999999992</v>
      </c>
      <c r="AN72" s="57" t="e">
        <f>_xlfn.XLOOKUP($D72,Tab_Process_TCs[TC_ID],Tab_Process_TCs[Output_Flow_O_3],,0,)</f>
        <v>#N/A</v>
      </c>
      <c r="AO72" s="48" t="e">
        <f>_xlfn.XLOOKUP($D72,Tab_Process_TCs[TC_ID],Tab_Process_TCs[Flow_ID_O_3],,0,)</f>
        <v>#N/A</v>
      </c>
      <c r="AP72" s="100" t="e">
        <f>Tab_Process_TCs2527[[#This Row],[Flow_ID]]</f>
        <v>#N/A</v>
      </c>
      <c r="AQ72" s="48" t="e">
        <f t="shared" si="19"/>
        <v>#N/A</v>
      </c>
      <c r="AR72" s="228">
        <v>0.25</v>
      </c>
      <c r="AS72" s="57" t="e">
        <f>_xlfn.XLOOKUP($D72,Tab_Process_TCs[TC_ID],#REF!,,0,)</f>
        <v>#REF!</v>
      </c>
      <c r="AT72" s="48" t="e">
        <f>_xlfn.XLOOKUP($D72,Tab_Process_TCs[TC_ID],#REF!,,0,)</f>
        <v>#REF!</v>
      </c>
      <c r="AU72" s="100" t="e">
        <f>Tab_Process_TCs2527[[#This Row],[Flow_ID]]</f>
        <v>#N/A</v>
      </c>
      <c r="AV72" s="100" t="e">
        <f t="shared" si="20"/>
        <v>#N/A</v>
      </c>
      <c r="AW72" s="228"/>
      <c r="AX72" s="57" t="e">
        <f>_xlfn.XLOOKUP($D72,Tab_Process_TCs[TC_ID],#REF!,,0,)</f>
        <v>#REF!</v>
      </c>
      <c r="AY72" s="48" t="e">
        <f>_xlfn.XLOOKUP($D72,Tab_Process_TCs[TC_ID],#REF!,,0,)</f>
        <v>#REF!</v>
      </c>
      <c r="AZ72" s="100" t="e">
        <f>Tab_Process_TCs2527[[#This Row],[Flow_ID]]</f>
        <v>#N/A</v>
      </c>
      <c r="BA72" s="100" t="e">
        <f t="shared" si="21"/>
        <v>#REF!</v>
      </c>
      <c r="BB72" s="228"/>
      <c r="BC72" s="48" t="e">
        <f>_xlfn.XLOOKUP($D72,Tab_Process_TCs[TC_ID],#REF!,,0,)</f>
        <v>#REF!</v>
      </c>
      <c r="BD72" s="48" t="e">
        <f>_xlfn.XLOOKUP($D72,Tab_Process_TCs[TC_ID],#REF!,,0,)</f>
        <v>#REF!</v>
      </c>
      <c r="BE72" s="100" t="e">
        <f>Tab_Process_TCs2527[[#This Row],[Flow_ID]]</f>
        <v>#N/A</v>
      </c>
      <c r="BF72" s="100" t="e">
        <f t="shared" si="22"/>
        <v>#REF!</v>
      </c>
      <c r="BG72" s="109"/>
      <c r="BH72" s="112">
        <f>Tab_Process_TCs2527[[#This Row],[TC O_6_'[%']]]+Tab_Process_TCs2527[[#This Row],[TC O_5_'[%']]]+Tab_Process_TCs2527[[#This Row],[TC_O_4_'[%']]]+Tab_Process_TCs2527[[#This Row],[TC_O_3_'[%']]]+Tab_Process_TCs2527[[#This Row],[TC_O_2_'[%']]]+Tab_Process_TCs2527[[#This Row],[TC_O_1_'[%']]]</f>
        <v>1</v>
      </c>
      <c r="BI72" s="50"/>
      <c r="BJ72" s="50"/>
      <c r="BK72" s="50"/>
      <c r="BL72" s="50"/>
      <c r="BM72" s="50"/>
    </row>
    <row r="73" spans="1:65" x14ac:dyDescent="0.25">
      <c r="A73" s="87" t="b">
        <v>0</v>
      </c>
      <c r="B73" s="48">
        <f t="shared" si="16"/>
        <v>72</v>
      </c>
      <c r="C73" s="107" t="e">
        <f>_xlfn.XLOOKUP($D73,Tab_Process_TCs[Name(EN)],Tab_Process_TCs[Process_ID],,0,)</f>
        <v>#N/A</v>
      </c>
      <c r="D73" s="50"/>
      <c r="E73" s="50" t="s">
        <v>55</v>
      </c>
      <c r="F73" s="48" t="e">
        <f>_xlfn.XLOOKUP($D73,Tab_Process_TCs[Name(EN)],Tab_Process_TCs[TC?],,0,)</f>
        <v>#N/A</v>
      </c>
      <c r="G73" s="48" t="e">
        <f>_xlfn.XLOOKUP($D73,Tab_Process_TCs[Name(EN)],Tab_Process_TCs[Dyn_TC?],,0,)</f>
        <v>#N/A</v>
      </c>
      <c r="H73" s="48" t="e">
        <f>_xlfn.XLOOKUP($E73,Tab_Def_Flows[Name(EN)],Tab_Def_Flows[Flow_ID],,0,1)</f>
        <v>#N/A</v>
      </c>
      <c r="I73" s="50" t="e">
        <f>IF(Tab_Process_TCs2527[[#This Row],[Name(EN)]]="N.A.","N.A.","TC"&amp;"_"&amp;RIGHT(H73,5))</f>
        <v>#N/A</v>
      </c>
      <c r="J73" s="50"/>
      <c r="K73" s="249"/>
      <c r="L73" s="50" t="e">
        <f>_xlfn.XLOOKUP($D73,Tab_Def_Processes[Name(EN)],Tab_Def_Processes[Stock?],,0,)</f>
        <v>#N/A</v>
      </c>
      <c r="M73" s="48"/>
      <c r="N73" s="57" t="e">
        <f>_xlfn.XLOOKUP($D73,Tab_Def_Processes[Name(EN)],Tab_Def_Processes[Input_Flow_I_1],,0,)</f>
        <v>#N/A</v>
      </c>
      <c r="O73" s="48" t="e">
        <f>_xlfn.XLOOKUP($D73,Tab_Def_Processes[Name(EN)],Tab_Def_Processes[Flow_ID_I_1],,0,)</f>
        <v>#N/A</v>
      </c>
      <c r="P73" s="75"/>
      <c r="Q73" s="71" t="e">
        <f>_xlfn.XLOOKUP($D73,Tab_Def_Processes[Name(EN)],Tab_Def_Processes[Input_Flow_I_2],,0,)</f>
        <v>#N/A</v>
      </c>
      <c r="R73" s="48" t="e">
        <f>_xlfn.XLOOKUP($D73,Tab_Def_Processes[Name(EN)],Tab_Def_Processes[Flow_ID_I_2],,0,)</f>
        <v>#N/A</v>
      </c>
      <c r="S73" s="75"/>
      <c r="T73" s="71" t="e">
        <f>_xlfn.XLOOKUP($D73,Tab_Def_Processes[Name(EN)],Tab_Def_Processes[Input_Flow_I_3],,0,)</f>
        <v>#N/A</v>
      </c>
      <c r="U73" s="48" t="e">
        <f>_xlfn.XLOOKUP($D73,Tab_Def_Processes[Name(EN)],Tab_Def_Processes[Flow_ID_I_3],,0,)</f>
        <v>#N/A</v>
      </c>
      <c r="V73" s="75"/>
      <c r="W73" s="71" t="e">
        <f>_xlfn.XLOOKUP($D73,Tab_Def_Processes[Name(EN)],Tab_Def_Processes[Input_Flow_I_4],,0,)</f>
        <v>#N/A</v>
      </c>
      <c r="X73" s="48" t="e">
        <f>_xlfn.XLOOKUP($D73,Tab_Def_Processes[Name(EN)],Tab_Def_Processes[Flow_ID_I_4],,0,)</f>
        <v>#N/A</v>
      </c>
      <c r="Y73" s="75"/>
      <c r="Z73" s="71" t="e">
        <f>_xlfn.XLOOKUP($D73,Tab_Def_Processes[Name(EN)],Tab_Def_Processes[Input_Flow_I_5],,0,)</f>
        <v>#N/A</v>
      </c>
      <c r="AA73" s="48" t="e">
        <f>_xlfn.XLOOKUP($D73,Tab_Def_Processes[Name(EN)],Tab_Def_Processes[Flow_ID_I_5],,0,)</f>
        <v>#N/A</v>
      </c>
      <c r="AB73" s="75"/>
      <c r="AC73" s="74">
        <f>Tab_Process_TCs2527[[#This Row],[Flow_TC_I_1_'[%']]]+Tab_Process_TCs2527[[#This Row],[Flow_TC_I_2_'[%']]]+Tab_Process_TCs2527[[#This Row],[Flow_TC_I_3_'[%']]]+Tab_Process_TCs2527[[#This Row],[Flow_TC_I_4_'[%']]]+Tab_Process_TCs2527[[#This Row],[Flow_TC_I_5_'[%']]]</f>
        <v>0</v>
      </c>
      <c r="AD73" s="57" t="e">
        <f>_xlfn.XLOOKUP($D73,Tab_Process_TCs[TC_ID],Tab_Process_TCs[Output_Flow_O_1],,0,)</f>
        <v>#N/A</v>
      </c>
      <c r="AE73" s="48" t="e">
        <f>_xlfn.XLOOKUP($D73,Tab_Process_TCs[TC_ID],Tab_Process_TCs[Flow_ID_O_1],,0,)</f>
        <v>#N/A</v>
      </c>
      <c r="AF73" s="100" t="e">
        <f>Tab_Process_TCs2527[[#This Row],[Flow_ID]]</f>
        <v>#N/A</v>
      </c>
      <c r="AG73" s="48" t="e">
        <f t="shared" si="17"/>
        <v>#N/A</v>
      </c>
      <c r="AH73" s="109">
        <f t="shared" si="14"/>
        <v>0.41000000000000009</v>
      </c>
      <c r="AI73" s="231" t="e">
        <f>_xlfn.XLOOKUP($D73,Tab_Process_TCs[TC_ID],Tab_Process_TCs[Output_Flow_O_2],,0,)</f>
        <v>#N/A</v>
      </c>
      <c r="AJ73" s="113" t="e">
        <f>_xlfn.XLOOKUP($D73,Tab_Process_TCs[TC_ID],Tab_Process_TCs[Flow_ID_O_2],,0,)</f>
        <v>#N/A</v>
      </c>
      <c r="AK73" s="100" t="e">
        <f>Tab_Process_TCs2527[[#This Row],[Flow_ID]]</f>
        <v>#N/A</v>
      </c>
      <c r="AL73" s="48" t="e">
        <f t="shared" si="18"/>
        <v>#N/A</v>
      </c>
      <c r="AM73" s="228">
        <f t="shared" si="15"/>
        <v>0.33999999999999991</v>
      </c>
      <c r="AN73" s="57" t="e">
        <f>_xlfn.XLOOKUP($D73,Tab_Process_TCs[TC_ID],Tab_Process_TCs[Output_Flow_O_3],,0,)</f>
        <v>#N/A</v>
      </c>
      <c r="AO73" s="48" t="e">
        <f>_xlfn.XLOOKUP($D73,Tab_Process_TCs[TC_ID],Tab_Process_TCs[Flow_ID_O_3],,0,)</f>
        <v>#N/A</v>
      </c>
      <c r="AP73" s="100" t="e">
        <f>Tab_Process_TCs2527[[#This Row],[Flow_ID]]</f>
        <v>#N/A</v>
      </c>
      <c r="AQ73" s="48" t="e">
        <f t="shared" si="19"/>
        <v>#N/A</v>
      </c>
      <c r="AR73" s="228">
        <v>0.25</v>
      </c>
      <c r="AS73" s="57" t="e">
        <f>_xlfn.XLOOKUP($D73,Tab_Process_TCs[TC_ID],#REF!,,0,)</f>
        <v>#REF!</v>
      </c>
      <c r="AT73" s="48" t="e">
        <f>_xlfn.XLOOKUP($D73,Tab_Process_TCs[TC_ID],#REF!,,0,)</f>
        <v>#REF!</v>
      </c>
      <c r="AU73" s="100" t="e">
        <f>Tab_Process_TCs2527[[#This Row],[Flow_ID]]</f>
        <v>#N/A</v>
      </c>
      <c r="AV73" s="100" t="e">
        <f t="shared" si="20"/>
        <v>#N/A</v>
      </c>
      <c r="AW73" s="228"/>
      <c r="AX73" s="57" t="e">
        <f>_xlfn.XLOOKUP($D73,Tab_Process_TCs[TC_ID],#REF!,,0,)</f>
        <v>#REF!</v>
      </c>
      <c r="AY73" s="48" t="e">
        <f>_xlfn.XLOOKUP($D73,Tab_Process_TCs[TC_ID],#REF!,,0,)</f>
        <v>#REF!</v>
      </c>
      <c r="AZ73" s="100" t="e">
        <f>Tab_Process_TCs2527[[#This Row],[Flow_ID]]</f>
        <v>#N/A</v>
      </c>
      <c r="BA73" s="100" t="e">
        <f t="shared" si="21"/>
        <v>#REF!</v>
      </c>
      <c r="BB73" s="228"/>
      <c r="BC73" s="48" t="e">
        <f>_xlfn.XLOOKUP($D73,Tab_Process_TCs[TC_ID],#REF!,,0,)</f>
        <v>#REF!</v>
      </c>
      <c r="BD73" s="48" t="e">
        <f>_xlfn.XLOOKUP($D73,Tab_Process_TCs[TC_ID],#REF!,,0,)</f>
        <v>#REF!</v>
      </c>
      <c r="BE73" s="100" t="e">
        <f>Tab_Process_TCs2527[[#This Row],[Flow_ID]]</f>
        <v>#N/A</v>
      </c>
      <c r="BF73" s="100" t="e">
        <f t="shared" si="22"/>
        <v>#REF!</v>
      </c>
      <c r="BG73" s="109"/>
      <c r="BH73" s="112">
        <f>Tab_Process_TCs2527[[#This Row],[TC O_6_'[%']]]+Tab_Process_TCs2527[[#This Row],[TC O_5_'[%']]]+Tab_Process_TCs2527[[#This Row],[TC_O_4_'[%']]]+Tab_Process_TCs2527[[#This Row],[TC_O_3_'[%']]]+Tab_Process_TCs2527[[#This Row],[TC_O_2_'[%']]]+Tab_Process_TCs2527[[#This Row],[TC_O_1_'[%']]]</f>
        <v>1</v>
      </c>
      <c r="BI73" s="50"/>
      <c r="BJ73" s="50"/>
      <c r="BK73" s="50"/>
      <c r="BL73" s="50"/>
      <c r="BM73" s="50"/>
    </row>
    <row r="74" spans="1:65" x14ac:dyDescent="0.25">
      <c r="A74" s="87" t="b">
        <v>0</v>
      </c>
      <c r="B74" s="48">
        <f t="shared" si="16"/>
        <v>73</v>
      </c>
      <c r="C74" s="107" t="e">
        <f>_xlfn.XLOOKUP($D74,Tab_Process_TCs[Name(EN)],Tab_Process_TCs[Process_ID],,0,)</f>
        <v>#N/A</v>
      </c>
      <c r="D74" s="50"/>
      <c r="E74" s="50" t="s">
        <v>55</v>
      </c>
      <c r="F74" s="48" t="e">
        <f>_xlfn.XLOOKUP($D74,Tab_Process_TCs[Name(EN)],Tab_Process_TCs[TC?],,0,)</f>
        <v>#N/A</v>
      </c>
      <c r="G74" s="48" t="e">
        <f>_xlfn.XLOOKUP($D74,Tab_Process_TCs[Name(EN)],Tab_Process_TCs[Dyn_TC?],,0,)</f>
        <v>#N/A</v>
      </c>
      <c r="H74" s="48" t="e">
        <f>_xlfn.XLOOKUP($E74,Tab_Def_Flows[Name(EN)],Tab_Def_Flows[Flow_ID],,0,1)</f>
        <v>#N/A</v>
      </c>
      <c r="I74" s="50" t="e">
        <f>IF(Tab_Process_TCs2527[[#This Row],[Name(EN)]]="N.A.","N.A.","TC"&amp;"_"&amp;RIGHT(H74,5))</f>
        <v>#N/A</v>
      </c>
      <c r="J74" s="50"/>
      <c r="K74" s="249"/>
      <c r="L74" s="50" t="e">
        <f>_xlfn.XLOOKUP($D74,Tab_Def_Processes[Name(EN)],Tab_Def_Processes[Stock?],,0,)</f>
        <v>#N/A</v>
      </c>
      <c r="M74" s="48"/>
      <c r="N74" s="57" t="e">
        <f>_xlfn.XLOOKUP($D74,Tab_Def_Processes[Name(EN)],Tab_Def_Processes[Input_Flow_I_1],,0,)</f>
        <v>#N/A</v>
      </c>
      <c r="O74" s="48" t="e">
        <f>_xlfn.XLOOKUP($D74,Tab_Def_Processes[Name(EN)],Tab_Def_Processes[Flow_ID_I_1],,0,)</f>
        <v>#N/A</v>
      </c>
      <c r="P74" s="75"/>
      <c r="Q74" s="71" t="e">
        <f>_xlfn.XLOOKUP($D74,Tab_Def_Processes[Name(EN)],Tab_Def_Processes[Input_Flow_I_2],,0,)</f>
        <v>#N/A</v>
      </c>
      <c r="R74" s="48" t="e">
        <f>_xlfn.XLOOKUP($D74,Tab_Def_Processes[Name(EN)],Tab_Def_Processes[Flow_ID_I_2],,0,)</f>
        <v>#N/A</v>
      </c>
      <c r="S74" s="75"/>
      <c r="T74" s="71" t="e">
        <f>_xlfn.XLOOKUP($D74,Tab_Def_Processes[Name(EN)],Tab_Def_Processes[Input_Flow_I_3],,0,)</f>
        <v>#N/A</v>
      </c>
      <c r="U74" s="48" t="e">
        <f>_xlfn.XLOOKUP($D74,Tab_Def_Processes[Name(EN)],Tab_Def_Processes[Flow_ID_I_3],,0,)</f>
        <v>#N/A</v>
      </c>
      <c r="V74" s="75"/>
      <c r="W74" s="71" t="e">
        <f>_xlfn.XLOOKUP($D74,Tab_Def_Processes[Name(EN)],Tab_Def_Processes[Input_Flow_I_4],,0,)</f>
        <v>#N/A</v>
      </c>
      <c r="X74" s="48" t="e">
        <f>_xlfn.XLOOKUP($D74,Tab_Def_Processes[Name(EN)],Tab_Def_Processes[Flow_ID_I_4],,0,)</f>
        <v>#N/A</v>
      </c>
      <c r="Y74" s="75"/>
      <c r="Z74" s="71" t="e">
        <f>_xlfn.XLOOKUP($D74,Tab_Def_Processes[Name(EN)],Tab_Def_Processes[Input_Flow_I_5],,0,)</f>
        <v>#N/A</v>
      </c>
      <c r="AA74" s="48" t="e">
        <f>_xlfn.XLOOKUP($D74,Tab_Def_Processes[Name(EN)],Tab_Def_Processes[Flow_ID_I_5],,0,)</f>
        <v>#N/A</v>
      </c>
      <c r="AB74" s="75"/>
      <c r="AC74" s="74">
        <f>Tab_Process_TCs2527[[#This Row],[Flow_TC_I_1_'[%']]]+Tab_Process_TCs2527[[#This Row],[Flow_TC_I_2_'[%']]]+Tab_Process_TCs2527[[#This Row],[Flow_TC_I_3_'[%']]]+Tab_Process_TCs2527[[#This Row],[Flow_TC_I_4_'[%']]]+Tab_Process_TCs2527[[#This Row],[Flow_TC_I_5_'[%']]]</f>
        <v>0</v>
      </c>
      <c r="AD74" s="57" t="e">
        <f>_xlfn.XLOOKUP($D74,Tab_Process_TCs[TC_ID],Tab_Process_TCs[Output_Flow_O_1],,0,)</f>
        <v>#N/A</v>
      </c>
      <c r="AE74" s="48" t="e">
        <f>_xlfn.XLOOKUP($D74,Tab_Process_TCs[TC_ID],Tab_Process_TCs[Flow_ID_O_1],,0,)</f>
        <v>#N/A</v>
      </c>
      <c r="AF74" s="100" t="e">
        <f>Tab_Process_TCs2527[[#This Row],[Flow_ID]]</f>
        <v>#N/A</v>
      </c>
      <c r="AG74" s="48" t="e">
        <f t="shared" si="17"/>
        <v>#N/A</v>
      </c>
      <c r="AH74" s="109">
        <f t="shared" si="14"/>
        <v>0.4200000000000001</v>
      </c>
      <c r="AI74" s="231" t="e">
        <f>_xlfn.XLOOKUP($D74,Tab_Process_TCs[TC_ID],Tab_Process_TCs[Output_Flow_O_2],,0,)</f>
        <v>#N/A</v>
      </c>
      <c r="AJ74" s="113" t="e">
        <f>_xlfn.XLOOKUP($D74,Tab_Process_TCs[TC_ID],Tab_Process_TCs[Flow_ID_O_2],,0,)</f>
        <v>#N/A</v>
      </c>
      <c r="AK74" s="100" t="e">
        <f>Tab_Process_TCs2527[[#This Row],[Flow_ID]]</f>
        <v>#N/A</v>
      </c>
      <c r="AL74" s="48" t="e">
        <f t="shared" si="18"/>
        <v>#N/A</v>
      </c>
      <c r="AM74" s="228">
        <f t="shared" si="15"/>
        <v>0.3299999999999999</v>
      </c>
      <c r="AN74" s="57" t="e">
        <f>_xlfn.XLOOKUP($D74,Tab_Process_TCs[TC_ID],Tab_Process_TCs[Output_Flow_O_3],,0,)</f>
        <v>#N/A</v>
      </c>
      <c r="AO74" s="48" t="e">
        <f>_xlfn.XLOOKUP($D74,Tab_Process_TCs[TC_ID],Tab_Process_TCs[Flow_ID_O_3],,0,)</f>
        <v>#N/A</v>
      </c>
      <c r="AP74" s="100" t="e">
        <f>Tab_Process_TCs2527[[#This Row],[Flow_ID]]</f>
        <v>#N/A</v>
      </c>
      <c r="AQ74" s="48" t="e">
        <f t="shared" si="19"/>
        <v>#N/A</v>
      </c>
      <c r="AR74" s="228">
        <v>0.25</v>
      </c>
      <c r="AS74" s="57" t="e">
        <f>_xlfn.XLOOKUP($D74,Tab_Process_TCs[TC_ID],#REF!,,0,)</f>
        <v>#REF!</v>
      </c>
      <c r="AT74" s="48" t="e">
        <f>_xlfn.XLOOKUP($D74,Tab_Process_TCs[TC_ID],#REF!,,0,)</f>
        <v>#REF!</v>
      </c>
      <c r="AU74" s="100" t="e">
        <f>Tab_Process_TCs2527[[#This Row],[Flow_ID]]</f>
        <v>#N/A</v>
      </c>
      <c r="AV74" s="100" t="e">
        <f t="shared" si="20"/>
        <v>#N/A</v>
      </c>
      <c r="AW74" s="228"/>
      <c r="AX74" s="57" t="e">
        <f>_xlfn.XLOOKUP($D74,Tab_Process_TCs[TC_ID],#REF!,,0,)</f>
        <v>#REF!</v>
      </c>
      <c r="AY74" s="48" t="e">
        <f>_xlfn.XLOOKUP($D74,Tab_Process_TCs[TC_ID],#REF!,,0,)</f>
        <v>#REF!</v>
      </c>
      <c r="AZ74" s="100" t="e">
        <f>Tab_Process_TCs2527[[#This Row],[Flow_ID]]</f>
        <v>#N/A</v>
      </c>
      <c r="BA74" s="100" t="e">
        <f t="shared" si="21"/>
        <v>#REF!</v>
      </c>
      <c r="BB74" s="228"/>
      <c r="BC74" s="48" t="e">
        <f>_xlfn.XLOOKUP($D74,Tab_Process_TCs[TC_ID],#REF!,,0,)</f>
        <v>#REF!</v>
      </c>
      <c r="BD74" s="48" t="e">
        <f>_xlfn.XLOOKUP($D74,Tab_Process_TCs[TC_ID],#REF!,,0,)</f>
        <v>#REF!</v>
      </c>
      <c r="BE74" s="100" t="e">
        <f>Tab_Process_TCs2527[[#This Row],[Flow_ID]]</f>
        <v>#N/A</v>
      </c>
      <c r="BF74" s="100" t="e">
        <f t="shared" si="22"/>
        <v>#REF!</v>
      </c>
      <c r="BG74" s="109"/>
      <c r="BH74" s="112">
        <f>Tab_Process_TCs2527[[#This Row],[TC O_6_'[%']]]+Tab_Process_TCs2527[[#This Row],[TC O_5_'[%']]]+Tab_Process_TCs2527[[#This Row],[TC_O_4_'[%']]]+Tab_Process_TCs2527[[#This Row],[TC_O_3_'[%']]]+Tab_Process_TCs2527[[#This Row],[TC_O_2_'[%']]]+Tab_Process_TCs2527[[#This Row],[TC_O_1_'[%']]]</f>
        <v>1</v>
      </c>
      <c r="BI74" s="50"/>
      <c r="BJ74" s="50"/>
      <c r="BK74" s="50"/>
      <c r="BL74" s="50"/>
      <c r="BM74" s="50"/>
    </row>
    <row r="75" spans="1:65" x14ac:dyDescent="0.25">
      <c r="A75" s="87" t="b">
        <v>0</v>
      </c>
      <c r="B75" s="48">
        <f t="shared" si="16"/>
        <v>74</v>
      </c>
      <c r="C75" s="107" t="e">
        <f>_xlfn.XLOOKUP($D75,Tab_Process_TCs[Name(EN)],Tab_Process_TCs[Process_ID],,0,)</f>
        <v>#N/A</v>
      </c>
      <c r="D75" s="50"/>
      <c r="E75" s="50" t="s">
        <v>55</v>
      </c>
      <c r="F75" s="48" t="e">
        <f>_xlfn.XLOOKUP($D75,Tab_Process_TCs[Name(EN)],Tab_Process_TCs[TC?],,0,)</f>
        <v>#N/A</v>
      </c>
      <c r="G75" s="48" t="e">
        <f>_xlfn.XLOOKUP($D75,Tab_Process_TCs[Name(EN)],Tab_Process_TCs[Dyn_TC?],,0,)</f>
        <v>#N/A</v>
      </c>
      <c r="H75" s="48" t="e">
        <f>_xlfn.XLOOKUP($E75,Tab_Def_Flows[Name(EN)],Tab_Def_Flows[Flow_ID],,0,1)</f>
        <v>#N/A</v>
      </c>
      <c r="I75" s="50" t="e">
        <f>IF(Tab_Process_TCs2527[[#This Row],[Name(EN)]]="N.A.","N.A.","TC"&amp;"_"&amp;RIGHT(H75,5))</f>
        <v>#N/A</v>
      </c>
      <c r="J75" s="50"/>
      <c r="K75" s="249"/>
      <c r="L75" s="50" t="e">
        <f>_xlfn.XLOOKUP($D75,Tab_Def_Processes[Name(EN)],Tab_Def_Processes[Stock?],,0,)</f>
        <v>#N/A</v>
      </c>
      <c r="M75" s="48"/>
      <c r="N75" s="57" t="e">
        <f>_xlfn.XLOOKUP($D75,Tab_Def_Processes[Name(EN)],Tab_Def_Processes[Input_Flow_I_1],,0,)</f>
        <v>#N/A</v>
      </c>
      <c r="O75" s="48" t="e">
        <f>_xlfn.XLOOKUP($D75,Tab_Def_Processes[Name(EN)],Tab_Def_Processes[Flow_ID_I_1],,0,)</f>
        <v>#N/A</v>
      </c>
      <c r="P75" s="75"/>
      <c r="Q75" s="71" t="e">
        <f>_xlfn.XLOOKUP($D75,Tab_Def_Processes[Name(EN)],Tab_Def_Processes[Input_Flow_I_2],,0,)</f>
        <v>#N/A</v>
      </c>
      <c r="R75" s="48" t="e">
        <f>_xlfn.XLOOKUP($D75,Tab_Def_Processes[Name(EN)],Tab_Def_Processes[Flow_ID_I_2],,0,)</f>
        <v>#N/A</v>
      </c>
      <c r="S75" s="75"/>
      <c r="T75" s="71" t="e">
        <f>_xlfn.XLOOKUP($D75,Tab_Def_Processes[Name(EN)],Tab_Def_Processes[Input_Flow_I_3],,0,)</f>
        <v>#N/A</v>
      </c>
      <c r="U75" s="48" t="e">
        <f>_xlfn.XLOOKUP($D75,Tab_Def_Processes[Name(EN)],Tab_Def_Processes[Flow_ID_I_3],,0,)</f>
        <v>#N/A</v>
      </c>
      <c r="V75" s="75"/>
      <c r="W75" s="71" t="e">
        <f>_xlfn.XLOOKUP($D75,Tab_Def_Processes[Name(EN)],Tab_Def_Processes[Input_Flow_I_4],,0,)</f>
        <v>#N/A</v>
      </c>
      <c r="X75" s="48" t="e">
        <f>_xlfn.XLOOKUP($D75,Tab_Def_Processes[Name(EN)],Tab_Def_Processes[Flow_ID_I_4],,0,)</f>
        <v>#N/A</v>
      </c>
      <c r="Y75" s="75"/>
      <c r="Z75" s="71" t="e">
        <f>_xlfn.XLOOKUP($D75,Tab_Def_Processes[Name(EN)],Tab_Def_Processes[Input_Flow_I_5],,0,)</f>
        <v>#N/A</v>
      </c>
      <c r="AA75" s="48" t="e">
        <f>_xlfn.XLOOKUP($D75,Tab_Def_Processes[Name(EN)],Tab_Def_Processes[Flow_ID_I_5],,0,)</f>
        <v>#N/A</v>
      </c>
      <c r="AB75" s="75"/>
      <c r="AC75" s="74">
        <f>Tab_Process_TCs2527[[#This Row],[Flow_TC_I_1_'[%']]]+Tab_Process_TCs2527[[#This Row],[Flow_TC_I_2_'[%']]]+Tab_Process_TCs2527[[#This Row],[Flow_TC_I_3_'[%']]]+Tab_Process_TCs2527[[#This Row],[Flow_TC_I_4_'[%']]]+Tab_Process_TCs2527[[#This Row],[Flow_TC_I_5_'[%']]]</f>
        <v>0</v>
      </c>
      <c r="AD75" s="57" t="e">
        <f>_xlfn.XLOOKUP($D75,Tab_Process_TCs[TC_ID],Tab_Process_TCs[Output_Flow_O_1],,0,)</f>
        <v>#N/A</v>
      </c>
      <c r="AE75" s="48" t="e">
        <f>_xlfn.XLOOKUP($D75,Tab_Process_TCs[TC_ID],Tab_Process_TCs[Flow_ID_O_1],,0,)</f>
        <v>#N/A</v>
      </c>
      <c r="AF75" s="100" t="e">
        <f>Tab_Process_TCs2527[[#This Row],[Flow_ID]]</f>
        <v>#N/A</v>
      </c>
      <c r="AG75" s="48" t="e">
        <f t="shared" si="17"/>
        <v>#N/A</v>
      </c>
      <c r="AH75" s="109">
        <f t="shared" si="14"/>
        <v>0.4300000000000001</v>
      </c>
      <c r="AI75" s="231" t="e">
        <f>_xlfn.XLOOKUP($D75,Tab_Process_TCs[TC_ID],Tab_Process_TCs[Output_Flow_O_2],,0,)</f>
        <v>#N/A</v>
      </c>
      <c r="AJ75" s="113" t="e">
        <f>_xlfn.XLOOKUP($D75,Tab_Process_TCs[TC_ID],Tab_Process_TCs[Flow_ID_O_2],,0,)</f>
        <v>#N/A</v>
      </c>
      <c r="AK75" s="100" t="e">
        <f>Tab_Process_TCs2527[[#This Row],[Flow_ID]]</f>
        <v>#N/A</v>
      </c>
      <c r="AL75" s="48" t="e">
        <f t="shared" si="18"/>
        <v>#N/A</v>
      </c>
      <c r="AM75" s="228">
        <f t="shared" si="15"/>
        <v>0.3199999999999999</v>
      </c>
      <c r="AN75" s="57" t="e">
        <f>_xlfn.XLOOKUP($D75,Tab_Process_TCs[TC_ID],Tab_Process_TCs[Output_Flow_O_3],,0,)</f>
        <v>#N/A</v>
      </c>
      <c r="AO75" s="48" t="e">
        <f>_xlfn.XLOOKUP($D75,Tab_Process_TCs[TC_ID],Tab_Process_TCs[Flow_ID_O_3],,0,)</f>
        <v>#N/A</v>
      </c>
      <c r="AP75" s="100" t="e">
        <f>Tab_Process_TCs2527[[#This Row],[Flow_ID]]</f>
        <v>#N/A</v>
      </c>
      <c r="AQ75" s="48" t="e">
        <f t="shared" si="19"/>
        <v>#N/A</v>
      </c>
      <c r="AR75" s="228">
        <v>0.25</v>
      </c>
      <c r="AS75" s="57" t="e">
        <f>_xlfn.XLOOKUP($D75,Tab_Process_TCs[TC_ID],#REF!,,0,)</f>
        <v>#REF!</v>
      </c>
      <c r="AT75" s="48" t="e">
        <f>_xlfn.XLOOKUP($D75,Tab_Process_TCs[TC_ID],#REF!,,0,)</f>
        <v>#REF!</v>
      </c>
      <c r="AU75" s="100" t="e">
        <f>Tab_Process_TCs2527[[#This Row],[Flow_ID]]</f>
        <v>#N/A</v>
      </c>
      <c r="AV75" s="100" t="e">
        <f t="shared" si="20"/>
        <v>#N/A</v>
      </c>
      <c r="AW75" s="228"/>
      <c r="AX75" s="57" t="e">
        <f>_xlfn.XLOOKUP($D75,Tab_Process_TCs[TC_ID],#REF!,,0,)</f>
        <v>#REF!</v>
      </c>
      <c r="AY75" s="48" t="e">
        <f>_xlfn.XLOOKUP($D75,Tab_Process_TCs[TC_ID],#REF!,,0,)</f>
        <v>#REF!</v>
      </c>
      <c r="AZ75" s="100" t="e">
        <f>Tab_Process_TCs2527[[#This Row],[Flow_ID]]</f>
        <v>#N/A</v>
      </c>
      <c r="BA75" s="100" t="e">
        <f t="shared" si="21"/>
        <v>#REF!</v>
      </c>
      <c r="BB75" s="228"/>
      <c r="BC75" s="48" t="e">
        <f>_xlfn.XLOOKUP($D75,Tab_Process_TCs[TC_ID],#REF!,,0,)</f>
        <v>#REF!</v>
      </c>
      <c r="BD75" s="48" t="e">
        <f>_xlfn.XLOOKUP($D75,Tab_Process_TCs[TC_ID],#REF!,,0,)</f>
        <v>#REF!</v>
      </c>
      <c r="BE75" s="100" t="e">
        <f>Tab_Process_TCs2527[[#This Row],[Flow_ID]]</f>
        <v>#N/A</v>
      </c>
      <c r="BF75" s="100" t="e">
        <f t="shared" si="22"/>
        <v>#REF!</v>
      </c>
      <c r="BG75" s="109"/>
      <c r="BH75" s="112">
        <f>Tab_Process_TCs2527[[#This Row],[TC O_6_'[%']]]+Tab_Process_TCs2527[[#This Row],[TC O_5_'[%']]]+Tab_Process_TCs2527[[#This Row],[TC_O_4_'[%']]]+Tab_Process_TCs2527[[#This Row],[TC_O_3_'[%']]]+Tab_Process_TCs2527[[#This Row],[TC_O_2_'[%']]]+Tab_Process_TCs2527[[#This Row],[TC_O_1_'[%']]]</f>
        <v>1</v>
      </c>
      <c r="BI75" s="50"/>
      <c r="BJ75" s="50"/>
      <c r="BK75" s="50"/>
      <c r="BL75" s="50"/>
      <c r="BM75" s="50"/>
    </row>
    <row r="76" spans="1:65" x14ac:dyDescent="0.25">
      <c r="A76" s="87" t="b">
        <v>0</v>
      </c>
      <c r="B76" s="48">
        <f t="shared" si="16"/>
        <v>75</v>
      </c>
      <c r="C76" s="107" t="e">
        <f>_xlfn.XLOOKUP($D76,Tab_Process_TCs[Name(EN)],Tab_Process_TCs[Process_ID],,0,)</f>
        <v>#N/A</v>
      </c>
      <c r="D76" s="50"/>
      <c r="E76" s="50" t="s">
        <v>55</v>
      </c>
      <c r="F76" s="48" t="e">
        <f>_xlfn.XLOOKUP($D76,Tab_Process_TCs[Name(EN)],Tab_Process_TCs[TC?],,0,)</f>
        <v>#N/A</v>
      </c>
      <c r="G76" s="48" t="e">
        <f>_xlfn.XLOOKUP($D76,Tab_Process_TCs[Name(EN)],Tab_Process_TCs[Dyn_TC?],,0,)</f>
        <v>#N/A</v>
      </c>
      <c r="H76" s="48" t="e">
        <f>_xlfn.XLOOKUP($E76,Tab_Def_Flows[Name(EN)],Tab_Def_Flows[Flow_ID],,0,1)</f>
        <v>#N/A</v>
      </c>
      <c r="I76" s="50" t="e">
        <f>IF(Tab_Process_TCs2527[[#This Row],[Name(EN)]]="N.A.","N.A.","TC"&amp;"_"&amp;RIGHT(H76,5))</f>
        <v>#N/A</v>
      </c>
      <c r="J76" s="50"/>
      <c r="K76" s="249"/>
      <c r="L76" s="50" t="e">
        <f>_xlfn.XLOOKUP($D76,Tab_Def_Processes[Name(EN)],Tab_Def_Processes[Stock?],,0,)</f>
        <v>#N/A</v>
      </c>
      <c r="M76" s="48"/>
      <c r="N76" s="57" t="e">
        <f>_xlfn.XLOOKUP($D76,Tab_Def_Processes[Name(EN)],Tab_Def_Processes[Input_Flow_I_1],,0,)</f>
        <v>#N/A</v>
      </c>
      <c r="O76" s="48" t="e">
        <f>_xlfn.XLOOKUP($D76,Tab_Def_Processes[Name(EN)],Tab_Def_Processes[Flow_ID_I_1],,0,)</f>
        <v>#N/A</v>
      </c>
      <c r="P76" s="75"/>
      <c r="Q76" s="71" t="e">
        <f>_xlfn.XLOOKUP($D76,Tab_Def_Processes[Name(EN)],Tab_Def_Processes[Input_Flow_I_2],,0,)</f>
        <v>#N/A</v>
      </c>
      <c r="R76" s="48" t="e">
        <f>_xlfn.XLOOKUP($D76,Tab_Def_Processes[Name(EN)],Tab_Def_Processes[Flow_ID_I_2],,0,)</f>
        <v>#N/A</v>
      </c>
      <c r="S76" s="75"/>
      <c r="T76" s="71" t="e">
        <f>_xlfn.XLOOKUP($D76,Tab_Def_Processes[Name(EN)],Tab_Def_Processes[Input_Flow_I_3],,0,)</f>
        <v>#N/A</v>
      </c>
      <c r="U76" s="48" t="e">
        <f>_xlfn.XLOOKUP($D76,Tab_Def_Processes[Name(EN)],Tab_Def_Processes[Flow_ID_I_3],,0,)</f>
        <v>#N/A</v>
      </c>
      <c r="V76" s="75"/>
      <c r="W76" s="71" t="e">
        <f>_xlfn.XLOOKUP($D76,Tab_Def_Processes[Name(EN)],Tab_Def_Processes[Input_Flow_I_4],,0,)</f>
        <v>#N/A</v>
      </c>
      <c r="X76" s="48" t="e">
        <f>_xlfn.XLOOKUP($D76,Tab_Def_Processes[Name(EN)],Tab_Def_Processes[Flow_ID_I_4],,0,)</f>
        <v>#N/A</v>
      </c>
      <c r="Y76" s="75"/>
      <c r="Z76" s="71" t="e">
        <f>_xlfn.XLOOKUP($D76,Tab_Def_Processes[Name(EN)],Tab_Def_Processes[Input_Flow_I_5],,0,)</f>
        <v>#N/A</v>
      </c>
      <c r="AA76" s="48" t="e">
        <f>_xlfn.XLOOKUP($D76,Tab_Def_Processes[Name(EN)],Tab_Def_Processes[Flow_ID_I_5],,0,)</f>
        <v>#N/A</v>
      </c>
      <c r="AB76" s="75"/>
      <c r="AC76" s="74">
        <f>Tab_Process_TCs2527[[#This Row],[Flow_TC_I_1_'[%']]]+Tab_Process_TCs2527[[#This Row],[Flow_TC_I_2_'[%']]]+Tab_Process_TCs2527[[#This Row],[Flow_TC_I_3_'[%']]]+Tab_Process_TCs2527[[#This Row],[Flow_TC_I_4_'[%']]]+Tab_Process_TCs2527[[#This Row],[Flow_TC_I_5_'[%']]]</f>
        <v>0</v>
      </c>
      <c r="AD76" s="57" t="e">
        <f>_xlfn.XLOOKUP($D76,Tab_Process_TCs[TC_ID],Tab_Process_TCs[Output_Flow_O_1],,0,)</f>
        <v>#N/A</v>
      </c>
      <c r="AE76" s="48" t="e">
        <f>_xlfn.XLOOKUP($D76,Tab_Process_TCs[TC_ID],Tab_Process_TCs[Flow_ID_O_1],,0,)</f>
        <v>#N/A</v>
      </c>
      <c r="AF76" s="100" t="e">
        <f>Tab_Process_TCs2527[[#This Row],[Flow_ID]]</f>
        <v>#N/A</v>
      </c>
      <c r="AG76" s="48" t="e">
        <f t="shared" si="17"/>
        <v>#N/A</v>
      </c>
      <c r="AH76" s="109">
        <f t="shared" si="14"/>
        <v>0.44000000000000011</v>
      </c>
      <c r="AI76" s="231" t="e">
        <f>_xlfn.XLOOKUP($D76,Tab_Process_TCs[TC_ID],Tab_Process_TCs[Output_Flow_O_2],,0,)</f>
        <v>#N/A</v>
      </c>
      <c r="AJ76" s="113" t="e">
        <f>_xlfn.XLOOKUP($D76,Tab_Process_TCs[TC_ID],Tab_Process_TCs[Flow_ID_O_2],,0,)</f>
        <v>#N/A</v>
      </c>
      <c r="AK76" s="100" t="e">
        <f>Tab_Process_TCs2527[[#This Row],[Flow_ID]]</f>
        <v>#N/A</v>
      </c>
      <c r="AL76" s="48" t="e">
        <f t="shared" si="18"/>
        <v>#N/A</v>
      </c>
      <c r="AM76" s="228">
        <f t="shared" si="15"/>
        <v>0.30999999999999989</v>
      </c>
      <c r="AN76" s="57" t="e">
        <f>_xlfn.XLOOKUP($D76,Tab_Process_TCs[TC_ID],Tab_Process_TCs[Output_Flow_O_3],,0,)</f>
        <v>#N/A</v>
      </c>
      <c r="AO76" s="48" t="e">
        <f>_xlfn.XLOOKUP($D76,Tab_Process_TCs[TC_ID],Tab_Process_TCs[Flow_ID_O_3],,0,)</f>
        <v>#N/A</v>
      </c>
      <c r="AP76" s="100" t="e">
        <f>Tab_Process_TCs2527[[#This Row],[Flow_ID]]</f>
        <v>#N/A</v>
      </c>
      <c r="AQ76" s="48" t="e">
        <f t="shared" si="19"/>
        <v>#N/A</v>
      </c>
      <c r="AR76" s="228">
        <v>0.25</v>
      </c>
      <c r="AS76" s="57" t="e">
        <f>_xlfn.XLOOKUP($D76,Tab_Process_TCs[TC_ID],#REF!,,0,)</f>
        <v>#REF!</v>
      </c>
      <c r="AT76" s="48" t="e">
        <f>_xlfn.XLOOKUP($D76,Tab_Process_TCs[TC_ID],#REF!,,0,)</f>
        <v>#REF!</v>
      </c>
      <c r="AU76" s="100" t="e">
        <f>Tab_Process_TCs2527[[#This Row],[Flow_ID]]</f>
        <v>#N/A</v>
      </c>
      <c r="AV76" s="100" t="e">
        <f t="shared" si="20"/>
        <v>#N/A</v>
      </c>
      <c r="AW76" s="228"/>
      <c r="AX76" s="57" t="e">
        <f>_xlfn.XLOOKUP($D76,Tab_Process_TCs[TC_ID],#REF!,,0,)</f>
        <v>#REF!</v>
      </c>
      <c r="AY76" s="48" t="e">
        <f>_xlfn.XLOOKUP($D76,Tab_Process_TCs[TC_ID],#REF!,,0,)</f>
        <v>#REF!</v>
      </c>
      <c r="AZ76" s="100" t="e">
        <f>Tab_Process_TCs2527[[#This Row],[Flow_ID]]</f>
        <v>#N/A</v>
      </c>
      <c r="BA76" s="100" t="e">
        <f t="shared" si="21"/>
        <v>#REF!</v>
      </c>
      <c r="BB76" s="228"/>
      <c r="BC76" s="48" t="e">
        <f>_xlfn.XLOOKUP($D76,Tab_Process_TCs[TC_ID],#REF!,,0,)</f>
        <v>#REF!</v>
      </c>
      <c r="BD76" s="48" t="e">
        <f>_xlfn.XLOOKUP($D76,Tab_Process_TCs[TC_ID],#REF!,,0,)</f>
        <v>#REF!</v>
      </c>
      <c r="BE76" s="100" t="e">
        <f>Tab_Process_TCs2527[[#This Row],[Flow_ID]]</f>
        <v>#N/A</v>
      </c>
      <c r="BF76" s="100" t="e">
        <f t="shared" si="22"/>
        <v>#REF!</v>
      </c>
      <c r="BG76" s="109"/>
      <c r="BH76" s="112">
        <f>Tab_Process_TCs2527[[#This Row],[TC O_6_'[%']]]+Tab_Process_TCs2527[[#This Row],[TC O_5_'[%']]]+Tab_Process_TCs2527[[#This Row],[TC_O_4_'[%']]]+Tab_Process_TCs2527[[#This Row],[TC_O_3_'[%']]]+Tab_Process_TCs2527[[#This Row],[TC_O_2_'[%']]]+Tab_Process_TCs2527[[#This Row],[TC_O_1_'[%']]]</f>
        <v>1</v>
      </c>
      <c r="BI76" s="50"/>
      <c r="BJ76" s="50"/>
      <c r="BK76" s="50"/>
      <c r="BL76" s="50"/>
      <c r="BM76" s="50"/>
    </row>
    <row r="77" spans="1:65" x14ac:dyDescent="0.25">
      <c r="A77" s="87" t="b">
        <v>0</v>
      </c>
      <c r="B77" s="48">
        <f t="shared" si="16"/>
        <v>76</v>
      </c>
      <c r="C77" s="107" t="e">
        <f>_xlfn.XLOOKUP($D77,Tab_Process_TCs[Name(EN)],Tab_Process_TCs[Process_ID],,0,)</f>
        <v>#N/A</v>
      </c>
      <c r="D77" s="50"/>
      <c r="E77" s="50" t="s">
        <v>55</v>
      </c>
      <c r="F77" s="48" t="e">
        <f>_xlfn.XLOOKUP($D77,Tab_Process_TCs[Name(EN)],Tab_Process_TCs[TC?],,0,)</f>
        <v>#N/A</v>
      </c>
      <c r="G77" s="48" t="e">
        <f>_xlfn.XLOOKUP($D77,Tab_Process_TCs[Name(EN)],Tab_Process_TCs[Dyn_TC?],,0,)</f>
        <v>#N/A</v>
      </c>
      <c r="H77" s="48" t="e">
        <f>_xlfn.XLOOKUP($E77,Tab_Def_Flows[Name(EN)],Tab_Def_Flows[Flow_ID],,0,1)</f>
        <v>#N/A</v>
      </c>
      <c r="I77" s="50" t="e">
        <f>IF(Tab_Process_TCs2527[[#This Row],[Name(EN)]]="N.A.","N.A.","TC"&amp;"_"&amp;RIGHT(H77,5))</f>
        <v>#N/A</v>
      </c>
      <c r="J77" s="50"/>
      <c r="K77" s="249"/>
      <c r="L77" s="50" t="e">
        <f>_xlfn.XLOOKUP($D77,Tab_Def_Processes[Name(EN)],Tab_Def_Processes[Stock?],,0,)</f>
        <v>#N/A</v>
      </c>
      <c r="M77" s="48"/>
      <c r="N77" s="57" t="e">
        <f>_xlfn.XLOOKUP($D77,Tab_Def_Processes[Name(EN)],Tab_Def_Processes[Input_Flow_I_1],,0,)</f>
        <v>#N/A</v>
      </c>
      <c r="O77" s="48" t="e">
        <f>_xlfn.XLOOKUP($D77,Tab_Def_Processes[Name(EN)],Tab_Def_Processes[Flow_ID_I_1],,0,)</f>
        <v>#N/A</v>
      </c>
      <c r="P77" s="75"/>
      <c r="Q77" s="71" t="e">
        <f>_xlfn.XLOOKUP($D77,Tab_Def_Processes[Name(EN)],Tab_Def_Processes[Input_Flow_I_2],,0,)</f>
        <v>#N/A</v>
      </c>
      <c r="R77" s="48" t="e">
        <f>_xlfn.XLOOKUP($D77,Tab_Def_Processes[Name(EN)],Tab_Def_Processes[Flow_ID_I_2],,0,)</f>
        <v>#N/A</v>
      </c>
      <c r="S77" s="75"/>
      <c r="T77" s="71" t="e">
        <f>_xlfn.XLOOKUP($D77,Tab_Def_Processes[Name(EN)],Tab_Def_Processes[Input_Flow_I_3],,0,)</f>
        <v>#N/A</v>
      </c>
      <c r="U77" s="48" t="e">
        <f>_xlfn.XLOOKUP($D77,Tab_Def_Processes[Name(EN)],Tab_Def_Processes[Flow_ID_I_3],,0,)</f>
        <v>#N/A</v>
      </c>
      <c r="V77" s="75"/>
      <c r="W77" s="71" t="e">
        <f>_xlfn.XLOOKUP($D77,Tab_Def_Processes[Name(EN)],Tab_Def_Processes[Input_Flow_I_4],,0,)</f>
        <v>#N/A</v>
      </c>
      <c r="X77" s="48" t="e">
        <f>_xlfn.XLOOKUP($D77,Tab_Def_Processes[Name(EN)],Tab_Def_Processes[Flow_ID_I_4],,0,)</f>
        <v>#N/A</v>
      </c>
      <c r="Y77" s="75"/>
      <c r="Z77" s="71" t="e">
        <f>_xlfn.XLOOKUP($D77,Tab_Def_Processes[Name(EN)],Tab_Def_Processes[Input_Flow_I_5],,0,)</f>
        <v>#N/A</v>
      </c>
      <c r="AA77" s="48" t="e">
        <f>_xlfn.XLOOKUP($D77,Tab_Def_Processes[Name(EN)],Tab_Def_Processes[Flow_ID_I_5],,0,)</f>
        <v>#N/A</v>
      </c>
      <c r="AB77" s="75"/>
      <c r="AC77" s="74">
        <f>Tab_Process_TCs2527[[#This Row],[Flow_TC_I_1_'[%']]]+Tab_Process_TCs2527[[#This Row],[Flow_TC_I_2_'[%']]]+Tab_Process_TCs2527[[#This Row],[Flow_TC_I_3_'[%']]]+Tab_Process_TCs2527[[#This Row],[Flow_TC_I_4_'[%']]]+Tab_Process_TCs2527[[#This Row],[Flow_TC_I_5_'[%']]]</f>
        <v>0</v>
      </c>
      <c r="AD77" s="57" t="e">
        <f>_xlfn.XLOOKUP($D77,Tab_Process_TCs[TC_ID],Tab_Process_TCs[Output_Flow_O_1],,0,)</f>
        <v>#N/A</v>
      </c>
      <c r="AE77" s="48" t="e">
        <f>_xlfn.XLOOKUP($D77,Tab_Process_TCs[TC_ID],Tab_Process_TCs[Flow_ID_O_1],,0,)</f>
        <v>#N/A</v>
      </c>
      <c r="AF77" s="100" t="e">
        <f>Tab_Process_TCs2527[[#This Row],[Flow_ID]]</f>
        <v>#N/A</v>
      </c>
      <c r="AG77" s="48" t="e">
        <f t="shared" si="17"/>
        <v>#N/A</v>
      </c>
      <c r="AH77" s="109">
        <f t="shared" si="14"/>
        <v>0.45000000000000012</v>
      </c>
      <c r="AI77" s="231" t="e">
        <f>_xlfn.XLOOKUP($D77,Tab_Process_TCs[TC_ID],Tab_Process_TCs[Output_Flow_O_2],,0,)</f>
        <v>#N/A</v>
      </c>
      <c r="AJ77" s="113" t="e">
        <f>_xlfn.XLOOKUP($D77,Tab_Process_TCs[TC_ID],Tab_Process_TCs[Flow_ID_O_2],,0,)</f>
        <v>#N/A</v>
      </c>
      <c r="AK77" s="100" t="e">
        <f>Tab_Process_TCs2527[[#This Row],[Flow_ID]]</f>
        <v>#N/A</v>
      </c>
      <c r="AL77" s="48" t="e">
        <f t="shared" si="18"/>
        <v>#N/A</v>
      </c>
      <c r="AM77" s="228">
        <f t="shared" si="15"/>
        <v>0.29999999999999988</v>
      </c>
      <c r="AN77" s="57" t="e">
        <f>_xlfn.XLOOKUP($D77,Tab_Process_TCs[TC_ID],Tab_Process_TCs[Output_Flow_O_3],,0,)</f>
        <v>#N/A</v>
      </c>
      <c r="AO77" s="48" t="e">
        <f>_xlfn.XLOOKUP($D77,Tab_Process_TCs[TC_ID],Tab_Process_TCs[Flow_ID_O_3],,0,)</f>
        <v>#N/A</v>
      </c>
      <c r="AP77" s="100" t="e">
        <f>Tab_Process_TCs2527[[#This Row],[Flow_ID]]</f>
        <v>#N/A</v>
      </c>
      <c r="AQ77" s="48" t="e">
        <f t="shared" si="19"/>
        <v>#N/A</v>
      </c>
      <c r="AR77" s="228">
        <v>0.25</v>
      </c>
      <c r="AS77" s="57" t="e">
        <f>_xlfn.XLOOKUP($D77,Tab_Process_TCs[TC_ID],#REF!,,0,)</f>
        <v>#REF!</v>
      </c>
      <c r="AT77" s="48" t="e">
        <f>_xlfn.XLOOKUP($D77,Tab_Process_TCs[TC_ID],#REF!,,0,)</f>
        <v>#REF!</v>
      </c>
      <c r="AU77" s="100" t="e">
        <f>Tab_Process_TCs2527[[#This Row],[Flow_ID]]</f>
        <v>#N/A</v>
      </c>
      <c r="AV77" s="100" t="e">
        <f t="shared" si="20"/>
        <v>#N/A</v>
      </c>
      <c r="AW77" s="228"/>
      <c r="AX77" s="57" t="e">
        <f>_xlfn.XLOOKUP($D77,Tab_Process_TCs[TC_ID],#REF!,,0,)</f>
        <v>#REF!</v>
      </c>
      <c r="AY77" s="48" t="e">
        <f>_xlfn.XLOOKUP($D77,Tab_Process_TCs[TC_ID],#REF!,,0,)</f>
        <v>#REF!</v>
      </c>
      <c r="AZ77" s="100" t="e">
        <f>Tab_Process_TCs2527[[#This Row],[Flow_ID]]</f>
        <v>#N/A</v>
      </c>
      <c r="BA77" s="100" t="e">
        <f t="shared" si="21"/>
        <v>#REF!</v>
      </c>
      <c r="BB77" s="228"/>
      <c r="BC77" s="48" t="e">
        <f>_xlfn.XLOOKUP($D77,Tab_Process_TCs[TC_ID],#REF!,,0,)</f>
        <v>#REF!</v>
      </c>
      <c r="BD77" s="48" t="e">
        <f>_xlfn.XLOOKUP($D77,Tab_Process_TCs[TC_ID],#REF!,,0,)</f>
        <v>#REF!</v>
      </c>
      <c r="BE77" s="100" t="e">
        <f>Tab_Process_TCs2527[[#This Row],[Flow_ID]]</f>
        <v>#N/A</v>
      </c>
      <c r="BF77" s="100" t="e">
        <f t="shared" si="22"/>
        <v>#REF!</v>
      </c>
      <c r="BG77" s="109"/>
      <c r="BH77" s="112">
        <f>Tab_Process_TCs2527[[#This Row],[TC O_6_'[%']]]+Tab_Process_TCs2527[[#This Row],[TC O_5_'[%']]]+Tab_Process_TCs2527[[#This Row],[TC_O_4_'[%']]]+Tab_Process_TCs2527[[#This Row],[TC_O_3_'[%']]]+Tab_Process_TCs2527[[#This Row],[TC_O_2_'[%']]]+Tab_Process_TCs2527[[#This Row],[TC_O_1_'[%']]]</f>
        <v>1</v>
      </c>
      <c r="BI77" s="50"/>
      <c r="BJ77" s="50"/>
      <c r="BK77" s="50"/>
      <c r="BL77" s="50"/>
      <c r="BM77" s="50"/>
    </row>
    <row r="78" spans="1:65" x14ac:dyDescent="0.25">
      <c r="A78" s="87" t="b">
        <v>0</v>
      </c>
      <c r="B78" s="48">
        <f t="shared" si="16"/>
        <v>77</v>
      </c>
      <c r="C78" s="107" t="e">
        <f>_xlfn.XLOOKUP($D78,Tab_Process_TCs[Name(EN)],Tab_Process_TCs[Process_ID],,0,)</f>
        <v>#N/A</v>
      </c>
      <c r="D78" s="50"/>
      <c r="E78" s="50" t="s">
        <v>55</v>
      </c>
      <c r="F78" s="48" t="e">
        <f>_xlfn.XLOOKUP($D78,Tab_Process_TCs[Name(EN)],Tab_Process_TCs[TC?],,0,)</f>
        <v>#N/A</v>
      </c>
      <c r="G78" s="48" t="e">
        <f>_xlfn.XLOOKUP($D78,Tab_Process_TCs[Name(EN)],Tab_Process_TCs[Dyn_TC?],,0,)</f>
        <v>#N/A</v>
      </c>
      <c r="H78" s="48" t="e">
        <f>_xlfn.XLOOKUP($E78,Tab_Def_Flows[Name(EN)],Tab_Def_Flows[Flow_ID],,0,1)</f>
        <v>#N/A</v>
      </c>
      <c r="I78" s="50" t="e">
        <f>IF(Tab_Process_TCs2527[[#This Row],[Name(EN)]]="N.A.","N.A.","TC"&amp;"_"&amp;RIGHT(H78,5))</f>
        <v>#N/A</v>
      </c>
      <c r="J78" s="50"/>
      <c r="K78" s="249"/>
      <c r="L78" s="50" t="e">
        <f>_xlfn.XLOOKUP($D78,Tab_Def_Processes[Name(EN)],Tab_Def_Processes[Stock?],,0,)</f>
        <v>#N/A</v>
      </c>
      <c r="M78" s="48"/>
      <c r="N78" s="57" t="e">
        <f>_xlfn.XLOOKUP($D78,Tab_Def_Processes[Name(EN)],Tab_Def_Processes[Input_Flow_I_1],,0,)</f>
        <v>#N/A</v>
      </c>
      <c r="O78" s="48" t="e">
        <f>_xlfn.XLOOKUP($D78,Tab_Def_Processes[Name(EN)],Tab_Def_Processes[Flow_ID_I_1],,0,)</f>
        <v>#N/A</v>
      </c>
      <c r="P78" s="75"/>
      <c r="Q78" s="71" t="e">
        <f>_xlfn.XLOOKUP($D78,Tab_Def_Processes[Name(EN)],Tab_Def_Processes[Input_Flow_I_2],,0,)</f>
        <v>#N/A</v>
      </c>
      <c r="R78" s="48" t="e">
        <f>_xlfn.XLOOKUP($D78,Tab_Def_Processes[Name(EN)],Tab_Def_Processes[Flow_ID_I_2],,0,)</f>
        <v>#N/A</v>
      </c>
      <c r="S78" s="75"/>
      <c r="T78" s="71" t="e">
        <f>_xlfn.XLOOKUP($D78,Tab_Def_Processes[Name(EN)],Tab_Def_Processes[Input_Flow_I_3],,0,)</f>
        <v>#N/A</v>
      </c>
      <c r="U78" s="48" t="e">
        <f>_xlfn.XLOOKUP($D78,Tab_Def_Processes[Name(EN)],Tab_Def_Processes[Flow_ID_I_3],,0,)</f>
        <v>#N/A</v>
      </c>
      <c r="V78" s="75"/>
      <c r="W78" s="71" t="e">
        <f>_xlfn.XLOOKUP($D78,Tab_Def_Processes[Name(EN)],Tab_Def_Processes[Input_Flow_I_4],,0,)</f>
        <v>#N/A</v>
      </c>
      <c r="X78" s="48" t="e">
        <f>_xlfn.XLOOKUP($D78,Tab_Def_Processes[Name(EN)],Tab_Def_Processes[Flow_ID_I_4],,0,)</f>
        <v>#N/A</v>
      </c>
      <c r="Y78" s="75"/>
      <c r="Z78" s="71" t="e">
        <f>_xlfn.XLOOKUP($D78,Tab_Def_Processes[Name(EN)],Tab_Def_Processes[Input_Flow_I_5],,0,)</f>
        <v>#N/A</v>
      </c>
      <c r="AA78" s="48" t="e">
        <f>_xlfn.XLOOKUP($D78,Tab_Def_Processes[Name(EN)],Tab_Def_Processes[Flow_ID_I_5],,0,)</f>
        <v>#N/A</v>
      </c>
      <c r="AB78" s="75"/>
      <c r="AC78" s="74">
        <f>Tab_Process_TCs2527[[#This Row],[Flow_TC_I_1_'[%']]]+Tab_Process_TCs2527[[#This Row],[Flow_TC_I_2_'[%']]]+Tab_Process_TCs2527[[#This Row],[Flow_TC_I_3_'[%']]]+Tab_Process_TCs2527[[#This Row],[Flow_TC_I_4_'[%']]]+Tab_Process_TCs2527[[#This Row],[Flow_TC_I_5_'[%']]]</f>
        <v>0</v>
      </c>
      <c r="AD78" s="57" t="e">
        <f>_xlfn.XLOOKUP($D78,Tab_Process_TCs[TC_ID],Tab_Process_TCs[Output_Flow_O_1],,0,)</f>
        <v>#N/A</v>
      </c>
      <c r="AE78" s="48" t="e">
        <f>_xlfn.XLOOKUP($D78,Tab_Process_TCs[TC_ID],Tab_Process_TCs[Flow_ID_O_1],,0,)</f>
        <v>#N/A</v>
      </c>
      <c r="AF78" s="100" t="e">
        <f>Tab_Process_TCs2527[[#This Row],[Flow_ID]]</f>
        <v>#N/A</v>
      </c>
      <c r="AG78" s="48" t="e">
        <f t="shared" si="17"/>
        <v>#N/A</v>
      </c>
      <c r="AH78" s="109">
        <f t="shared" si="14"/>
        <v>0.46000000000000013</v>
      </c>
      <c r="AI78" s="231" t="e">
        <f>_xlfn.XLOOKUP($D78,Tab_Process_TCs[TC_ID],Tab_Process_TCs[Output_Flow_O_2],,0,)</f>
        <v>#N/A</v>
      </c>
      <c r="AJ78" s="113" t="e">
        <f>_xlfn.XLOOKUP($D78,Tab_Process_TCs[TC_ID],Tab_Process_TCs[Flow_ID_O_2],,0,)</f>
        <v>#N/A</v>
      </c>
      <c r="AK78" s="100" t="e">
        <f>Tab_Process_TCs2527[[#This Row],[Flow_ID]]</f>
        <v>#N/A</v>
      </c>
      <c r="AL78" s="48" t="e">
        <f t="shared" si="18"/>
        <v>#N/A</v>
      </c>
      <c r="AM78" s="228">
        <f t="shared" si="15"/>
        <v>0.28999999999999987</v>
      </c>
      <c r="AN78" s="57" t="e">
        <f>_xlfn.XLOOKUP($D78,Tab_Process_TCs[TC_ID],Tab_Process_TCs[Output_Flow_O_3],,0,)</f>
        <v>#N/A</v>
      </c>
      <c r="AO78" s="48" t="e">
        <f>_xlfn.XLOOKUP($D78,Tab_Process_TCs[TC_ID],Tab_Process_TCs[Flow_ID_O_3],,0,)</f>
        <v>#N/A</v>
      </c>
      <c r="AP78" s="100" t="e">
        <f>Tab_Process_TCs2527[[#This Row],[Flow_ID]]</f>
        <v>#N/A</v>
      </c>
      <c r="AQ78" s="48" t="e">
        <f t="shared" si="19"/>
        <v>#N/A</v>
      </c>
      <c r="AR78" s="228">
        <v>0.25</v>
      </c>
      <c r="AS78" s="57" t="e">
        <f>_xlfn.XLOOKUP($D78,Tab_Process_TCs[TC_ID],#REF!,,0,)</f>
        <v>#REF!</v>
      </c>
      <c r="AT78" s="48" t="e">
        <f>_xlfn.XLOOKUP($D78,Tab_Process_TCs[TC_ID],#REF!,,0,)</f>
        <v>#REF!</v>
      </c>
      <c r="AU78" s="100" t="e">
        <f>Tab_Process_TCs2527[[#This Row],[Flow_ID]]</f>
        <v>#N/A</v>
      </c>
      <c r="AV78" s="100" t="e">
        <f t="shared" si="20"/>
        <v>#N/A</v>
      </c>
      <c r="AW78" s="228"/>
      <c r="AX78" s="57" t="e">
        <f>_xlfn.XLOOKUP($D78,Tab_Process_TCs[TC_ID],#REF!,,0,)</f>
        <v>#REF!</v>
      </c>
      <c r="AY78" s="48" t="e">
        <f>_xlfn.XLOOKUP($D78,Tab_Process_TCs[TC_ID],#REF!,,0,)</f>
        <v>#REF!</v>
      </c>
      <c r="AZ78" s="100" t="e">
        <f>Tab_Process_TCs2527[[#This Row],[Flow_ID]]</f>
        <v>#N/A</v>
      </c>
      <c r="BA78" s="100" t="e">
        <f t="shared" si="21"/>
        <v>#REF!</v>
      </c>
      <c r="BB78" s="228"/>
      <c r="BC78" s="48" t="e">
        <f>_xlfn.XLOOKUP($D78,Tab_Process_TCs[TC_ID],#REF!,,0,)</f>
        <v>#REF!</v>
      </c>
      <c r="BD78" s="48" t="e">
        <f>_xlfn.XLOOKUP($D78,Tab_Process_TCs[TC_ID],#REF!,,0,)</f>
        <v>#REF!</v>
      </c>
      <c r="BE78" s="100" t="e">
        <f>Tab_Process_TCs2527[[#This Row],[Flow_ID]]</f>
        <v>#N/A</v>
      </c>
      <c r="BF78" s="100" t="e">
        <f t="shared" si="22"/>
        <v>#REF!</v>
      </c>
      <c r="BG78" s="109"/>
      <c r="BH78" s="112">
        <f>Tab_Process_TCs2527[[#This Row],[TC O_6_'[%']]]+Tab_Process_TCs2527[[#This Row],[TC O_5_'[%']]]+Tab_Process_TCs2527[[#This Row],[TC_O_4_'[%']]]+Tab_Process_TCs2527[[#This Row],[TC_O_3_'[%']]]+Tab_Process_TCs2527[[#This Row],[TC_O_2_'[%']]]+Tab_Process_TCs2527[[#This Row],[TC_O_1_'[%']]]</f>
        <v>1</v>
      </c>
      <c r="BI78" s="50"/>
      <c r="BJ78" s="50"/>
      <c r="BK78" s="50"/>
      <c r="BL78" s="50"/>
      <c r="BM78" s="50"/>
    </row>
    <row r="79" spans="1:65" x14ac:dyDescent="0.25">
      <c r="A79" s="87" t="b">
        <v>0</v>
      </c>
      <c r="B79" s="48">
        <f t="shared" si="16"/>
        <v>78</v>
      </c>
      <c r="C79" s="107" t="e">
        <f>_xlfn.XLOOKUP($D79,Tab_Process_TCs[Name(EN)],Tab_Process_TCs[Process_ID],,0,)</f>
        <v>#N/A</v>
      </c>
      <c r="D79" s="50"/>
      <c r="E79" s="50" t="s">
        <v>55</v>
      </c>
      <c r="F79" s="48" t="e">
        <f>_xlfn.XLOOKUP($D79,Tab_Process_TCs[Name(EN)],Tab_Process_TCs[TC?],,0,)</f>
        <v>#N/A</v>
      </c>
      <c r="G79" s="48" t="e">
        <f>_xlfn.XLOOKUP($D79,Tab_Process_TCs[Name(EN)],Tab_Process_TCs[Dyn_TC?],,0,)</f>
        <v>#N/A</v>
      </c>
      <c r="H79" s="48" t="e">
        <f>_xlfn.XLOOKUP($E79,Tab_Def_Flows[Name(EN)],Tab_Def_Flows[Flow_ID],,0,1)</f>
        <v>#N/A</v>
      </c>
      <c r="I79" s="50" t="e">
        <f>IF(Tab_Process_TCs2527[[#This Row],[Name(EN)]]="N.A.","N.A.","TC"&amp;"_"&amp;RIGHT(H79,5))</f>
        <v>#N/A</v>
      </c>
      <c r="J79" s="50"/>
      <c r="K79" s="249"/>
      <c r="L79" s="50" t="e">
        <f>_xlfn.XLOOKUP($D79,Tab_Def_Processes[Name(EN)],Tab_Def_Processes[Stock?],,0,)</f>
        <v>#N/A</v>
      </c>
      <c r="M79" s="48"/>
      <c r="N79" s="57" t="e">
        <f>_xlfn.XLOOKUP($D79,Tab_Def_Processes[Name(EN)],Tab_Def_Processes[Input_Flow_I_1],,0,)</f>
        <v>#N/A</v>
      </c>
      <c r="O79" s="48" t="e">
        <f>_xlfn.XLOOKUP($D79,Tab_Def_Processes[Name(EN)],Tab_Def_Processes[Flow_ID_I_1],,0,)</f>
        <v>#N/A</v>
      </c>
      <c r="P79" s="75"/>
      <c r="Q79" s="71" t="e">
        <f>_xlfn.XLOOKUP($D79,Tab_Def_Processes[Name(EN)],Tab_Def_Processes[Input_Flow_I_2],,0,)</f>
        <v>#N/A</v>
      </c>
      <c r="R79" s="48" t="e">
        <f>_xlfn.XLOOKUP($D79,Tab_Def_Processes[Name(EN)],Tab_Def_Processes[Flow_ID_I_2],,0,)</f>
        <v>#N/A</v>
      </c>
      <c r="S79" s="75"/>
      <c r="T79" s="71" t="e">
        <f>_xlfn.XLOOKUP($D79,Tab_Def_Processes[Name(EN)],Tab_Def_Processes[Input_Flow_I_3],,0,)</f>
        <v>#N/A</v>
      </c>
      <c r="U79" s="48" t="e">
        <f>_xlfn.XLOOKUP($D79,Tab_Def_Processes[Name(EN)],Tab_Def_Processes[Flow_ID_I_3],,0,)</f>
        <v>#N/A</v>
      </c>
      <c r="V79" s="75"/>
      <c r="W79" s="71" t="e">
        <f>_xlfn.XLOOKUP($D79,Tab_Def_Processes[Name(EN)],Tab_Def_Processes[Input_Flow_I_4],,0,)</f>
        <v>#N/A</v>
      </c>
      <c r="X79" s="48" t="e">
        <f>_xlfn.XLOOKUP($D79,Tab_Def_Processes[Name(EN)],Tab_Def_Processes[Flow_ID_I_4],,0,)</f>
        <v>#N/A</v>
      </c>
      <c r="Y79" s="75"/>
      <c r="Z79" s="71" t="e">
        <f>_xlfn.XLOOKUP($D79,Tab_Def_Processes[Name(EN)],Tab_Def_Processes[Input_Flow_I_5],,0,)</f>
        <v>#N/A</v>
      </c>
      <c r="AA79" s="48" t="e">
        <f>_xlfn.XLOOKUP($D79,Tab_Def_Processes[Name(EN)],Tab_Def_Processes[Flow_ID_I_5],,0,)</f>
        <v>#N/A</v>
      </c>
      <c r="AB79" s="75"/>
      <c r="AC79" s="74">
        <f>Tab_Process_TCs2527[[#This Row],[Flow_TC_I_1_'[%']]]+Tab_Process_TCs2527[[#This Row],[Flow_TC_I_2_'[%']]]+Tab_Process_TCs2527[[#This Row],[Flow_TC_I_3_'[%']]]+Tab_Process_TCs2527[[#This Row],[Flow_TC_I_4_'[%']]]+Tab_Process_TCs2527[[#This Row],[Flow_TC_I_5_'[%']]]</f>
        <v>0</v>
      </c>
      <c r="AD79" s="57" t="e">
        <f>_xlfn.XLOOKUP($D79,Tab_Process_TCs[TC_ID],Tab_Process_TCs[Output_Flow_O_1],,0,)</f>
        <v>#N/A</v>
      </c>
      <c r="AE79" s="48" t="e">
        <f>_xlfn.XLOOKUP($D79,Tab_Process_TCs[TC_ID],Tab_Process_TCs[Flow_ID_O_1],,0,)</f>
        <v>#N/A</v>
      </c>
      <c r="AF79" s="100" t="e">
        <f>Tab_Process_TCs2527[[#This Row],[Flow_ID]]</f>
        <v>#N/A</v>
      </c>
      <c r="AG79" s="48" t="e">
        <f t="shared" si="17"/>
        <v>#N/A</v>
      </c>
      <c r="AH79" s="109">
        <f t="shared" si="14"/>
        <v>0.47000000000000014</v>
      </c>
      <c r="AI79" s="231" t="e">
        <f>_xlfn.XLOOKUP($D79,Tab_Process_TCs[TC_ID],Tab_Process_TCs[Output_Flow_O_2],,0,)</f>
        <v>#N/A</v>
      </c>
      <c r="AJ79" s="113" t="e">
        <f>_xlfn.XLOOKUP($D79,Tab_Process_TCs[TC_ID],Tab_Process_TCs[Flow_ID_O_2],,0,)</f>
        <v>#N/A</v>
      </c>
      <c r="AK79" s="100" t="e">
        <f>Tab_Process_TCs2527[[#This Row],[Flow_ID]]</f>
        <v>#N/A</v>
      </c>
      <c r="AL79" s="48" t="e">
        <f t="shared" si="18"/>
        <v>#N/A</v>
      </c>
      <c r="AM79" s="228">
        <f t="shared" si="15"/>
        <v>0.27999999999999986</v>
      </c>
      <c r="AN79" s="57" t="e">
        <f>_xlfn.XLOOKUP($D79,Tab_Process_TCs[TC_ID],Tab_Process_TCs[Output_Flow_O_3],,0,)</f>
        <v>#N/A</v>
      </c>
      <c r="AO79" s="48" t="e">
        <f>_xlfn.XLOOKUP($D79,Tab_Process_TCs[TC_ID],Tab_Process_TCs[Flow_ID_O_3],,0,)</f>
        <v>#N/A</v>
      </c>
      <c r="AP79" s="100" t="e">
        <f>Tab_Process_TCs2527[[#This Row],[Flow_ID]]</f>
        <v>#N/A</v>
      </c>
      <c r="AQ79" s="48" t="e">
        <f t="shared" si="19"/>
        <v>#N/A</v>
      </c>
      <c r="AR79" s="228">
        <v>0.25</v>
      </c>
      <c r="AS79" s="57" t="e">
        <f>_xlfn.XLOOKUP($D79,Tab_Process_TCs[TC_ID],#REF!,,0,)</f>
        <v>#REF!</v>
      </c>
      <c r="AT79" s="48" t="e">
        <f>_xlfn.XLOOKUP($D79,Tab_Process_TCs[TC_ID],#REF!,,0,)</f>
        <v>#REF!</v>
      </c>
      <c r="AU79" s="100" t="e">
        <f>Tab_Process_TCs2527[[#This Row],[Flow_ID]]</f>
        <v>#N/A</v>
      </c>
      <c r="AV79" s="100" t="e">
        <f t="shared" si="20"/>
        <v>#N/A</v>
      </c>
      <c r="AW79" s="228"/>
      <c r="AX79" s="57" t="e">
        <f>_xlfn.XLOOKUP($D79,Tab_Process_TCs[TC_ID],#REF!,,0,)</f>
        <v>#REF!</v>
      </c>
      <c r="AY79" s="48" t="e">
        <f>_xlfn.XLOOKUP($D79,Tab_Process_TCs[TC_ID],#REF!,,0,)</f>
        <v>#REF!</v>
      </c>
      <c r="AZ79" s="100" t="e">
        <f>Tab_Process_TCs2527[[#This Row],[Flow_ID]]</f>
        <v>#N/A</v>
      </c>
      <c r="BA79" s="100" t="e">
        <f t="shared" si="21"/>
        <v>#REF!</v>
      </c>
      <c r="BB79" s="228"/>
      <c r="BC79" s="48" t="e">
        <f>_xlfn.XLOOKUP($D79,Tab_Process_TCs[TC_ID],#REF!,,0,)</f>
        <v>#REF!</v>
      </c>
      <c r="BD79" s="48" t="e">
        <f>_xlfn.XLOOKUP($D79,Tab_Process_TCs[TC_ID],#REF!,,0,)</f>
        <v>#REF!</v>
      </c>
      <c r="BE79" s="100" t="e">
        <f>Tab_Process_TCs2527[[#This Row],[Flow_ID]]</f>
        <v>#N/A</v>
      </c>
      <c r="BF79" s="100" t="e">
        <f t="shared" si="22"/>
        <v>#REF!</v>
      </c>
      <c r="BG79" s="109"/>
      <c r="BH79" s="112">
        <f>Tab_Process_TCs2527[[#This Row],[TC O_6_'[%']]]+Tab_Process_TCs2527[[#This Row],[TC O_5_'[%']]]+Tab_Process_TCs2527[[#This Row],[TC_O_4_'[%']]]+Tab_Process_TCs2527[[#This Row],[TC_O_3_'[%']]]+Tab_Process_TCs2527[[#This Row],[TC_O_2_'[%']]]+Tab_Process_TCs2527[[#This Row],[TC_O_1_'[%']]]</f>
        <v>1</v>
      </c>
      <c r="BI79" s="50"/>
      <c r="BJ79" s="50"/>
      <c r="BK79" s="50"/>
      <c r="BL79" s="50"/>
      <c r="BM79" s="50"/>
    </row>
    <row r="80" spans="1:65" x14ac:dyDescent="0.25">
      <c r="A80" s="87" t="b">
        <v>0</v>
      </c>
      <c r="B80" s="48">
        <f t="shared" si="16"/>
        <v>79</v>
      </c>
      <c r="C80" s="107" t="e">
        <f>_xlfn.XLOOKUP($D80,Tab_Process_TCs[Name(EN)],Tab_Process_TCs[Process_ID],,0,)</f>
        <v>#N/A</v>
      </c>
      <c r="D80" s="50"/>
      <c r="E80" s="50" t="s">
        <v>55</v>
      </c>
      <c r="F80" s="48" t="e">
        <f>_xlfn.XLOOKUP($D80,Tab_Process_TCs[Name(EN)],Tab_Process_TCs[TC?],,0,)</f>
        <v>#N/A</v>
      </c>
      <c r="G80" s="48" t="e">
        <f>_xlfn.XLOOKUP($D80,Tab_Process_TCs[Name(EN)],Tab_Process_TCs[Dyn_TC?],,0,)</f>
        <v>#N/A</v>
      </c>
      <c r="H80" s="48" t="e">
        <f>_xlfn.XLOOKUP($E80,Tab_Def_Flows[Name(EN)],Tab_Def_Flows[Flow_ID],,0,1)</f>
        <v>#N/A</v>
      </c>
      <c r="I80" s="50" t="e">
        <f>IF(Tab_Process_TCs2527[[#This Row],[Name(EN)]]="N.A.","N.A.","TC"&amp;"_"&amp;RIGHT(H80,5))</f>
        <v>#N/A</v>
      </c>
      <c r="J80" s="50"/>
      <c r="K80" s="249"/>
      <c r="L80" s="50" t="e">
        <f>_xlfn.XLOOKUP($D80,Tab_Def_Processes[Name(EN)],Tab_Def_Processes[Stock?],,0,)</f>
        <v>#N/A</v>
      </c>
      <c r="M80" s="48"/>
      <c r="N80" s="57" t="e">
        <f>_xlfn.XLOOKUP($D80,Tab_Def_Processes[Name(EN)],Tab_Def_Processes[Input_Flow_I_1],,0,)</f>
        <v>#N/A</v>
      </c>
      <c r="O80" s="48" t="e">
        <f>_xlfn.XLOOKUP($D80,Tab_Def_Processes[Name(EN)],Tab_Def_Processes[Flow_ID_I_1],,0,)</f>
        <v>#N/A</v>
      </c>
      <c r="P80" s="75"/>
      <c r="Q80" s="71" t="e">
        <f>_xlfn.XLOOKUP($D80,Tab_Def_Processes[Name(EN)],Tab_Def_Processes[Input_Flow_I_2],,0,)</f>
        <v>#N/A</v>
      </c>
      <c r="R80" s="48" t="e">
        <f>_xlfn.XLOOKUP($D80,Tab_Def_Processes[Name(EN)],Tab_Def_Processes[Flow_ID_I_2],,0,)</f>
        <v>#N/A</v>
      </c>
      <c r="S80" s="75"/>
      <c r="T80" s="71" t="e">
        <f>_xlfn.XLOOKUP($D80,Tab_Def_Processes[Name(EN)],Tab_Def_Processes[Input_Flow_I_3],,0,)</f>
        <v>#N/A</v>
      </c>
      <c r="U80" s="48" t="e">
        <f>_xlfn.XLOOKUP($D80,Tab_Def_Processes[Name(EN)],Tab_Def_Processes[Flow_ID_I_3],,0,)</f>
        <v>#N/A</v>
      </c>
      <c r="V80" s="75"/>
      <c r="W80" s="71" t="e">
        <f>_xlfn.XLOOKUP($D80,Tab_Def_Processes[Name(EN)],Tab_Def_Processes[Input_Flow_I_4],,0,)</f>
        <v>#N/A</v>
      </c>
      <c r="X80" s="48" t="e">
        <f>_xlfn.XLOOKUP($D80,Tab_Def_Processes[Name(EN)],Tab_Def_Processes[Flow_ID_I_4],,0,)</f>
        <v>#N/A</v>
      </c>
      <c r="Y80" s="75"/>
      <c r="Z80" s="71" t="e">
        <f>_xlfn.XLOOKUP($D80,Tab_Def_Processes[Name(EN)],Tab_Def_Processes[Input_Flow_I_5],,0,)</f>
        <v>#N/A</v>
      </c>
      <c r="AA80" s="48" t="e">
        <f>_xlfn.XLOOKUP($D80,Tab_Def_Processes[Name(EN)],Tab_Def_Processes[Flow_ID_I_5],,0,)</f>
        <v>#N/A</v>
      </c>
      <c r="AB80" s="75"/>
      <c r="AC80" s="74">
        <f>Tab_Process_TCs2527[[#This Row],[Flow_TC_I_1_'[%']]]+Tab_Process_TCs2527[[#This Row],[Flow_TC_I_2_'[%']]]+Tab_Process_TCs2527[[#This Row],[Flow_TC_I_3_'[%']]]+Tab_Process_TCs2527[[#This Row],[Flow_TC_I_4_'[%']]]+Tab_Process_TCs2527[[#This Row],[Flow_TC_I_5_'[%']]]</f>
        <v>0</v>
      </c>
      <c r="AD80" s="57" t="e">
        <f>_xlfn.XLOOKUP($D80,Tab_Process_TCs[TC_ID],Tab_Process_TCs[Output_Flow_O_1],,0,)</f>
        <v>#N/A</v>
      </c>
      <c r="AE80" s="48" t="e">
        <f>_xlfn.XLOOKUP($D80,Tab_Process_TCs[TC_ID],Tab_Process_TCs[Flow_ID_O_1],,0,)</f>
        <v>#N/A</v>
      </c>
      <c r="AF80" s="100" t="e">
        <f>Tab_Process_TCs2527[[#This Row],[Flow_ID]]</f>
        <v>#N/A</v>
      </c>
      <c r="AG80" s="48" t="e">
        <f t="shared" si="17"/>
        <v>#N/A</v>
      </c>
      <c r="AH80" s="109">
        <f t="shared" si="14"/>
        <v>0.48000000000000015</v>
      </c>
      <c r="AI80" s="231" t="e">
        <f>_xlfn.XLOOKUP($D80,Tab_Process_TCs[TC_ID],Tab_Process_TCs[Output_Flow_O_2],,0,)</f>
        <v>#N/A</v>
      </c>
      <c r="AJ80" s="113" t="e">
        <f>_xlfn.XLOOKUP($D80,Tab_Process_TCs[TC_ID],Tab_Process_TCs[Flow_ID_O_2],,0,)</f>
        <v>#N/A</v>
      </c>
      <c r="AK80" s="100" t="e">
        <f>Tab_Process_TCs2527[[#This Row],[Flow_ID]]</f>
        <v>#N/A</v>
      </c>
      <c r="AL80" s="48" t="e">
        <f t="shared" si="18"/>
        <v>#N/A</v>
      </c>
      <c r="AM80" s="228">
        <f t="shared" si="15"/>
        <v>0.26999999999999985</v>
      </c>
      <c r="AN80" s="57" t="e">
        <f>_xlfn.XLOOKUP($D80,Tab_Process_TCs[TC_ID],Tab_Process_TCs[Output_Flow_O_3],,0,)</f>
        <v>#N/A</v>
      </c>
      <c r="AO80" s="48" t="e">
        <f>_xlfn.XLOOKUP($D80,Tab_Process_TCs[TC_ID],Tab_Process_TCs[Flow_ID_O_3],,0,)</f>
        <v>#N/A</v>
      </c>
      <c r="AP80" s="100" t="e">
        <f>Tab_Process_TCs2527[[#This Row],[Flow_ID]]</f>
        <v>#N/A</v>
      </c>
      <c r="AQ80" s="48" t="e">
        <f t="shared" si="19"/>
        <v>#N/A</v>
      </c>
      <c r="AR80" s="228">
        <v>0.25</v>
      </c>
      <c r="AS80" s="57" t="e">
        <f>_xlfn.XLOOKUP($D80,Tab_Process_TCs[TC_ID],#REF!,,0,)</f>
        <v>#REF!</v>
      </c>
      <c r="AT80" s="48" t="e">
        <f>_xlfn.XLOOKUP($D80,Tab_Process_TCs[TC_ID],#REF!,,0,)</f>
        <v>#REF!</v>
      </c>
      <c r="AU80" s="100" t="e">
        <f>Tab_Process_TCs2527[[#This Row],[Flow_ID]]</f>
        <v>#N/A</v>
      </c>
      <c r="AV80" s="100" t="e">
        <f t="shared" si="20"/>
        <v>#N/A</v>
      </c>
      <c r="AW80" s="228"/>
      <c r="AX80" s="57" t="e">
        <f>_xlfn.XLOOKUP($D80,Tab_Process_TCs[TC_ID],#REF!,,0,)</f>
        <v>#REF!</v>
      </c>
      <c r="AY80" s="48" t="e">
        <f>_xlfn.XLOOKUP($D80,Tab_Process_TCs[TC_ID],#REF!,,0,)</f>
        <v>#REF!</v>
      </c>
      <c r="AZ80" s="100" t="e">
        <f>Tab_Process_TCs2527[[#This Row],[Flow_ID]]</f>
        <v>#N/A</v>
      </c>
      <c r="BA80" s="100" t="e">
        <f t="shared" si="21"/>
        <v>#REF!</v>
      </c>
      <c r="BB80" s="228"/>
      <c r="BC80" s="48" t="e">
        <f>_xlfn.XLOOKUP($D80,Tab_Process_TCs[TC_ID],#REF!,,0,)</f>
        <v>#REF!</v>
      </c>
      <c r="BD80" s="48" t="e">
        <f>_xlfn.XLOOKUP($D80,Tab_Process_TCs[TC_ID],#REF!,,0,)</f>
        <v>#REF!</v>
      </c>
      <c r="BE80" s="100" t="e">
        <f>Tab_Process_TCs2527[[#This Row],[Flow_ID]]</f>
        <v>#N/A</v>
      </c>
      <c r="BF80" s="100" t="e">
        <f t="shared" si="22"/>
        <v>#REF!</v>
      </c>
      <c r="BG80" s="109"/>
      <c r="BH80" s="112">
        <f>Tab_Process_TCs2527[[#This Row],[TC O_6_'[%']]]+Tab_Process_TCs2527[[#This Row],[TC O_5_'[%']]]+Tab_Process_TCs2527[[#This Row],[TC_O_4_'[%']]]+Tab_Process_TCs2527[[#This Row],[TC_O_3_'[%']]]+Tab_Process_TCs2527[[#This Row],[TC_O_2_'[%']]]+Tab_Process_TCs2527[[#This Row],[TC_O_1_'[%']]]</f>
        <v>1</v>
      </c>
      <c r="BI80" s="50"/>
      <c r="BJ80" s="50"/>
      <c r="BK80" s="50"/>
      <c r="BL80" s="50"/>
      <c r="BM80" s="50"/>
    </row>
    <row r="81" spans="1:65" x14ac:dyDescent="0.25">
      <c r="A81" s="87" t="b">
        <v>0</v>
      </c>
      <c r="B81" s="48">
        <f t="shared" si="16"/>
        <v>80</v>
      </c>
      <c r="C81" s="107" t="e">
        <f>_xlfn.XLOOKUP($D81,Tab_Process_TCs[Name(EN)],Tab_Process_TCs[Process_ID],,0,)</f>
        <v>#N/A</v>
      </c>
      <c r="D81" s="50"/>
      <c r="E81" s="50" t="s">
        <v>55</v>
      </c>
      <c r="F81" s="48" t="e">
        <f>_xlfn.XLOOKUP($D81,Tab_Process_TCs[Name(EN)],Tab_Process_TCs[TC?],,0,)</f>
        <v>#N/A</v>
      </c>
      <c r="G81" s="48" t="e">
        <f>_xlfn.XLOOKUP($D81,Tab_Process_TCs[Name(EN)],Tab_Process_TCs[Dyn_TC?],,0,)</f>
        <v>#N/A</v>
      </c>
      <c r="H81" s="48" t="e">
        <f>_xlfn.XLOOKUP($E81,Tab_Def_Flows[Name(EN)],Tab_Def_Flows[Flow_ID],,0,1)</f>
        <v>#N/A</v>
      </c>
      <c r="I81" s="50" t="e">
        <f>IF(Tab_Process_TCs2527[[#This Row],[Name(EN)]]="N.A.","N.A.","TC"&amp;"_"&amp;RIGHT(H81,5))</f>
        <v>#N/A</v>
      </c>
      <c r="J81" s="50"/>
      <c r="K81" s="249"/>
      <c r="L81" s="50" t="e">
        <f>_xlfn.XLOOKUP($D81,Tab_Def_Processes[Name(EN)],Tab_Def_Processes[Stock?],,0,)</f>
        <v>#N/A</v>
      </c>
      <c r="M81" s="48"/>
      <c r="N81" s="57" t="e">
        <f>_xlfn.XLOOKUP($D81,Tab_Def_Processes[Name(EN)],Tab_Def_Processes[Input_Flow_I_1],,0,)</f>
        <v>#N/A</v>
      </c>
      <c r="O81" s="48" t="e">
        <f>_xlfn.XLOOKUP($D81,Tab_Def_Processes[Name(EN)],Tab_Def_Processes[Flow_ID_I_1],,0,)</f>
        <v>#N/A</v>
      </c>
      <c r="P81" s="75"/>
      <c r="Q81" s="71" t="e">
        <f>_xlfn.XLOOKUP($D81,Tab_Def_Processes[Name(EN)],Tab_Def_Processes[Input_Flow_I_2],,0,)</f>
        <v>#N/A</v>
      </c>
      <c r="R81" s="48" t="e">
        <f>_xlfn.XLOOKUP($D81,Tab_Def_Processes[Name(EN)],Tab_Def_Processes[Flow_ID_I_2],,0,)</f>
        <v>#N/A</v>
      </c>
      <c r="S81" s="75"/>
      <c r="T81" s="71" t="e">
        <f>_xlfn.XLOOKUP($D81,Tab_Def_Processes[Name(EN)],Tab_Def_Processes[Input_Flow_I_3],,0,)</f>
        <v>#N/A</v>
      </c>
      <c r="U81" s="48" t="e">
        <f>_xlfn.XLOOKUP($D81,Tab_Def_Processes[Name(EN)],Tab_Def_Processes[Flow_ID_I_3],,0,)</f>
        <v>#N/A</v>
      </c>
      <c r="V81" s="75"/>
      <c r="W81" s="71" t="e">
        <f>_xlfn.XLOOKUP($D81,Tab_Def_Processes[Name(EN)],Tab_Def_Processes[Input_Flow_I_4],,0,)</f>
        <v>#N/A</v>
      </c>
      <c r="X81" s="48" t="e">
        <f>_xlfn.XLOOKUP($D81,Tab_Def_Processes[Name(EN)],Tab_Def_Processes[Flow_ID_I_4],,0,)</f>
        <v>#N/A</v>
      </c>
      <c r="Y81" s="75"/>
      <c r="Z81" s="71" t="e">
        <f>_xlfn.XLOOKUP($D81,Tab_Def_Processes[Name(EN)],Tab_Def_Processes[Input_Flow_I_5],,0,)</f>
        <v>#N/A</v>
      </c>
      <c r="AA81" s="48" t="e">
        <f>_xlfn.XLOOKUP($D81,Tab_Def_Processes[Name(EN)],Tab_Def_Processes[Flow_ID_I_5],,0,)</f>
        <v>#N/A</v>
      </c>
      <c r="AB81" s="75"/>
      <c r="AC81" s="74">
        <f>Tab_Process_TCs2527[[#This Row],[Flow_TC_I_1_'[%']]]+Tab_Process_TCs2527[[#This Row],[Flow_TC_I_2_'[%']]]+Tab_Process_TCs2527[[#This Row],[Flow_TC_I_3_'[%']]]+Tab_Process_TCs2527[[#This Row],[Flow_TC_I_4_'[%']]]+Tab_Process_TCs2527[[#This Row],[Flow_TC_I_5_'[%']]]</f>
        <v>0</v>
      </c>
      <c r="AD81" s="57" t="e">
        <f>_xlfn.XLOOKUP($D81,Tab_Process_TCs[TC_ID],Tab_Process_TCs[Output_Flow_O_1],,0,)</f>
        <v>#N/A</v>
      </c>
      <c r="AE81" s="48" t="e">
        <f>_xlfn.XLOOKUP($D81,Tab_Process_TCs[TC_ID],Tab_Process_TCs[Flow_ID_O_1],,0,)</f>
        <v>#N/A</v>
      </c>
      <c r="AF81" s="100" t="e">
        <f>Tab_Process_TCs2527[[#This Row],[Flow_ID]]</f>
        <v>#N/A</v>
      </c>
      <c r="AG81" s="48" t="e">
        <f t="shared" si="17"/>
        <v>#N/A</v>
      </c>
      <c r="AH81" s="109">
        <f t="shared" si="14"/>
        <v>0.49000000000000016</v>
      </c>
      <c r="AI81" s="231" t="e">
        <f>_xlfn.XLOOKUP($D81,Tab_Process_TCs[TC_ID],Tab_Process_TCs[Output_Flow_O_2],,0,)</f>
        <v>#N/A</v>
      </c>
      <c r="AJ81" s="113" t="e">
        <f>_xlfn.XLOOKUP($D81,Tab_Process_TCs[TC_ID],Tab_Process_TCs[Flow_ID_O_2],,0,)</f>
        <v>#N/A</v>
      </c>
      <c r="AK81" s="100" t="e">
        <f>Tab_Process_TCs2527[[#This Row],[Flow_ID]]</f>
        <v>#N/A</v>
      </c>
      <c r="AL81" s="48" t="e">
        <f t="shared" si="18"/>
        <v>#N/A</v>
      </c>
      <c r="AM81" s="228">
        <f t="shared" si="15"/>
        <v>0.25999999999999984</v>
      </c>
      <c r="AN81" s="57" t="e">
        <f>_xlfn.XLOOKUP($D81,Tab_Process_TCs[TC_ID],Tab_Process_TCs[Output_Flow_O_3],,0,)</f>
        <v>#N/A</v>
      </c>
      <c r="AO81" s="48" t="e">
        <f>_xlfn.XLOOKUP($D81,Tab_Process_TCs[TC_ID],Tab_Process_TCs[Flow_ID_O_3],,0,)</f>
        <v>#N/A</v>
      </c>
      <c r="AP81" s="100" t="e">
        <f>Tab_Process_TCs2527[[#This Row],[Flow_ID]]</f>
        <v>#N/A</v>
      </c>
      <c r="AQ81" s="48" t="e">
        <f t="shared" si="19"/>
        <v>#N/A</v>
      </c>
      <c r="AR81" s="228">
        <v>0.25</v>
      </c>
      <c r="AS81" s="57" t="e">
        <f>_xlfn.XLOOKUP($D81,Tab_Process_TCs[TC_ID],#REF!,,0,)</f>
        <v>#REF!</v>
      </c>
      <c r="AT81" s="48" t="e">
        <f>_xlfn.XLOOKUP($D81,Tab_Process_TCs[TC_ID],#REF!,,0,)</f>
        <v>#REF!</v>
      </c>
      <c r="AU81" s="100" t="e">
        <f>Tab_Process_TCs2527[[#This Row],[Flow_ID]]</f>
        <v>#N/A</v>
      </c>
      <c r="AV81" s="100" t="e">
        <f t="shared" si="20"/>
        <v>#N/A</v>
      </c>
      <c r="AW81" s="228"/>
      <c r="AX81" s="57" t="e">
        <f>_xlfn.XLOOKUP($D81,Tab_Process_TCs[TC_ID],#REF!,,0,)</f>
        <v>#REF!</v>
      </c>
      <c r="AY81" s="48" t="e">
        <f>_xlfn.XLOOKUP($D81,Tab_Process_TCs[TC_ID],#REF!,,0,)</f>
        <v>#REF!</v>
      </c>
      <c r="AZ81" s="100" t="e">
        <f>Tab_Process_TCs2527[[#This Row],[Flow_ID]]</f>
        <v>#N/A</v>
      </c>
      <c r="BA81" s="100" t="e">
        <f t="shared" si="21"/>
        <v>#REF!</v>
      </c>
      <c r="BB81" s="228"/>
      <c r="BC81" s="48" t="e">
        <f>_xlfn.XLOOKUP($D81,Tab_Process_TCs[TC_ID],#REF!,,0,)</f>
        <v>#REF!</v>
      </c>
      <c r="BD81" s="48" t="e">
        <f>_xlfn.XLOOKUP($D81,Tab_Process_TCs[TC_ID],#REF!,,0,)</f>
        <v>#REF!</v>
      </c>
      <c r="BE81" s="100" t="e">
        <f>Tab_Process_TCs2527[[#This Row],[Flow_ID]]</f>
        <v>#N/A</v>
      </c>
      <c r="BF81" s="100" t="e">
        <f t="shared" si="22"/>
        <v>#REF!</v>
      </c>
      <c r="BG81" s="109"/>
      <c r="BH81" s="112">
        <f>Tab_Process_TCs2527[[#This Row],[TC O_6_'[%']]]+Tab_Process_TCs2527[[#This Row],[TC O_5_'[%']]]+Tab_Process_TCs2527[[#This Row],[TC_O_4_'[%']]]+Tab_Process_TCs2527[[#This Row],[TC_O_3_'[%']]]+Tab_Process_TCs2527[[#This Row],[TC_O_2_'[%']]]+Tab_Process_TCs2527[[#This Row],[TC_O_1_'[%']]]</f>
        <v>1</v>
      </c>
      <c r="BI81" s="50"/>
      <c r="BJ81" s="50"/>
      <c r="BK81" s="50"/>
      <c r="BL81" s="50"/>
      <c r="BM81" s="50"/>
    </row>
    <row r="82" spans="1:65" x14ac:dyDescent="0.25">
      <c r="A82" s="87" t="b">
        <v>0</v>
      </c>
      <c r="B82" s="48">
        <f t="shared" si="16"/>
        <v>81</v>
      </c>
      <c r="C82" s="107" t="e">
        <f>_xlfn.XLOOKUP($D82,Tab_Process_TCs[Name(EN)],Tab_Process_TCs[Process_ID],,0,)</f>
        <v>#N/A</v>
      </c>
      <c r="D82" s="50"/>
      <c r="E82" s="50" t="s">
        <v>55</v>
      </c>
      <c r="F82" s="48" t="e">
        <f>_xlfn.XLOOKUP($D82,Tab_Process_TCs[Name(EN)],Tab_Process_TCs[TC?],,0,)</f>
        <v>#N/A</v>
      </c>
      <c r="G82" s="48" t="e">
        <f>_xlfn.XLOOKUP($D82,Tab_Process_TCs[Name(EN)],Tab_Process_TCs[Dyn_TC?],,0,)</f>
        <v>#N/A</v>
      </c>
      <c r="H82" s="48" t="e">
        <f>_xlfn.XLOOKUP($E82,Tab_Def_Flows[Name(EN)],Tab_Def_Flows[Flow_ID],,0,1)</f>
        <v>#N/A</v>
      </c>
      <c r="I82" s="50" t="e">
        <f>IF(Tab_Process_TCs2527[[#This Row],[Name(EN)]]="N.A.","N.A.","TC"&amp;"_"&amp;RIGHT(H82,5))</f>
        <v>#N/A</v>
      </c>
      <c r="J82" s="50"/>
      <c r="K82" s="249"/>
      <c r="L82" s="50" t="e">
        <f>_xlfn.XLOOKUP($D82,Tab_Def_Processes[Name(EN)],Tab_Def_Processes[Stock?],,0,)</f>
        <v>#N/A</v>
      </c>
      <c r="M82" s="48"/>
      <c r="N82" s="57" t="e">
        <f>_xlfn.XLOOKUP($D82,Tab_Def_Processes[Name(EN)],Tab_Def_Processes[Input_Flow_I_1],,0,)</f>
        <v>#N/A</v>
      </c>
      <c r="O82" s="48" t="e">
        <f>_xlfn.XLOOKUP($D82,Tab_Def_Processes[Name(EN)],Tab_Def_Processes[Flow_ID_I_1],,0,)</f>
        <v>#N/A</v>
      </c>
      <c r="P82" s="75"/>
      <c r="Q82" s="71" t="e">
        <f>_xlfn.XLOOKUP($D82,Tab_Def_Processes[Name(EN)],Tab_Def_Processes[Input_Flow_I_2],,0,)</f>
        <v>#N/A</v>
      </c>
      <c r="R82" s="48" t="e">
        <f>_xlfn.XLOOKUP($D82,Tab_Def_Processes[Name(EN)],Tab_Def_Processes[Flow_ID_I_2],,0,)</f>
        <v>#N/A</v>
      </c>
      <c r="S82" s="75"/>
      <c r="T82" s="71" t="e">
        <f>_xlfn.XLOOKUP($D82,Tab_Def_Processes[Name(EN)],Tab_Def_Processes[Input_Flow_I_3],,0,)</f>
        <v>#N/A</v>
      </c>
      <c r="U82" s="48" t="e">
        <f>_xlfn.XLOOKUP($D82,Tab_Def_Processes[Name(EN)],Tab_Def_Processes[Flow_ID_I_3],,0,)</f>
        <v>#N/A</v>
      </c>
      <c r="V82" s="75"/>
      <c r="W82" s="71" t="e">
        <f>_xlfn.XLOOKUP($D82,Tab_Def_Processes[Name(EN)],Tab_Def_Processes[Input_Flow_I_4],,0,)</f>
        <v>#N/A</v>
      </c>
      <c r="X82" s="48" t="e">
        <f>_xlfn.XLOOKUP($D82,Tab_Def_Processes[Name(EN)],Tab_Def_Processes[Flow_ID_I_4],,0,)</f>
        <v>#N/A</v>
      </c>
      <c r="Y82" s="75"/>
      <c r="Z82" s="71" t="e">
        <f>_xlfn.XLOOKUP($D82,Tab_Def_Processes[Name(EN)],Tab_Def_Processes[Input_Flow_I_5],,0,)</f>
        <v>#N/A</v>
      </c>
      <c r="AA82" s="48" t="e">
        <f>_xlfn.XLOOKUP($D82,Tab_Def_Processes[Name(EN)],Tab_Def_Processes[Flow_ID_I_5],,0,)</f>
        <v>#N/A</v>
      </c>
      <c r="AB82" s="75"/>
      <c r="AC82" s="74">
        <f>Tab_Process_TCs2527[[#This Row],[Flow_TC_I_1_'[%']]]+Tab_Process_TCs2527[[#This Row],[Flow_TC_I_2_'[%']]]+Tab_Process_TCs2527[[#This Row],[Flow_TC_I_3_'[%']]]+Tab_Process_TCs2527[[#This Row],[Flow_TC_I_4_'[%']]]+Tab_Process_TCs2527[[#This Row],[Flow_TC_I_5_'[%']]]</f>
        <v>0</v>
      </c>
      <c r="AD82" s="57" t="e">
        <f>_xlfn.XLOOKUP($D82,Tab_Process_TCs[TC_ID],Tab_Process_TCs[Output_Flow_O_1],,0,)</f>
        <v>#N/A</v>
      </c>
      <c r="AE82" s="48" t="e">
        <f>_xlfn.XLOOKUP($D82,Tab_Process_TCs[TC_ID],Tab_Process_TCs[Flow_ID_O_1],,0,)</f>
        <v>#N/A</v>
      </c>
      <c r="AF82" s="100" t="e">
        <f>Tab_Process_TCs2527[[#This Row],[Flow_ID]]</f>
        <v>#N/A</v>
      </c>
      <c r="AG82" s="48" t="e">
        <f t="shared" si="17"/>
        <v>#N/A</v>
      </c>
      <c r="AH82" s="109">
        <f t="shared" si="14"/>
        <v>0.50000000000000011</v>
      </c>
      <c r="AI82" s="231" t="e">
        <f>_xlfn.XLOOKUP($D82,Tab_Process_TCs[TC_ID],Tab_Process_TCs[Output_Flow_O_2],,0,)</f>
        <v>#N/A</v>
      </c>
      <c r="AJ82" s="113" t="e">
        <f>_xlfn.XLOOKUP($D82,Tab_Process_TCs[TC_ID],Tab_Process_TCs[Flow_ID_O_2],,0,)</f>
        <v>#N/A</v>
      </c>
      <c r="AK82" s="100" t="e">
        <f>Tab_Process_TCs2527[[#This Row],[Flow_ID]]</f>
        <v>#N/A</v>
      </c>
      <c r="AL82" s="48" t="e">
        <f t="shared" si="18"/>
        <v>#N/A</v>
      </c>
      <c r="AM82" s="228">
        <f t="shared" si="15"/>
        <v>0.24999999999999983</v>
      </c>
      <c r="AN82" s="57" t="e">
        <f>_xlfn.XLOOKUP($D82,Tab_Process_TCs[TC_ID],Tab_Process_TCs[Output_Flow_O_3],,0,)</f>
        <v>#N/A</v>
      </c>
      <c r="AO82" s="48" t="e">
        <f>_xlfn.XLOOKUP($D82,Tab_Process_TCs[TC_ID],Tab_Process_TCs[Flow_ID_O_3],,0,)</f>
        <v>#N/A</v>
      </c>
      <c r="AP82" s="100" t="e">
        <f>Tab_Process_TCs2527[[#This Row],[Flow_ID]]</f>
        <v>#N/A</v>
      </c>
      <c r="AQ82" s="48" t="e">
        <f t="shared" si="19"/>
        <v>#N/A</v>
      </c>
      <c r="AR82" s="228">
        <v>0.25</v>
      </c>
      <c r="AS82" s="57" t="e">
        <f>_xlfn.XLOOKUP($D82,Tab_Process_TCs[TC_ID],#REF!,,0,)</f>
        <v>#REF!</v>
      </c>
      <c r="AT82" s="48" t="e">
        <f>_xlfn.XLOOKUP($D82,Tab_Process_TCs[TC_ID],#REF!,,0,)</f>
        <v>#REF!</v>
      </c>
      <c r="AU82" s="100" t="e">
        <f>Tab_Process_TCs2527[[#This Row],[Flow_ID]]</f>
        <v>#N/A</v>
      </c>
      <c r="AV82" s="100" t="e">
        <f t="shared" si="20"/>
        <v>#N/A</v>
      </c>
      <c r="AW82" s="228"/>
      <c r="AX82" s="57" t="e">
        <f>_xlfn.XLOOKUP($D82,Tab_Process_TCs[TC_ID],#REF!,,0,)</f>
        <v>#REF!</v>
      </c>
      <c r="AY82" s="48" t="e">
        <f>_xlfn.XLOOKUP($D82,Tab_Process_TCs[TC_ID],#REF!,,0,)</f>
        <v>#REF!</v>
      </c>
      <c r="AZ82" s="100" t="e">
        <f>Tab_Process_TCs2527[[#This Row],[Flow_ID]]</f>
        <v>#N/A</v>
      </c>
      <c r="BA82" s="100" t="e">
        <f t="shared" si="21"/>
        <v>#REF!</v>
      </c>
      <c r="BB82" s="228"/>
      <c r="BC82" s="48" t="e">
        <f>_xlfn.XLOOKUP($D82,Tab_Process_TCs[TC_ID],#REF!,,0,)</f>
        <v>#REF!</v>
      </c>
      <c r="BD82" s="48" t="e">
        <f>_xlfn.XLOOKUP($D82,Tab_Process_TCs[TC_ID],#REF!,,0,)</f>
        <v>#REF!</v>
      </c>
      <c r="BE82" s="100" t="e">
        <f>Tab_Process_TCs2527[[#This Row],[Flow_ID]]</f>
        <v>#N/A</v>
      </c>
      <c r="BF82" s="100" t="e">
        <f t="shared" si="22"/>
        <v>#REF!</v>
      </c>
      <c r="BG82" s="109"/>
      <c r="BH82" s="112">
        <f>Tab_Process_TCs2527[[#This Row],[TC O_6_'[%']]]+Tab_Process_TCs2527[[#This Row],[TC O_5_'[%']]]+Tab_Process_TCs2527[[#This Row],[TC_O_4_'[%']]]+Tab_Process_TCs2527[[#This Row],[TC_O_3_'[%']]]+Tab_Process_TCs2527[[#This Row],[TC_O_2_'[%']]]+Tab_Process_TCs2527[[#This Row],[TC_O_1_'[%']]]</f>
        <v>1</v>
      </c>
      <c r="BI82" s="50"/>
      <c r="BJ82" s="50"/>
      <c r="BK82" s="50"/>
      <c r="BL82" s="50"/>
      <c r="BM82" s="50"/>
    </row>
    <row r="83" spans="1:65" x14ac:dyDescent="0.25">
      <c r="A83" s="87" t="b">
        <v>0</v>
      </c>
      <c r="B83" s="48">
        <f t="shared" si="16"/>
        <v>82</v>
      </c>
      <c r="C83" s="107" t="e">
        <f>_xlfn.XLOOKUP($D83,Tab_Process_TCs[Name(EN)],Tab_Process_TCs[Process_ID],,0,)</f>
        <v>#N/A</v>
      </c>
      <c r="D83" s="50"/>
      <c r="E83" s="50" t="s">
        <v>55</v>
      </c>
      <c r="F83" s="48" t="e">
        <f>_xlfn.XLOOKUP($D83,Tab_Process_TCs[Name(EN)],Tab_Process_TCs[TC?],,0,)</f>
        <v>#N/A</v>
      </c>
      <c r="G83" s="48" t="e">
        <f>_xlfn.XLOOKUP($D83,Tab_Process_TCs[Name(EN)],Tab_Process_TCs[Dyn_TC?],,0,)</f>
        <v>#N/A</v>
      </c>
      <c r="H83" s="48" t="e">
        <f>_xlfn.XLOOKUP($E83,Tab_Def_Flows[Name(EN)],Tab_Def_Flows[Flow_ID],,0,1)</f>
        <v>#N/A</v>
      </c>
      <c r="I83" s="50" t="e">
        <f>IF(Tab_Process_TCs2527[[#This Row],[Name(EN)]]="N.A.","N.A.","TC"&amp;"_"&amp;RIGHT(H83,5))</f>
        <v>#N/A</v>
      </c>
      <c r="J83" s="50"/>
      <c r="K83" s="249"/>
      <c r="L83" s="50" t="e">
        <f>_xlfn.XLOOKUP($D83,Tab_Def_Processes[Name(EN)],Tab_Def_Processes[Stock?],,0,)</f>
        <v>#N/A</v>
      </c>
      <c r="M83" s="48"/>
      <c r="N83" s="57" t="e">
        <f>_xlfn.XLOOKUP($D83,Tab_Def_Processes[Name(EN)],Tab_Def_Processes[Input_Flow_I_1],,0,)</f>
        <v>#N/A</v>
      </c>
      <c r="O83" s="48" t="e">
        <f>_xlfn.XLOOKUP($D83,Tab_Def_Processes[Name(EN)],Tab_Def_Processes[Flow_ID_I_1],,0,)</f>
        <v>#N/A</v>
      </c>
      <c r="P83" s="75"/>
      <c r="Q83" s="71" t="e">
        <f>_xlfn.XLOOKUP($D83,Tab_Def_Processes[Name(EN)],Tab_Def_Processes[Input_Flow_I_2],,0,)</f>
        <v>#N/A</v>
      </c>
      <c r="R83" s="48" t="e">
        <f>_xlfn.XLOOKUP($D83,Tab_Def_Processes[Name(EN)],Tab_Def_Processes[Flow_ID_I_2],,0,)</f>
        <v>#N/A</v>
      </c>
      <c r="S83" s="75"/>
      <c r="T83" s="71" t="e">
        <f>_xlfn.XLOOKUP($D83,Tab_Def_Processes[Name(EN)],Tab_Def_Processes[Input_Flow_I_3],,0,)</f>
        <v>#N/A</v>
      </c>
      <c r="U83" s="48" t="e">
        <f>_xlfn.XLOOKUP($D83,Tab_Def_Processes[Name(EN)],Tab_Def_Processes[Flow_ID_I_3],,0,)</f>
        <v>#N/A</v>
      </c>
      <c r="V83" s="75"/>
      <c r="W83" s="71" t="e">
        <f>_xlfn.XLOOKUP($D83,Tab_Def_Processes[Name(EN)],Tab_Def_Processes[Input_Flow_I_4],,0,)</f>
        <v>#N/A</v>
      </c>
      <c r="X83" s="48" t="e">
        <f>_xlfn.XLOOKUP($D83,Tab_Def_Processes[Name(EN)],Tab_Def_Processes[Flow_ID_I_4],,0,)</f>
        <v>#N/A</v>
      </c>
      <c r="Y83" s="75"/>
      <c r="Z83" s="71" t="e">
        <f>_xlfn.XLOOKUP($D83,Tab_Def_Processes[Name(EN)],Tab_Def_Processes[Input_Flow_I_5],,0,)</f>
        <v>#N/A</v>
      </c>
      <c r="AA83" s="48" t="e">
        <f>_xlfn.XLOOKUP($D83,Tab_Def_Processes[Name(EN)],Tab_Def_Processes[Flow_ID_I_5],,0,)</f>
        <v>#N/A</v>
      </c>
      <c r="AB83" s="75"/>
      <c r="AC83" s="74">
        <f>Tab_Process_TCs2527[[#This Row],[Flow_TC_I_1_'[%']]]+Tab_Process_TCs2527[[#This Row],[Flow_TC_I_2_'[%']]]+Tab_Process_TCs2527[[#This Row],[Flow_TC_I_3_'[%']]]+Tab_Process_TCs2527[[#This Row],[Flow_TC_I_4_'[%']]]+Tab_Process_TCs2527[[#This Row],[Flow_TC_I_5_'[%']]]</f>
        <v>0</v>
      </c>
      <c r="AD83" s="57" t="e">
        <f>_xlfn.XLOOKUP($D83,Tab_Process_TCs[TC_ID],Tab_Process_TCs[Output_Flow_O_1],,0,)</f>
        <v>#N/A</v>
      </c>
      <c r="AE83" s="48" t="e">
        <f>_xlfn.XLOOKUP($D83,Tab_Process_TCs[TC_ID],Tab_Process_TCs[Flow_ID_O_1],,0,)</f>
        <v>#N/A</v>
      </c>
      <c r="AF83" s="100" t="e">
        <f>Tab_Process_TCs2527[[#This Row],[Flow_ID]]</f>
        <v>#N/A</v>
      </c>
      <c r="AG83" s="48" t="e">
        <f t="shared" si="17"/>
        <v>#N/A</v>
      </c>
      <c r="AH83" s="109">
        <f t="shared" si="14"/>
        <v>0.51000000000000012</v>
      </c>
      <c r="AI83" s="231" t="e">
        <f>_xlfn.XLOOKUP($D83,Tab_Process_TCs[TC_ID],Tab_Process_TCs[Output_Flow_O_2],,0,)</f>
        <v>#N/A</v>
      </c>
      <c r="AJ83" s="113" t="e">
        <f>_xlfn.XLOOKUP($D83,Tab_Process_TCs[TC_ID],Tab_Process_TCs[Flow_ID_O_2],,0,)</f>
        <v>#N/A</v>
      </c>
      <c r="AK83" s="100" t="e">
        <f>Tab_Process_TCs2527[[#This Row],[Flow_ID]]</f>
        <v>#N/A</v>
      </c>
      <c r="AL83" s="48" t="e">
        <f t="shared" si="18"/>
        <v>#N/A</v>
      </c>
      <c r="AM83" s="228">
        <f t="shared" si="15"/>
        <v>0.23999999999999982</v>
      </c>
      <c r="AN83" s="57" t="e">
        <f>_xlfn.XLOOKUP($D83,Tab_Process_TCs[TC_ID],Tab_Process_TCs[Output_Flow_O_3],,0,)</f>
        <v>#N/A</v>
      </c>
      <c r="AO83" s="48" t="e">
        <f>_xlfn.XLOOKUP($D83,Tab_Process_TCs[TC_ID],Tab_Process_TCs[Flow_ID_O_3],,0,)</f>
        <v>#N/A</v>
      </c>
      <c r="AP83" s="100" t="e">
        <f>Tab_Process_TCs2527[[#This Row],[Flow_ID]]</f>
        <v>#N/A</v>
      </c>
      <c r="AQ83" s="48" t="e">
        <f t="shared" si="19"/>
        <v>#N/A</v>
      </c>
      <c r="AR83" s="228">
        <v>0.25</v>
      </c>
      <c r="AS83" s="57" t="e">
        <f>_xlfn.XLOOKUP($D83,Tab_Process_TCs[TC_ID],#REF!,,0,)</f>
        <v>#REF!</v>
      </c>
      <c r="AT83" s="48" t="e">
        <f>_xlfn.XLOOKUP($D83,Tab_Process_TCs[TC_ID],#REF!,,0,)</f>
        <v>#REF!</v>
      </c>
      <c r="AU83" s="100" t="e">
        <f>Tab_Process_TCs2527[[#This Row],[Flow_ID]]</f>
        <v>#N/A</v>
      </c>
      <c r="AV83" s="100" t="e">
        <f t="shared" si="20"/>
        <v>#N/A</v>
      </c>
      <c r="AW83" s="228"/>
      <c r="AX83" s="57" t="e">
        <f>_xlfn.XLOOKUP($D83,Tab_Process_TCs[TC_ID],#REF!,,0,)</f>
        <v>#REF!</v>
      </c>
      <c r="AY83" s="48" t="e">
        <f>_xlfn.XLOOKUP($D83,Tab_Process_TCs[TC_ID],#REF!,,0,)</f>
        <v>#REF!</v>
      </c>
      <c r="AZ83" s="100" t="e">
        <f>Tab_Process_TCs2527[[#This Row],[Flow_ID]]</f>
        <v>#N/A</v>
      </c>
      <c r="BA83" s="100" t="e">
        <f t="shared" si="21"/>
        <v>#REF!</v>
      </c>
      <c r="BB83" s="228"/>
      <c r="BC83" s="48" t="e">
        <f>_xlfn.XLOOKUP($D83,Tab_Process_TCs[TC_ID],#REF!,,0,)</f>
        <v>#REF!</v>
      </c>
      <c r="BD83" s="48" t="e">
        <f>_xlfn.XLOOKUP($D83,Tab_Process_TCs[TC_ID],#REF!,,0,)</f>
        <v>#REF!</v>
      </c>
      <c r="BE83" s="100" t="e">
        <f>Tab_Process_TCs2527[[#This Row],[Flow_ID]]</f>
        <v>#N/A</v>
      </c>
      <c r="BF83" s="100" t="e">
        <f t="shared" si="22"/>
        <v>#REF!</v>
      </c>
      <c r="BG83" s="109"/>
      <c r="BH83" s="112">
        <f>Tab_Process_TCs2527[[#This Row],[TC O_6_'[%']]]+Tab_Process_TCs2527[[#This Row],[TC O_5_'[%']]]+Tab_Process_TCs2527[[#This Row],[TC_O_4_'[%']]]+Tab_Process_TCs2527[[#This Row],[TC_O_3_'[%']]]+Tab_Process_TCs2527[[#This Row],[TC_O_2_'[%']]]+Tab_Process_TCs2527[[#This Row],[TC_O_1_'[%']]]</f>
        <v>1</v>
      </c>
      <c r="BI83" s="50"/>
      <c r="BJ83" s="50"/>
      <c r="BK83" s="50"/>
      <c r="BL83" s="50"/>
      <c r="BM83" s="50"/>
    </row>
    <row r="84" spans="1:65" x14ac:dyDescent="0.25">
      <c r="A84" s="87" t="b">
        <v>0</v>
      </c>
      <c r="B84" s="48">
        <f t="shared" si="16"/>
        <v>83</v>
      </c>
      <c r="C84" s="107" t="e">
        <f>_xlfn.XLOOKUP($D84,Tab_Process_TCs[Name(EN)],Tab_Process_TCs[Process_ID],,0,)</f>
        <v>#N/A</v>
      </c>
      <c r="D84" s="50"/>
      <c r="E84" s="50" t="s">
        <v>55</v>
      </c>
      <c r="F84" s="48" t="e">
        <f>_xlfn.XLOOKUP($D84,Tab_Process_TCs[Name(EN)],Tab_Process_TCs[TC?],,0,)</f>
        <v>#N/A</v>
      </c>
      <c r="G84" s="48" t="e">
        <f>_xlfn.XLOOKUP($D84,Tab_Process_TCs[Name(EN)],Tab_Process_TCs[Dyn_TC?],,0,)</f>
        <v>#N/A</v>
      </c>
      <c r="H84" s="48" t="e">
        <f>_xlfn.XLOOKUP($E84,Tab_Def_Flows[Name(EN)],Tab_Def_Flows[Flow_ID],,0,1)</f>
        <v>#N/A</v>
      </c>
      <c r="I84" s="50" t="e">
        <f>IF(Tab_Process_TCs2527[[#This Row],[Name(EN)]]="N.A.","N.A.","TC"&amp;"_"&amp;RIGHT(H84,5))</f>
        <v>#N/A</v>
      </c>
      <c r="J84" s="50"/>
      <c r="K84" s="249"/>
      <c r="L84" s="50" t="e">
        <f>_xlfn.XLOOKUP($D84,Tab_Def_Processes[Name(EN)],Tab_Def_Processes[Stock?],,0,)</f>
        <v>#N/A</v>
      </c>
      <c r="M84" s="48"/>
      <c r="N84" s="57" t="e">
        <f>_xlfn.XLOOKUP($D84,Tab_Def_Processes[Name(EN)],Tab_Def_Processes[Input_Flow_I_1],,0,)</f>
        <v>#N/A</v>
      </c>
      <c r="O84" s="48" t="e">
        <f>_xlfn.XLOOKUP($D84,Tab_Def_Processes[Name(EN)],Tab_Def_Processes[Flow_ID_I_1],,0,)</f>
        <v>#N/A</v>
      </c>
      <c r="P84" s="75"/>
      <c r="Q84" s="71" t="e">
        <f>_xlfn.XLOOKUP($D84,Tab_Def_Processes[Name(EN)],Tab_Def_Processes[Input_Flow_I_2],,0,)</f>
        <v>#N/A</v>
      </c>
      <c r="R84" s="48" t="e">
        <f>_xlfn.XLOOKUP($D84,Tab_Def_Processes[Name(EN)],Tab_Def_Processes[Flow_ID_I_2],,0,)</f>
        <v>#N/A</v>
      </c>
      <c r="S84" s="75"/>
      <c r="T84" s="71" t="e">
        <f>_xlfn.XLOOKUP($D84,Tab_Def_Processes[Name(EN)],Tab_Def_Processes[Input_Flow_I_3],,0,)</f>
        <v>#N/A</v>
      </c>
      <c r="U84" s="48" t="e">
        <f>_xlfn.XLOOKUP($D84,Tab_Def_Processes[Name(EN)],Tab_Def_Processes[Flow_ID_I_3],,0,)</f>
        <v>#N/A</v>
      </c>
      <c r="V84" s="75"/>
      <c r="W84" s="71" t="e">
        <f>_xlfn.XLOOKUP($D84,Tab_Def_Processes[Name(EN)],Tab_Def_Processes[Input_Flow_I_4],,0,)</f>
        <v>#N/A</v>
      </c>
      <c r="X84" s="48" t="e">
        <f>_xlfn.XLOOKUP($D84,Tab_Def_Processes[Name(EN)],Tab_Def_Processes[Flow_ID_I_4],,0,)</f>
        <v>#N/A</v>
      </c>
      <c r="Y84" s="75"/>
      <c r="Z84" s="71" t="e">
        <f>_xlfn.XLOOKUP($D84,Tab_Def_Processes[Name(EN)],Tab_Def_Processes[Input_Flow_I_5],,0,)</f>
        <v>#N/A</v>
      </c>
      <c r="AA84" s="48" t="e">
        <f>_xlfn.XLOOKUP($D84,Tab_Def_Processes[Name(EN)],Tab_Def_Processes[Flow_ID_I_5],,0,)</f>
        <v>#N/A</v>
      </c>
      <c r="AB84" s="75"/>
      <c r="AC84" s="74">
        <f>Tab_Process_TCs2527[[#This Row],[Flow_TC_I_1_'[%']]]+Tab_Process_TCs2527[[#This Row],[Flow_TC_I_2_'[%']]]+Tab_Process_TCs2527[[#This Row],[Flow_TC_I_3_'[%']]]+Tab_Process_TCs2527[[#This Row],[Flow_TC_I_4_'[%']]]+Tab_Process_TCs2527[[#This Row],[Flow_TC_I_5_'[%']]]</f>
        <v>0</v>
      </c>
      <c r="AD84" s="57" t="e">
        <f>_xlfn.XLOOKUP($D84,Tab_Process_TCs[TC_ID],Tab_Process_TCs[Output_Flow_O_1],,0,)</f>
        <v>#N/A</v>
      </c>
      <c r="AE84" s="48" t="e">
        <f>_xlfn.XLOOKUP($D84,Tab_Process_TCs[TC_ID],Tab_Process_TCs[Flow_ID_O_1],,0,)</f>
        <v>#N/A</v>
      </c>
      <c r="AF84" s="100" t="e">
        <f>Tab_Process_TCs2527[[#This Row],[Flow_ID]]</f>
        <v>#N/A</v>
      </c>
      <c r="AG84" s="48" t="e">
        <f t="shared" si="17"/>
        <v>#N/A</v>
      </c>
      <c r="AH84" s="109">
        <f t="shared" si="14"/>
        <v>0.52000000000000013</v>
      </c>
      <c r="AI84" s="231" t="e">
        <f>_xlfn.XLOOKUP($D84,Tab_Process_TCs[TC_ID],Tab_Process_TCs[Output_Flow_O_2],,0,)</f>
        <v>#N/A</v>
      </c>
      <c r="AJ84" s="113" t="e">
        <f>_xlfn.XLOOKUP($D84,Tab_Process_TCs[TC_ID],Tab_Process_TCs[Flow_ID_O_2],,0,)</f>
        <v>#N/A</v>
      </c>
      <c r="AK84" s="100" t="e">
        <f>Tab_Process_TCs2527[[#This Row],[Flow_ID]]</f>
        <v>#N/A</v>
      </c>
      <c r="AL84" s="48" t="e">
        <f t="shared" si="18"/>
        <v>#N/A</v>
      </c>
      <c r="AM84" s="228">
        <f t="shared" si="15"/>
        <v>0.22999999999999982</v>
      </c>
      <c r="AN84" s="57" t="e">
        <f>_xlfn.XLOOKUP($D84,Tab_Process_TCs[TC_ID],Tab_Process_TCs[Output_Flow_O_3],,0,)</f>
        <v>#N/A</v>
      </c>
      <c r="AO84" s="48" t="e">
        <f>_xlfn.XLOOKUP($D84,Tab_Process_TCs[TC_ID],Tab_Process_TCs[Flow_ID_O_3],,0,)</f>
        <v>#N/A</v>
      </c>
      <c r="AP84" s="100" t="e">
        <f>Tab_Process_TCs2527[[#This Row],[Flow_ID]]</f>
        <v>#N/A</v>
      </c>
      <c r="AQ84" s="48" t="e">
        <f t="shared" si="19"/>
        <v>#N/A</v>
      </c>
      <c r="AR84" s="228">
        <v>0.25</v>
      </c>
      <c r="AS84" s="57" t="e">
        <f>_xlfn.XLOOKUP($D84,Tab_Process_TCs[TC_ID],#REF!,,0,)</f>
        <v>#REF!</v>
      </c>
      <c r="AT84" s="48" t="e">
        <f>_xlfn.XLOOKUP($D84,Tab_Process_TCs[TC_ID],#REF!,,0,)</f>
        <v>#REF!</v>
      </c>
      <c r="AU84" s="100" t="e">
        <f>Tab_Process_TCs2527[[#This Row],[Flow_ID]]</f>
        <v>#N/A</v>
      </c>
      <c r="AV84" s="100" t="e">
        <f t="shared" si="20"/>
        <v>#N/A</v>
      </c>
      <c r="AW84" s="228"/>
      <c r="AX84" s="57" t="e">
        <f>_xlfn.XLOOKUP($D84,Tab_Process_TCs[TC_ID],#REF!,,0,)</f>
        <v>#REF!</v>
      </c>
      <c r="AY84" s="48" t="e">
        <f>_xlfn.XLOOKUP($D84,Tab_Process_TCs[TC_ID],#REF!,,0,)</f>
        <v>#REF!</v>
      </c>
      <c r="AZ84" s="100" t="e">
        <f>Tab_Process_TCs2527[[#This Row],[Flow_ID]]</f>
        <v>#N/A</v>
      </c>
      <c r="BA84" s="100" t="e">
        <f t="shared" si="21"/>
        <v>#REF!</v>
      </c>
      <c r="BB84" s="228"/>
      <c r="BC84" s="48" t="e">
        <f>_xlfn.XLOOKUP($D84,Tab_Process_TCs[TC_ID],#REF!,,0,)</f>
        <v>#REF!</v>
      </c>
      <c r="BD84" s="48" t="e">
        <f>_xlfn.XLOOKUP($D84,Tab_Process_TCs[TC_ID],#REF!,,0,)</f>
        <v>#REF!</v>
      </c>
      <c r="BE84" s="100" t="e">
        <f>Tab_Process_TCs2527[[#This Row],[Flow_ID]]</f>
        <v>#N/A</v>
      </c>
      <c r="BF84" s="100" t="e">
        <f t="shared" si="22"/>
        <v>#REF!</v>
      </c>
      <c r="BG84" s="109"/>
      <c r="BH84" s="112">
        <f>Tab_Process_TCs2527[[#This Row],[TC O_6_'[%']]]+Tab_Process_TCs2527[[#This Row],[TC O_5_'[%']]]+Tab_Process_TCs2527[[#This Row],[TC_O_4_'[%']]]+Tab_Process_TCs2527[[#This Row],[TC_O_3_'[%']]]+Tab_Process_TCs2527[[#This Row],[TC_O_2_'[%']]]+Tab_Process_TCs2527[[#This Row],[TC_O_1_'[%']]]</f>
        <v>1</v>
      </c>
      <c r="BI84" s="50"/>
      <c r="BJ84" s="50"/>
      <c r="BK84" s="50"/>
      <c r="BL84" s="50"/>
      <c r="BM84" s="50"/>
    </row>
    <row r="85" spans="1:65" x14ac:dyDescent="0.25">
      <c r="A85" s="87" t="b">
        <v>0</v>
      </c>
      <c r="B85" s="48">
        <f t="shared" si="16"/>
        <v>84</v>
      </c>
      <c r="C85" s="107" t="e">
        <f>_xlfn.XLOOKUP($D85,Tab_Process_TCs[Name(EN)],Tab_Process_TCs[Process_ID],,0,)</f>
        <v>#N/A</v>
      </c>
      <c r="D85" s="50"/>
      <c r="E85" s="50" t="s">
        <v>55</v>
      </c>
      <c r="F85" s="48" t="e">
        <f>_xlfn.XLOOKUP($D85,Tab_Process_TCs[Name(EN)],Tab_Process_TCs[TC?],,0,)</f>
        <v>#N/A</v>
      </c>
      <c r="G85" s="48" t="e">
        <f>_xlfn.XLOOKUP($D85,Tab_Process_TCs[Name(EN)],Tab_Process_TCs[Dyn_TC?],,0,)</f>
        <v>#N/A</v>
      </c>
      <c r="H85" s="48" t="e">
        <f>_xlfn.XLOOKUP($E85,Tab_Def_Flows[Name(EN)],Tab_Def_Flows[Flow_ID],,0,1)</f>
        <v>#N/A</v>
      </c>
      <c r="I85" s="50" t="e">
        <f>IF(Tab_Process_TCs2527[[#This Row],[Name(EN)]]="N.A.","N.A.","TC"&amp;"_"&amp;RIGHT(H85,5))</f>
        <v>#N/A</v>
      </c>
      <c r="J85" s="50"/>
      <c r="K85" s="249"/>
      <c r="L85" s="50" t="e">
        <f>_xlfn.XLOOKUP($D85,Tab_Def_Processes[Name(EN)],Tab_Def_Processes[Stock?],,0,)</f>
        <v>#N/A</v>
      </c>
      <c r="M85" s="48"/>
      <c r="N85" s="57" t="e">
        <f>_xlfn.XLOOKUP($D85,Tab_Def_Processes[Name(EN)],Tab_Def_Processes[Input_Flow_I_1],,0,)</f>
        <v>#N/A</v>
      </c>
      <c r="O85" s="48" t="e">
        <f>_xlfn.XLOOKUP($D85,Tab_Def_Processes[Name(EN)],Tab_Def_Processes[Flow_ID_I_1],,0,)</f>
        <v>#N/A</v>
      </c>
      <c r="P85" s="75"/>
      <c r="Q85" s="71" t="e">
        <f>_xlfn.XLOOKUP($D85,Tab_Def_Processes[Name(EN)],Tab_Def_Processes[Input_Flow_I_2],,0,)</f>
        <v>#N/A</v>
      </c>
      <c r="R85" s="48" t="e">
        <f>_xlfn.XLOOKUP($D85,Tab_Def_Processes[Name(EN)],Tab_Def_Processes[Flow_ID_I_2],,0,)</f>
        <v>#N/A</v>
      </c>
      <c r="S85" s="75"/>
      <c r="T85" s="71" t="e">
        <f>_xlfn.XLOOKUP($D85,Tab_Def_Processes[Name(EN)],Tab_Def_Processes[Input_Flow_I_3],,0,)</f>
        <v>#N/A</v>
      </c>
      <c r="U85" s="48" t="e">
        <f>_xlfn.XLOOKUP($D85,Tab_Def_Processes[Name(EN)],Tab_Def_Processes[Flow_ID_I_3],,0,)</f>
        <v>#N/A</v>
      </c>
      <c r="V85" s="75"/>
      <c r="W85" s="71" t="e">
        <f>_xlfn.XLOOKUP($D85,Tab_Def_Processes[Name(EN)],Tab_Def_Processes[Input_Flow_I_4],,0,)</f>
        <v>#N/A</v>
      </c>
      <c r="X85" s="48" t="e">
        <f>_xlfn.XLOOKUP($D85,Tab_Def_Processes[Name(EN)],Tab_Def_Processes[Flow_ID_I_4],,0,)</f>
        <v>#N/A</v>
      </c>
      <c r="Y85" s="75"/>
      <c r="Z85" s="71" t="e">
        <f>_xlfn.XLOOKUP($D85,Tab_Def_Processes[Name(EN)],Tab_Def_Processes[Input_Flow_I_5],,0,)</f>
        <v>#N/A</v>
      </c>
      <c r="AA85" s="48" t="e">
        <f>_xlfn.XLOOKUP($D85,Tab_Def_Processes[Name(EN)],Tab_Def_Processes[Flow_ID_I_5],,0,)</f>
        <v>#N/A</v>
      </c>
      <c r="AB85" s="75"/>
      <c r="AC85" s="74">
        <f>Tab_Process_TCs2527[[#This Row],[Flow_TC_I_1_'[%']]]+Tab_Process_TCs2527[[#This Row],[Flow_TC_I_2_'[%']]]+Tab_Process_TCs2527[[#This Row],[Flow_TC_I_3_'[%']]]+Tab_Process_TCs2527[[#This Row],[Flow_TC_I_4_'[%']]]+Tab_Process_TCs2527[[#This Row],[Flow_TC_I_5_'[%']]]</f>
        <v>0</v>
      </c>
      <c r="AD85" s="57" t="e">
        <f>_xlfn.XLOOKUP($D85,Tab_Process_TCs[TC_ID],Tab_Process_TCs[Output_Flow_O_1],,0,)</f>
        <v>#N/A</v>
      </c>
      <c r="AE85" s="48" t="e">
        <f>_xlfn.XLOOKUP($D85,Tab_Process_TCs[TC_ID],Tab_Process_TCs[Flow_ID_O_1],,0,)</f>
        <v>#N/A</v>
      </c>
      <c r="AF85" s="100" t="e">
        <f>Tab_Process_TCs2527[[#This Row],[Flow_ID]]</f>
        <v>#N/A</v>
      </c>
      <c r="AG85" s="48" t="e">
        <f t="shared" si="17"/>
        <v>#N/A</v>
      </c>
      <c r="AH85" s="109">
        <f t="shared" si="14"/>
        <v>0.53000000000000014</v>
      </c>
      <c r="AI85" s="231" t="e">
        <f>_xlfn.XLOOKUP($D85,Tab_Process_TCs[TC_ID],Tab_Process_TCs[Output_Flow_O_2],,0,)</f>
        <v>#N/A</v>
      </c>
      <c r="AJ85" s="113" t="e">
        <f>_xlfn.XLOOKUP($D85,Tab_Process_TCs[TC_ID],Tab_Process_TCs[Flow_ID_O_2],,0,)</f>
        <v>#N/A</v>
      </c>
      <c r="AK85" s="100" t="e">
        <f>Tab_Process_TCs2527[[#This Row],[Flow_ID]]</f>
        <v>#N/A</v>
      </c>
      <c r="AL85" s="48" t="e">
        <f t="shared" si="18"/>
        <v>#N/A</v>
      </c>
      <c r="AM85" s="228">
        <f t="shared" si="15"/>
        <v>0.21999999999999981</v>
      </c>
      <c r="AN85" s="57" t="e">
        <f>_xlfn.XLOOKUP($D85,Tab_Process_TCs[TC_ID],Tab_Process_TCs[Output_Flow_O_3],,0,)</f>
        <v>#N/A</v>
      </c>
      <c r="AO85" s="48" t="e">
        <f>_xlfn.XLOOKUP($D85,Tab_Process_TCs[TC_ID],Tab_Process_TCs[Flow_ID_O_3],,0,)</f>
        <v>#N/A</v>
      </c>
      <c r="AP85" s="100" t="e">
        <f>Tab_Process_TCs2527[[#This Row],[Flow_ID]]</f>
        <v>#N/A</v>
      </c>
      <c r="AQ85" s="48" t="e">
        <f t="shared" si="19"/>
        <v>#N/A</v>
      </c>
      <c r="AR85" s="228">
        <v>0.25</v>
      </c>
      <c r="AS85" s="57" t="e">
        <f>_xlfn.XLOOKUP($D85,Tab_Process_TCs[TC_ID],#REF!,,0,)</f>
        <v>#REF!</v>
      </c>
      <c r="AT85" s="48" t="e">
        <f>_xlfn.XLOOKUP($D85,Tab_Process_TCs[TC_ID],#REF!,,0,)</f>
        <v>#REF!</v>
      </c>
      <c r="AU85" s="100" t="e">
        <f>Tab_Process_TCs2527[[#This Row],[Flow_ID]]</f>
        <v>#N/A</v>
      </c>
      <c r="AV85" s="100" t="e">
        <f t="shared" si="20"/>
        <v>#N/A</v>
      </c>
      <c r="AW85" s="228"/>
      <c r="AX85" s="57" t="e">
        <f>_xlfn.XLOOKUP($D85,Tab_Process_TCs[TC_ID],#REF!,,0,)</f>
        <v>#REF!</v>
      </c>
      <c r="AY85" s="48" t="e">
        <f>_xlfn.XLOOKUP($D85,Tab_Process_TCs[TC_ID],#REF!,,0,)</f>
        <v>#REF!</v>
      </c>
      <c r="AZ85" s="100" t="e">
        <f>Tab_Process_TCs2527[[#This Row],[Flow_ID]]</f>
        <v>#N/A</v>
      </c>
      <c r="BA85" s="100" t="e">
        <f t="shared" si="21"/>
        <v>#REF!</v>
      </c>
      <c r="BB85" s="228"/>
      <c r="BC85" s="48" t="e">
        <f>_xlfn.XLOOKUP($D85,Tab_Process_TCs[TC_ID],#REF!,,0,)</f>
        <v>#REF!</v>
      </c>
      <c r="BD85" s="48" t="e">
        <f>_xlfn.XLOOKUP($D85,Tab_Process_TCs[TC_ID],#REF!,,0,)</f>
        <v>#REF!</v>
      </c>
      <c r="BE85" s="100" t="e">
        <f>Tab_Process_TCs2527[[#This Row],[Flow_ID]]</f>
        <v>#N/A</v>
      </c>
      <c r="BF85" s="100" t="e">
        <f t="shared" si="22"/>
        <v>#REF!</v>
      </c>
      <c r="BG85" s="109"/>
      <c r="BH85" s="112">
        <f>Tab_Process_TCs2527[[#This Row],[TC O_6_'[%']]]+Tab_Process_TCs2527[[#This Row],[TC O_5_'[%']]]+Tab_Process_TCs2527[[#This Row],[TC_O_4_'[%']]]+Tab_Process_TCs2527[[#This Row],[TC_O_3_'[%']]]+Tab_Process_TCs2527[[#This Row],[TC_O_2_'[%']]]+Tab_Process_TCs2527[[#This Row],[TC_O_1_'[%']]]</f>
        <v>1</v>
      </c>
      <c r="BI85" s="50"/>
      <c r="BJ85" s="50"/>
      <c r="BK85" s="50"/>
      <c r="BL85" s="50"/>
      <c r="BM85" s="50"/>
    </row>
    <row r="86" spans="1:65" x14ac:dyDescent="0.25">
      <c r="A86" s="87" t="b">
        <v>0</v>
      </c>
      <c r="B86" s="48">
        <f t="shared" si="16"/>
        <v>85</v>
      </c>
      <c r="C86" s="107" t="e">
        <f>_xlfn.XLOOKUP($D86,Tab_Process_TCs[Name(EN)],Tab_Process_TCs[Process_ID],,0,)</f>
        <v>#N/A</v>
      </c>
      <c r="D86" s="50"/>
      <c r="E86" s="50" t="s">
        <v>55</v>
      </c>
      <c r="F86" s="48" t="e">
        <f>_xlfn.XLOOKUP($D86,Tab_Process_TCs[Name(EN)],Tab_Process_TCs[TC?],,0,)</f>
        <v>#N/A</v>
      </c>
      <c r="G86" s="48" t="e">
        <f>_xlfn.XLOOKUP($D86,Tab_Process_TCs[Name(EN)],Tab_Process_TCs[Dyn_TC?],,0,)</f>
        <v>#N/A</v>
      </c>
      <c r="H86" s="48" t="e">
        <f>_xlfn.XLOOKUP($E86,Tab_Def_Flows[Name(EN)],Tab_Def_Flows[Flow_ID],,0,1)</f>
        <v>#N/A</v>
      </c>
      <c r="I86" s="50" t="e">
        <f>IF(Tab_Process_TCs2527[[#This Row],[Name(EN)]]="N.A.","N.A.","TC"&amp;"_"&amp;RIGHT(H86,5))</f>
        <v>#N/A</v>
      </c>
      <c r="J86" s="50"/>
      <c r="K86" s="249"/>
      <c r="L86" s="50" t="e">
        <f>_xlfn.XLOOKUP($D86,Tab_Def_Processes[Name(EN)],Tab_Def_Processes[Stock?],,0,)</f>
        <v>#N/A</v>
      </c>
      <c r="M86" s="48"/>
      <c r="N86" s="57" t="e">
        <f>_xlfn.XLOOKUP($D86,Tab_Def_Processes[Name(EN)],Tab_Def_Processes[Input_Flow_I_1],,0,)</f>
        <v>#N/A</v>
      </c>
      <c r="O86" s="48" t="e">
        <f>_xlfn.XLOOKUP($D86,Tab_Def_Processes[Name(EN)],Tab_Def_Processes[Flow_ID_I_1],,0,)</f>
        <v>#N/A</v>
      </c>
      <c r="P86" s="75"/>
      <c r="Q86" s="71" t="e">
        <f>_xlfn.XLOOKUP($D86,Tab_Def_Processes[Name(EN)],Tab_Def_Processes[Input_Flow_I_2],,0,)</f>
        <v>#N/A</v>
      </c>
      <c r="R86" s="48" t="e">
        <f>_xlfn.XLOOKUP($D86,Tab_Def_Processes[Name(EN)],Tab_Def_Processes[Flow_ID_I_2],,0,)</f>
        <v>#N/A</v>
      </c>
      <c r="S86" s="75"/>
      <c r="T86" s="71" t="e">
        <f>_xlfn.XLOOKUP($D86,Tab_Def_Processes[Name(EN)],Tab_Def_Processes[Input_Flow_I_3],,0,)</f>
        <v>#N/A</v>
      </c>
      <c r="U86" s="48" t="e">
        <f>_xlfn.XLOOKUP($D86,Tab_Def_Processes[Name(EN)],Tab_Def_Processes[Flow_ID_I_3],,0,)</f>
        <v>#N/A</v>
      </c>
      <c r="V86" s="75"/>
      <c r="W86" s="71" t="e">
        <f>_xlfn.XLOOKUP($D86,Tab_Def_Processes[Name(EN)],Tab_Def_Processes[Input_Flow_I_4],,0,)</f>
        <v>#N/A</v>
      </c>
      <c r="X86" s="48" t="e">
        <f>_xlfn.XLOOKUP($D86,Tab_Def_Processes[Name(EN)],Tab_Def_Processes[Flow_ID_I_4],,0,)</f>
        <v>#N/A</v>
      </c>
      <c r="Y86" s="75"/>
      <c r="Z86" s="71" t="e">
        <f>_xlfn.XLOOKUP($D86,Tab_Def_Processes[Name(EN)],Tab_Def_Processes[Input_Flow_I_5],,0,)</f>
        <v>#N/A</v>
      </c>
      <c r="AA86" s="48" t="e">
        <f>_xlfn.XLOOKUP($D86,Tab_Def_Processes[Name(EN)],Tab_Def_Processes[Flow_ID_I_5],,0,)</f>
        <v>#N/A</v>
      </c>
      <c r="AB86" s="75"/>
      <c r="AC86" s="74">
        <f>Tab_Process_TCs2527[[#This Row],[Flow_TC_I_1_'[%']]]+Tab_Process_TCs2527[[#This Row],[Flow_TC_I_2_'[%']]]+Tab_Process_TCs2527[[#This Row],[Flow_TC_I_3_'[%']]]+Tab_Process_TCs2527[[#This Row],[Flow_TC_I_4_'[%']]]+Tab_Process_TCs2527[[#This Row],[Flow_TC_I_5_'[%']]]</f>
        <v>0</v>
      </c>
      <c r="AD86" s="57" t="e">
        <f>_xlfn.XLOOKUP($D86,Tab_Process_TCs[TC_ID],Tab_Process_TCs[Output_Flow_O_1],,0,)</f>
        <v>#N/A</v>
      </c>
      <c r="AE86" s="48" t="e">
        <f>_xlfn.XLOOKUP($D86,Tab_Process_TCs[TC_ID],Tab_Process_TCs[Flow_ID_O_1],,0,)</f>
        <v>#N/A</v>
      </c>
      <c r="AF86" s="100" t="e">
        <f>Tab_Process_TCs2527[[#This Row],[Flow_ID]]</f>
        <v>#N/A</v>
      </c>
      <c r="AG86" s="48" t="e">
        <f t="shared" si="17"/>
        <v>#N/A</v>
      </c>
      <c r="AH86" s="109">
        <f t="shared" si="14"/>
        <v>0.54000000000000015</v>
      </c>
      <c r="AI86" s="231" t="e">
        <f>_xlfn.XLOOKUP($D86,Tab_Process_TCs[TC_ID],Tab_Process_TCs[Output_Flow_O_2],,0,)</f>
        <v>#N/A</v>
      </c>
      <c r="AJ86" s="113" t="e">
        <f>_xlfn.XLOOKUP($D86,Tab_Process_TCs[TC_ID],Tab_Process_TCs[Flow_ID_O_2],,0,)</f>
        <v>#N/A</v>
      </c>
      <c r="AK86" s="100" t="e">
        <f>Tab_Process_TCs2527[[#This Row],[Flow_ID]]</f>
        <v>#N/A</v>
      </c>
      <c r="AL86" s="48" t="e">
        <f t="shared" si="18"/>
        <v>#N/A</v>
      </c>
      <c r="AM86" s="228">
        <f t="shared" si="15"/>
        <v>0.2099999999999998</v>
      </c>
      <c r="AN86" s="57" t="e">
        <f>_xlfn.XLOOKUP($D86,Tab_Process_TCs[TC_ID],Tab_Process_TCs[Output_Flow_O_3],,0,)</f>
        <v>#N/A</v>
      </c>
      <c r="AO86" s="48" t="e">
        <f>_xlfn.XLOOKUP($D86,Tab_Process_TCs[TC_ID],Tab_Process_TCs[Flow_ID_O_3],,0,)</f>
        <v>#N/A</v>
      </c>
      <c r="AP86" s="100" t="e">
        <f>Tab_Process_TCs2527[[#This Row],[Flow_ID]]</f>
        <v>#N/A</v>
      </c>
      <c r="AQ86" s="48" t="e">
        <f t="shared" si="19"/>
        <v>#N/A</v>
      </c>
      <c r="AR86" s="228">
        <v>0.25</v>
      </c>
      <c r="AS86" s="57" t="e">
        <f>_xlfn.XLOOKUP($D86,Tab_Process_TCs[TC_ID],#REF!,,0,)</f>
        <v>#REF!</v>
      </c>
      <c r="AT86" s="48" t="e">
        <f>_xlfn.XLOOKUP($D86,Tab_Process_TCs[TC_ID],#REF!,,0,)</f>
        <v>#REF!</v>
      </c>
      <c r="AU86" s="100" t="e">
        <f>Tab_Process_TCs2527[[#This Row],[Flow_ID]]</f>
        <v>#N/A</v>
      </c>
      <c r="AV86" s="100" t="e">
        <f t="shared" si="20"/>
        <v>#N/A</v>
      </c>
      <c r="AW86" s="228"/>
      <c r="AX86" s="57" t="e">
        <f>_xlfn.XLOOKUP($D86,Tab_Process_TCs[TC_ID],#REF!,,0,)</f>
        <v>#REF!</v>
      </c>
      <c r="AY86" s="48" t="e">
        <f>_xlfn.XLOOKUP($D86,Tab_Process_TCs[TC_ID],#REF!,,0,)</f>
        <v>#REF!</v>
      </c>
      <c r="AZ86" s="100" t="e">
        <f>Tab_Process_TCs2527[[#This Row],[Flow_ID]]</f>
        <v>#N/A</v>
      </c>
      <c r="BA86" s="100" t="e">
        <f t="shared" si="21"/>
        <v>#REF!</v>
      </c>
      <c r="BB86" s="228"/>
      <c r="BC86" s="48" t="e">
        <f>_xlfn.XLOOKUP($D86,Tab_Process_TCs[TC_ID],#REF!,,0,)</f>
        <v>#REF!</v>
      </c>
      <c r="BD86" s="48" t="e">
        <f>_xlfn.XLOOKUP($D86,Tab_Process_TCs[TC_ID],#REF!,,0,)</f>
        <v>#REF!</v>
      </c>
      <c r="BE86" s="100" t="e">
        <f>Tab_Process_TCs2527[[#This Row],[Flow_ID]]</f>
        <v>#N/A</v>
      </c>
      <c r="BF86" s="100" t="e">
        <f t="shared" si="22"/>
        <v>#REF!</v>
      </c>
      <c r="BG86" s="109"/>
      <c r="BH86" s="112">
        <f>Tab_Process_TCs2527[[#This Row],[TC O_6_'[%']]]+Tab_Process_TCs2527[[#This Row],[TC O_5_'[%']]]+Tab_Process_TCs2527[[#This Row],[TC_O_4_'[%']]]+Tab_Process_TCs2527[[#This Row],[TC_O_3_'[%']]]+Tab_Process_TCs2527[[#This Row],[TC_O_2_'[%']]]+Tab_Process_TCs2527[[#This Row],[TC_O_1_'[%']]]</f>
        <v>1</v>
      </c>
      <c r="BI86" s="50"/>
      <c r="BJ86" s="50"/>
      <c r="BK86" s="50"/>
      <c r="BL86" s="50"/>
      <c r="BM86" s="50"/>
    </row>
    <row r="87" spans="1:65" x14ac:dyDescent="0.25">
      <c r="A87" s="87" t="b">
        <v>0</v>
      </c>
      <c r="B87" s="48">
        <f t="shared" si="16"/>
        <v>86</v>
      </c>
      <c r="C87" s="107" t="e">
        <f>_xlfn.XLOOKUP($D87,Tab_Process_TCs[Name(EN)],Tab_Process_TCs[Process_ID],,0,)</f>
        <v>#N/A</v>
      </c>
      <c r="D87" s="50"/>
      <c r="E87" s="50" t="s">
        <v>55</v>
      </c>
      <c r="F87" s="48" t="e">
        <f>_xlfn.XLOOKUP($D87,Tab_Process_TCs[Name(EN)],Tab_Process_TCs[TC?],,0,)</f>
        <v>#N/A</v>
      </c>
      <c r="G87" s="48" t="e">
        <f>_xlfn.XLOOKUP($D87,Tab_Process_TCs[Name(EN)],Tab_Process_TCs[Dyn_TC?],,0,)</f>
        <v>#N/A</v>
      </c>
      <c r="H87" s="48" t="e">
        <f>_xlfn.XLOOKUP($E87,Tab_Def_Flows[Name(EN)],Tab_Def_Flows[Flow_ID],,0,1)</f>
        <v>#N/A</v>
      </c>
      <c r="I87" s="50" t="e">
        <f>IF(Tab_Process_TCs2527[[#This Row],[Name(EN)]]="N.A.","N.A.","TC"&amp;"_"&amp;RIGHT(H87,5))</f>
        <v>#N/A</v>
      </c>
      <c r="J87" s="50"/>
      <c r="K87" s="249"/>
      <c r="L87" s="50" t="e">
        <f>_xlfn.XLOOKUP($D87,Tab_Def_Processes[Name(EN)],Tab_Def_Processes[Stock?],,0,)</f>
        <v>#N/A</v>
      </c>
      <c r="M87" s="48"/>
      <c r="N87" s="57" t="e">
        <f>_xlfn.XLOOKUP($D87,Tab_Def_Processes[Name(EN)],Tab_Def_Processes[Input_Flow_I_1],,0,)</f>
        <v>#N/A</v>
      </c>
      <c r="O87" s="48" t="e">
        <f>_xlfn.XLOOKUP($D87,Tab_Def_Processes[Name(EN)],Tab_Def_Processes[Flow_ID_I_1],,0,)</f>
        <v>#N/A</v>
      </c>
      <c r="P87" s="75"/>
      <c r="Q87" s="71" t="e">
        <f>_xlfn.XLOOKUP($D87,Tab_Def_Processes[Name(EN)],Tab_Def_Processes[Input_Flow_I_2],,0,)</f>
        <v>#N/A</v>
      </c>
      <c r="R87" s="48" t="e">
        <f>_xlfn.XLOOKUP($D87,Tab_Def_Processes[Name(EN)],Tab_Def_Processes[Flow_ID_I_2],,0,)</f>
        <v>#N/A</v>
      </c>
      <c r="S87" s="75"/>
      <c r="T87" s="71" t="e">
        <f>_xlfn.XLOOKUP($D87,Tab_Def_Processes[Name(EN)],Tab_Def_Processes[Input_Flow_I_3],,0,)</f>
        <v>#N/A</v>
      </c>
      <c r="U87" s="48" t="e">
        <f>_xlfn.XLOOKUP($D87,Tab_Def_Processes[Name(EN)],Tab_Def_Processes[Flow_ID_I_3],,0,)</f>
        <v>#N/A</v>
      </c>
      <c r="V87" s="75"/>
      <c r="W87" s="71" t="e">
        <f>_xlfn.XLOOKUP($D87,Tab_Def_Processes[Name(EN)],Tab_Def_Processes[Input_Flow_I_4],,0,)</f>
        <v>#N/A</v>
      </c>
      <c r="X87" s="48" t="e">
        <f>_xlfn.XLOOKUP($D87,Tab_Def_Processes[Name(EN)],Tab_Def_Processes[Flow_ID_I_4],,0,)</f>
        <v>#N/A</v>
      </c>
      <c r="Y87" s="75"/>
      <c r="Z87" s="71" t="e">
        <f>_xlfn.XLOOKUP($D87,Tab_Def_Processes[Name(EN)],Tab_Def_Processes[Input_Flow_I_5],,0,)</f>
        <v>#N/A</v>
      </c>
      <c r="AA87" s="48" t="e">
        <f>_xlfn.XLOOKUP($D87,Tab_Def_Processes[Name(EN)],Tab_Def_Processes[Flow_ID_I_5],,0,)</f>
        <v>#N/A</v>
      </c>
      <c r="AB87" s="75"/>
      <c r="AC87" s="74">
        <f>Tab_Process_TCs2527[[#This Row],[Flow_TC_I_1_'[%']]]+Tab_Process_TCs2527[[#This Row],[Flow_TC_I_2_'[%']]]+Tab_Process_TCs2527[[#This Row],[Flow_TC_I_3_'[%']]]+Tab_Process_TCs2527[[#This Row],[Flow_TC_I_4_'[%']]]+Tab_Process_TCs2527[[#This Row],[Flow_TC_I_5_'[%']]]</f>
        <v>0</v>
      </c>
      <c r="AD87" s="57" t="e">
        <f>_xlfn.XLOOKUP($D87,Tab_Process_TCs[TC_ID],Tab_Process_TCs[Output_Flow_O_1],,0,)</f>
        <v>#N/A</v>
      </c>
      <c r="AE87" s="48" t="e">
        <f>_xlfn.XLOOKUP($D87,Tab_Process_TCs[TC_ID],Tab_Process_TCs[Flow_ID_O_1],,0,)</f>
        <v>#N/A</v>
      </c>
      <c r="AF87" s="100" t="e">
        <f>Tab_Process_TCs2527[[#This Row],[Flow_ID]]</f>
        <v>#N/A</v>
      </c>
      <c r="AG87" s="48" t="e">
        <f t="shared" si="17"/>
        <v>#N/A</v>
      </c>
      <c r="AH87" s="109">
        <f t="shared" si="14"/>
        <v>0.55000000000000016</v>
      </c>
      <c r="AI87" s="231" t="e">
        <f>_xlfn.XLOOKUP($D87,Tab_Process_TCs[TC_ID],Tab_Process_TCs[Output_Flow_O_2],,0,)</f>
        <v>#N/A</v>
      </c>
      <c r="AJ87" s="113" t="e">
        <f>_xlfn.XLOOKUP($D87,Tab_Process_TCs[TC_ID],Tab_Process_TCs[Flow_ID_O_2],,0,)</f>
        <v>#N/A</v>
      </c>
      <c r="AK87" s="100" t="e">
        <f>Tab_Process_TCs2527[[#This Row],[Flow_ID]]</f>
        <v>#N/A</v>
      </c>
      <c r="AL87" s="48" t="e">
        <f t="shared" si="18"/>
        <v>#N/A</v>
      </c>
      <c r="AM87" s="228">
        <f t="shared" si="15"/>
        <v>0.19999999999999979</v>
      </c>
      <c r="AN87" s="57" t="e">
        <f>_xlfn.XLOOKUP($D87,Tab_Process_TCs[TC_ID],Tab_Process_TCs[Output_Flow_O_3],,0,)</f>
        <v>#N/A</v>
      </c>
      <c r="AO87" s="48" t="e">
        <f>_xlfn.XLOOKUP($D87,Tab_Process_TCs[TC_ID],Tab_Process_TCs[Flow_ID_O_3],,0,)</f>
        <v>#N/A</v>
      </c>
      <c r="AP87" s="100" t="e">
        <f>Tab_Process_TCs2527[[#This Row],[Flow_ID]]</f>
        <v>#N/A</v>
      </c>
      <c r="AQ87" s="48" t="e">
        <f t="shared" si="19"/>
        <v>#N/A</v>
      </c>
      <c r="AR87" s="228">
        <v>0.25</v>
      </c>
      <c r="AS87" s="57" t="e">
        <f>_xlfn.XLOOKUP($D87,Tab_Process_TCs[TC_ID],#REF!,,0,)</f>
        <v>#REF!</v>
      </c>
      <c r="AT87" s="48" t="e">
        <f>_xlfn.XLOOKUP($D87,Tab_Process_TCs[TC_ID],#REF!,,0,)</f>
        <v>#REF!</v>
      </c>
      <c r="AU87" s="100" t="e">
        <f>Tab_Process_TCs2527[[#This Row],[Flow_ID]]</f>
        <v>#N/A</v>
      </c>
      <c r="AV87" s="100" t="e">
        <f t="shared" si="20"/>
        <v>#N/A</v>
      </c>
      <c r="AW87" s="228"/>
      <c r="AX87" s="57" t="e">
        <f>_xlfn.XLOOKUP($D87,Tab_Process_TCs[TC_ID],#REF!,,0,)</f>
        <v>#REF!</v>
      </c>
      <c r="AY87" s="48" t="e">
        <f>_xlfn.XLOOKUP($D87,Tab_Process_TCs[TC_ID],#REF!,,0,)</f>
        <v>#REF!</v>
      </c>
      <c r="AZ87" s="100" t="e">
        <f>Tab_Process_TCs2527[[#This Row],[Flow_ID]]</f>
        <v>#N/A</v>
      </c>
      <c r="BA87" s="100" t="e">
        <f t="shared" si="21"/>
        <v>#REF!</v>
      </c>
      <c r="BB87" s="228"/>
      <c r="BC87" s="48" t="e">
        <f>_xlfn.XLOOKUP($D87,Tab_Process_TCs[TC_ID],#REF!,,0,)</f>
        <v>#REF!</v>
      </c>
      <c r="BD87" s="48" t="e">
        <f>_xlfn.XLOOKUP($D87,Tab_Process_TCs[TC_ID],#REF!,,0,)</f>
        <v>#REF!</v>
      </c>
      <c r="BE87" s="100" t="e">
        <f>Tab_Process_TCs2527[[#This Row],[Flow_ID]]</f>
        <v>#N/A</v>
      </c>
      <c r="BF87" s="100" t="e">
        <f t="shared" si="22"/>
        <v>#REF!</v>
      </c>
      <c r="BG87" s="109"/>
      <c r="BH87" s="112">
        <f>Tab_Process_TCs2527[[#This Row],[TC O_6_'[%']]]+Tab_Process_TCs2527[[#This Row],[TC O_5_'[%']]]+Tab_Process_TCs2527[[#This Row],[TC_O_4_'[%']]]+Tab_Process_TCs2527[[#This Row],[TC_O_3_'[%']]]+Tab_Process_TCs2527[[#This Row],[TC_O_2_'[%']]]+Tab_Process_TCs2527[[#This Row],[TC_O_1_'[%']]]</f>
        <v>1</v>
      </c>
      <c r="BI87" s="50"/>
      <c r="BJ87" s="50"/>
      <c r="BK87" s="50"/>
      <c r="BL87" s="50"/>
      <c r="BM87" s="50"/>
    </row>
    <row r="88" spans="1:65" x14ac:dyDescent="0.25">
      <c r="A88" s="87" t="b">
        <v>0</v>
      </c>
      <c r="B88" s="48">
        <f t="shared" si="16"/>
        <v>87</v>
      </c>
      <c r="C88" s="107" t="e">
        <f>_xlfn.XLOOKUP($D88,Tab_Process_TCs[Name(EN)],Tab_Process_TCs[Process_ID],,0,)</f>
        <v>#N/A</v>
      </c>
      <c r="D88" s="50"/>
      <c r="E88" s="50" t="s">
        <v>55</v>
      </c>
      <c r="F88" s="48" t="e">
        <f>_xlfn.XLOOKUP($D88,Tab_Process_TCs[Name(EN)],Tab_Process_TCs[TC?],,0,)</f>
        <v>#N/A</v>
      </c>
      <c r="G88" s="48" t="e">
        <f>_xlfn.XLOOKUP($D88,Tab_Process_TCs[Name(EN)],Tab_Process_TCs[Dyn_TC?],,0,)</f>
        <v>#N/A</v>
      </c>
      <c r="H88" s="48" t="e">
        <f>_xlfn.XLOOKUP($E88,Tab_Def_Flows[Name(EN)],Tab_Def_Flows[Flow_ID],,0,1)</f>
        <v>#N/A</v>
      </c>
      <c r="I88" s="50" t="e">
        <f>IF(Tab_Process_TCs2527[[#This Row],[Name(EN)]]="N.A.","N.A.","TC"&amp;"_"&amp;RIGHT(H88,5))</f>
        <v>#N/A</v>
      </c>
      <c r="J88" s="50"/>
      <c r="K88" s="249"/>
      <c r="L88" s="50" t="e">
        <f>_xlfn.XLOOKUP($D88,Tab_Def_Processes[Name(EN)],Tab_Def_Processes[Stock?],,0,)</f>
        <v>#N/A</v>
      </c>
      <c r="M88" s="48"/>
      <c r="N88" s="57" t="e">
        <f>_xlfn.XLOOKUP($D88,Tab_Def_Processes[Name(EN)],Tab_Def_Processes[Input_Flow_I_1],,0,)</f>
        <v>#N/A</v>
      </c>
      <c r="O88" s="48" t="e">
        <f>_xlfn.XLOOKUP($D88,Tab_Def_Processes[Name(EN)],Tab_Def_Processes[Flow_ID_I_1],,0,)</f>
        <v>#N/A</v>
      </c>
      <c r="P88" s="75"/>
      <c r="Q88" s="71" t="e">
        <f>_xlfn.XLOOKUP($D88,Tab_Def_Processes[Name(EN)],Tab_Def_Processes[Input_Flow_I_2],,0,)</f>
        <v>#N/A</v>
      </c>
      <c r="R88" s="48" t="e">
        <f>_xlfn.XLOOKUP($D88,Tab_Def_Processes[Name(EN)],Tab_Def_Processes[Flow_ID_I_2],,0,)</f>
        <v>#N/A</v>
      </c>
      <c r="S88" s="75"/>
      <c r="T88" s="71" t="e">
        <f>_xlfn.XLOOKUP($D88,Tab_Def_Processes[Name(EN)],Tab_Def_Processes[Input_Flow_I_3],,0,)</f>
        <v>#N/A</v>
      </c>
      <c r="U88" s="48" t="e">
        <f>_xlfn.XLOOKUP($D88,Tab_Def_Processes[Name(EN)],Tab_Def_Processes[Flow_ID_I_3],,0,)</f>
        <v>#N/A</v>
      </c>
      <c r="V88" s="75"/>
      <c r="W88" s="71" t="e">
        <f>_xlfn.XLOOKUP($D88,Tab_Def_Processes[Name(EN)],Tab_Def_Processes[Input_Flow_I_4],,0,)</f>
        <v>#N/A</v>
      </c>
      <c r="X88" s="48" t="e">
        <f>_xlfn.XLOOKUP($D88,Tab_Def_Processes[Name(EN)],Tab_Def_Processes[Flow_ID_I_4],,0,)</f>
        <v>#N/A</v>
      </c>
      <c r="Y88" s="75"/>
      <c r="Z88" s="71" t="e">
        <f>_xlfn.XLOOKUP($D88,Tab_Def_Processes[Name(EN)],Tab_Def_Processes[Input_Flow_I_5],,0,)</f>
        <v>#N/A</v>
      </c>
      <c r="AA88" s="48" t="e">
        <f>_xlfn.XLOOKUP($D88,Tab_Def_Processes[Name(EN)],Tab_Def_Processes[Flow_ID_I_5],,0,)</f>
        <v>#N/A</v>
      </c>
      <c r="AB88" s="75"/>
      <c r="AC88" s="74">
        <f>Tab_Process_TCs2527[[#This Row],[Flow_TC_I_1_'[%']]]+Tab_Process_TCs2527[[#This Row],[Flow_TC_I_2_'[%']]]+Tab_Process_TCs2527[[#This Row],[Flow_TC_I_3_'[%']]]+Tab_Process_TCs2527[[#This Row],[Flow_TC_I_4_'[%']]]+Tab_Process_TCs2527[[#This Row],[Flow_TC_I_5_'[%']]]</f>
        <v>0</v>
      </c>
      <c r="AD88" s="57" t="e">
        <f>_xlfn.XLOOKUP($D88,Tab_Process_TCs[TC_ID],Tab_Process_TCs[Output_Flow_O_1],,0,)</f>
        <v>#N/A</v>
      </c>
      <c r="AE88" s="48" t="e">
        <f>_xlfn.XLOOKUP($D88,Tab_Process_TCs[TC_ID],Tab_Process_TCs[Flow_ID_O_1],,0,)</f>
        <v>#N/A</v>
      </c>
      <c r="AF88" s="100" t="e">
        <f>Tab_Process_TCs2527[[#This Row],[Flow_ID]]</f>
        <v>#N/A</v>
      </c>
      <c r="AG88" s="48" t="e">
        <f t="shared" si="17"/>
        <v>#N/A</v>
      </c>
      <c r="AH88" s="109">
        <v>0.4</v>
      </c>
      <c r="AI88" s="231" t="e">
        <f>_xlfn.XLOOKUP($D88,Tab_Process_TCs[TC_ID],Tab_Process_TCs[Output_Flow_O_2],,0,)</f>
        <v>#N/A</v>
      </c>
      <c r="AJ88" s="113" t="e">
        <f>_xlfn.XLOOKUP($D88,Tab_Process_TCs[TC_ID],Tab_Process_TCs[Flow_ID_O_2],,0,)</f>
        <v>#N/A</v>
      </c>
      <c r="AK88" s="100" t="e">
        <f>Tab_Process_TCs2527[[#This Row],[Flow_ID]]</f>
        <v>#N/A</v>
      </c>
      <c r="AL88" s="48" t="e">
        <f t="shared" si="18"/>
        <v>#N/A</v>
      </c>
      <c r="AM88" s="228">
        <v>0.6</v>
      </c>
      <c r="AN88" s="57" t="e">
        <f>_xlfn.XLOOKUP($D88,Tab_Process_TCs[TC_ID],Tab_Process_TCs[Output_Flow_O_3],,0,)</f>
        <v>#N/A</v>
      </c>
      <c r="AO88" s="48" t="e">
        <f>_xlfn.XLOOKUP($D88,Tab_Process_TCs[TC_ID],Tab_Process_TCs[Flow_ID_O_3],,0,)</f>
        <v>#N/A</v>
      </c>
      <c r="AP88" s="100" t="e">
        <f>Tab_Process_TCs2527[[#This Row],[Flow_ID]]</f>
        <v>#N/A</v>
      </c>
      <c r="AQ88" s="48" t="e">
        <f t="shared" si="19"/>
        <v>#N/A</v>
      </c>
      <c r="AR88" s="228"/>
      <c r="AS88" s="57" t="e">
        <f>_xlfn.XLOOKUP($D88,Tab_Process_TCs[TC_ID],#REF!,,0,)</f>
        <v>#REF!</v>
      </c>
      <c r="AT88" s="48" t="e">
        <f>_xlfn.XLOOKUP($D88,Tab_Process_TCs[TC_ID],#REF!,,0,)</f>
        <v>#REF!</v>
      </c>
      <c r="AU88" s="100" t="e">
        <f>Tab_Process_TCs2527[[#This Row],[Flow_ID]]</f>
        <v>#N/A</v>
      </c>
      <c r="AV88" s="100" t="e">
        <f t="shared" si="20"/>
        <v>#N/A</v>
      </c>
      <c r="AW88" s="228"/>
      <c r="AX88" s="57" t="e">
        <f>_xlfn.XLOOKUP($D88,Tab_Process_TCs[TC_ID],#REF!,,0,)</f>
        <v>#REF!</v>
      </c>
      <c r="AY88" s="48" t="e">
        <f>_xlfn.XLOOKUP($D88,Tab_Process_TCs[TC_ID],#REF!,,0,)</f>
        <v>#REF!</v>
      </c>
      <c r="AZ88" s="100" t="e">
        <f>Tab_Process_TCs2527[[#This Row],[Flow_ID]]</f>
        <v>#N/A</v>
      </c>
      <c r="BA88" s="100" t="e">
        <f t="shared" si="21"/>
        <v>#REF!</v>
      </c>
      <c r="BB88" s="228"/>
      <c r="BC88" s="48" t="e">
        <f>_xlfn.XLOOKUP($D88,Tab_Process_TCs[TC_ID],#REF!,,0,)</f>
        <v>#REF!</v>
      </c>
      <c r="BD88" s="48" t="e">
        <f>_xlfn.XLOOKUP($D88,Tab_Process_TCs[TC_ID],#REF!,,0,)</f>
        <v>#REF!</v>
      </c>
      <c r="BE88" s="100" t="e">
        <f>Tab_Process_TCs2527[[#This Row],[Flow_ID]]</f>
        <v>#N/A</v>
      </c>
      <c r="BF88" s="100" t="e">
        <f t="shared" si="22"/>
        <v>#REF!</v>
      </c>
      <c r="BG88" s="109"/>
      <c r="BH88" s="112">
        <f>Tab_Process_TCs2527[[#This Row],[TC O_6_'[%']]]+Tab_Process_TCs2527[[#This Row],[TC O_5_'[%']]]+Tab_Process_TCs2527[[#This Row],[TC_O_4_'[%']]]+Tab_Process_TCs2527[[#This Row],[TC_O_3_'[%']]]+Tab_Process_TCs2527[[#This Row],[TC_O_2_'[%']]]+Tab_Process_TCs2527[[#This Row],[TC_O_1_'[%']]]</f>
        <v>1</v>
      </c>
      <c r="BI88" s="50"/>
      <c r="BJ88" s="50"/>
      <c r="BK88" s="50"/>
      <c r="BL88" s="50"/>
      <c r="BM88" s="50"/>
    </row>
    <row r="89" spans="1:65" x14ac:dyDescent="0.25">
      <c r="A89" s="87" t="b">
        <v>0</v>
      </c>
      <c r="B89" s="48">
        <f t="shared" si="16"/>
        <v>88</v>
      </c>
      <c r="C89" s="107" t="e">
        <f>_xlfn.XLOOKUP($D89,Tab_Process_TCs[Name(EN)],Tab_Process_TCs[Process_ID],,0,)</f>
        <v>#N/A</v>
      </c>
      <c r="D89" s="50"/>
      <c r="E89" s="50" t="s">
        <v>55</v>
      </c>
      <c r="F89" s="48" t="e">
        <f>_xlfn.XLOOKUP($D89,Tab_Process_TCs[Name(EN)],Tab_Process_TCs[TC?],,0,)</f>
        <v>#N/A</v>
      </c>
      <c r="G89" s="48" t="e">
        <f>_xlfn.XLOOKUP($D89,Tab_Process_TCs[Name(EN)],Tab_Process_TCs[Dyn_TC?],,0,)</f>
        <v>#N/A</v>
      </c>
      <c r="H89" s="48" t="e">
        <f>_xlfn.XLOOKUP($E89,Tab_Def_Flows[Name(EN)],Tab_Def_Flows[Flow_ID],,0,1)</f>
        <v>#N/A</v>
      </c>
      <c r="I89" s="50" t="e">
        <f>IF(Tab_Process_TCs2527[[#This Row],[Name(EN)]]="N.A.","N.A.","TC"&amp;"_"&amp;RIGHT(H89,5))</f>
        <v>#N/A</v>
      </c>
      <c r="J89" s="50"/>
      <c r="K89" s="249"/>
      <c r="L89" s="50" t="e">
        <f>_xlfn.XLOOKUP($D89,Tab_Def_Processes[Name(EN)],Tab_Def_Processes[Stock?],,0,)</f>
        <v>#N/A</v>
      </c>
      <c r="M89" s="48"/>
      <c r="N89" s="57" t="e">
        <f>_xlfn.XLOOKUP($D89,Tab_Def_Processes[Name(EN)],Tab_Def_Processes[Input_Flow_I_1],,0,)</f>
        <v>#N/A</v>
      </c>
      <c r="O89" s="48" t="e">
        <f>_xlfn.XLOOKUP($D89,Tab_Def_Processes[Name(EN)],Tab_Def_Processes[Flow_ID_I_1],,0,)</f>
        <v>#N/A</v>
      </c>
      <c r="P89" s="75"/>
      <c r="Q89" s="71" t="e">
        <f>_xlfn.XLOOKUP($D89,Tab_Def_Processes[Name(EN)],Tab_Def_Processes[Input_Flow_I_2],,0,)</f>
        <v>#N/A</v>
      </c>
      <c r="R89" s="48" t="e">
        <f>_xlfn.XLOOKUP($D89,Tab_Def_Processes[Name(EN)],Tab_Def_Processes[Flow_ID_I_2],,0,)</f>
        <v>#N/A</v>
      </c>
      <c r="S89" s="75"/>
      <c r="T89" s="71" t="e">
        <f>_xlfn.XLOOKUP($D89,Tab_Def_Processes[Name(EN)],Tab_Def_Processes[Input_Flow_I_3],,0,)</f>
        <v>#N/A</v>
      </c>
      <c r="U89" s="48" t="e">
        <f>_xlfn.XLOOKUP($D89,Tab_Def_Processes[Name(EN)],Tab_Def_Processes[Flow_ID_I_3],,0,)</f>
        <v>#N/A</v>
      </c>
      <c r="V89" s="75"/>
      <c r="W89" s="71" t="e">
        <f>_xlfn.XLOOKUP($D89,Tab_Def_Processes[Name(EN)],Tab_Def_Processes[Input_Flow_I_4],,0,)</f>
        <v>#N/A</v>
      </c>
      <c r="X89" s="48" t="e">
        <f>_xlfn.XLOOKUP($D89,Tab_Def_Processes[Name(EN)],Tab_Def_Processes[Flow_ID_I_4],,0,)</f>
        <v>#N/A</v>
      </c>
      <c r="Y89" s="75"/>
      <c r="Z89" s="71" t="e">
        <f>_xlfn.XLOOKUP($D89,Tab_Def_Processes[Name(EN)],Tab_Def_Processes[Input_Flow_I_5],,0,)</f>
        <v>#N/A</v>
      </c>
      <c r="AA89" s="48" t="e">
        <f>_xlfn.XLOOKUP($D89,Tab_Def_Processes[Name(EN)],Tab_Def_Processes[Flow_ID_I_5],,0,)</f>
        <v>#N/A</v>
      </c>
      <c r="AB89" s="75"/>
      <c r="AC89" s="74">
        <f>Tab_Process_TCs2527[[#This Row],[Flow_TC_I_1_'[%']]]+Tab_Process_TCs2527[[#This Row],[Flow_TC_I_2_'[%']]]+Tab_Process_TCs2527[[#This Row],[Flow_TC_I_3_'[%']]]+Tab_Process_TCs2527[[#This Row],[Flow_TC_I_4_'[%']]]+Tab_Process_TCs2527[[#This Row],[Flow_TC_I_5_'[%']]]</f>
        <v>0</v>
      </c>
      <c r="AD89" s="57" t="e">
        <f>_xlfn.XLOOKUP($D89,Tab_Process_TCs[TC_ID],Tab_Process_TCs[Output_Flow_O_1],,0,)</f>
        <v>#N/A</v>
      </c>
      <c r="AE89" s="48" t="e">
        <f>_xlfn.XLOOKUP($D89,Tab_Process_TCs[TC_ID],Tab_Process_TCs[Flow_ID_O_1],,0,)</f>
        <v>#N/A</v>
      </c>
      <c r="AF89" s="100" t="e">
        <f>Tab_Process_TCs2527[[#This Row],[Flow_ID]]</f>
        <v>#N/A</v>
      </c>
      <c r="AG89" s="48" t="e">
        <f t="shared" si="17"/>
        <v>#N/A</v>
      </c>
      <c r="AH89" s="109">
        <v>0.4</v>
      </c>
      <c r="AI89" s="231" t="e">
        <f>_xlfn.XLOOKUP($D89,Tab_Process_TCs[TC_ID],Tab_Process_TCs[Output_Flow_O_2],,0,)</f>
        <v>#N/A</v>
      </c>
      <c r="AJ89" s="113" t="e">
        <f>_xlfn.XLOOKUP($D89,Tab_Process_TCs[TC_ID],Tab_Process_TCs[Flow_ID_O_2],,0,)</f>
        <v>#N/A</v>
      </c>
      <c r="AK89" s="100" t="e">
        <f>Tab_Process_TCs2527[[#This Row],[Flow_ID]]</f>
        <v>#N/A</v>
      </c>
      <c r="AL89" s="48" t="e">
        <f t="shared" si="18"/>
        <v>#N/A</v>
      </c>
      <c r="AM89" s="228">
        <v>0.6</v>
      </c>
      <c r="AN89" s="57" t="e">
        <f>_xlfn.XLOOKUP($D89,Tab_Process_TCs[TC_ID],Tab_Process_TCs[Output_Flow_O_3],,0,)</f>
        <v>#N/A</v>
      </c>
      <c r="AO89" s="48" t="e">
        <f>_xlfn.XLOOKUP($D89,Tab_Process_TCs[TC_ID],Tab_Process_TCs[Flow_ID_O_3],,0,)</f>
        <v>#N/A</v>
      </c>
      <c r="AP89" s="100" t="e">
        <f>Tab_Process_TCs2527[[#This Row],[Flow_ID]]</f>
        <v>#N/A</v>
      </c>
      <c r="AQ89" s="48" t="e">
        <f t="shared" si="19"/>
        <v>#N/A</v>
      </c>
      <c r="AR89" s="228"/>
      <c r="AS89" s="57" t="e">
        <f>_xlfn.XLOOKUP($D89,Tab_Process_TCs[TC_ID],#REF!,,0,)</f>
        <v>#REF!</v>
      </c>
      <c r="AT89" s="48" t="e">
        <f>_xlfn.XLOOKUP($D89,Tab_Process_TCs[TC_ID],#REF!,,0,)</f>
        <v>#REF!</v>
      </c>
      <c r="AU89" s="100" t="e">
        <f>Tab_Process_TCs2527[[#This Row],[Flow_ID]]</f>
        <v>#N/A</v>
      </c>
      <c r="AV89" s="100" t="e">
        <f t="shared" si="20"/>
        <v>#N/A</v>
      </c>
      <c r="AW89" s="228"/>
      <c r="AX89" s="57" t="e">
        <f>_xlfn.XLOOKUP($D89,Tab_Process_TCs[TC_ID],#REF!,,0,)</f>
        <v>#REF!</v>
      </c>
      <c r="AY89" s="48" t="e">
        <f>_xlfn.XLOOKUP($D89,Tab_Process_TCs[TC_ID],#REF!,,0,)</f>
        <v>#REF!</v>
      </c>
      <c r="AZ89" s="100" t="e">
        <f>Tab_Process_TCs2527[[#This Row],[Flow_ID]]</f>
        <v>#N/A</v>
      </c>
      <c r="BA89" s="100" t="e">
        <f t="shared" si="21"/>
        <v>#REF!</v>
      </c>
      <c r="BB89" s="228"/>
      <c r="BC89" s="48" t="e">
        <f>_xlfn.XLOOKUP($D89,Tab_Process_TCs[TC_ID],#REF!,,0,)</f>
        <v>#REF!</v>
      </c>
      <c r="BD89" s="48" t="e">
        <f>_xlfn.XLOOKUP($D89,Tab_Process_TCs[TC_ID],#REF!,,0,)</f>
        <v>#REF!</v>
      </c>
      <c r="BE89" s="100" t="e">
        <f>Tab_Process_TCs2527[[#This Row],[Flow_ID]]</f>
        <v>#N/A</v>
      </c>
      <c r="BF89" s="100" t="e">
        <f t="shared" si="22"/>
        <v>#REF!</v>
      </c>
      <c r="BG89" s="109"/>
      <c r="BH89" s="112">
        <f>Tab_Process_TCs2527[[#This Row],[TC O_6_'[%']]]+Tab_Process_TCs2527[[#This Row],[TC O_5_'[%']]]+Tab_Process_TCs2527[[#This Row],[TC_O_4_'[%']]]+Tab_Process_TCs2527[[#This Row],[TC_O_3_'[%']]]+Tab_Process_TCs2527[[#This Row],[TC_O_2_'[%']]]+Tab_Process_TCs2527[[#This Row],[TC_O_1_'[%']]]</f>
        <v>1</v>
      </c>
      <c r="BI89" s="50"/>
      <c r="BJ89" s="50"/>
      <c r="BK89" s="50"/>
      <c r="BL89" s="50"/>
      <c r="BM89" s="50"/>
    </row>
    <row r="90" spans="1:65" x14ac:dyDescent="0.25">
      <c r="A90" s="87" t="b">
        <v>0</v>
      </c>
      <c r="B90" s="48">
        <f t="shared" si="16"/>
        <v>89</v>
      </c>
      <c r="C90" s="107" t="e">
        <f>_xlfn.XLOOKUP($D90,Tab_Process_TCs[Name(EN)],Tab_Process_TCs[Process_ID],,0,)</f>
        <v>#N/A</v>
      </c>
      <c r="D90" s="50"/>
      <c r="E90" s="50" t="s">
        <v>55</v>
      </c>
      <c r="F90" s="48" t="e">
        <f>_xlfn.XLOOKUP($D90,Tab_Process_TCs[Name(EN)],Tab_Process_TCs[TC?],,0,)</f>
        <v>#N/A</v>
      </c>
      <c r="G90" s="48" t="e">
        <f>_xlfn.XLOOKUP($D90,Tab_Process_TCs[Name(EN)],Tab_Process_TCs[Dyn_TC?],,0,)</f>
        <v>#N/A</v>
      </c>
      <c r="H90" s="48" t="e">
        <f>_xlfn.XLOOKUP($E90,Tab_Def_Flows[Name(EN)],Tab_Def_Flows[Flow_ID],,0,1)</f>
        <v>#N/A</v>
      </c>
      <c r="I90" s="50" t="e">
        <f>IF(Tab_Process_TCs2527[[#This Row],[Name(EN)]]="N.A.","N.A.","TC"&amp;"_"&amp;RIGHT(H90,5))</f>
        <v>#N/A</v>
      </c>
      <c r="J90" s="50"/>
      <c r="K90" s="249"/>
      <c r="L90" s="50" t="e">
        <f>_xlfn.XLOOKUP($D90,Tab_Def_Processes[Name(EN)],Tab_Def_Processes[Stock?],,0,)</f>
        <v>#N/A</v>
      </c>
      <c r="M90" s="48"/>
      <c r="N90" s="57" t="e">
        <f>_xlfn.XLOOKUP($D90,Tab_Def_Processes[Name(EN)],Tab_Def_Processes[Input_Flow_I_1],,0,)</f>
        <v>#N/A</v>
      </c>
      <c r="O90" s="48" t="e">
        <f>_xlfn.XLOOKUP($D90,Tab_Def_Processes[Name(EN)],Tab_Def_Processes[Flow_ID_I_1],,0,)</f>
        <v>#N/A</v>
      </c>
      <c r="P90" s="75"/>
      <c r="Q90" s="71" t="e">
        <f>_xlfn.XLOOKUP($D90,Tab_Def_Processes[Name(EN)],Tab_Def_Processes[Input_Flow_I_2],,0,)</f>
        <v>#N/A</v>
      </c>
      <c r="R90" s="48" t="e">
        <f>_xlfn.XLOOKUP($D90,Tab_Def_Processes[Name(EN)],Tab_Def_Processes[Flow_ID_I_2],,0,)</f>
        <v>#N/A</v>
      </c>
      <c r="S90" s="75"/>
      <c r="T90" s="71" t="e">
        <f>_xlfn.XLOOKUP($D90,Tab_Def_Processes[Name(EN)],Tab_Def_Processes[Input_Flow_I_3],,0,)</f>
        <v>#N/A</v>
      </c>
      <c r="U90" s="48" t="e">
        <f>_xlfn.XLOOKUP($D90,Tab_Def_Processes[Name(EN)],Tab_Def_Processes[Flow_ID_I_3],,0,)</f>
        <v>#N/A</v>
      </c>
      <c r="V90" s="75"/>
      <c r="W90" s="71" t="e">
        <f>_xlfn.XLOOKUP($D90,Tab_Def_Processes[Name(EN)],Tab_Def_Processes[Input_Flow_I_4],,0,)</f>
        <v>#N/A</v>
      </c>
      <c r="X90" s="48" t="e">
        <f>_xlfn.XLOOKUP($D90,Tab_Def_Processes[Name(EN)],Tab_Def_Processes[Flow_ID_I_4],,0,)</f>
        <v>#N/A</v>
      </c>
      <c r="Y90" s="75"/>
      <c r="Z90" s="71" t="e">
        <f>_xlfn.XLOOKUP($D90,Tab_Def_Processes[Name(EN)],Tab_Def_Processes[Input_Flow_I_5],,0,)</f>
        <v>#N/A</v>
      </c>
      <c r="AA90" s="48" t="e">
        <f>_xlfn.XLOOKUP($D90,Tab_Def_Processes[Name(EN)],Tab_Def_Processes[Flow_ID_I_5],,0,)</f>
        <v>#N/A</v>
      </c>
      <c r="AB90" s="75"/>
      <c r="AC90" s="74">
        <f>Tab_Process_TCs2527[[#This Row],[Flow_TC_I_1_'[%']]]+Tab_Process_TCs2527[[#This Row],[Flow_TC_I_2_'[%']]]+Tab_Process_TCs2527[[#This Row],[Flow_TC_I_3_'[%']]]+Tab_Process_TCs2527[[#This Row],[Flow_TC_I_4_'[%']]]+Tab_Process_TCs2527[[#This Row],[Flow_TC_I_5_'[%']]]</f>
        <v>0</v>
      </c>
      <c r="AD90" s="57" t="e">
        <f>_xlfn.XLOOKUP($D90,Tab_Process_TCs[TC_ID],Tab_Process_TCs[Output_Flow_O_1],,0,)</f>
        <v>#N/A</v>
      </c>
      <c r="AE90" s="48" t="e">
        <f>_xlfn.XLOOKUP($D90,Tab_Process_TCs[TC_ID],Tab_Process_TCs[Flow_ID_O_1],,0,)</f>
        <v>#N/A</v>
      </c>
      <c r="AF90" s="100" t="e">
        <f>Tab_Process_TCs2527[[#This Row],[Flow_ID]]</f>
        <v>#N/A</v>
      </c>
      <c r="AG90" s="48" t="e">
        <f t="shared" si="17"/>
        <v>#N/A</v>
      </c>
      <c r="AH90" s="109">
        <v>0.4</v>
      </c>
      <c r="AI90" s="231" t="e">
        <f>_xlfn.XLOOKUP($D90,Tab_Process_TCs[TC_ID],Tab_Process_TCs[Output_Flow_O_2],,0,)</f>
        <v>#N/A</v>
      </c>
      <c r="AJ90" s="113" t="e">
        <f>_xlfn.XLOOKUP($D90,Tab_Process_TCs[TC_ID],Tab_Process_TCs[Flow_ID_O_2],,0,)</f>
        <v>#N/A</v>
      </c>
      <c r="AK90" s="100" t="e">
        <f>Tab_Process_TCs2527[[#This Row],[Flow_ID]]</f>
        <v>#N/A</v>
      </c>
      <c r="AL90" s="48" t="e">
        <f t="shared" si="18"/>
        <v>#N/A</v>
      </c>
      <c r="AM90" s="228">
        <v>0.6</v>
      </c>
      <c r="AN90" s="57" t="e">
        <f>_xlfn.XLOOKUP($D90,Tab_Process_TCs[TC_ID],Tab_Process_TCs[Output_Flow_O_3],,0,)</f>
        <v>#N/A</v>
      </c>
      <c r="AO90" s="48" t="e">
        <f>_xlfn.XLOOKUP($D90,Tab_Process_TCs[TC_ID],Tab_Process_TCs[Flow_ID_O_3],,0,)</f>
        <v>#N/A</v>
      </c>
      <c r="AP90" s="100" t="e">
        <f>Tab_Process_TCs2527[[#This Row],[Flow_ID]]</f>
        <v>#N/A</v>
      </c>
      <c r="AQ90" s="48" t="e">
        <f t="shared" si="19"/>
        <v>#N/A</v>
      </c>
      <c r="AR90" s="228"/>
      <c r="AS90" s="57" t="e">
        <f>_xlfn.XLOOKUP($D90,Tab_Process_TCs[TC_ID],#REF!,,0,)</f>
        <v>#REF!</v>
      </c>
      <c r="AT90" s="48" t="e">
        <f>_xlfn.XLOOKUP($D90,Tab_Process_TCs[TC_ID],#REF!,,0,)</f>
        <v>#REF!</v>
      </c>
      <c r="AU90" s="100" t="e">
        <f>Tab_Process_TCs2527[[#This Row],[Flow_ID]]</f>
        <v>#N/A</v>
      </c>
      <c r="AV90" s="100" t="e">
        <f t="shared" si="20"/>
        <v>#N/A</v>
      </c>
      <c r="AW90" s="228"/>
      <c r="AX90" s="57" t="e">
        <f>_xlfn.XLOOKUP($D90,Tab_Process_TCs[TC_ID],#REF!,,0,)</f>
        <v>#REF!</v>
      </c>
      <c r="AY90" s="48" t="e">
        <f>_xlfn.XLOOKUP($D90,Tab_Process_TCs[TC_ID],#REF!,,0,)</f>
        <v>#REF!</v>
      </c>
      <c r="AZ90" s="100" t="e">
        <f>Tab_Process_TCs2527[[#This Row],[Flow_ID]]</f>
        <v>#N/A</v>
      </c>
      <c r="BA90" s="100" t="e">
        <f t="shared" si="21"/>
        <v>#REF!</v>
      </c>
      <c r="BB90" s="228"/>
      <c r="BC90" s="48" t="e">
        <f>_xlfn.XLOOKUP($D90,Tab_Process_TCs[TC_ID],#REF!,,0,)</f>
        <v>#REF!</v>
      </c>
      <c r="BD90" s="48" t="e">
        <f>_xlfn.XLOOKUP($D90,Tab_Process_TCs[TC_ID],#REF!,,0,)</f>
        <v>#REF!</v>
      </c>
      <c r="BE90" s="100" t="e">
        <f>Tab_Process_TCs2527[[#This Row],[Flow_ID]]</f>
        <v>#N/A</v>
      </c>
      <c r="BF90" s="100" t="e">
        <f t="shared" si="22"/>
        <v>#REF!</v>
      </c>
      <c r="BG90" s="109"/>
      <c r="BH90" s="112">
        <f>Tab_Process_TCs2527[[#This Row],[TC O_6_'[%']]]+Tab_Process_TCs2527[[#This Row],[TC O_5_'[%']]]+Tab_Process_TCs2527[[#This Row],[TC_O_4_'[%']]]+Tab_Process_TCs2527[[#This Row],[TC_O_3_'[%']]]+Tab_Process_TCs2527[[#This Row],[TC_O_2_'[%']]]+Tab_Process_TCs2527[[#This Row],[TC_O_1_'[%']]]</f>
        <v>1</v>
      </c>
      <c r="BI90" s="50"/>
      <c r="BJ90" s="50"/>
      <c r="BK90" s="50"/>
      <c r="BL90" s="50"/>
      <c r="BM90" s="50"/>
    </row>
    <row r="91" spans="1:65" x14ac:dyDescent="0.25">
      <c r="A91" s="87" t="b">
        <v>0</v>
      </c>
      <c r="B91" s="48">
        <f t="shared" si="16"/>
        <v>90</v>
      </c>
      <c r="C91" s="107" t="e">
        <f>_xlfn.XLOOKUP($D91,Tab_Process_TCs[Name(EN)],Tab_Process_TCs[Process_ID],,0,)</f>
        <v>#N/A</v>
      </c>
      <c r="D91" s="50"/>
      <c r="E91" s="50" t="s">
        <v>55</v>
      </c>
      <c r="F91" s="48" t="e">
        <f>_xlfn.XLOOKUP($D91,Tab_Process_TCs[Name(EN)],Tab_Process_TCs[TC?],,0,)</f>
        <v>#N/A</v>
      </c>
      <c r="G91" s="48" t="e">
        <f>_xlfn.XLOOKUP($D91,Tab_Process_TCs[Name(EN)],Tab_Process_TCs[Dyn_TC?],,0,)</f>
        <v>#N/A</v>
      </c>
      <c r="H91" s="48" t="e">
        <f>_xlfn.XLOOKUP($E91,Tab_Def_Flows[Name(EN)],Tab_Def_Flows[Flow_ID],,0,1)</f>
        <v>#N/A</v>
      </c>
      <c r="I91" s="50" t="e">
        <f>IF(Tab_Process_TCs2527[[#This Row],[Name(EN)]]="N.A.","N.A.","TC"&amp;"_"&amp;RIGHT(H91,5))</f>
        <v>#N/A</v>
      </c>
      <c r="J91" s="50"/>
      <c r="K91" s="249"/>
      <c r="L91" s="50" t="e">
        <f>_xlfn.XLOOKUP($D91,Tab_Def_Processes[Name(EN)],Tab_Def_Processes[Stock?],,0,)</f>
        <v>#N/A</v>
      </c>
      <c r="M91" s="48"/>
      <c r="N91" s="57" t="e">
        <f>_xlfn.XLOOKUP($D91,Tab_Def_Processes[Name(EN)],Tab_Def_Processes[Input_Flow_I_1],,0,)</f>
        <v>#N/A</v>
      </c>
      <c r="O91" s="48" t="e">
        <f>_xlfn.XLOOKUP($D91,Tab_Def_Processes[Name(EN)],Tab_Def_Processes[Flow_ID_I_1],,0,)</f>
        <v>#N/A</v>
      </c>
      <c r="P91" s="75"/>
      <c r="Q91" s="71" t="e">
        <f>_xlfn.XLOOKUP($D91,Tab_Def_Processes[Name(EN)],Tab_Def_Processes[Input_Flow_I_2],,0,)</f>
        <v>#N/A</v>
      </c>
      <c r="R91" s="48" t="e">
        <f>_xlfn.XLOOKUP($D91,Tab_Def_Processes[Name(EN)],Tab_Def_Processes[Flow_ID_I_2],,0,)</f>
        <v>#N/A</v>
      </c>
      <c r="S91" s="75"/>
      <c r="T91" s="71" t="e">
        <f>_xlfn.XLOOKUP($D91,Tab_Def_Processes[Name(EN)],Tab_Def_Processes[Input_Flow_I_3],,0,)</f>
        <v>#N/A</v>
      </c>
      <c r="U91" s="48" t="e">
        <f>_xlfn.XLOOKUP($D91,Tab_Def_Processes[Name(EN)],Tab_Def_Processes[Flow_ID_I_3],,0,)</f>
        <v>#N/A</v>
      </c>
      <c r="V91" s="75"/>
      <c r="W91" s="71" t="e">
        <f>_xlfn.XLOOKUP($D91,Tab_Def_Processes[Name(EN)],Tab_Def_Processes[Input_Flow_I_4],,0,)</f>
        <v>#N/A</v>
      </c>
      <c r="X91" s="48" t="e">
        <f>_xlfn.XLOOKUP($D91,Tab_Def_Processes[Name(EN)],Tab_Def_Processes[Flow_ID_I_4],,0,)</f>
        <v>#N/A</v>
      </c>
      <c r="Y91" s="75"/>
      <c r="Z91" s="71" t="e">
        <f>_xlfn.XLOOKUP($D91,Tab_Def_Processes[Name(EN)],Tab_Def_Processes[Input_Flow_I_5],,0,)</f>
        <v>#N/A</v>
      </c>
      <c r="AA91" s="48" t="e">
        <f>_xlfn.XLOOKUP($D91,Tab_Def_Processes[Name(EN)],Tab_Def_Processes[Flow_ID_I_5],,0,)</f>
        <v>#N/A</v>
      </c>
      <c r="AB91" s="75"/>
      <c r="AC91" s="74">
        <f>Tab_Process_TCs2527[[#This Row],[Flow_TC_I_1_'[%']]]+Tab_Process_TCs2527[[#This Row],[Flow_TC_I_2_'[%']]]+Tab_Process_TCs2527[[#This Row],[Flow_TC_I_3_'[%']]]+Tab_Process_TCs2527[[#This Row],[Flow_TC_I_4_'[%']]]+Tab_Process_TCs2527[[#This Row],[Flow_TC_I_5_'[%']]]</f>
        <v>0</v>
      </c>
      <c r="AD91" s="57" t="e">
        <f>_xlfn.XLOOKUP($D91,Tab_Process_TCs[TC_ID],Tab_Process_TCs[Output_Flow_O_1],,0,)</f>
        <v>#N/A</v>
      </c>
      <c r="AE91" s="48" t="e">
        <f>_xlfn.XLOOKUP($D91,Tab_Process_TCs[TC_ID],Tab_Process_TCs[Flow_ID_O_1],,0,)</f>
        <v>#N/A</v>
      </c>
      <c r="AF91" s="100" t="e">
        <f>Tab_Process_TCs2527[[#This Row],[Flow_ID]]</f>
        <v>#N/A</v>
      </c>
      <c r="AG91" s="48" t="e">
        <f t="shared" si="17"/>
        <v>#N/A</v>
      </c>
      <c r="AH91" s="109">
        <v>0.4</v>
      </c>
      <c r="AI91" s="231" t="e">
        <f>_xlfn.XLOOKUP($D91,Tab_Process_TCs[TC_ID],Tab_Process_TCs[Output_Flow_O_2],,0,)</f>
        <v>#N/A</v>
      </c>
      <c r="AJ91" s="113" t="e">
        <f>_xlfn.XLOOKUP($D91,Tab_Process_TCs[TC_ID],Tab_Process_TCs[Flow_ID_O_2],,0,)</f>
        <v>#N/A</v>
      </c>
      <c r="AK91" s="100" t="e">
        <f>Tab_Process_TCs2527[[#This Row],[Flow_ID]]</f>
        <v>#N/A</v>
      </c>
      <c r="AL91" s="48" t="e">
        <f t="shared" si="18"/>
        <v>#N/A</v>
      </c>
      <c r="AM91" s="228">
        <v>0.6</v>
      </c>
      <c r="AN91" s="57" t="e">
        <f>_xlfn.XLOOKUP($D91,Tab_Process_TCs[TC_ID],Tab_Process_TCs[Output_Flow_O_3],,0,)</f>
        <v>#N/A</v>
      </c>
      <c r="AO91" s="48" t="e">
        <f>_xlfn.XLOOKUP($D91,Tab_Process_TCs[TC_ID],Tab_Process_TCs[Flow_ID_O_3],,0,)</f>
        <v>#N/A</v>
      </c>
      <c r="AP91" s="100" t="e">
        <f>Tab_Process_TCs2527[[#This Row],[Flow_ID]]</f>
        <v>#N/A</v>
      </c>
      <c r="AQ91" s="48" t="e">
        <f t="shared" si="19"/>
        <v>#N/A</v>
      </c>
      <c r="AR91" s="228"/>
      <c r="AS91" s="57" t="e">
        <f>_xlfn.XLOOKUP($D91,Tab_Process_TCs[TC_ID],#REF!,,0,)</f>
        <v>#REF!</v>
      </c>
      <c r="AT91" s="48" t="e">
        <f>_xlfn.XLOOKUP($D91,Tab_Process_TCs[TC_ID],#REF!,,0,)</f>
        <v>#REF!</v>
      </c>
      <c r="AU91" s="100" t="e">
        <f>Tab_Process_TCs2527[[#This Row],[Flow_ID]]</f>
        <v>#N/A</v>
      </c>
      <c r="AV91" s="100" t="e">
        <f t="shared" si="20"/>
        <v>#N/A</v>
      </c>
      <c r="AW91" s="228"/>
      <c r="AX91" s="57" t="e">
        <f>_xlfn.XLOOKUP($D91,Tab_Process_TCs[TC_ID],#REF!,,0,)</f>
        <v>#REF!</v>
      </c>
      <c r="AY91" s="48" t="e">
        <f>_xlfn.XLOOKUP($D91,Tab_Process_TCs[TC_ID],#REF!,,0,)</f>
        <v>#REF!</v>
      </c>
      <c r="AZ91" s="100" t="e">
        <f>Tab_Process_TCs2527[[#This Row],[Flow_ID]]</f>
        <v>#N/A</v>
      </c>
      <c r="BA91" s="100" t="e">
        <f t="shared" si="21"/>
        <v>#REF!</v>
      </c>
      <c r="BB91" s="228"/>
      <c r="BC91" s="48" t="e">
        <f>_xlfn.XLOOKUP($D91,Tab_Process_TCs[TC_ID],#REF!,,0,)</f>
        <v>#REF!</v>
      </c>
      <c r="BD91" s="48" t="e">
        <f>_xlfn.XLOOKUP($D91,Tab_Process_TCs[TC_ID],#REF!,,0,)</f>
        <v>#REF!</v>
      </c>
      <c r="BE91" s="100" t="e">
        <f>Tab_Process_TCs2527[[#This Row],[Flow_ID]]</f>
        <v>#N/A</v>
      </c>
      <c r="BF91" s="100" t="e">
        <f t="shared" si="22"/>
        <v>#REF!</v>
      </c>
      <c r="BG91" s="109"/>
      <c r="BH91" s="112">
        <f>Tab_Process_TCs2527[[#This Row],[TC O_6_'[%']]]+Tab_Process_TCs2527[[#This Row],[TC O_5_'[%']]]+Tab_Process_TCs2527[[#This Row],[TC_O_4_'[%']]]+Tab_Process_TCs2527[[#This Row],[TC_O_3_'[%']]]+Tab_Process_TCs2527[[#This Row],[TC_O_2_'[%']]]+Tab_Process_TCs2527[[#This Row],[TC_O_1_'[%']]]</f>
        <v>1</v>
      </c>
      <c r="BI91" s="50"/>
      <c r="BJ91" s="50"/>
      <c r="BK91" s="50"/>
      <c r="BL91" s="50"/>
      <c r="BM91" s="50"/>
    </row>
    <row r="92" spans="1:65" x14ac:dyDescent="0.25">
      <c r="A92" s="87" t="b">
        <v>0</v>
      </c>
      <c r="B92" s="48">
        <f t="shared" si="16"/>
        <v>91</v>
      </c>
      <c r="C92" s="107" t="e">
        <f>_xlfn.XLOOKUP($D92,Tab_Process_TCs[Name(EN)],Tab_Process_TCs[Process_ID],,0,)</f>
        <v>#N/A</v>
      </c>
      <c r="D92" s="50"/>
      <c r="E92" s="50" t="s">
        <v>55</v>
      </c>
      <c r="F92" s="48" t="e">
        <f>_xlfn.XLOOKUP($D92,Tab_Process_TCs[Name(EN)],Tab_Process_TCs[TC?],,0,)</f>
        <v>#N/A</v>
      </c>
      <c r="G92" s="48" t="e">
        <f>_xlfn.XLOOKUP($D92,Tab_Process_TCs[Name(EN)],Tab_Process_TCs[Dyn_TC?],,0,)</f>
        <v>#N/A</v>
      </c>
      <c r="H92" s="48" t="e">
        <f>_xlfn.XLOOKUP($E92,Tab_Def_Flows[Name(EN)],Tab_Def_Flows[Flow_ID],,0,1)</f>
        <v>#N/A</v>
      </c>
      <c r="I92" s="50" t="e">
        <f>IF(Tab_Process_TCs2527[[#This Row],[Name(EN)]]="N.A.","N.A.","TC"&amp;"_"&amp;RIGHT(H92,5))</f>
        <v>#N/A</v>
      </c>
      <c r="J92" s="50"/>
      <c r="K92" s="249"/>
      <c r="L92" s="50" t="e">
        <f>_xlfn.XLOOKUP($D92,Tab_Def_Processes[Name(EN)],Tab_Def_Processes[Stock?],,0,)</f>
        <v>#N/A</v>
      </c>
      <c r="M92" s="48"/>
      <c r="N92" s="57" t="e">
        <f>_xlfn.XLOOKUP($D92,Tab_Def_Processes[Name(EN)],Tab_Def_Processes[Input_Flow_I_1],,0,)</f>
        <v>#N/A</v>
      </c>
      <c r="O92" s="48" t="e">
        <f>_xlfn.XLOOKUP($D92,Tab_Def_Processes[Name(EN)],Tab_Def_Processes[Flow_ID_I_1],,0,)</f>
        <v>#N/A</v>
      </c>
      <c r="P92" s="75"/>
      <c r="Q92" s="71" t="e">
        <f>_xlfn.XLOOKUP($D92,Tab_Def_Processes[Name(EN)],Tab_Def_Processes[Input_Flow_I_2],,0,)</f>
        <v>#N/A</v>
      </c>
      <c r="R92" s="48" t="e">
        <f>_xlfn.XLOOKUP($D92,Tab_Def_Processes[Name(EN)],Tab_Def_Processes[Flow_ID_I_2],,0,)</f>
        <v>#N/A</v>
      </c>
      <c r="S92" s="75"/>
      <c r="T92" s="71" t="e">
        <f>_xlfn.XLOOKUP($D92,Tab_Def_Processes[Name(EN)],Tab_Def_Processes[Input_Flow_I_3],,0,)</f>
        <v>#N/A</v>
      </c>
      <c r="U92" s="48" t="e">
        <f>_xlfn.XLOOKUP($D92,Tab_Def_Processes[Name(EN)],Tab_Def_Processes[Flow_ID_I_3],,0,)</f>
        <v>#N/A</v>
      </c>
      <c r="V92" s="75"/>
      <c r="W92" s="71" t="e">
        <f>_xlfn.XLOOKUP($D92,Tab_Def_Processes[Name(EN)],Tab_Def_Processes[Input_Flow_I_4],,0,)</f>
        <v>#N/A</v>
      </c>
      <c r="X92" s="48" t="e">
        <f>_xlfn.XLOOKUP($D92,Tab_Def_Processes[Name(EN)],Tab_Def_Processes[Flow_ID_I_4],,0,)</f>
        <v>#N/A</v>
      </c>
      <c r="Y92" s="75"/>
      <c r="Z92" s="71" t="e">
        <f>_xlfn.XLOOKUP($D92,Tab_Def_Processes[Name(EN)],Tab_Def_Processes[Input_Flow_I_5],,0,)</f>
        <v>#N/A</v>
      </c>
      <c r="AA92" s="48" t="e">
        <f>_xlfn.XLOOKUP($D92,Tab_Def_Processes[Name(EN)],Tab_Def_Processes[Flow_ID_I_5],,0,)</f>
        <v>#N/A</v>
      </c>
      <c r="AB92" s="75"/>
      <c r="AC92" s="74">
        <f>Tab_Process_TCs2527[[#This Row],[Flow_TC_I_1_'[%']]]+Tab_Process_TCs2527[[#This Row],[Flow_TC_I_2_'[%']]]+Tab_Process_TCs2527[[#This Row],[Flow_TC_I_3_'[%']]]+Tab_Process_TCs2527[[#This Row],[Flow_TC_I_4_'[%']]]+Tab_Process_TCs2527[[#This Row],[Flow_TC_I_5_'[%']]]</f>
        <v>0</v>
      </c>
      <c r="AD92" s="57" t="e">
        <f>_xlfn.XLOOKUP($D92,Tab_Process_TCs[TC_ID],Tab_Process_TCs[Output_Flow_O_1],,0,)</f>
        <v>#N/A</v>
      </c>
      <c r="AE92" s="48" t="e">
        <f>_xlfn.XLOOKUP($D92,Tab_Process_TCs[TC_ID],Tab_Process_TCs[Flow_ID_O_1],,0,)</f>
        <v>#N/A</v>
      </c>
      <c r="AF92" s="100" t="e">
        <f>Tab_Process_TCs2527[[#This Row],[Flow_ID]]</f>
        <v>#N/A</v>
      </c>
      <c r="AG92" s="48" t="e">
        <f t="shared" si="17"/>
        <v>#N/A</v>
      </c>
      <c r="AH92" s="109">
        <v>0.4</v>
      </c>
      <c r="AI92" s="231" t="e">
        <f>_xlfn.XLOOKUP($D92,Tab_Process_TCs[TC_ID],Tab_Process_TCs[Output_Flow_O_2],,0,)</f>
        <v>#N/A</v>
      </c>
      <c r="AJ92" s="113" t="e">
        <f>_xlfn.XLOOKUP($D92,Tab_Process_TCs[TC_ID],Tab_Process_TCs[Flow_ID_O_2],,0,)</f>
        <v>#N/A</v>
      </c>
      <c r="AK92" s="100" t="e">
        <f>Tab_Process_TCs2527[[#This Row],[Flow_ID]]</f>
        <v>#N/A</v>
      </c>
      <c r="AL92" s="48" t="e">
        <f t="shared" si="18"/>
        <v>#N/A</v>
      </c>
      <c r="AM92" s="228">
        <v>0.6</v>
      </c>
      <c r="AN92" s="57" t="e">
        <f>_xlfn.XLOOKUP($D92,Tab_Process_TCs[TC_ID],Tab_Process_TCs[Output_Flow_O_3],,0,)</f>
        <v>#N/A</v>
      </c>
      <c r="AO92" s="48" t="e">
        <f>_xlfn.XLOOKUP($D92,Tab_Process_TCs[TC_ID],Tab_Process_TCs[Flow_ID_O_3],,0,)</f>
        <v>#N/A</v>
      </c>
      <c r="AP92" s="100" t="e">
        <f>Tab_Process_TCs2527[[#This Row],[Flow_ID]]</f>
        <v>#N/A</v>
      </c>
      <c r="AQ92" s="48" t="e">
        <f t="shared" si="19"/>
        <v>#N/A</v>
      </c>
      <c r="AR92" s="228"/>
      <c r="AS92" s="57" t="e">
        <f>_xlfn.XLOOKUP($D92,Tab_Process_TCs[TC_ID],#REF!,,0,)</f>
        <v>#REF!</v>
      </c>
      <c r="AT92" s="48" t="e">
        <f>_xlfn.XLOOKUP($D92,Tab_Process_TCs[TC_ID],#REF!,,0,)</f>
        <v>#REF!</v>
      </c>
      <c r="AU92" s="100" t="e">
        <f>Tab_Process_TCs2527[[#This Row],[Flow_ID]]</f>
        <v>#N/A</v>
      </c>
      <c r="AV92" s="100" t="e">
        <f t="shared" si="20"/>
        <v>#N/A</v>
      </c>
      <c r="AW92" s="228"/>
      <c r="AX92" s="57" t="e">
        <f>_xlfn.XLOOKUP($D92,Tab_Process_TCs[TC_ID],#REF!,,0,)</f>
        <v>#REF!</v>
      </c>
      <c r="AY92" s="48" t="e">
        <f>_xlfn.XLOOKUP($D92,Tab_Process_TCs[TC_ID],#REF!,,0,)</f>
        <v>#REF!</v>
      </c>
      <c r="AZ92" s="100" t="e">
        <f>Tab_Process_TCs2527[[#This Row],[Flow_ID]]</f>
        <v>#N/A</v>
      </c>
      <c r="BA92" s="100" t="e">
        <f t="shared" si="21"/>
        <v>#REF!</v>
      </c>
      <c r="BB92" s="228"/>
      <c r="BC92" s="48" t="e">
        <f>_xlfn.XLOOKUP($D92,Tab_Process_TCs[TC_ID],#REF!,,0,)</f>
        <v>#REF!</v>
      </c>
      <c r="BD92" s="48" t="e">
        <f>_xlfn.XLOOKUP($D92,Tab_Process_TCs[TC_ID],#REF!,,0,)</f>
        <v>#REF!</v>
      </c>
      <c r="BE92" s="100" t="e">
        <f>Tab_Process_TCs2527[[#This Row],[Flow_ID]]</f>
        <v>#N/A</v>
      </c>
      <c r="BF92" s="100" t="e">
        <f t="shared" si="22"/>
        <v>#REF!</v>
      </c>
      <c r="BG92" s="109"/>
      <c r="BH92" s="112">
        <f>Tab_Process_TCs2527[[#This Row],[TC O_6_'[%']]]+Tab_Process_TCs2527[[#This Row],[TC O_5_'[%']]]+Tab_Process_TCs2527[[#This Row],[TC_O_4_'[%']]]+Tab_Process_TCs2527[[#This Row],[TC_O_3_'[%']]]+Tab_Process_TCs2527[[#This Row],[TC_O_2_'[%']]]+Tab_Process_TCs2527[[#This Row],[TC_O_1_'[%']]]</f>
        <v>1</v>
      </c>
      <c r="BI92" s="50"/>
      <c r="BJ92" s="50"/>
      <c r="BK92" s="50"/>
      <c r="BL92" s="50"/>
      <c r="BM92" s="50"/>
    </row>
    <row r="93" spans="1:65" x14ac:dyDescent="0.25">
      <c r="A93" s="87" t="b">
        <v>0</v>
      </c>
      <c r="B93" s="48">
        <f t="shared" si="16"/>
        <v>92</v>
      </c>
      <c r="C93" s="107" t="e">
        <f>_xlfn.XLOOKUP($D93,Tab_Process_TCs[Name(EN)],Tab_Process_TCs[Process_ID],,0,)</f>
        <v>#N/A</v>
      </c>
      <c r="D93" s="50"/>
      <c r="E93" s="50" t="s">
        <v>55</v>
      </c>
      <c r="F93" s="48" t="e">
        <f>_xlfn.XLOOKUP($D93,Tab_Process_TCs[Name(EN)],Tab_Process_TCs[TC?],,0,)</f>
        <v>#N/A</v>
      </c>
      <c r="G93" s="48" t="e">
        <f>_xlfn.XLOOKUP($D93,Tab_Process_TCs[Name(EN)],Tab_Process_TCs[Dyn_TC?],,0,)</f>
        <v>#N/A</v>
      </c>
      <c r="H93" s="48" t="e">
        <f>_xlfn.XLOOKUP($E93,Tab_Def_Flows[Name(EN)],Tab_Def_Flows[Flow_ID],,0,1)</f>
        <v>#N/A</v>
      </c>
      <c r="I93" s="50" t="e">
        <f>IF(Tab_Process_TCs2527[[#This Row],[Name(EN)]]="N.A.","N.A.","TC"&amp;"_"&amp;RIGHT(H93,5))</f>
        <v>#N/A</v>
      </c>
      <c r="J93" s="50"/>
      <c r="K93" s="249"/>
      <c r="L93" s="50" t="e">
        <f>_xlfn.XLOOKUP($D93,Tab_Def_Processes[Name(EN)],Tab_Def_Processes[Stock?],,0,)</f>
        <v>#N/A</v>
      </c>
      <c r="M93" s="48"/>
      <c r="N93" s="57" t="e">
        <f>_xlfn.XLOOKUP($D93,Tab_Def_Processes[Name(EN)],Tab_Def_Processes[Input_Flow_I_1],,0,)</f>
        <v>#N/A</v>
      </c>
      <c r="O93" s="48" t="e">
        <f>_xlfn.XLOOKUP($D93,Tab_Def_Processes[Name(EN)],Tab_Def_Processes[Flow_ID_I_1],,0,)</f>
        <v>#N/A</v>
      </c>
      <c r="P93" s="75"/>
      <c r="Q93" s="71" t="e">
        <f>_xlfn.XLOOKUP($D93,Tab_Def_Processes[Name(EN)],Tab_Def_Processes[Input_Flow_I_2],,0,)</f>
        <v>#N/A</v>
      </c>
      <c r="R93" s="48" t="e">
        <f>_xlfn.XLOOKUP($D93,Tab_Def_Processes[Name(EN)],Tab_Def_Processes[Flow_ID_I_2],,0,)</f>
        <v>#N/A</v>
      </c>
      <c r="S93" s="75"/>
      <c r="T93" s="71" t="e">
        <f>_xlfn.XLOOKUP($D93,Tab_Def_Processes[Name(EN)],Tab_Def_Processes[Input_Flow_I_3],,0,)</f>
        <v>#N/A</v>
      </c>
      <c r="U93" s="48" t="e">
        <f>_xlfn.XLOOKUP($D93,Tab_Def_Processes[Name(EN)],Tab_Def_Processes[Flow_ID_I_3],,0,)</f>
        <v>#N/A</v>
      </c>
      <c r="V93" s="75"/>
      <c r="W93" s="71" t="e">
        <f>_xlfn.XLOOKUP($D93,Tab_Def_Processes[Name(EN)],Tab_Def_Processes[Input_Flow_I_4],,0,)</f>
        <v>#N/A</v>
      </c>
      <c r="X93" s="48" t="e">
        <f>_xlfn.XLOOKUP($D93,Tab_Def_Processes[Name(EN)],Tab_Def_Processes[Flow_ID_I_4],,0,)</f>
        <v>#N/A</v>
      </c>
      <c r="Y93" s="75"/>
      <c r="Z93" s="71" t="e">
        <f>_xlfn.XLOOKUP($D93,Tab_Def_Processes[Name(EN)],Tab_Def_Processes[Input_Flow_I_5],,0,)</f>
        <v>#N/A</v>
      </c>
      <c r="AA93" s="48" t="e">
        <f>_xlfn.XLOOKUP($D93,Tab_Def_Processes[Name(EN)],Tab_Def_Processes[Flow_ID_I_5],,0,)</f>
        <v>#N/A</v>
      </c>
      <c r="AB93" s="75"/>
      <c r="AC93" s="74">
        <f>Tab_Process_TCs2527[[#This Row],[Flow_TC_I_1_'[%']]]+Tab_Process_TCs2527[[#This Row],[Flow_TC_I_2_'[%']]]+Tab_Process_TCs2527[[#This Row],[Flow_TC_I_3_'[%']]]+Tab_Process_TCs2527[[#This Row],[Flow_TC_I_4_'[%']]]+Tab_Process_TCs2527[[#This Row],[Flow_TC_I_5_'[%']]]</f>
        <v>0</v>
      </c>
      <c r="AD93" s="57" t="e">
        <f>_xlfn.XLOOKUP($D93,Tab_Process_TCs[TC_ID],Tab_Process_TCs[Output_Flow_O_1],,0,)</f>
        <v>#N/A</v>
      </c>
      <c r="AE93" s="48" t="e">
        <f>_xlfn.XLOOKUP($D93,Tab_Process_TCs[TC_ID],Tab_Process_TCs[Flow_ID_O_1],,0,)</f>
        <v>#N/A</v>
      </c>
      <c r="AF93" s="100" t="e">
        <f>Tab_Process_TCs2527[[#This Row],[Flow_ID]]</f>
        <v>#N/A</v>
      </c>
      <c r="AG93" s="48" t="e">
        <f t="shared" si="17"/>
        <v>#N/A</v>
      </c>
      <c r="AH93" s="109">
        <v>0.4</v>
      </c>
      <c r="AI93" s="231" t="e">
        <f>_xlfn.XLOOKUP($D93,Tab_Process_TCs[TC_ID],Tab_Process_TCs[Output_Flow_O_2],,0,)</f>
        <v>#N/A</v>
      </c>
      <c r="AJ93" s="113" t="e">
        <f>_xlfn.XLOOKUP($D93,Tab_Process_TCs[TC_ID],Tab_Process_TCs[Flow_ID_O_2],,0,)</f>
        <v>#N/A</v>
      </c>
      <c r="AK93" s="100" t="e">
        <f>Tab_Process_TCs2527[[#This Row],[Flow_ID]]</f>
        <v>#N/A</v>
      </c>
      <c r="AL93" s="48" t="e">
        <f t="shared" si="18"/>
        <v>#N/A</v>
      </c>
      <c r="AM93" s="228">
        <v>0.6</v>
      </c>
      <c r="AN93" s="57" t="e">
        <f>_xlfn.XLOOKUP($D93,Tab_Process_TCs[TC_ID],Tab_Process_TCs[Output_Flow_O_3],,0,)</f>
        <v>#N/A</v>
      </c>
      <c r="AO93" s="48" t="e">
        <f>_xlfn.XLOOKUP($D93,Tab_Process_TCs[TC_ID],Tab_Process_TCs[Flow_ID_O_3],,0,)</f>
        <v>#N/A</v>
      </c>
      <c r="AP93" s="100" t="e">
        <f>Tab_Process_TCs2527[[#This Row],[Flow_ID]]</f>
        <v>#N/A</v>
      </c>
      <c r="AQ93" s="48" t="e">
        <f t="shared" si="19"/>
        <v>#N/A</v>
      </c>
      <c r="AR93" s="228"/>
      <c r="AS93" s="57" t="e">
        <f>_xlfn.XLOOKUP($D93,Tab_Process_TCs[TC_ID],#REF!,,0,)</f>
        <v>#REF!</v>
      </c>
      <c r="AT93" s="48" t="e">
        <f>_xlfn.XLOOKUP($D93,Tab_Process_TCs[TC_ID],#REF!,,0,)</f>
        <v>#REF!</v>
      </c>
      <c r="AU93" s="100" t="e">
        <f>Tab_Process_TCs2527[[#This Row],[Flow_ID]]</f>
        <v>#N/A</v>
      </c>
      <c r="AV93" s="100" t="e">
        <f t="shared" si="20"/>
        <v>#N/A</v>
      </c>
      <c r="AW93" s="228"/>
      <c r="AX93" s="57" t="e">
        <f>_xlfn.XLOOKUP($D93,Tab_Process_TCs[TC_ID],#REF!,,0,)</f>
        <v>#REF!</v>
      </c>
      <c r="AY93" s="48" t="e">
        <f>_xlfn.XLOOKUP($D93,Tab_Process_TCs[TC_ID],#REF!,,0,)</f>
        <v>#REF!</v>
      </c>
      <c r="AZ93" s="100" t="e">
        <f>Tab_Process_TCs2527[[#This Row],[Flow_ID]]</f>
        <v>#N/A</v>
      </c>
      <c r="BA93" s="100" t="e">
        <f t="shared" si="21"/>
        <v>#REF!</v>
      </c>
      <c r="BB93" s="228"/>
      <c r="BC93" s="48" t="e">
        <f>_xlfn.XLOOKUP($D93,Tab_Process_TCs[TC_ID],#REF!,,0,)</f>
        <v>#REF!</v>
      </c>
      <c r="BD93" s="48" t="e">
        <f>_xlfn.XLOOKUP($D93,Tab_Process_TCs[TC_ID],#REF!,,0,)</f>
        <v>#REF!</v>
      </c>
      <c r="BE93" s="100" t="e">
        <f>Tab_Process_TCs2527[[#This Row],[Flow_ID]]</f>
        <v>#N/A</v>
      </c>
      <c r="BF93" s="100" t="e">
        <f t="shared" si="22"/>
        <v>#REF!</v>
      </c>
      <c r="BG93" s="109"/>
      <c r="BH93" s="112">
        <f>Tab_Process_TCs2527[[#This Row],[TC O_6_'[%']]]+Tab_Process_TCs2527[[#This Row],[TC O_5_'[%']]]+Tab_Process_TCs2527[[#This Row],[TC_O_4_'[%']]]+Tab_Process_TCs2527[[#This Row],[TC_O_3_'[%']]]+Tab_Process_TCs2527[[#This Row],[TC_O_2_'[%']]]+Tab_Process_TCs2527[[#This Row],[TC_O_1_'[%']]]</f>
        <v>1</v>
      </c>
      <c r="BI93" s="50"/>
      <c r="BJ93" s="50"/>
      <c r="BK93" s="50"/>
      <c r="BL93" s="50"/>
      <c r="BM93" s="50"/>
    </row>
    <row r="94" spans="1:65" x14ac:dyDescent="0.25">
      <c r="A94" s="87" t="b">
        <v>0</v>
      </c>
      <c r="B94" s="48">
        <f t="shared" si="16"/>
        <v>93</v>
      </c>
      <c r="C94" s="107" t="e">
        <f>_xlfn.XLOOKUP($D94,Tab_Process_TCs[Name(EN)],Tab_Process_TCs[Process_ID],,0,)</f>
        <v>#N/A</v>
      </c>
      <c r="D94" s="50"/>
      <c r="E94" s="50" t="s">
        <v>55</v>
      </c>
      <c r="F94" s="48" t="e">
        <f>_xlfn.XLOOKUP($D94,Tab_Process_TCs[Name(EN)],Tab_Process_TCs[TC?],,0,)</f>
        <v>#N/A</v>
      </c>
      <c r="G94" s="48" t="e">
        <f>_xlfn.XLOOKUP($D94,Tab_Process_TCs[Name(EN)],Tab_Process_TCs[Dyn_TC?],,0,)</f>
        <v>#N/A</v>
      </c>
      <c r="H94" s="48" t="e">
        <f>_xlfn.XLOOKUP($E94,Tab_Def_Flows[Name(EN)],Tab_Def_Flows[Flow_ID],,0,1)</f>
        <v>#N/A</v>
      </c>
      <c r="I94" s="50" t="e">
        <f>IF(Tab_Process_TCs2527[[#This Row],[Name(EN)]]="N.A.","N.A.","TC"&amp;"_"&amp;RIGHT(H94,5))</f>
        <v>#N/A</v>
      </c>
      <c r="J94" s="50"/>
      <c r="K94" s="249"/>
      <c r="L94" s="50" t="e">
        <f>_xlfn.XLOOKUP($D94,Tab_Def_Processes[Name(EN)],Tab_Def_Processes[Stock?],,0,)</f>
        <v>#N/A</v>
      </c>
      <c r="M94" s="48"/>
      <c r="N94" s="57" t="e">
        <f>_xlfn.XLOOKUP($D94,Tab_Def_Processes[Name(EN)],Tab_Def_Processes[Input_Flow_I_1],,0,)</f>
        <v>#N/A</v>
      </c>
      <c r="O94" s="48" t="e">
        <f>_xlfn.XLOOKUP($D94,Tab_Def_Processes[Name(EN)],Tab_Def_Processes[Flow_ID_I_1],,0,)</f>
        <v>#N/A</v>
      </c>
      <c r="P94" s="75"/>
      <c r="Q94" s="71" t="e">
        <f>_xlfn.XLOOKUP($D94,Tab_Def_Processes[Name(EN)],Tab_Def_Processes[Input_Flow_I_2],,0,)</f>
        <v>#N/A</v>
      </c>
      <c r="R94" s="48" t="e">
        <f>_xlfn.XLOOKUP($D94,Tab_Def_Processes[Name(EN)],Tab_Def_Processes[Flow_ID_I_2],,0,)</f>
        <v>#N/A</v>
      </c>
      <c r="S94" s="75"/>
      <c r="T94" s="71" t="e">
        <f>_xlfn.XLOOKUP($D94,Tab_Def_Processes[Name(EN)],Tab_Def_Processes[Input_Flow_I_3],,0,)</f>
        <v>#N/A</v>
      </c>
      <c r="U94" s="48" t="e">
        <f>_xlfn.XLOOKUP($D94,Tab_Def_Processes[Name(EN)],Tab_Def_Processes[Flow_ID_I_3],,0,)</f>
        <v>#N/A</v>
      </c>
      <c r="V94" s="75"/>
      <c r="W94" s="71" t="e">
        <f>_xlfn.XLOOKUP($D94,Tab_Def_Processes[Name(EN)],Tab_Def_Processes[Input_Flow_I_4],,0,)</f>
        <v>#N/A</v>
      </c>
      <c r="X94" s="48" t="e">
        <f>_xlfn.XLOOKUP($D94,Tab_Def_Processes[Name(EN)],Tab_Def_Processes[Flow_ID_I_4],,0,)</f>
        <v>#N/A</v>
      </c>
      <c r="Y94" s="75"/>
      <c r="Z94" s="71" t="e">
        <f>_xlfn.XLOOKUP($D94,Tab_Def_Processes[Name(EN)],Tab_Def_Processes[Input_Flow_I_5],,0,)</f>
        <v>#N/A</v>
      </c>
      <c r="AA94" s="48" t="e">
        <f>_xlfn.XLOOKUP($D94,Tab_Def_Processes[Name(EN)],Tab_Def_Processes[Flow_ID_I_5],,0,)</f>
        <v>#N/A</v>
      </c>
      <c r="AB94" s="75"/>
      <c r="AC94" s="74">
        <f>Tab_Process_TCs2527[[#This Row],[Flow_TC_I_1_'[%']]]+Tab_Process_TCs2527[[#This Row],[Flow_TC_I_2_'[%']]]+Tab_Process_TCs2527[[#This Row],[Flow_TC_I_3_'[%']]]+Tab_Process_TCs2527[[#This Row],[Flow_TC_I_4_'[%']]]+Tab_Process_TCs2527[[#This Row],[Flow_TC_I_5_'[%']]]</f>
        <v>0</v>
      </c>
      <c r="AD94" s="57" t="e">
        <f>_xlfn.XLOOKUP($D94,Tab_Process_TCs[TC_ID],Tab_Process_TCs[Output_Flow_O_1],,0,)</f>
        <v>#N/A</v>
      </c>
      <c r="AE94" s="48" t="e">
        <f>_xlfn.XLOOKUP($D94,Tab_Process_TCs[TC_ID],Tab_Process_TCs[Flow_ID_O_1],,0,)</f>
        <v>#N/A</v>
      </c>
      <c r="AF94" s="100" t="e">
        <f>Tab_Process_TCs2527[[#This Row],[Flow_ID]]</f>
        <v>#N/A</v>
      </c>
      <c r="AG94" s="48" t="e">
        <f t="shared" si="17"/>
        <v>#N/A</v>
      </c>
      <c r="AH94" s="109">
        <v>0.4</v>
      </c>
      <c r="AI94" s="231" t="e">
        <f>_xlfn.XLOOKUP($D94,Tab_Process_TCs[TC_ID],Tab_Process_TCs[Output_Flow_O_2],,0,)</f>
        <v>#N/A</v>
      </c>
      <c r="AJ94" s="113" t="e">
        <f>_xlfn.XLOOKUP($D94,Tab_Process_TCs[TC_ID],Tab_Process_TCs[Flow_ID_O_2],,0,)</f>
        <v>#N/A</v>
      </c>
      <c r="AK94" s="100" t="e">
        <f>Tab_Process_TCs2527[[#This Row],[Flow_ID]]</f>
        <v>#N/A</v>
      </c>
      <c r="AL94" s="48" t="e">
        <f t="shared" si="18"/>
        <v>#N/A</v>
      </c>
      <c r="AM94" s="228">
        <v>0.6</v>
      </c>
      <c r="AN94" s="57" t="e">
        <f>_xlfn.XLOOKUP($D94,Tab_Process_TCs[TC_ID],Tab_Process_TCs[Output_Flow_O_3],,0,)</f>
        <v>#N/A</v>
      </c>
      <c r="AO94" s="48" t="e">
        <f>_xlfn.XLOOKUP($D94,Tab_Process_TCs[TC_ID],Tab_Process_TCs[Flow_ID_O_3],,0,)</f>
        <v>#N/A</v>
      </c>
      <c r="AP94" s="100" t="e">
        <f>Tab_Process_TCs2527[[#This Row],[Flow_ID]]</f>
        <v>#N/A</v>
      </c>
      <c r="AQ94" s="48" t="e">
        <f t="shared" si="19"/>
        <v>#N/A</v>
      </c>
      <c r="AR94" s="228"/>
      <c r="AS94" s="57" t="e">
        <f>_xlfn.XLOOKUP($D94,Tab_Process_TCs[TC_ID],#REF!,,0,)</f>
        <v>#REF!</v>
      </c>
      <c r="AT94" s="48" t="e">
        <f>_xlfn.XLOOKUP($D94,Tab_Process_TCs[TC_ID],#REF!,,0,)</f>
        <v>#REF!</v>
      </c>
      <c r="AU94" s="100" t="e">
        <f>Tab_Process_TCs2527[[#This Row],[Flow_ID]]</f>
        <v>#N/A</v>
      </c>
      <c r="AV94" s="100" t="e">
        <f t="shared" si="20"/>
        <v>#N/A</v>
      </c>
      <c r="AW94" s="228"/>
      <c r="AX94" s="57" t="e">
        <f>_xlfn.XLOOKUP($D94,Tab_Process_TCs[TC_ID],#REF!,,0,)</f>
        <v>#REF!</v>
      </c>
      <c r="AY94" s="48" t="e">
        <f>_xlfn.XLOOKUP($D94,Tab_Process_TCs[TC_ID],#REF!,,0,)</f>
        <v>#REF!</v>
      </c>
      <c r="AZ94" s="100" t="e">
        <f>Tab_Process_TCs2527[[#This Row],[Flow_ID]]</f>
        <v>#N/A</v>
      </c>
      <c r="BA94" s="100" t="e">
        <f t="shared" si="21"/>
        <v>#REF!</v>
      </c>
      <c r="BB94" s="228"/>
      <c r="BC94" s="48" t="e">
        <f>_xlfn.XLOOKUP($D94,Tab_Process_TCs[TC_ID],#REF!,,0,)</f>
        <v>#REF!</v>
      </c>
      <c r="BD94" s="48" t="e">
        <f>_xlfn.XLOOKUP($D94,Tab_Process_TCs[TC_ID],#REF!,,0,)</f>
        <v>#REF!</v>
      </c>
      <c r="BE94" s="100" t="e">
        <f>Tab_Process_TCs2527[[#This Row],[Flow_ID]]</f>
        <v>#N/A</v>
      </c>
      <c r="BF94" s="100" t="e">
        <f t="shared" si="22"/>
        <v>#REF!</v>
      </c>
      <c r="BG94" s="109"/>
      <c r="BH94" s="112">
        <f>Tab_Process_TCs2527[[#This Row],[TC O_6_'[%']]]+Tab_Process_TCs2527[[#This Row],[TC O_5_'[%']]]+Tab_Process_TCs2527[[#This Row],[TC_O_4_'[%']]]+Tab_Process_TCs2527[[#This Row],[TC_O_3_'[%']]]+Tab_Process_TCs2527[[#This Row],[TC_O_2_'[%']]]+Tab_Process_TCs2527[[#This Row],[TC_O_1_'[%']]]</f>
        <v>1</v>
      </c>
      <c r="BI94" s="50"/>
      <c r="BJ94" s="50"/>
      <c r="BK94" s="50"/>
      <c r="BL94" s="50"/>
      <c r="BM94" s="50"/>
    </row>
    <row r="95" spans="1:65" x14ac:dyDescent="0.25">
      <c r="A95" s="87" t="b">
        <v>0</v>
      </c>
      <c r="B95" s="48">
        <f t="shared" si="16"/>
        <v>94</v>
      </c>
      <c r="C95" s="107" t="e">
        <f>_xlfn.XLOOKUP($D95,Tab_Process_TCs[Name(EN)],Tab_Process_TCs[Process_ID],,0,)</f>
        <v>#N/A</v>
      </c>
      <c r="D95" s="50"/>
      <c r="E95" s="50" t="s">
        <v>55</v>
      </c>
      <c r="F95" s="48" t="e">
        <f>_xlfn.XLOOKUP($D95,Tab_Process_TCs[Name(EN)],Tab_Process_TCs[TC?],,0,)</f>
        <v>#N/A</v>
      </c>
      <c r="G95" s="48" t="e">
        <f>_xlfn.XLOOKUP($D95,Tab_Process_TCs[Name(EN)],Tab_Process_TCs[Dyn_TC?],,0,)</f>
        <v>#N/A</v>
      </c>
      <c r="H95" s="48" t="e">
        <f>_xlfn.XLOOKUP($E95,Tab_Def_Flows[Name(EN)],Tab_Def_Flows[Flow_ID],,0,1)</f>
        <v>#N/A</v>
      </c>
      <c r="I95" s="50" t="e">
        <f>IF(Tab_Process_TCs2527[[#This Row],[Name(EN)]]="N.A.","N.A.","TC"&amp;"_"&amp;RIGHT(H95,5))</f>
        <v>#N/A</v>
      </c>
      <c r="J95" s="50"/>
      <c r="K95" s="249"/>
      <c r="L95" s="50" t="e">
        <f>_xlfn.XLOOKUP($D95,Tab_Def_Processes[Name(EN)],Tab_Def_Processes[Stock?],,0,)</f>
        <v>#N/A</v>
      </c>
      <c r="M95" s="48"/>
      <c r="N95" s="57" t="e">
        <f>_xlfn.XLOOKUP($D95,Tab_Def_Processes[Name(EN)],Tab_Def_Processes[Input_Flow_I_1],,0,)</f>
        <v>#N/A</v>
      </c>
      <c r="O95" s="48" t="e">
        <f>_xlfn.XLOOKUP($D95,Tab_Def_Processes[Name(EN)],Tab_Def_Processes[Flow_ID_I_1],,0,)</f>
        <v>#N/A</v>
      </c>
      <c r="P95" s="75"/>
      <c r="Q95" s="71" t="e">
        <f>_xlfn.XLOOKUP($D95,Tab_Def_Processes[Name(EN)],Tab_Def_Processes[Input_Flow_I_2],,0,)</f>
        <v>#N/A</v>
      </c>
      <c r="R95" s="48" t="e">
        <f>_xlfn.XLOOKUP($D95,Tab_Def_Processes[Name(EN)],Tab_Def_Processes[Flow_ID_I_2],,0,)</f>
        <v>#N/A</v>
      </c>
      <c r="S95" s="75"/>
      <c r="T95" s="71" t="e">
        <f>_xlfn.XLOOKUP($D95,Tab_Def_Processes[Name(EN)],Tab_Def_Processes[Input_Flow_I_3],,0,)</f>
        <v>#N/A</v>
      </c>
      <c r="U95" s="48" t="e">
        <f>_xlfn.XLOOKUP($D95,Tab_Def_Processes[Name(EN)],Tab_Def_Processes[Flow_ID_I_3],,0,)</f>
        <v>#N/A</v>
      </c>
      <c r="V95" s="75"/>
      <c r="W95" s="71" t="e">
        <f>_xlfn.XLOOKUP($D95,Tab_Def_Processes[Name(EN)],Tab_Def_Processes[Input_Flow_I_4],,0,)</f>
        <v>#N/A</v>
      </c>
      <c r="X95" s="48" t="e">
        <f>_xlfn.XLOOKUP($D95,Tab_Def_Processes[Name(EN)],Tab_Def_Processes[Flow_ID_I_4],,0,)</f>
        <v>#N/A</v>
      </c>
      <c r="Y95" s="75"/>
      <c r="Z95" s="71" t="e">
        <f>_xlfn.XLOOKUP($D95,Tab_Def_Processes[Name(EN)],Tab_Def_Processes[Input_Flow_I_5],,0,)</f>
        <v>#N/A</v>
      </c>
      <c r="AA95" s="48" t="e">
        <f>_xlfn.XLOOKUP($D95,Tab_Def_Processes[Name(EN)],Tab_Def_Processes[Flow_ID_I_5],,0,)</f>
        <v>#N/A</v>
      </c>
      <c r="AB95" s="75"/>
      <c r="AC95" s="74">
        <f>Tab_Process_TCs2527[[#This Row],[Flow_TC_I_1_'[%']]]+Tab_Process_TCs2527[[#This Row],[Flow_TC_I_2_'[%']]]+Tab_Process_TCs2527[[#This Row],[Flow_TC_I_3_'[%']]]+Tab_Process_TCs2527[[#This Row],[Flow_TC_I_4_'[%']]]+Tab_Process_TCs2527[[#This Row],[Flow_TC_I_5_'[%']]]</f>
        <v>0</v>
      </c>
      <c r="AD95" s="57" t="e">
        <f>_xlfn.XLOOKUP($D95,Tab_Process_TCs[TC_ID],Tab_Process_TCs[Output_Flow_O_1],,0,)</f>
        <v>#N/A</v>
      </c>
      <c r="AE95" s="48" t="e">
        <f>_xlfn.XLOOKUP($D95,Tab_Process_TCs[TC_ID],Tab_Process_TCs[Flow_ID_O_1],,0,)</f>
        <v>#N/A</v>
      </c>
      <c r="AF95" s="100" t="e">
        <f>Tab_Process_TCs2527[[#This Row],[Flow_ID]]</f>
        <v>#N/A</v>
      </c>
      <c r="AG95" s="48" t="e">
        <f t="shared" si="17"/>
        <v>#N/A</v>
      </c>
      <c r="AH95" s="109">
        <v>0.4</v>
      </c>
      <c r="AI95" s="57" t="e">
        <f>_xlfn.XLOOKUP($D95,Tab_Process_TCs[TC_ID],Tab_Process_TCs[Output_Flow_O_2],,0,)</f>
        <v>#N/A</v>
      </c>
      <c r="AJ95" s="48" t="e">
        <f>_xlfn.XLOOKUP($D95,Tab_Process_TCs[TC_ID],Tab_Process_TCs[Flow_ID_O_2],,0,)</f>
        <v>#N/A</v>
      </c>
      <c r="AK95" s="100" t="e">
        <f>Tab_Process_TCs2527[[#This Row],[Flow_ID]]</f>
        <v>#N/A</v>
      </c>
      <c r="AL95" s="48" t="e">
        <f t="shared" si="18"/>
        <v>#N/A</v>
      </c>
      <c r="AM95" s="228">
        <v>0.6</v>
      </c>
      <c r="AN95" s="57" t="e">
        <f>_xlfn.XLOOKUP($D95,Tab_Process_TCs[TC_ID],Tab_Process_TCs[Output_Flow_O_3],,0,)</f>
        <v>#N/A</v>
      </c>
      <c r="AO95" s="48" t="e">
        <f>_xlfn.XLOOKUP($D95,Tab_Process_TCs[TC_ID],Tab_Process_TCs[Flow_ID_O_3],,0,)</f>
        <v>#N/A</v>
      </c>
      <c r="AP95" s="100" t="e">
        <f>Tab_Process_TCs2527[[#This Row],[Flow_ID]]</f>
        <v>#N/A</v>
      </c>
      <c r="AQ95" s="48" t="e">
        <f t="shared" si="19"/>
        <v>#N/A</v>
      </c>
      <c r="AR95" s="228"/>
      <c r="AS95" s="57" t="e">
        <f>_xlfn.XLOOKUP($D95,Tab_Process_TCs[TC_ID],#REF!,,0,)</f>
        <v>#REF!</v>
      </c>
      <c r="AT95" s="48" t="e">
        <f>_xlfn.XLOOKUP($D95,Tab_Process_TCs[TC_ID],#REF!,,0,)</f>
        <v>#REF!</v>
      </c>
      <c r="AU95" s="100" t="e">
        <f>Tab_Process_TCs2527[[#This Row],[Flow_ID]]</f>
        <v>#N/A</v>
      </c>
      <c r="AV95" s="100" t="e">
        <f t="shared" si="20"/>
        <v>#N/A</v>
      </c>
      <c r="AW95" s="228"/>
      <c r="AX95" s="57" t="e">
        <f>_xlfn.XLOOKUP($D95,Tab_Process_TCs[TC_ID],#REF!,,0,)</f>
        <v>#REF!</v>
      </c>
      <c r="AY95" s="48" t="e">
        <f>_xlfn.XLOOKUP($D95,Tab_Process_TCs[TC_ID],#REF!,,0,)</f>
        <v>#REF!</v>
      </c>
      <c r="AZ95" s="100" t="e">
        <f>Tab_Process_TCs2527[[#This Row],[Flow_ID]]</f>
        <v>#N/A</v>
      </c>
      <c r="BA95" s="100" t="e">
        <f t="shared" si="21"/>
        <v>#REF!</v>
      </c>
      <c r="BB95" s="228"/>
      <c r="BC95" s="48" t="e">
        <f>_xlfn.XLOOKUP($D95,Tab_Process_TCs[TC_ID],#REF!,,0,)</f>
        <v>#REF!</v>
      </c>
      <c r="BD95" s="48" t="e">
        <f>_xlfn.XLOOKUP($D95,Tab_Process_TCs[TC_ID],#REF!,,0,)</f>
        <v>#REF!</v>
      </c>
      <c r="BE95" s="100" t="e">
        <f>Tab_Process_TCs2527[[#This Row],[Flow_ID]]</f>
        <v>#N/A</v>
      </c>
      <c r="BF95" s="100" t="e">
        <f t="shared" si="22"/>
        <v>#REF!</v>
      </c>
      <c r="BG95" s="109"/>
      <c r="BH95" s="112">
        <f>Tab_Process_TCs2527[[#This Row],[TC O_6_'[%']]]+Tab_Process_TCs2527[[#This Row],[TC O_5_'[%']]]+Tab_Process_TCs2527[[#This Row],[TC_O_4_'[%']]]+Tab_Process_TCs2527[[#This Row],[TC_O_3_'[%']]]+Tab_Process_TCs2527[[#This Row],[TC_O_2_'[%']]]+Tab_Process_TCs2527[[#This Row],[TC_O_1_'[%']]]</f>
        <v>1</v>
      </c>
      <c r="BI95" s="50"/>
      <c r="BJ95" s="50"/>
      <c r="BK95" s="50"/>
      <c r="BL95" s="50"/>
      <c r="BM95" s="50"/>
    </row>
    <row r="96" spans="1:65" x14ac:dyDescent="0.25">
      <c r="A96" s="87" t="b">
        <v>0</v>
      </c>
      <c r="B96" s="48">
        <f t="shared" si="16"/>
        <v>95</v>
      </c>
      <c r="C96" s="107" t="e">
        <f>_xlfn.XLOOKUP($D96,Tab_Process_TCs[Name(EN)],Tab_Process_TCs[Process_ID],,0,)</f>
        <v>#N/A</v>
      </c>
      <c r="D96" s="50"/>
      <c r="E96" s="50" t="s">
        <v>55</v>
      </c>
      <c r="F96" s="48" t="e">
        <f>_xlfn.XLOOKUP($D96,Tab_Process_TCs[Name(EN)],Tab_Process_TCs[TC?],,0,)</f>
        <v>#N/A</v>
      </c>
      <c r="G96" s="48" t="e">
        <f>_xlfn.XLOOKUP($D96,Tab_Process_TCs[Name(EN)],Tab_Process_TCs[Dyn_TC?],,0,)</f>
        <v>#N/A</v>
      </c>
      <c r="H96" s="48" t="e">
        <f>_xlfn.XLOOKUP($E96,Tab_Def_Flows[Name(EN)],Tab_Def_Flows[Flow_ID],,0,1)</f>
        <v>#N/A</v>
      </c>
      <c r="I96" s="50" t="e">
        <f>IF(Tab_Process_TCs2527[[#This Row],[Name(EN)]]="N.A.","N.A.","TC"&amp;"_"&amp;RIGHT(H96,5))</f>
        <v>#N/A</v>
      </c>
      <c r="J96" s="50"/>
      <c r="K96" s="249"/>
      <c r="L96" s="50" t="e">
        <f>_xlfn.XLOOKUP($D96,Tab_Def_Processes[Name(EN)],Tab_Def_Processes[Stock?],,0,)</f>
        <v>#N/A</v>
      </c>
      <c r="M96" s="48"/>
      <c r="N96" s="57" t="e">
        <f>_xlfn.XLOOKUP($D96,Tab_Def_Processes[Name(EN)],Tab_Def_Processes[Input_Flow_I_1],,0,)</f>
        <v>#N/A</v>
      </c>
      <c r="O96" s="48" t="e">
        <f>_xlfn.XLOOKUP($D96,Tab_Def_Processes[Name(EN)],Tab_Def_Processes[Flow_ID_I_1],,0,)</f>
        <v>#N/A</v>
      </c>
      <c r="P96" s="75"/>
      <c r="Q96" s="71" t="e">
        <f>_xlfn.XLOOKUP($D96,Tab_Def_Processes[Name(EN)],Tab_Def_Processes[Input_Flow_I_2],,0,)</f>
        <v>#N/A</v>
      </c>
      <c r="R96" s="48" t="e">
        <f>_xlfn.XLOOKUP($D96,Tab_Def_Processes[Name(EN)],Tab_Def_Processes[Flow_ID_I_2],,0,)</f>
        <v>#N/A</v>
      </c>
      <c r="S96" s="75"/>
      <c r="T96" s="71" t="e">
        <f>_xlfn.XLOOKUP($D96,Tab_Def_Processes[Name(EN)],Tab_Def_Processes[Input_Flow_I_3],,0,)</f>
        <v>#N/A</v>
      </c>
      <c r="U96" s="48" t="e">
        <f>_xlfn.XLOOKUP($D96,Tab_Def_Processes[Name(EN)],Tab_Def_Processes[Flow_ID_I_3],,0,)</f>
        <v>#N/A</v>
      </c>
      <c r="V96" s="75"/>
      <c r="W96" s="71" t="e">
        <f>_xlfn.XLOOKUP($D96,Tab_Def_Processes[Name(EN)],Tab_Def_Processes[Input_Flow_I_4],,0,)</f>
        <v>#N/A</v>
      </c>
      <c r="X96" s="48" t="e">
        <f>_xlfn.XLOOKUP($D96,Tab_Def_Processes[Name(EN)],Tab_Def_Processes[Flow_ID_I_4],,0,)</f>
        <v>#N/A</v>
      </c>
      <c r="Y96" s="75"/>
      <c r="Z96" s="71" t="e">
        <f>_xlfn.XLOOKUP($D96,Tab_Def_Processes[Name(EN)],Tab_Def_Processes[Input_Flow_I_5],,0,)</f>
        <v>#N/A</v>
      </c>
      <c r="AA96" s="48" t="e">
        <f>_xlfn.XLOOKUP($D96,Tab_Def_Processes[Name(EN)],Tab_Def_Processes[Flow_ID_I_5],,0,)</f>
        <v>#N/A</v>
      </c>
      <c r="AB96" s="75"/>
      <c r="AC96" s="74">
        <f>Tab_Process_TCs2527[[#This Row],[Flow_TC_I_1_'[%']]]+Tab_Process_TCs2527[[#This Row],[Flow_TC_I_2_'[%']]]+Tab_Process_TCs2527[[#This Row],[Flow_TC_I_3_'[%']]]+Tab_Process_TCs2527[[#This Row],[Flow_TC_I_4_'[%']]]+Tab_Process_TCs2527[[#This Row],[Flow_TC_I_5_'[%']]]</f>
        <v>0</v>
      </c>
      <c r="AD96" s="57" t="e">
        <f>_xlfn.XLOOKUP($D96,Tab_Process_TCs[TC_ID],Tab_Process_TCs[Output_Flow_O_1],,0,)</f>
        <v>#N/A</v>
      </c>
      <c r="AE96" s="48" t="e">
        <f>_xlfn.XLOOKUP($D96,Tab_Process_TCs[TC_ID],Tab_Process_TCs[Flow_ID_O_1],,0,)</f>
        <v>#N/A</v>
      </c>
      <c r="AF96" s="100" t="e">
        <f>Tab_Process_TCs2527[[#This Row],[Flow_ID]]</f>
        <v>#N/A</v>
      </c>
      <c r="AG96" s="48" t="e">
        <f t="shared" si="17"/>
        <v>#N/A</v>
      </c>
      <c r="AH96" s="109">
        <v>0.4</v>
      </c>
      <c r="AI96" s="57" t="e">
        <f>_xlfn.XLOOKUP($D96,Tab_Process_TCs[TC_ID],Tab_Process_TCs[Output_Flow_O_2],,0,)</f>
        <v>#N/A</v>
      </c>
      <c r="AJ96" s="48" t="e">
        <f>_xlfn.XLOOKUP($D96,Tab_Process_TCs[TC_ID],Tab_Process_TCs[Flow_ID_O_2],,0,)</f>
        <v>#N/A</v>
      </c>
      <c r="AK96" s="100" t="e">
        <f>Tab_Process_TCs2527[[#This Row],[Flow_ID]]</f>
        <v>#N/A</v>
      </c>
      <c r="AL96" s="48" t="e">
        <f t="shared" si="18"/>
        <v>#N/A</v>
      </c>
      <c r="AM96" s="228">
        <v>0.6</v>
      </c>
      <c r="AN96" s="57" t="e">
        <f>_xlfn.XLOOKUP($D96,Tab_Process_TCs[TC_ID],Tab_Process_TCs[Output_Flow_O_3],,0,)</f>
        <v>#N/A</v>
      </c>
      <c r="AO96" s="48" t="e">
        <f>_xlfn.XLOOKUP($D96,Tab_Process_TCs[TC_ID],Tab_Process_TCs[Flow_ID_O_3],,0,)</f>
        <v>#N/A</v>
      </c>
      <c r="AP96" s="100" t="e">
        <f>Tab_Process_TCs2527[[#This Row],[Flow_ID]]</f>
        <v>#N/A</v>
      </c>
      <c r="AQ96" s="48" t="e">
        <f t="shared" si="19"/>
        <v>#N/A</v>
      </c>
      <c r="AR96" s="228"/>
      <c r="AS96" s="57" t="e">
        <f>_xlfn.XLOOKUP($D96,Tab_Process_TCs[TC_ID],#REF!,,0,)</f>
        <v>#REF!</v>
      </c>
      <c r="AT96" s="48" t="e">
        <f>_xlfn.XLOOKUP($D96,Tab_Process_TCs[TC_ID],#REF!,,0,)</f>
        <v>#REF!</v>
      </c>
      <c r="AU96" s="100" t="e">
        <f>Tab_Process_TCs2527[[#This Row],[Flow_ID]]</f>
        <v>#N/A</v>
      </c>
      <c r="AV96" s="100" t="e">
        <f t="shared" si="20"/>
        <v>#N/A</v>
      </c>
      <c r="AW96" s="228"/>
      <c r="AX96" s="57" t="e">
        <f>_xlfn.XLOOKUP($D96,Tab_Process_TCs[TC_ID],#REF!,,0,)</f>
        <v>#REF!</v>
      </c>
      <c r="AY96" s="48" t="e">
        <f>_xlfn.XLOOKUP($D96,Tab_Process_TCs[TC_ID],#REF!,,0,)</f>
        <v>#REF!</v>
      </c>
      <c r="AZ96" s="100" t="e">
        <f>Tab_Process_TCs2527[[#This Row],[Flow_ID]]</f>
        <v>#N/A</v>
      </c>
      <c r="BA96" s="100" t="e">
        <f t="shared" si="21"/>
        <v>#REF!</v>
      </c>
      <c r="BB96" s="228"/>
      <c r="BC96" s="48" t="e">
        <f>_xlfn.XLOOKUP($D96,Tab_Process_TCs[TC_ID],#REF!,,0,)</f>
        <v>#REF!</v>
      </c>
      <c r="BD96" s="48" t="e">
        <f>_xlfn.XLOOKUP($D96,Tab_Process_TCs[TC_ID],#REF!,,0,)</f>
        <v>#REF!</v>
      </c>
      <c r="BE96" s="100" t="e">
        <f>Tab_Process_TCs2527[[#This Row],[Flow_ID]]</f>
        <v>#N/A</v>
      </c>
      <c r="BF96" s="100" t="e">
        <f t="shared" si="22"/>
        <v>#REF!</v>
      </c>
      <c r="BG96" s="109"/>
      <c r="BH96" s="112">
        <f>Tab_Process_TCs2527[[#This Row],[TC O_6_'[%']]]+Tab_Process_TCs2527[[#This Row],[TC O_5_'[%']]]+Tab_Process_TCs2527[[#This Row],[TC_O_4_'[%']]]+Tab_Process_TCs2527[[#This Row],[TC_O_3_'[%']]]+Tab_Process_TCs2527[[#This Row],[TC_O_2_'[%']]]+Tab_Process_TCs2527[[#This Row],[TC_O_1_'[%']]]</f>
        <v>1</v>
      </c>
      <c r="BI96" s="50"/>
      <c r="BJ96" s="50"/>
      <c r="BK96" s="50"/>
      <c r="BL96" s="50"/>
      <c r="BM96" s="50"/>
    </row>
    <row r="97" spans="1:65" x14ac:dyDescent="0.25">
      <c r="A97" s="87" t="b">
        <v>0</v>
      </c>
      <c r="B97" s="48">
        <f t="shared" si="16"/>
        <v>96</v>
      </c>
      <c r="C97" s="107" t="e">
        <f>_xlfn.XLOOKUP($D97,Tab_Process_TCs[Name(EN)],Tab_Process_TCs[Process_ID],,0,)</f>
        <v>#N/A</v>
      </c>
      <c r="D97" s="50"/>
      <c r="E97" s="50" t="s">
        <v>55</v>
      </c>
      <c r="F97" s="48" t="e">
        <f>_xlfn.XLOOKUP($D97,Tab_Process_TCs[Name(EN)],Tab_Process_TCs[TC?],,0,)</f>
        <v>#N/A</v>
      </c>
      <c r="G97" s="48" t="e">
        <f>_xlfn.XLOOKUP($D97,Tab_Process_TCs[Name(EN)],Tab_Process_TCs[Dyn_TC?],,0,)</f>
        <v>#N/A</v>
      </c>
      <c r="H97" s="48" t="e">
        <f>_xlfn.XLOOKUP($E97,Tab_Def_Flows[Name(EN)],Tab_Def_Flows[Flow_ID],,0,1)</f>
        <v>#N/A</v>
      </c>
      <c r="I97" s="50" t="e">
        <f>IF(Tab_Process_TCs2527[[#This Row],[Name(EN)]]="N.A.","N.A.","TC"&amp;"_"&amp;RIGHT(H97,5))</f>
        <v>#N/A</v>
      </c>
      <c r="J97" s="50"/>
      <c r="K97" s="249"/>
      <c r="L97" s="50" t="e">
        <f>_xlfn.XLOOKUP($D97,Tab_Def_Processes[Name(EN)],Tab_Def_Processes[Stock?],,0,)</f>
        <v>#N/A</v>
      </c>
      <c r="M97" s="48"/>
      <c r="N97" s="57" t="e">
        <f>_xlfn.XLOOKUP($D97,Tab_Def_Processes[Name(EN)],Tab_Def_Processes[Input_Flow_I_1],,0,)</f>
        <v>#N/A</v>
      </c>
      <c r="O97" s="48" t="e">
        <f>_xlfn.XLOOKUP($D97,Tab_Def_Processes[Name(EN)],Tab_Def_Processes[Flow_ID_I_1],,0,)</f>
        <v>#N/A</v>
      </c>
      <c r="P97" s="75"/>
      <c r="Q97" s="71" t="e">
        <f>_xlfn.XLOOKUP($D97,Tab_Def_Processes[Name(EN)],Tab_Def_Processes[Input_Flow_I_2],,0,)</f>
        <v>#N/A</v>
      </c>
      <c r="R97" s="48" t="e">
        <f>_xlfn.XLOOKUP($D97,Tab_Def_Processes[Name(EN)],Tab_Def_Processes[Flow_ID_I_2],,0,)</f>
        <v>#N/A</v>
      </c>
      <c r="S97" s="75"/>
      <c r="T97" s="71" t="e">
        <f>_xlfn.XLOOKUP($D97,Tab_Def_Processes[Name(EN)],Tab_Def_Processes[Input_Flow_I_3],,0,)</f>
        <v>#N/A</v>
      </c>
      <c r="U97" s="48" t="e">
        <f>_xlfn.XLOOKUP($D97,Tab_Def_Processes[Name(EN)],Tab_Def_Processes[Flow_ID_I_3],,0,)</f>
        <v>#N/A</v>
      </c>
      <c r="V97" s="75"/>
      <c r="W97" s="71" t="e">
        <f>_xlfn.XLOOKUP($D97,Tab_Def_Processes[Name(EN)],Tab_Def_Processes[Input_Flow_I_4],,0,)</f>
        <v>#N/A</v>
      </c>
      <c r="X97" s="48" t="e">
        <f>_xlfn.XLOOKUP($D97,Tab_Def_Processes[Name(EN)],Tab_Def_Processes[Flow_ID_I_4],,0,)</f>
        <v>#N/A</v>
      </c>
      <c r="Y97" s="75"/>
      <c r="Z97" s="71" t="e">
        <f>_xlfn.XLOOKUP($D97,Tab_Def_Processes[Name(EN)],Tab_Def_Processes[Input_Flow_I_5],,0,)</f>
        <v>#N/A</v>
      </c>
      <c r="AA97" s="48" t="e">
        <f>_xlfn.XLOOKUP($D97,Tab_Def_Processes[Name(EN)],Tab_Def_Processes[Flow_ID_I_5],,0,)</f>
        <v>#N/A</v>
      </c>
      <c r="AB97" s="75"/>
      <c r="AC97" s="74">
        <f>Tab_Process_TCs2527[[#This Row],[Flow_TC_I_1_'[%']]]+Tab_Process_TCs2527[[#This Row],[Flow_TC_I_2_'[%']]]+Tab_Process_TCs2527[[#This Row],[Flow_TC_I_3_'[%']]]+Tab_Process_TCs2527[[#This Row],[Flow_TC_I_4_'[%']]]+Tab_Process_TCs2527[[#This Row],[Flow_TC_I_5_'[%']]]</f>
        <v>0</v>
      </c>
      <c r="AD97" s="57" t="e">
        <f>_xlfn.XLOOKUP($D97,Tab_Process_TCs[TC_ID],Tab_Process_TCs[Output_Flow_O_1],,0,)</f>
        <v>#N/A</v>
      </c>
      <c r="AE97" s="48" t="e">
        <f>_xlfn.XLOOKUP($D97,Tab_Process_TCs[TC_ID],Tab_Process_TCs[Flow_ID_O_1],,0,)</f>
        <v>#N/A</v>
      </c>
      <c r="AF97" s="100" t="e">
        <f>Tab_Process_TCs2527[[#This Row],[Flow_ID]]</f>
        <v>#N/A</v>
      </c>
      <c r="AG97" s="48" t="e">
        <f t="shared" si="17"/>
        <v>#N/A</v>
      </c>
      <c r="AH97" s="109">
        <v>0.4</v>
      </c>
      <c r="AI97" s="57" t="e">
        <f>_xlfn.XLOOKUP($D97,Tab_Process_TCs[TC_ID],Tab_Process_TCs[Output_Flow_O_2],,0,)</f>
        <v>#N/A</v>
      </c>
      <c r="AJ97" s="48" t="e">
        <f>_xlfn.XLOOKUP($D97,Tab_Process_TCs[TC_ID],Tab_Process_TCs[Flow_ID_O_2],,0,)</f>
        <v>#N/A</v>
      </c>
      <c r="AK97" s="100" t="e">
        <f>Tab_Process_TCs2527[[#This Row],[Flow_ID]]</f>
        <v>#N/A</v>
      </c>
      <c r="AL97" s="48" t="e">
        <f t="shared" si="18"/>
        <v>#N/A</v>
      </c>
      <c r="AM97" s="228">
        <v>0.6</v>
      </c>
      <c r="AN97" s="57" t="e">
        <f>_xlfn.XLOOKUP($D97,Tab_Process_TCs[TC_ID],Tab_Process_TCs[Output_Flow_O_3],,0,)</f>
        <v>#N/A</v>
      </c>
      <c r="AO97" s="48" t="e">
        <f>_xlfn.XLOOKUP($D97,Tab_Process_TCs[TC_ID],Tab_Process_TCs[Flow_ID_O_3],,0,)</f>
        <v>#N/A</v>
      </c>
      <c r="AP97" s="100" t="e">
        <f>Tab_Process_TCs2527[[#This Row],[Flow_ID]]</f>
        <v>#N/A</v>
      </c>
      <c r="AQ97" s="48" t="e">
        <f t="shared" si="19"/>
        <v>#N/A</v>
      </c>
      <c r="AR97" s="228"/>
      <c r="AS97" s="57" t="e">
        <f>_xlfn.XLOOKUP($D97,Tab_Process_TCs[TC_ID],#REF!,,0,)</f>
        <v>#REF!</v>
      </c>
      <c r="AT97" s="48" t="e">
        <f>_xlfn.XLOOKUP($D97,Tab_Process_TCs[TC_ID],#REF!,,0,)</f>
        <v>#REF!</v>
      </c>
      <c r="AU97" s="100" t="e">
        <f>Tab_Process_TCs2527[[#This Row],[Flow_ID]]</f>
        <v>#N/A</v>
      </c>
      <c r="AV97" s="100" t="e">
        <f t="shared" si="20"/>
        <v>#N/A</v>
      </c>
      <c r="AW97" s="228"/>
      <c r="AX97" s="57" t="e">
        <f>_xlfn.XLOOKUP($D97,Tab_Process_TCs[TC_ID],#REF!,,0,)</f>
        <v>#REF!</v>
      </c>
      <c r="AY97" s="48" t="e">
        <f>_xlfn.XLOOKUP($D97,Tab_Process_TCs[TC_ID],#REF!,,0,)</f>
        <v>#REF!</v>
      </c>
      <c r="AZ97" s="100" t="e">
        <f>Tab_Process_TCs2527[[#This Row],[Flow_ID]]</f>
        <v>#N/A</v>
      </c>
      <c r="BA97" s="100" t="e">
        <f t="shared" si="21"/>
        <v>#REF!</v>
      </c>
      <c r="BB97" s="228"/>
      <c r="BC97" s="48" t="e">
        <f>_xlfn.XLOOKUP($D97,Tab_Process_TCs[TC_ID],#REF!,,0,)</f>
        <v>#REF!</v>
      </c>
      <c r="BD97" s="48" t="e">
        <f>_xlfn.XLOOKUP($D97,Tab_Process_TCs[TC_ID],#REF!,,0,)</f>
        <v>#REF!</v>
      </c>
      <c r="BE97" s="100" t="e">
        <f>Tab_Process_TCs2527[[#This Row],[Flow_ID]]</f>
        <v>#N/A</v>
      </c>
      <c r="BF97" s="100" t="e">
        <f t="shared" si="22"/>
        <v>#REF!</v>
      </c>
      <c r="BG97" s="109"/>
      <c r="BH97" s="112">
        <f>Tab_Process_TCs2527[[#This Row],[TC O_6_'[%']]]+Tab_Process_TCs2527[[#This Row],[TC O_5_'[%']]]+Tab_Process_TCs2527[[#This Row],[TC_O_4_'[%']]]+Tab_Process_TCs2527[[#This Row],[TC_O_3_'[%']]]+Tab_Process_TCs2527[[#This Row],[TC_O_2_'[%']]]+Tab_Process_TCs2527[[#This Row],[TC_O_1_'[%']]]</f>
        <v>1</v>
      </c>
      <c r="BI97" s="50"/>
      <c r="BJ97" s="50"/>
      <c r="BK97" s="50"/>
      <c r="BL97" s="50"/>
      <c r="BM97" s="50"/>
    </row>
    <row r="98" spans="1:65" x14ac:dyDescent="0.25">
      <c r="A98" s="87" t="b">
        <v>0</v>
      </c>
      <c r="B98" s="48">
        <f t="shared" ref="B98:B129" si="23">ROW()-1</f>
        <v>97</v>
      </c>
      <c r="C98" s="107" t="e">
        <f>_xlfn.XLOOKUP($D98,Tab_Process_TCs[Name(EN)],Tab_Process_TCs[Process_ID],,0,)</f>
        <v>#N/A</v>
      </c>
      <c r="D98" s="50"/>
      <c r="E98" s="50" t="s">
        <v>55</v>
      </c>
      <c r="F98" s="48" t="e">
        <f>_xlfn.XLOOKUP($D98,Tab_Process_TCs[Name(EN)],Tab_Process_TCs[TC?],,0,)</f>
        <v>#N/A</v>
      </c>
      <c r="G98" s="48" t="e">
        <f>_xlfn.XLOOKUP($D98,Tab_Process_TCs[Name(EN)],Tab_Process_TCs[Dyn_TC?],,0,)</f>
        <v>#N/A</v>
      </c>
      <c r="H98" s="48" t="e">
        <f>_xlfn.XLOOKUP($E98,Tab_Def_Flows[Name(EN)],Tab_Def_Flows[Flow_ID],,0,1)</f>
        <v>#N/A</v>
      </c>
      <c r="I98" s="50" t="e">
        <f>IF(Tab_Process_TCs2527[[#This Row],[Name(EN)]]="N.A.","N.A.","TC"&amp;"_"&amp;RIGHT(H98,5))</f>
        <v>#N/A</v>
      </c>
      <c r="J98" s="50"/>
      <c r="K98" s="249"/>
      <c r="L98" s="50" t="e">
        <f>_xlfn.XLOOKUP($D98,Tab_Def_Processes[Name(EN)],Tab_Def_Processes[Stock?],,0,)</f>
        <v>#N/A</v>
      </c>
      <c r="M98" s="48"/>
      <c r="N98" s="57" t="e">
        <f>_xlfn.XLOOKUP($D98,Tab_Def_Processes[Name(EN)],Tab_Def_Processes[Input_Flow_I_1],,0,)</f>
        <v>#N/A</v>
      </c>
      <c r="O98" s="48" t="e">
        <f>_xlfn.XLOOKUP($D98,Tab_Def_Processes[Name(EN)],Tab_Def_Processes[Flow_ID_I_1],,0,)</f>
        <v>#N/A</v>
      </c>
      <c r="P98" s="246"/>
      <c r="Q98" s="71" t="e">
        <f>_xlfn.XLOOKUP($D98,Tab_Def_Processes[Name(EN)],Tab_Def_Processes[Input_Flow_I_2],,0,)</f>
        <v>#N/A</v>
      </c>
      <c r="R98" s="48" t="e">
        <f>_xlfn.XLOOKUP($D98,Tab_Def_Processes[Name(EN)],Tab_Def_Processes[Flow_ID_I_2],,0,)</f>
        <v>#N/A</v>
      </c>
      <c r="S98" s="246"/>
      <c r="T98" s="71" t="e">
        <f>_xlfn.XLOOKUP($D98,Tab_Def_Processes[Name(EN)],Tab_Def_Processes[Input_Flow_I_3],,0,)</f>
        <v>#N/A</v>
      </c>
      <c r="U98" s="48" t="e">
        <f>_xlfn.XLOOKUP($D98,Tab_Def_Processes[Name(EN)],Tab_Def_Processes[Flow_ID_I_3],,0,)</f>
        <v>#N/A</v>
      </c>
      <c r="V98" s="246"/>
      <c r="W98" s="71" t="e">
        <f>_xlfn.XLOOKUP($D98,Tab_Def_Processes[Name(EN)],Tab_Def_Processes[Input_Flow_I_4],,0,)</f>
        <v>#N/A</v>
      </c>
      <c r="X98" s="48" t="e">
        <f>_xlfn.XLOOKUP($D98,Tab_Def_Processes[Name(EN)],Tab_Def_Processes[Flow_ID_I_4],,0,)</f>
        <v>#N/A</v>
      </c>
      <c r="Y98" s="246"/>
      <c r="Z98" s="71" t="e">
        <f>_xlfn.XLOOKUP($D98,Tab_Def_Processes[Name(EN)],Tab_Def_Processes[Input_Flow_I_5],,0,)</f>
        <v>#N/A</v>
      </c>
      <c r="AA98" s="48" t="e">
        <f>_xlfn.XLOOKUP($D98,Tab_Def_Processes[Name(EN)],Tab_Def_Processes[Flow_ID_I_5],,0,)</f>
        <v>#N/A</v>
      </c>
      <c r="AB98" s="246"/>
      <c r="AC98" s="88">
        <f>Tab_Process_TCs2527[[#This Row],[Flow_TC_I_1_'[%']]]+Tab_Process_TCs2527[[#This Row],[Flow_TC_I_2_'[%']]]+Tab_Process_TCs2527[[#This Row],[Flow_TC_I_3_'[%']]]+Tab_Process_TCs2527[[#This Row],[Flow_TC_I_4_'[%']]]+Tab_Process_TCs2527[[#This Row],[Flow_TC_I_5_'[%']]]</f>
        <v>0</v>
      </c>
      <c r="AD98" s="57" t="e">
        <f>_xlfn.XLOOKUP($D98,Tab_Process_TCs[TC_ID],Tab_Process_TCs[Output_Flow_O_1],,0,)</f>
        <v>#N/A</v>
      </c>
      <c r="AE98" s="48" t="e">
        <f>_xlfn.XLOOKUP($D98,Tab_Process_TCs[TC_ID],Tab_Process_TCs[Flow_ID_O_1],,0,)</f>
        <v>#N/A</v>
      </c>
      <c r="AF98" s="100" t="e">
        <f>Tab_Process_TCs2527[[#This Row],[Flow_ID]]</f>
        <v>#N/A</v>
      </c>
      <c r="AG98" s="48" t="e">
        <f t="shared" ref="AG98:AG129" si="24">"TC"&amp;"_"&amp;RIGHT(AE98,5)</f>
        <v>#N/A</v>
      </c>
      <c r="AH98" s="109">
        <v>0.4</v>
      </c>
      <c r="AI98" s="57" t="e">
        <f>_xlfn.XLOOKUP($D98,Tab_Process_TCs[TC_ID],Tab_Process_TCs[Output_Flow_O_2],,0,)</f>
        <v>#N/A</v>
      </c>
      <c r="AJ98" s="48" t="e">
        <f>_xlfn.XLOOKUP($D98,Tab_Process_TCs[TC_ID],Tab_Process_TCs[Flow_ID_O_2],,0,)</f>
        <v>#N/A</v>
      </c>
      <c r="AK98" s="100" t="e">
        <f>Tab_Process_TCs2527[[#This Row],[Flow_ID]]</f>
        <v>#N/A</v>
      </c>
      <c r="AL98" s="48" t="e">
        <f t="shared" ref="AL98:AL129" si="25">"TC"&amp;"_"&amp;RIGHT(AJ98,5)</f>
        <v>#N/A</v>
      </c>
      <c r="AM98" s="228">
        <v>0.6</v>
      </c>
      <c r="AN98" s="57" t="e">
        <f>_xlfn.XLOOKUP($D98,Tab_Process_TCs[TC_ID],Tab_Process_TCs[Output_Flow_O_3],,0,)</f>
        <v>#N/A</v>
      </c>
      <c r="AO98" s="48" t="e">
        <f>_xlfn.XLOOKUP($D98,Tab_Process_TCs[TC_ID],Tab_Process_TCs[Flow_ID_O_3],,0,)</f>
        <v>#N/A</v>
      </c>
      <c r="AP98" s="100" t="e">
        <f>Tab_Process_TCs2527[[#This Row],[Flow_ID]]</f>
        <v>#N/A</v>
      </c>
      <c r="AQ98" s="48" t="e">
        <f t="shared" ref="AQ98:AQ129" si="26">"TC"&amp;"_"&amp;RIGHT(AO98,5)</f>
        <v>#N/A</v>
      </c>
      <c r="AR98" s="228"/>
      <c r="AS98" s="57" t="e">
        <f>_xlfn.XLOOKUP($D98,Tab_Process_TCs[TC_ID],#REF!,,0,)</f>
        <v>#REF!</v>
      </c>
      <c r="AT98" s="48" t="e">
        <f>_xlfn.XLOOKUP($D98,Tab_Process_TCs[TC_ID],#REF!,,0,)</f>
        <v>#REF!</v>
      </c>
      <c r="AU98" s="100" t="e">
        <f>Tab_Process_TCs2527[[#This Row],[Flow_ID]]</f>
        <v>#N/A</v>
      </c>
      <c r="AV98" s="100" t="e">
        <f t="shared" ref="AV98:AV129" si="27">"TC"&amp;"_"&amp;RIGHT(AO98,5)</f>
        <v>#N/A</v>
      </c>
      <c r="AW98" s="228"/>
      <c r="AX98" s="57" t="e">
        <f>_xlfn.XLOOKUP($D98,Tab_Process_TCs[TC_ID],#REF!,,0,)</f>
        <v>#REF!</v>
      </c>
      <c r="AY98" s="48" t="e">
        <f>_xlfn.XLOOKUP($D98,Tab_Process_TCs[TC_ID],#REF!,,0,)</f>
        <v>#REF!</v>
      </c>
      <c r="AZ98" s="100" t="e">
        <f>Tab_Process_TCs2527[[#This Row],[Flow_ID]]</f>
        <v>#N/A</v>
      </c>
      <c r="BA98" s="100" t="e">
        <f t="shared" ref="BA98:BA129" si="28">"TC"&amp;"_"&amp;RIGHT(AY98,5)</f>
        <v>#REF!</v>
      </c>
      <c r="BB98" s="228"/>
      <c r="BC98" s="48" t="e">
        <f>_xlfn.XLOOKUP($D98,Tab_Process_TCs[TC_ID],#REF!,,0,)</f>
        <v>#REF!</v>
      </c>
      <c r="BD98" s="48" t="e">
        <f>_xlfn.XLOOKUP($D98,Tab_Process_TCs[TC_ID],#REF!,,0,)</f>
        <v>#REF!</v>
      </c>
      <c r="BE98" s="100" t="e">
        <f>Tab_Process_TCs2527[[#This Row],[Flow_ID]]</f>
        <v>#N/A</v>
      </c>
      <c r="BF98" s="100" t="e">
        <f t="shared" ref="BF98:BF129" si="29">"TC"&amp;"_"&amp;RIGHT(BD98,5)</f>
        <v>#REF!</v>
      </c>
      <c r="BG98" s="109"/>
      <c r="BH98" s="112">
        <f>Tab_Process_TCs2527[[#This Row],[TC O_6_'[%']]]+Tab_Process_TCs2527[[#This Row],[TC O_5_'[%']]]+Tab_Process_TCs2527[[#This Row],[TC_O_4_'[%']]]+Tab_Process_TCs2527[[#This Row],[TC_O_3_'[%']]]+Tab_Process_TCs2527[[#This Row],[TC_O_2_'[%']]]+Tab_Process_TCs2527[[#This Row],[TC_O_1_'[%']]]</f>
        <v>1</v>
      </c>
      <c r="BI98" s="50"/>
      <c r="BJ98" s="50"/>
      <c r="BK98" s="50"/>
      <c r="BL98" s="50"/>
      <c r="BM98" s="50"/>
    </row>
    <row r="99" spans="1:65" x14ac:dyDescent="0.25">
      <c r="A99" s="87" t="b">
        <v>0</v>
      </c>
      <c r="B99" s="48">
        <f t="shared" si="23"/>
        <v>98</v>
      </c>
      <c r="C99" s="107" t="e">
        <f>_xlfn.XLOOKUP($D99,Tab_Process_TCs[Name(EN)],Tab_Process_TCs[Process_ID],,0,)</f>
        <v>#N/A</v>
      </c>
      <c r="D99" s="50"/>
      <c r="E99" s="50" t="s">
        <v>55</v>
      </c>
      <c r="F99" s="48" t="e">
        <f>_xlfn.XLOOKUP($D99,Tab_Process_TCs[Name(EN)],Tab_Process_TCs[TC?],,0,)</f>
        <v>#N/A</v>
      </c>
      <c r="G99" s="48" t="e">
        <f>_xlfn.XLOOKUP($D99,Tab_Process_TCs[Name(EN)],Tab_Process_TCs[Dyn_TC?],,0,)</f>
        <v>#N/A</v>
      </c>
      <c r="H99" s="48" t="e">
        <f>_xlfn.XLOOKUP($E99,Tab_Def_Flows[Name(EN)],Tab_Def_Flows[Flow_ID],,0,1)</f>
        <v>#N/A</v>
      </c>
      <c r="I99" s="50" t="e">
        <f>IF(Tab_Process_TCs2527[[#This Row],[Name(EN)]]="N.A.","N.A.","TC"&amp;"_"&amp;RIGHT(H99,5))</f>
        <v>#N/A</v>
      </c>
      <c r="J99" s="50"/>
      <c r="K99" s="249"/>
      <c r="L99" s="50" t="e">
        <f>_xlfn.XLOOKUP($D99,Tab_Def_Processes[Name(EN)],Tab_Def_Processes[Stock?],,0,)</f>
        <v>#N/A</v>
      </c>
      <c r="M99" s="48"/>
      <c r="N99" s="57" t="e">
        <f>_xlfn.XLOOKUP($D99,Tab_Def_Processes[Name(EN)],Tab_Def_Processes[Input_Flow_I_1],,0,)</f>
        <v>#N/A</v>
      </c>
      <c r="O99" s="48" t="e">
        <f>_xlfn.XLOOKUP($D99,Tab_Def_Processes[Name(EN)],Tab_Def_Processes[Flow_ID_I_1],,0,)</f>
        <v>#N/A</v>
      </c>
      <c r="P99" s="246"/>
      <c r="Q99" s="71" t="e">
        <f>_xlfn.XLOOKUP($D99,Tab_Def_Processes[Name(EN)],Tab_Def_Processes[Input_Flow_I_2],,0,)</f>
        <v>#N/A</v>
      </c>
      <c r="R99" s="48" t="e">
        <f>_xlfn.XLOOKUP($D99,Tab_Def_Processes[Name(EN)],Tab_Def_Processes[Flow_ID_I_2],,0,)</f>
        <v>#N/A</v>
      </c>
      <c r="S99" s="246"/>
      <c r="T99" s="71" t="e">
        <f>_xlfn.XLOOKUP($D99,Tab_Def_Processes[Name(EN)],Tab_Def_Processes[Input_Flow_I_3],,0,)</f>
        <v>#N/A</v>
      </c>
      <c r="U99" s="48" t="e">
        <f>_xlfn.XLOOKUP($D99,Tab_Def_Processes[Name(EN)],Tab_Def_Processes[Flow_ID_I_3],,0,)</f>
        <v>#N/A</v>
      </c>
      <c r="V99" s="246"/>
      <c r="W99" s="71" t="e">
        <f>_xlfn.XLOOKUP($D99,Tab_Def_Processes[Name(EN)],Tab_Def_Processes[Input_Flow_I_4],,0,)</f>
        <v>#N/A</v>
      </c>
      <c r="X99" s="48" t="e">
        <f>_xlfn.XLOOKUP($D99,Tab_Def_Processes[Name(EN)],Tab_Def_Processes[Flow_ID_I_4],,0,)</f>
        <v>#N/A</v>
      </c>
      <c r="Y99" s="246"/>
      <c r="Z99" s="71" t="e">
        <f>_xlfn.XLOOKUP($D99,Tab_Def_Processes[Name(EN)],Tab_Def_Processes[Input_Flow_I_5],,0,)</f>
        <v>#N/A</v>
      </c>
      <c r="AA99" s="48" t="e">
        <f>_xlfn.XLOOKUP($D99,Tab_Def_Processes[Name(EN)],Tab_Def_Processes[Flow_ID_I_5],,0,)</f>
        <v>#N/A</v>
      </c>
      <c r="AB99" s="246"/>
      <c r="AC99" s="88">
        <f>Tab_Process_TCs2527[[#This Row],[Flow_TC_I_1_'[%']]]+Tab_Process_TCs2527[[#This Row],[Flow_TC_I_2_'[%']]]+Tab_Process_TCs2527[[#This Row],[Flow_TC_I_3_'[%']]]+Tab_Process_TCs2527[[#This Row],[Flow_TC_I_4_'[%']]]+Tab_Process_TCs2527[[#This Row],[Flow_TC_I_5_'[%']]]</f>
        <v>0</v>
      </c>
      <c r="AD99" s="57" t="e">
        <f>_xlfn.XLOOKUP($D99,Tab_Process_TCs[TC_ID],Tab_Process_TCs[Output_Flow_O_1],,0,)</f>
        <v>#N/A</v>
      </c>
      <c r="AE99" s="48" t="e">
        <f>_xlfn.XLOOKUP($D99,Tab_Process_TCs[TC_ID],Tab_Process_TCs[Flow_ID_O_1],,0,)</f>
        <v>#N/A</v>
      </c>
      <c r="AF99" s="100" t="e">
        <f>Tab_Process_TCs2527[[#This Row],[Flow_ID]]</f>
        <v>#N/A</v>
      </c>
      <c r="AG99" s="48" t="e">
        <f t="shared" si="24"/>
        <v>#N/A</v>
      </c>
      <c r="AH99" s="109">
        <v>0.4</v>
      </c>
      <c r="AI99" s="57" t="e">
        <f>_xlfn.XLOOKUP($D99,Tab_Process_TCs[TC_ID],Tab_Process_TCs[Output_Flow_O_2],,0,)</f>
        <v>#N/A</v>
      </c>
      <c r="AJ99" s="48" t="e">
        <f>_xlfn.XLOOKUP($D99,Tab_Process_TCs[TC_ID],Tab_Process_TCs[Flow_ID_O_2],,0,)</f>
        <v>#N/A</v>
      </c>
      <c r="AK99" s="100" t="e">
        <f>Tab_Process_TCs2527[[#This Row],[Flow_ID]]</f>
        <v>#N/A</v>
      </c>
      <c r="AL99" s="48" t="e">
        <f t="shared" si="25"/>
        <v>#N/A</v>
      </c>
      <c r="AM99" s="228">
        <v>0.6</v>
      </c>
      <c r="AN99" s="57" t="e">
        <f>_xlfn.XLOOKUP($D99,Tab_Process_TCs[TC_ID],Tab_Process_TCs[Output_Flow_O_3],,0,)</f>
        <v>#N/A</v>
      </c>
      <c r="AO99" s="48" t="e">
        <f>_xlfn.XLOOKUP($D99,Tab_Process_TCs[TC_ID],Tab_Process_TCs[Flow_ID_O_3],,0,)</f>
        <v>#N/A</v>
      </c>
      <c r="AP99" s="100" t="e">
        <f>Tab_Process_TCs2527[[#This Row],[Flow_ID]]</f>
        <v>#N/A</v>
      </c>
      <c r="AQ99" s="48" t="e">
        <f t="shared" si="26"/>
        <v>#N/A</v>
      </c>
      <c r="AR99" s="228"/>
      <c r="AS99" s="57" t="e">
        <f>_xlfn.XLOOKUP($D99,Tab_Process_TCs[TC_ID],#REF!,,0,)</f>
        <v>#REF!</v>
      </c>
      <c r="AT99" s="48" t="e">
        <f>_xlfn.XLOOKUP($D99,Tab_Process_TCs[TC_ID],#REF!,,0,)</f>
        <v>#REF!</v>
      </c>
      <c r="AU99" s="100" t="e">
        <f>Tab_Process_TCs2527[[#This Row],[Flow_ID]]</f>
        <v>#N/A</v>
      </c>
      <c r="AV99" s="100" t="e">
        <f t="shared" si="27"/>
        <v>#N/A</v>
      </c>
      <c r="AW99" s="228"/>
      <c r="AX99" s="57" t="e">
        <f>_xlfn.XLOOKUP($D99,Tab_Process_TCs[TC_ID],#REF!,,0,)</f>
        <v>#REF!</v>
      </c>
      <c r="AY99" s="48" t="e">
        <f>_xlfn.XLOOKUP($D99,Tab_Process_TCs[TC_ID],#REF!,,0,)</f>
        <v>#REF!</v>
      </c>
      <c r="AZ99" s="100" t="e">
        <f>Tab_Process_TCs2527[[#This Row],[Flow_ID]]</f>
        <v>#N/A</v>
      </c>
      <c r="BA99" s="100" t="e">
        <f t="shared" si="28"/>
        <v>#REF!</v>
      </c>
      <c r="BB99" s="228"/>
      <c r="BC99" s="48" t="e">
        <f>_xlfn.XLOOKUP($D99,Tab_Process_TCs[TC_ID],#REF!,,0,)</f>
        <v>#REF!</v>
      </c>
      <c r="BD99" s="48" t="e">
        <f>_xlfn.XLOOKUP($D99,Tab_Process_TCs[TC_ID],#REF!,,0,)</f>
        <v>#REF!</v>
      </c>
      <c r="BE99" s="100" t="e">
        <f>Tab_Process_TCs2527[[#This Row],[Flow_ID]]</f>
        <v>#N/A</v>
      </c>
      <c r="BF99" s="100" t="e">
        <f t="shared" si="29"/>
        <v>#REF!</v>
      </c>
      <c r="BG99" s="109"/>
      <c r="BH99" s="112">
        <f>Tab_Process_TCs2527[[#This Row],[TC O_6_'[%']]]+Tab_Process_TCs2527[[#This Row],[TC O_5_'[%']]]+Tab_Process_TCs2527[[#This Row],[TC_O_4_'[%']]]+Tab_Process_TCs2527[[#This Row],[TC_O_3_'[%']]]+Tab_Process_TCs2527[[#This Row],[TC_O_2_'[%']]]+Tab_Process_TCs2527[[#This Row],[TC_O_1_'[%']]]</f>
        <v>1</v>
      </c>
      <c r="BI99" s="50"/>
      <c r="BJ99" s="50"/>
      <c r="BK99" s="50"/>
      <c r="BL99" s="50"/>
      <c r="BM99" s="50"/>
    </row>
    <row r="100" spans="1:65" x14ac:dyDescent="0.25">
      <c r="A100" s="87" t="b">
        <v>0</v>
      </c>
      <c r="B100" s="48">
        <f t="shared" si="23"/>
        <v>99</v>
      </c>
      <c r="C100" s="107" t="e">
        <f>_xlfn.XLOOKUP($D100,Tab_Process_TCs[Name(EN)],Tab_Process_TCs[Process_ID],,0,)</f>
        <v>#N/A</v>
      </c>
      <c r="D100" s="50"/>
      <c r="E100" s="50" t="s">
        <v>55</v>
      </c>
      <c r="F100" s="48" t="e">
        <f>_xlfn.XLOOKUP($D100,Tab_Process_TCs[Name(EN)],Tab_Process_TCs[TC?],,0,)</f>
        <v>#N/A</v>
      </c>
      <c r="G100" s="48" t="e">
        <f>_xlfn.XLOOKUP($D100,Tab_Process_TCs[Name(EN)],Tab_Process_TCs[Dyn_TC?],,0,)</f>
        <v>#N/A</v>
      </c>
      <c r="H100" s="48" t="e">
        <f>_xlfn.XLOOKUP($E100,Tab_Def_Flows[Name(EN)],Tab_Def_Flows[Flow_ID],,0,1)</f>
        <v>#N/A</v>
      </c>
      <c r="I100" s="50" t="e">
        <f>IF(Tab_Process_TCs2527[[#This Row],[Name(EN)]]="N.A.","N.A.","TC"&amp;"_"&amp;RIGHT(H100,5))</f>
        <v>#N/A</v>
      </c>
      <c r="J100" s="50"/>
      <c r="K100" s="249"/>
      <c r="L100" s="50" t="e">
        <f>_xlfn.XLOOKUP($D100,Tab_Def_Processes[Name(EN)],Tab_Def_Processes[Stock?],,0,)</f>
        <v>#N/A</v>
      </c>
      <c r="M100" s="48"/>
      <c r="N100" s="57" t="e">
        <f>_xlfn.XLOOKUP($D100,Tab_Def_Processes[Name(EN)],Tab_Def_Processes[Input_Flow_I_1],,0,)</f>
        <v>#N/A</v>
      </c>
      <c r="O100" s="48" t="e">
        <f>_xlfn.XLOOKUP($D100,Tab_Def_Processes[Name(EN)],Tab_Def_Processes[Flow_ID_I_1],,0,)</f>
        <v>#N/A</v>
      </c>
      <c r="P100" s="246"/>
      <c r="Q100" s="71" t="e">
        <f>_xlfn.XLOOKUP($D100,Tab_Def_Processes[Name(EN)],Tab_Def_Processes[Input_Flow_I_2],,0,)</f>
        <v>#N/A</v>
      </c>
      <c r="R100" s="48" t="e">
        <f>_xlfn.XLOOKUP($D100,Tab_Def_Processes[Name(EN)],Tab_Def_Processes[Flow_ID_I_2],,0,)</f>
        <v>#N/A</v>
      </c>
      <c r="S100" s="246"/>
      <c r="T100" s="71" t="e">
        <f>_xlfn.XLOOKUP($D100,Tab_Def_Processes[Name(EN)],Tab_Def_Processes[Input_Flow_I_3],,0,)</f>
        <v>#N/A</v>
      </c>
      <c r="U100" s="48" t="e">
        <f>_xlfn.XLOOKUP($D100,Tab_Def_Processes[Name(EN)],Tab_Def_Processes[Flow_ID_I_3],,0,)</f>
        <v>#N/A</v>
      </c>
      <c r="V100" s="246"/>
      <c r="W100" s="71" t="e">
        <f>_xlfn.XLOOKUP($D100,Tab_Def_Processes[Name(EN)],Tab_Def_Processes[Input_Flow_I_4],,0,)</f>
        <v>#N/A</v>
      </c>
      <c r="X100" s="48" t="e">
        <f>_xlfn.XLOOKUP($D100,Tab_Def_Processes[Name(EN)],Tab_Def_Processes[Flow_ID_I_4],,0,)</f>
        <v>#N/A</v>
      </c>
      <c r="Y100" s="246"/>
      <c r="Z100" s="71" t="e">
        <f>_xlfn.XLOOKUP($D100,Tab_Def_Processes[Name(EN)],Tab_Def_Processes[Input_Flow_I_5],,0,)</f>
        <v>#N/A</v>
      </c>
      <c r="AA100" s="48" t="e">
        <f>_xlfn.XLOOKUP($D100,Tab_Def_Processes[Name(EN)],Tab_Def_Processes[Flow_ID_I_5],,0,)</f>
        <v>#N/A</v>
      </c>
      <c r="AB100" s="246"/>
      <c r="AC100" s="88">
        <f>Tab_Process_TCs2527[[#This Row],[Flow_TC_I_1_'[%']]]+Tab_Process_TCs2527[[#This Row],[Flow_TC_I_2_'[%']]]+Tab_Process_TCs2527[[#This Row],[Flow_TC_I_3_'[%']]]+Tab_Process_TCs2527[[#This Row],[Flow_TC_I_4_'[%']]]+Tab_Process_TCs2527[[#This Row],[Flow_TC_I_5_'[%']]]</f>
        <v>0</v>
      </c>
      <c r="AD100" s="57" t="e">
        <f>_xlfn.XLOOKUP($D100,Tab_Process_TCs[TC_ID],Tab_Process_TCs[Output_Flow_O_1],,0,)</f>
        <v>#N/A</v>
      </c>
      <c r="AE100" s="48" t="e">
        <f>_xlfn.XLOOKUP($D100,Tab_Process_TCs[TC_ID],Tab_Process_TCs[Flow_ID_O_1],,0,)</f>
        <v>#N/A</v>
      </c>
      <c r="AF100" s="100" t="e">
        <f>Tab_Process_TCs2527[[#This Row],[Flow_ID]]</f>
        <v>#N/A</v>
      </c>
      <c r="AG100" s="48" t="e">
        <f t="shared" si="24"/>
        <v>#N/A</v>
      </c>
      <c r="AH100" s="109">
        <v>0.4</v>
      </c>
      <c r="AI100" s="57" t="e">
        <f>_xlfn.XLOOKUP($D100,Tab_Process_TCs[TC_ID],Tab_Process_TCs[Output_Flow_O_2],,0,)</f>
        <v>#N/A</v>
      </c>
      <c r="AJ100" s="48" t="e">
        <f>_xlfn.XLOOKUP($D100,Tab_Process_TCs[TC_ID],Tab_Process_TCs[Flow_ID_O_2],,0,)</f>
        <v>#N/A</v>
      </c>
      <c r="AK100" s="100" t="e">
        <f>Tab_Process_TCs2527[[#This Row],[Flow_ID]]</f>
        <v>#N/A</v>
      </c>
      <c r="AL100" s="48" t="e">
        <f t="shared" si="25"/>
        <v>#N/A</v>
      </c>
      <c r="AM100" s="228">
        <v>0.6</v>
      </c>
      <c r="AN100" s="57" t="e">
        <f>_xlfn.XLOOKUP($D100,Tab_Process_TCs[TC_ID],Tab_Process_TCs[Output_Flow_O_3],,0,)</f>
        <v>#N/A</v>
      </c>
      <c r="AO100" s="48" t="e">
        <f>_xlfn.XLOOKUP($D100,Tab_Process_TCs[TC_ID],Tab_Process_TCs[Flow_ID_O_3],,0,)</f>
        <v>#N/A</v>
      </c>
      <c r="AP100" s="100" t="e">
        <f>Tab_Process_TCs2527[[#This Row],[Flow_ID]]</f>
        <v>#N/A</v>
      </c>
      <c r="AQ100" s="48" t="e">
        <f t="shared" si="26"/>
        <v>#N/A</v>
      </c>
      <c r="AR100" s="228"/>
      <c r="AS100" s="57" t="e">
        <f>_xlfn.XLOOKUP($D100,Tab_Process_TCs[TC_ID],#REF!,,0,)</f>
        <v>#REF!</v>
      </c>
      <c r="AT100" s="48" t="e">
        <f>_xlfn.XLOOKUP($D100,Tab_Process_TCs[TC_ID],#REF!,,0,)</f>
        <v>#REF!</v>
      </c>
      <c r="AU100" s="100" t="e">
        <f>Tab_Process_TCs2527[[#This Row],[Flow_ID]]</f>
        <v>#N/A</v>
      </c>
      <c r="AV100" s="100" t="e">
        <f t="shared" si="27"/>
        <v>#N/A</v>
      </c>
      <c r="AW100" s="228"/>
      <c r="AX100" s="57" t="e">
        <f>_xlfn.XLOOKUP($D100,Tab_Process_TCs[TC_ID],#REF!,,0,)</f>
        <v>#REF!</v>
      </c>
      <c r="AY100" s="48" t="e">
        <f>_xlfn.XLOOKUP($D100,Tab_Process_TCs[TC_ID],#REF!,,0,)</f>
        <v>#REF!</v>
      </c>
      <c r="AZ100" s="100" t="e">
        <f>Tab_Process_TCs2527[[#This Row],[Flow_ID]]</f>
        <v>#N/A</v>
      </c>
      <c r="BA100" s="100" t="e">
        <f t="shared" si="28"/>
        <v>#REF!</v>
      </c>
      <c r="BB100" s="228"/>
      <c r="BC100" s="48" t="e">
        <f>_xlfn.XLOOKUP($D100,Tab_Process_TCs[TC_ID],#REF!,,0,)</f>
        <v>#REF!</v>
      </c>
      <c r="BD100" s="48" t="e">
        <f>_xlfn.XLOOKUP($D100,Tab_Process_TCs[TC_ID],#REF!,,0,)</f>
        <v>#REF!</v>
      </c>
      <c r="BE100" s="100" t="e">
        <f>Tab_Process_TCs2527[[#This Row],[Flow_ID]]</f>
        <v>#N/A</v>
      </c>
      <c r="BF100" s="100" t="e">
        <f t="shared" si="29"/>
        <v>#REF!</v>
      </c>
      <c r="BG100" s="109"/>
      <c r="BH100" s="112">
        <f>Tab_Process_TCs2527[[#This Row],[TC O_6_'[%']]]+Tab_Process_TCs2527[[#This Row],[TC O_5_'[%']]]+Tab_Process_TCs2527[[#This Row],[TC_O_4_'[%']]]+Tab_Process_TCs2527[[#This Row],[TC_O_3_'[%']]]+Tab_Process_TCs2527[[#This Row],[TC_O_2_'[%']]]+Tab_Process_TCs2527[[#This Row],[TC_O_1_'[%']]]</f>
        <v>1</v>
      </c>
      <c r="BI100" s="50"/>
      <c r="BJ100" s="50"/>
      <c r="BK100" s="50"/>
      <c r="BL100" s="50"/>
      <c r="BM100" s="50"/>
    </row>
    <row r="101" spans="1:65" x14ac:dyDescent="0.25">
      <c r="A101" s="87" t="b">
        <v>0</v>
      </c>
      <c r="B101" s="48">
        <f t="shared" si="23"/>
        <v>100</v>
      </c>
      <c r="C101" s="107" t="e">
        <f>_xlfn.XLOOKUP($D101,Tab_Process_TCs[Name(EN)],Tab_Process_TCs[Process_ID],,0,)</f>
        <v>#N/A</v>
      </c>
      <c r="D101" s="50"/>
      <c r="E101" s="50" t="s">
        <v>55</v>
      </c>
      <c r="F101" s="48" t="e">
        <f>_xlfn.XLOOKUP($D101,Tab_Process_TCs[Name(EN)],Tab_Process_TCs[TC?],,0,)</f>
        <v>#N/A</v>
      </c>
      <c r="G101" s="48" t="e">
        <f>_xlfn.XLOOKUP($D101,Tab_Process_TCs[Name(EN)],Tab_Process_TCs[Dyn_TC?],,0,)</f>
        <v>#N/A</v>
      </c>
      <c r="H101" s="48" t="e">
        <f>_xlfn.XLOOKUP($E101,Tab_Def_Flows[Name(EN)],Tab_Def_Flows[Flow_ID],,0,1)</f>
        <v>#N/A</v>
      </c>
      <c r="I101" s="50" t="e">
        <f>IF(Tab_Process_TCs2527[[#This Row],[Name(EN)]]="N.A.","N.A.","TC"&amp;"_"&amp;RIGHT(H101,5))</f>
        <v>#N/A</v>
      </c>
      <c r="J101" s="50"/>
      <c r="K101" s="249"/>
      <c r="L101" s="50" t="e">
        <f>_xlfn.XLOOKUP($D101,Tab_Def_Processes[Name(EN)],Tab_Def_Processes[Stock?],,0,)</f>
        <v>#N/A</v>
      </c>
      <c r="M101" s="48"/>
      <c r="N101" s="57" t="e">
        <f>_xlfn.XLOOKUP($D101,Tab_Def_Processes[Name(EN)],Tab_Def_Processes[Input_Flow_I_1],,0,)</f>
        <v>#N/A</v>
      </c>
      <c r="O101" s="48" t="e">
        <f>_xlfn.XLOOKUP($D101,Tab_Def_Processes[Name(EN)],Tab_Def_Processes[Flow_ID_I_1],,0,)</f>
        <v>#N/A</v>
      </c>
      <c r="P101" s="246"/>
      <c r="Q101" s="71" t="e">
        <f>_xlfn.XLOOKUP($D101,Tab_Def_Processes[Name(EN)],Tab_Def_Processes[Input_Flow_I_2],,0,)</f>
        <v>#N/A</v>
      </c>
      <c r="R101" s="48" t="e">
        <f>_xlfn.XLOOKUP($D101,Tab_Def_Processes[Name(EN)],Tab_Def_Processes[Flow_ID_I_2],,0,)</f>
        <v>#N/A</v>
      </c>
      <c r="S101" s="246"/>
      <c r="T101" s="71" t="e">
        <f>_xlfn.XLOOKUP($D101,Tab_Def_Processes[Name(EN)],Tab_Def_Processes[Input_Flow_I_3],,0,)</f>
        <v>#N/A</v>
      </c>
      <c r="U101" s="48" t="e">
        <f>_xlfn.XLOOKUP($D101,Tab_Def_Processes[Name(EN)],Tab_Def_Processes[Flow_ID_I_3],,0,)</f>
        <v>#N/A</v>
      </c>
      <c r="V101" s="246"/>
      <c r="W101" s="71" t="e">
        <f>_xlfn.XLOOKUP($D101,Tab_Def_Processes[Name(EN)],Tab_Def_Processes[Input_Flow_I_4],,0,)</f>
        <v>#N/A</v>
      </c>
      <c r="X101" s="48" t="e">
        <f>_xlfn.XLOOKUP($D101,Tab_Def_Processes[Name(EN)],Tab_Def_Processes[Flow_ID_I_4],,0,)</f>
        <v>#N/A</v>
      </c>
      <c r="Y101" s="246"/>
      <c r="Z101" s="71" t="e">
        <f>_xlfn.XLOOKUP($D101,Tab_Def_Processes[Name(EN)],Tab_Def_Processes[Input_Flow_I_5],,0,)</f>
        <v>#N/A</v>
      </c>
      <c r="AA101" s="48" t="e">
        <f>_xlfn.XLOOKUP($D101,Tab_Def_Processes[Name(EN)],Tab_Def_Processes[Flow_ID_I_5],,0,)</f>
        <v>#N/A</v>
      </c>
      <c r="AB101" s="246"/>
      <c r="AC101" s="88">
        <f>Tab_Process_TCs2527[[#This Row],[Flow_TC_I_1_'[%']]]+Tab_Process_TCs2527[[#This Row],[Flow_TC_I_2_'[%']]]+Tab_Process_TCs2527[[#This Row],[Flow_TC_I_3_'[%']]]+Tab_Process_TCs2527[[#This Row],[Flow_TC_I_4_'[%']]]+Tab_Process_TCs2527[[#This Row],[Flow_TC_I_5_'[%']]]</f>
        <v>0</v>
      </c>
      <c r="AD101" s="57" t="e">
        <f>_xlfn.XLOOKUP($D101,Tab_Process_TCs[TC_ID],Tab_Process_TCs[Output_Flow_O_1],,0,)</f>
        <v>#N/A</v>
      </c>
      <c r="AE101" s="48" t="e">
        <f>_xlfn.XLOOKUP($D101,Tab_Process_TCs[TC_ID],Tab_Process_TCs[Flow_ID_O_1],,0,)</f>
        <v>#N/A</v>
      </c>
      <c r="AF101" s="100" t="e">
        <f>Tab_Process_TCs2527[[#This Row],[Flow_ID]]</f>
        <v>#N/A</v>
      </c>
      <c r="AG101" s="48" t="e">
        <f t="shared" si="24"/>
        <v>#N/A</v>
      </c>
      <c r="AH101" s="109">
        <v>0.4</v>
      </c>
      <c r="AI101" s="57" t="e">
        <f>_xlfn.XLOOKUP($D101,Tab_Process_TCs[TC_ID],Tab_Process_TCs[Output_Flow_O_2],,0,)</f>
        <v>#N/A</v>
      </c>
      <c r="AJ101" s="48" t="e">
        <f>_xlfn.XLOOKUP($D101,Tab_Process_TCs[TC_ID],Tab_Process_TCs[Flow_ID_O_2],,0,)</f>
        <v>#N/A</v>
      </c>
      <c r="AK101" s="100" t="e">
        <f>Tab_Process_TCs2527[[#This Row],[Flow_ID]]</f>
        <v>#N/A</v>
      </c>
      <c r="AL101" s="48" t="e">
        <f t="shared" si="25"/>
        <v>#N/A</v>
      </c>
      <c r="AM101" s="228">
        <v>0.6</v>
      </c>
      <c r="AN101" s="57" t="e">
        <f>_xlfn.XLOOKUP($D101,Tab_Process_TCs[TC_ID],Tab_Process_TCs[Output_Flow_O_3],,0,)</f>
        <v>#N/A</v>
      </c>
      <c r="AO101" s="48" t="e">
        <f>_xlfn.XLOOKUP($D101,Tab_Process_TCs[TC_ID],Tab_Process_TCs[Flow_ID_O_3],,0,)</f>
        <v>#N/A</v>
      </c>
      <c r="AP101" s="100" t="e">
        <f>Tab_Process_TCs2527[[#This Row],[Flow_ID]]</f>
        <v>#N/A</v>
      </c>
      <c r="AQ101" s="48" t="e">
        <f t="shared" si="26"/>
        <v>#N/A</v>
      </c>
      <c r="AR101" s="228"/>
      <c r="AS101" s="57" t="e">
        <f>_xlfn.XLOOKUP($D101,Tab_Process_TCs[TC_ID],#REF!,,0,)</f>
        <v>#REF!</v>
      </c>
      <c r="AT101" s="48" t="e">
        <f>_xlfn.XLOOKUP($D101,Tab_Process_TCs[TC_ID],#REF!,,0,)</f>
        <v>#REF!</v>
      </c>
      <c r="AU101" s="100" t="e">
        <f>Tab_Process_TCs2527[[#This Row],[Flow_ID]]</f>
        <v>#N/A</v>
      </c>
      <c r="AV101" s="100" t="e">
        <f t="shared" si="27"/>
        <v>#N/A</v>
      </c>
      <c r="AW101" s="228"/>
      <c r="AX101" s="57" t="e">
        <f>_xlfn.XLOOKUP($D101,Tab_Process_TCs[TC_ID],#REF!,,0,)</f>
        <v>#REF!</v>
      </c>
      <c r="AY101" s="48" t="e">
        <f>_xlfn.XLOOKUP($D101,Tab_Process_TCs[TC_ID],#REF!,,0,)</f>
        <v>#REF!</v>
      </c>
      <c r="AZ101" s="100" t="e">
        <f>Tab_Process_TCs2527[[#This Row],[Flow_ID]]</f>
        <v>#N/A</v>
      </c>
      <c r="BA101" s="100" t="e">
        <f t="shared" si="28"/>
        <v>#REF!</v>
      </c>
      <c r="BB101" s="228"/>
      <c r="BC101" s="48" t="e">
        <f>_xlfn.XLOOKUP($D101,Tab_Process_TCs[TC_ID],#REF!,,0,)</f>
        <v>#REF!</v>
      </c>
      <c r="BD101" s="48" t="e">
        <f>_xlfn.XLOOKUP($D101,Tab_Process_TCs[TC_ID],#REF!,,0,)</f>
        <v>#REF!</v>
      </c>
      <c r="BE101" s="100" t="e">
        <f>Tab_Process_TCs2527[[#This Row],[Flow_ID]]</f>
        <v>#N/A</v>
      </c>
      <c r="BF101" s="100" t="e">
        <f t="shared" si="29"/>
        <v>#REF!</v>
      </c>
      <c r="BG101" s="109"/>
      <c r="BH101" s="112">
        <f>Tab_Process_TCs2527[[#This Row],[TC O_6_'[%']]]+Tab_Process_TCs2527[[#This Row],[TC O_5_'[%']]]+Tab_Process_TCs2527[[#This Row],[TC_O_4_'[%']]]+Tab_Process_TCs2527[[#This Row],[TC_O_3_'[%']]]+Tab_Process_TCs2527[[#This Row],[TC_O_2_'[%']]]+Tab_Process_TCs2527[[#This Row],[TC_O_1_'[%']]]</f>
        <v>1</v>
      </c>
      <c r="BI101" s="50"/>
      <c r="BJ101" s="50"/>
      <c r="BK101" s="50"/>
      <c r="BL101" s="50"/>
      <c r="BM101" s="50"/>
    </row>
    <row r="102" spans="1:65" x14ac:dyDescent="0.25">
      <c r="A102" s="87" t="b">
        <v>0</v>
      </c>
      <c r="B102" s="48">
        <f t="shared" si="23"/>
        <v>101</v>
      </c>
      <c r="C102" s="107" t="e">
        <f>_xlfn.XLOOKUP($D102,Tab_Process_TCs[Name(EN)],Tab_Process_TCs[Process_ID],,0,)</f>
        <v>#N/A</v>
      </c>
      <c r="D102" s="50"/>
      <c r="E102" s="50" t="s">
        <v>55</v>
      </c>
      <c r="F102" s="48" t="e">
        <f>_xlfn.XLOOKUP($D102,Tab_Process_TCs[Name(EN)],Tab_Process_TCs[TC?],,0,)</f>
        <v>#N/A</v>
      </c>
      <c r="G102" s="48" t="e">
        <f>_xlfn.XLOOKUP($D102,Tab_Process_TCs[Name(EN)],Tab_Process_TCs[Dyn_TC?],,0,)</f>
        <v>#N/A</v>
      </c>
      <c r="H102" s="48" t="e">
        <f>_xlfn.XLOOKUP($E102,Tab_Def_Flows[Name(EN)],Tab_Def_Flows[Flow_ID],,0,1)</f>
        <v>#N/A</v>
      </c>
      <c r="I102" s="50" t="e">
        <f>IF(Tab_Process_TCs2527[[#This Row],[Name(EN)]]="N.A.","N.A.","TC"&amp;"_"&amp;RIGHT(H102,5))</f>
        <v>#N/A</v>
      </c>
      <c r="J102" s="50"/>
      <c r="K102" s="249"/>
      <c r="L102" s="50" t="e">
        <f>_xlfn.XLOOKUP($D102,Tab_Def_Processes[Name(EN)],Tab_Def_Processes[Stock?],,0,)</f>
        <v>#N/A</v>
      </c>
      <c r="M102" s="48"/>
      <c r="N102" s="57" t="e">
        <f>_xlfn.XLOOKUP($D102,Tab_Def_Processes[Name(EN)],Tab_Def_Processes[Input_Flow_I_1],,0,)</f>
        <v>#N/A</v>
      </c>
      <c r="O102" s="48" t="e">
        <f>_xlfn.XLOOKUP($D102,Tab_Def_Processes[Name(EN)],Tab_Def_Processes[Flow_ID_I_1],,0,)</f>
        <v>#N/A</v>
      </c>
      <c r="P102" s="246"/>
      <c r="Q102" s="71" t="e">
        <f>_xlfn.XLOOKUP($D102,Tab_Def_Processes[Name(EN)],Tab_Def_Processes[Input_Flow_I_2],,0,)</f>
        <v>#N/A</v>
      </c>
      <c r="R102" s="48" t="e">
        <f>_xlfn.XLOOKUP($D102,Tab_Def_Processes[Name(EN)],Tab_Def_Processes[Flow_ID_I_2],,0,)</f>
        <v>#N/A</v>
      </c>
      <c r="S102" s="246"/>
      <c r="T102" s="71" t="e">
        <f>_xlfn.XLOOKUP($D102,Tab_Def_Processes[Name(EN)],Tab_Def_Processes[Input_Flow_I_3],,0,)</f>
        <v>#N/A</v>
      </c>
      <c r="U102" s="48" t="e">
        <f>_xlfn.XLOOKUP($D102,Tab_Def_Processes[Name(EN)],Tab_Def_Processes[Flow_ID_I_3],,0,)</f>
        <v>#N/A</v>
      </c>
      <c r="V102" s="246"/>
      <c r="W102" s="71" t="e">
        <f>_xlfn.XLOOKUP($D102,Tab_Def_Processes[Name(EN)],Tab_Def_Processes[Input_Flow_I_4],,0,)</f>
        <v>#N/A</v>
      </c>
      <c r="X102" s="48" t="e">
        <f>_xlfn.XLOOKUP($D102,Tab_Def_Processes[Name(EN)],Tab_Def_Processes[Flow_ID_I_4],,0,)</f>
        <v>#N/A</v>
      </c>
      <c r="Y102" s="246"/>
      <c r="Z102" s="71" t="e">
        <f>_xlfn.XLOOKUP($D102,Tab_Def_Processes[Name(EN)],Tab_Def_Processes[Input_Flow_I_5],,0,)</f>
        <v>#N/A</v>
      </c>
      <c r="AA102" s="48" t="e">
        <f>_xlfn.XLOOKUP($D102,Tab_Def_Processes[Name(EN)],Tab_Def_Processes[Flow_ID_I_5],,0,)</f>
        <v>#N/A</v>
      </c>
      <c r="AB102" s="246"/>
      <c r="AC102" s="88">
        <f>Tab_Process_TCs2527[[#This Row],[Flow_TC_I_1_'[%']]]+Tab_Process_TCs2527[[#This Row],[Flow_TC_I_2_'[%']]]+Tab_Process_TCs2527[[#This Row],[Flow_TC_I_3_'[%']]]+Tab_Process_TCs2527[[#This Row],[Flow_TC_I_4_'[%']]]+Tab_Process_TCs2527[[#This Row],[Flow_TC_I_5_'[%']]]</f>
        <v>0</v>
      </c>
      <c r="AD102" s="57" t="e">
        <f>_xlfn.XLOOKUP($D102,Tab_Process_TCs[TC_ID],Tab_Process_TCs[Output_Flow_O_1],,0,)</f>
        <v>#N/A</v>
      </c>
      <c r="AE102" s="48" t="e">
        <f>_xlfn.XLOOKUP($D102,Tab_Process_TCs[TC_ID],Tab_Process_TCs[Flow_ID_O_1],,0,)</f>
        <v>#N/A</v>
      </c>
      <c r="AF102" s="100" t="e">
        <f>Tab_Process_TCs2527[[#This Row],[Flow_ID]]</f>
        <v>#N/A</v>
      </c>
      <c r="AG102" s="48" t="e">
        <f t="shared" si="24"/>
        <v>#N/A</v>
      </c>
      <c r="AH102" s="109">
        <v>0.4</v>
      </c>
      <c r="AI102" s="57" t="e">
        <f>_xlfn.XLOOKUP($D102,Tab_Process_TCs[TC_ID],Tab_Process_TCs[Output_Flow_O_2],,0,)</f>
        <v>#N/A</v>
      </c>
      <c r="AJ102" s="48" t="e">
        <f>_xlfn.XLOOKUP($D102,Tab_Process_TCs[TC_ID],Tab_Process_TCs[Flow_ID_O_2],,0,)</f>
        <v>#N/A</v>
      </c>
      <c r="AK102" s="100" t="e">
        <f>Tab_Process_TCs2527[[#This Row],[Flow_ID]]</f>
        <v>#N/A</v>
      </c>
      <c r="AL102" s="48" t="e">
        <f t="shared" si="25"/>
        <v>#N/A</v>
      </c>
      <c r="AM102" s="228">
        <v>0.6</v>
      </c>
      <c r="AN102" s="57" t="e">
        <f>_xlfn.XLOOKUP($D102,Tab_Process_TCs[TC_ID],Tab_Process_TCs[Output_Flow_O_3],,0,)</f>
        <v>#N/A</v>
      </c>
      <c r="AO102" s="48" t="e">
        <f>_xlfn.XLOOKUP($D102,Tab_Process_TCs[TC_ID],Tab_Process_TCs[Flow_ID_O_3],,0,)</f>
        <v>#N/A</v>
      </c>
      <c r="AP102" s="100" t="e">
        <f>Tab_Process_TCs2527[[#This Row],[Flow_ID]]</f>
        <v>#N/A</v>
      </c>
      <c r="AQ102" s="48" t="e">
        <f t="shared" si="26"/>
        <v>#N/A</v>
      </c>
      <c r="AR102" s="228"/>
      <c r="AS102" s="57" t="e">
        <f>_xlfn.XLOOKUP($D102,Tab_Process_TCs[TC_ID],#REF!,,0,)</f>
        <v>#REF!</v>
      </c>
      <c r="AT102" s="48" t="e">
        <f>_xlfn.XLOOKUP($D102,Tab_Process_TCs[TC_ID],#REF!,,0,)</f>
        <v>#REF!</v>
      </c>
      <c r="AU102" s="100" t="e">
        <f>Tab_Process_TCs2527[[#This Row],[Flow_ID]]</f>
        <v>#N/A</v>
      </c>
      <c r="AV102" s="100" t="e">
        <f t="shared" si="27"/>
        <v>#N/A</v>
      </c>
      <c r="AW102" s="228"/>
      <c r="AX102" s="57" t="e">
        <f>_xlfn.XLOOKUP($D102,Tab_Process_TCs[TC_ID],#REF!,,0,)</f>
        <v>#REF!</v>
      </c>
      <c r="AY102" s="48" t="e">
        <f>_xlfn.XLOOKUP($D102,Tab_Process_TCs[TC_ID],#REF!,,0,)</f>
        <v>#REF!</v>
      </c>
      <c r="AZ102" s="100" t="e">
        <f>Tab_Process_TCs2527[[#This Row],[Flow_ID]]</f>
        <v>#N/A</v>
      </c>
      <c r="BA102" s="100" t="e">
        <f t="shared" si="28"/>
        <v>#REF!</v>
      </c>
      <c r="BB102" s="228"/>
      <c r="BC102" s="48" t="e">
        <f>_xlfn.XLOOKUP($D102,Tab_Process_TCs[TC_ID],#REF!,,0,)</f>
        <v>#REF!</v>
      </c>
      <c r="BD102" s="48" t="e">
        <f>_xlfn.XLOOKUP($D102,Tab_Process_TCs[TC_ID],#REF!,,0,)</f>
        <v>#REF!</v>
      </c>
      <c r="BE102" s="100" t="e">
        <f>Tab_Process_TCs2527[[#This Row],[Flow_ID]]</f>
        <v>#N/A</v>
      </c>
      <c r="BF102" s="100" t="e">
        <f t="shared" si="29"/>
        <v>#REF!</v>
      </c>
      <c r="BG102" s="109"/>
      <c r="BH102" s="112">
        <f>Tab_Process_TCs2527[[#This Row],[TC O_6_'[%']]]+Tab_Process_TCs2527[[#This Row],[TC O_5_'[%']]]+Tab_Process_TCs2527[[#This Row],[TC_O_4_'[%']]]+Tab_Process_TCs2527[[#This Row],[TC_O_3_'[%']]]+Tab_Process_TCs2527[[#This Row],[TC_O_2_'[%']]]+Tab_Process_TCs2527[[#This Row],[TC_O_1_'[%']]]</f>
        <v>1</v>
      </c>
      <c r="BI102" s="50"/>
      <c r="BJ102" s="50"/>
      <c r="BK102" s="50"/>
      <c r="BL102" s="50"/>
      <c r="BM102" s="50"/>
    </row>
    <row r="103" spans="1:65" x14ac:dyDescent="0.25">
      <c r="A103" s="87" t="b">
        <v>0</v>
      </c>
      <c r="B103" s="48">
        <f t="shared" si="23"/>
        <v>102</v>
      </c>
      <c r="C103" s="107" t="e">
        <f>_xlfn.XLOOKUP($D103,Tab_Process_TCs[Name(EN)],Tab_Process_TCs[Process_ID],,0,)</f>
        <v>#N/A</v>
      </c>
      <c r="D103" s="50"/>
      <c r="E103" s="50" t="s">
        <v>55</v>
      </c>
      <c r="F103" s="48" t="e">
        <f>_xlfn.XLOOKUP($D103,Tab_Process_TCs[Name(EN)],Tab_Process_TCs[TC?],,0,)</f>
        <v>#N/A</v>
      </c>
      <c r="G103" s="48" t="e">
        <f>_xlfn.XLOOKUP($D103,Tab_Process_TCs[Name(EN)],Tab_Process_TCs[Dyn_TC?],,0,)</f>
        <v>#N/A</v>
      </c>
      <c r="H103" s="48" t="e">
        <f>_xlfn.XLOOKUP($E103,Tab_Def_Flows[Name(EN)],Tab_Def_Flows[Flow_ID],,0,1)</f>
        <v>#N/A</v>
      </c>
      <c r="I103" s="50" t="e">
        <f>IF(Tab_Process_TCs2527[[#This Row],[Name(EN)]]="N.A.","N.A.","TC"&amp;"_"&amp;RIGHT(H103,5))</f>
        <v>#N/A</v>
      </c>
      <c r="J103" s="50"/>
      <c r="K103" s="249"/>
      <c r="L103" s="50" t="e">
        <f>_xlfn.XLOOKUP($D103,Tab_Def_Processes[Name(EN)],Tab_Def_Processes[Stock?],,0,)</f>
        <v>#N/A</v>
      </c>
      <c r="M103" s="48"/>
      <c r="N103" s="57" t="e">
        <f>_xlfn.XLOOKUP($D103,Tab_Def_Processes[Name(EN)],Tab_Def_Processes[Input_Flow_I_1],,0,)</f>
        <v>#N/A</v>
      </c>
      <c r="O103" s="48" t="e">
        <f>_xlfn.XLOOKUP($D103,Tab_Def_Processes[Name(EN)],Tab_Def_Processes[Flow_ID_I_1],,0,)</f>
        <v>#N/A</v>
      </c>
      <c r="P103" s="246"/>
      <c r="Q103" s="71" t="e">
        <f>_xlfn.XLOOKUP($D103,Tab_Def_Processes[Name(EN)],Tab_Def_Processes[Input_Flow_I_2],,0,)</f>
        <v>#N/A</v>
      </c>
      <c r="R103" s="48" t="e">
        <f>_xlfn.XLOOKUP($D103,Tab_Def_Processes[Name(EN)],Tab_Def_Processes[Flow_ID_I_2],,0,)</f>
        <v>#N/A</v>
      </c>
      <c r="S103" s="246"/>
      <c r="T103" s="71" t="e">
        <f>_xlfn.XLOOKUP($D103,Tab_Def_Processes[Name(EN)],Tab_Def_Processes[Input_Flow_I_3],,0,)</f>
        <v>#N/A</v>
      </c>
      <c r="U103" s="48" t="e">
        <f>_xlfn.XLOOKUP($D103,Tab_Def_Processes[Name(EN)],Tab_Def_Processes[Flow_ID_I_3],,0,)</f>
        <v>#N/A</v>
      </c>
      <c r="V103" s="246"/>
      <c r="W103" s="71" t="e">
        <f>_xlfn.XLOOKUP($D103,Tab_Def_Processes[Name(EN)],Tab_Def_Processes[Input_Flow_I_4],,0,)</f>
        <v>#N/A</v>
      </c>
      <c r="X103" s="48" t="e">
        <f>_xlfn.XLOOKUP($D103,Tab_Def_Processes[Name(EN)],Tab_Def_Processes[Flow_ID_I_4],,0,)</f>
        <v>#N/A</v>
      </c>
      <c r="Y103" s="246"/>
      <c r="Z103" s="71" t="e">
        <f>_xlfn.XLOOKUP($D103,Tab_Def_Processes[Name(EN)],Tab_Def_Processes[Input_Flow_I_5],,0,)</f>
        <v>#N/A</v>
      </c>
      <c r="AA103" s="48" t="e">
        <f>_xlfn.XLOOKUP($D103,Tab_Def_Processes[Name(EN)],Tab_Def_Processes[Flow_ID_I_5],,0,)</f>
        <v>#N/A</v>
      </c>
      <c r="AB103" s="246"/>
      <c r="AC103" s="88">
        <f>Tab_Process_TCs2527[[#This Row],[Flow_TC_I_1_'[%']]]+Tab_Process_TCs2527[[#This Row],[Flow_TC_I_2_'[%']]]+Tab_Process_TCs2527[[#This Row],[Flow_TC_I_3_'[%']]]+Tab_Process_TCs2527[[#This Row],[Flow_TC_I_4_'[%']]]+Tab_Process_TCs2527[[#This Row],[Flow_TC_I_5_'[%']]]</f>
        <v>0</v>
      </c>
      <c r="AD103" s="57" t="e">
        <f>_xlfn.XLOOKUP($D103,Tab_Process_TCs[TC_ID],Tab_Process_TCs[Output_Flow_O_1],,0,)</f>
        <v>#N/A</v>
      </c>
      <c r="AE103" s="48" t="e">
        <f>_xlfn.XLOOKUP($D103,Tab_Process_TCs[TC_ID],Tab_Process_TCs[Flow_ID_O_1],,0,)</f>
        <v>#N/A</v>
      </c>
      <c r="AF103" s="100" t="e">
        <f>Tab_Process_TCs2527[[#This Row],[Flow_ID]]</f>
        <v>#N/A</v>
      </c>
      <c r="AG103" s="48" t="e">
        <f t="shared" si="24"/>
        <v>#N/A</v>
      </c>
      <c r="AH103" s="109">
        <v>0.4</v>
      </c>
      <c r="AI103" s="57" t="e">
        <f>_xlfn.XLOOKUP($D103,Tab_Process_TCs[TC_ID],Tab_Process_TCs[Output_Flow_O_2],,0,)</f>
        <v>#N/A</v>
      </c>
      <c r="AJ103" s="48" t="e">
        <f>_xlfn.XLOOKUP($D103,Tab_Process_TCs[TC_ID],Tab_Process_TCs[Flow_ID_O_2],,0,)</f>
        <v>#N/A</v>
      </c>
      <c r="AK103" s="100" t="e">
        <f>Tab_Process_TCs2527[[#This Row],[Flow_ID]]</f>
        <v>#N/A</v>
      </c>
      <c r="AL103" s="48" t="e">
        <f t="shared" si="25"/>
        <v>#N/A</v>
      </c>
      <c r="AM103" s="228">
        <v>0.6</v>
      </c>
      <c r="AN103" s="57" t="e">
        <f>_xlfn.XLOOKUP($D103,Tab_Process_TCs[TC_ID],Tab_Process_TCs[Output_Flow_O_3],,0,)</f>
        <v>#N/A</v>
      </c>
      <c r="AO103" s="48" t="e">
        <f>_xlfn.XLOOKUP($D103,Tab_Process_TCs[TC_ID],Tab_Process_TCs[Flow_ID_O_3],,0,)</f>
        <v>#N/A</v>
      </c>
      <c r="AP103" s="100" t="e">
        <f>Tab_Process_TCs2527[[#This Row],[Flow_ID]]</f>
        <v>#N/A</v>
      </c>
      <c r="AQ103" s="48" t="e">
        <f t="shared" si="26"/>
        <v>#N/A</v>
      </c>
      <c r="AR103" s="228"/>
      <c r="AS103" s="57" t="e">
        <f>_xlfn.XLOOKUP($D103,Tab_Process_TCs[TC_ID],#REF!,,0,)</f>
        <v>#REF!</v>
      </c>
      <c r="AT103" s="48" t="e">
        <f>_xlfn.XLOOKUP($D103,Tab_Process_TCs[TC_ID],#REF!,,0,)</f>
        <v>#REF!</v>
      </c>
      <c r="AU103" s="100" t="e">
        <f>Tab_Process_TCs2527[[#This Row],[Flow_ID]]</f>
        <v>#N/A</v>
      </c>
      <c r="AV103" s="100" t="e">
        <f t="shared" si="27"/>
        <v>#N/A</v>
      </c>
      <c r="AW103" s="228"/>
      <c r="AX103" s="57" t="e">
        <f>_xlfn.XLOOKUP($D103,Tab_Process_TCs[TC_ID],#REF!,,0,)</f>
        <v>#REF!</v>
      </c>
      <c r="AY103" s="48" t="e">
        <f>_xlfn.XLOOKUP($D103,Tab_Process_TCs[TC_ID],#REF!,,0,)</f>
        <v>#REF!</v>
      </c>
      <c r="AZ103" s="100" t="e">
        <f>Tab_Process_TCs2527[[#This Row],[Flow_ID]]</f>
        <v>#N/A</v>
      </c>
      <c r="BA103" s="100" t="e">
        <f t="shared" si="28"/>
        <v>#REF!</v>
      </c>
      <c r="BB103" s="228"/>
      <c r="BC103" s="48" t="e">
        <f>_xlfn.XLOOKUP($D103,Tab_Process_TCs[TC_ID],#REF!,,0,)</f>
        <v>#REF!</v>
      </c>
      <c r="BD103" s="48" t="e">
        <f>_xlfn.XLOOKUP($D103,Tab_Process_TCs[TC_ID],#REF!,,0,)</f>
        <v>#REF!</v>
      </c>
      <c r="BE103" s="100" t="e">
        <f>Tab_Process_TCs2527[[#This Row],[Flow_ID]]</f>
        <v>#N/A</v>
      </c>
      <c r="BF103" s="100" t="e">
        <f t="shared" si="29"/>
        <v>#REF!</v>
      </c>
      <c r="BG103" s="109"/>
      <c r="BH103" s="112">
        <f>Tab_Process_TCs2527[[#This Row],[TC O_6_'[%']]]+Tab_Process_TCs2527[[#This Row],[TC O_5_'[%']]]+Tab_Process_TCs2527[[#This Row],[TC_O_4_'[%']]]+Tab_Process_TCs2527[[#This Row],[TC_O_3_'[%']]]+Tab_Process_TCs2527[[#This Row],[TC_O_2_'[%']]]+Tab_Process_TCs2527[[#This Row],[TC_O_1_'[%']]]</f>
        <v>1</v>
      </c>
      <c r="BI103" s="50"/>
      <c r="BJ103" s="50"/>
      <c r="BK103" s="50"/>
      <c r="BL103" s="50"/>
      <c r="BM103" s="50"/>
    </row>
    <row r="104" spans="1:65" x14ac:dyDescent="0.25">
      <c r="A104" s="87" t="b">
        <v>0</v>
      </c>
      <c r="B104" s="48">
        <f t="shared" si="23"/>
        <v>103</v>
      </c>
      <c r="C104" s="107" t="e">
        <f>_xlfn.XLOOKUP($D104,Tab_Process_TCs[Name(EN)],Tab_Process_TCs[Process_ID],,0,)</f>
        <v>#N/A</v>
      </c>
      <c r="D104" s="50"/>
      <c r="E104" s="50" t="s">
        <v>55</v>
      </c>
      <c r="F104" s="48" t="e">
        <f>_xlfn.XLOOKUP($D104,Tab_Process_TCs[Name(EN)],Tab_Process_TCs[TC?],,0,)</f>
        <v>#N/A</v>
      </c>
      <c r="G104" s="48" t="e">
        <f>_xlfn.XLOOKUP($D104,Tab_Process_TCs[Name(EN)],Tab_Process_TCs[Dyn_TC?],,0,)</f>
        <v>#N/A</v>
      </c>
      <c r="H104" s="48" t="e">
        <f>_xlfn.XLOOKUP($E104,Tab_Def_Flows[Name(EN)],Tab_Def_Flows[Flow_ID],,0,1)</f>
        <v>#N/A</v>
      </c>
      <c r="I104" s="50" t="e">
        <f>IF(Tab_Process_TCs2527[[#This Row],[Name(EN)]]="N.A.","N.A.","TC"&amp;"_"&amp;RIGHT(H104,5))</f>
        <v>#N/A</v>
      </c>
      <c r="J104" s="50"/>
      <c r="K104" s="249"/>
      <c r="L104" s="50" t="e">
        <f>_xlfn.XLOOKUP($D104,Tab_Def_Processes[Name(EN)],Tab_Def_Processes[Stock?],,0,)</f>
        <v>#N/A</v>
      </c>
      <c r="M104" s="48"/>
      <c r="N104" s="57" t="e">
        <f>_xlfn.XLOOKUP($D104,Tab_Def_Processes[Name(EN)],Tab_Def_Processes[Input_Flow_I_1],,0,)</f>
        <v>#N/A</v>
      </c>
      <c r="O104" s="48" t="e">
        <f>_xlfn.XLOOKUP($D104,Tab_Def_Processes[Name(EN)],Tab_Def_Processes[Flow_ID_I_1],,0,)</f>
        <v>#N/A</v>
      </c>
      <c r="P104" s="246"/>
      <c r="Q104" s="71" t="e">
        <f>_xlfn.XLOOKUP($D104,Tab_Def_Processes[Name(EN)],Tab_Def_Processes[Input_Flow_I_2],,0,)</f>
        <v>#N/A</v>
      </c>
      <c r="R104" s="48" t="e">
        <f>_xlfn.XLOOKUP($D104,Tab_Def_Processes[Name(EN)],Tab_Def_Processes[Flow_ID_I_2],,0,)</f>
        <v>#N/A</v>
      </c>
      <c r="S104" s="246"/>
      <c r="T104" s="71" t="e">
        <f>_xlfn.XLOOKUP($D104,Tab_Def_Processes[Name(EN)],Tab_Def_Processes[Input_Flow_I_3],,0,)</f>
        <v>#N/A</v>
      </c>
      <c r="U104" s="48" t="e">
        <f>_xlfn.XLOOKUP($D104,Tab_Def_Processes[Name(EN)],Tab_Def_Processes[Flow_ID_I_3],,0,)</f>
        <v>#N/A</v>
      </c>
      <c r="V104" s="246"/>
      <c r="W104" s="71" t="e">
        <f>_xlfn.XLOOKUP($D104,Tab_Def_Processes[Name(EN)],Tab_Def_Processes[Input_Flow_I_4],,0,)</f>
        <v>#N/A</v>
      </c>
      <c r="X104" s="48" t="e">
        <f>_xlfn.XLOOKUP($D104,Tab_Def_Processes[Name(EN)],Tab_Def_Processes[Flow_ID_I_4],,0,)</f>
        <v>#N/A</v>
      </c>
      <c r="Y104" s="246"/>
      <c r="Z104" s="71" t="e">
        <f>_xlfn.XLOOKUP($D104,Tab_Def_Processes[Name(EN)],Tab_Def_Processes[Input_Flow_I_5],,0,)</f>
        <v>#N/A</v>
      </c>
      <c r="AA104" s="48" t="e">
        <f>_xlfn.XLOOKUP($D104,Tab_Def_Processes[Name(EN)],Tab_Def_Processes[Flow_ID_I_5],,0,)</f>
        <v>#N/A</v>
      </c>
      <c r="AB104" s="246"/>
      <c r="AC104" s="88">
        <f>Tab_Process_TCs2527[[#This Row],[Flow_TC_I_1_'[%']]]+Tab_Process_TCs2527[[#This Row],[Flow_TC_I_2_'[%']]]+Tab_Process_TCs2527[[#This Row],[Flow_TC_I_3_'[%']]]+Tab_Process_TCs2527[[#This Row],[Flow_TC_I_4_'[%']]]+Tab_Process_TCs2527[[#This Row],[Flow_TC_I_5_'[%']]]</f>
        <v>0</v>
      </c>
      <c r="AD104" s="57" t="e">
        <f>_xlfn.XLOOKUP($D104,Tab_Process_TCs[TC_ID],Tab_Process_TCs[Output_Flow_O_1],,0,)</f>
        <v>#N/A</v>
      </c>
      <c r="AE104" s="48" t="e">
        <f>_xlfn.XLOOKUP($D104,Tab_Process_TCs[TC_ID],Tab_Process_TCs[Flow_ID_O_1],,0,)</f>
        <v>#N/A</v>
      </c>
      <c r="AF104" s="100" t="e">
        <f>Tab_Process_TCs2527[[#This Row],[Flow_ID]]</f>
        <v>#N/A</v>
      </c>
      <c r="AG104" s="48" t="e">
        <f t="shared" si="24"/>
        <v>#N/A</v>
      </c>
      <c r="AH104" s="109">
        <v>0.4</v>
      </c>
      <c r="AI104" s="57" t="e">
        <f>_xlfn.XLOOKUP($D104,Tab_Process_TCs[TC_ID],Tab_Process_TCs[Output_Flow_O_2],,0,)</f>
        <v>#N/A</v>
      </c>
      <c r="AJ104" s="48" t="e">
        <f>_xlfn.XLOOKUP($D104,Tab_Process_TCs[TC_ID],Tab_Process_TCs[Flow_ID_O_2],,0,)</f>
        <v>#N/A</v>
      </c>
      <c r="AK104" s="100" t="e">
        <f>Tab_Process_TCs2527[[#This Row],[Flow_ID]]</f>
        <v>#N/A</v>
      </c>
      <c r="AL104" s="48" t="e">
        <f t="shared" si="25"/>
        <v>#N/A</v>
      </c>
      <c r="AM104" s="228">
        <v>0.6</v>
      </c>
      <c r="AN104" s="57" t="e">
        <f>_xlfn.XLOOKUP($D104,Tab_Process_TCs[TC_ID],Tab_Process_TCs[Output_Flow_O_3],,0,)</f>
        <v>#N/A</v>
      </c>
      <c r="AO104" s="48" t="e">
        <f>_xlfn.XLOOKUP($D104,Tab_Process_TCs[TC_ID],Tab_Process_TCs[Flow_ID_O_3],,0,)</f>
        <v>#N/A</v>
      </c>
      <c r="AP104" s="100" t="e">
        <f>Tab_Process_TCs2527[[#This Row],[Flow_ID]]</f>
        <v>#N/A</v>
      </c>
      <c r="AQ104" s="48" t="e">
        <f t="shared" si="26"/>
        <v>#N/A</v>
      </c>
      <c r="AR104" s="228"/>
      <c r="AS104" s="57" t="e">
        <f>_xlfn.XLOOKUP($D104,Tab_Process_TCs[TC_ID],#REF!,,0,)</f>
        <v>#REF!</v>
      </c>
      <c r="AT104" s="48" t="e">
        <f>_xlfn.XLOOKUP($D104,Tab_Process_TCs[TC_ID],#REF!,,0,)</f>
        <v>#REF!</v>
      </c>
      <c r="AU104" s="100" t="e">
        <f>Tab_Process_TCs2527[[#This Row],[Flow_ID]]</f>
        <v>#N/A</v>
      </c>
      <c r="AV104" s="100" t="e">
        <f t="shared" si="27"/>
        <v>#N/A</v>
      </c>
      <c r="AW104" s="228"/>
      <c r="AX104" s="57" t="e">
        <f>_xlfn.XLOOKUP($D104,Tab_Process_TCs[TC_ID],#REF!,,0,)</f>
        <v>#REF!</v>
      </c>
      <c r="AY104" s="48" t="e">
        <f>_xlfn.XLOOKUP($D104,Tab_Process_TCs[TC_ID],#REF!,,0,)</f>
        <v>#REF!</v>
      </c>
      <c r="AZ104" s="100" t="e">
        <f>Tab_Process_TCs2527[[#This Row],[Flow_ID]]</f>
        <v>#N/A</v>
      </c>
      <c r="BA104" s="100" t="e">
        <f t="shared" si="28"/>
        <v>#REF!</v>
      </c>
      <c r="BB104" s="228"/>
      <c r="BC104" s="48" t="e">
        <f>_xlfn.XLOOKUP($D104,Tab_Process_TCs[TC_ID],#REF!,,0,)</f>
        <v>#REF!</v>
      </c>
      <c r="BD104" s="48" t="e">
        <f>_xlfn.XLOOKUP($D104,Tab_Process_TCs[TC_ID],#REF!,,0,)</f>
        <v>#REF!</v>
      </c>
      <c r="BE104" s="100" t="e">
        <f>Tab_Process_TCs2527[[#This Row],[Flow_ID]]</f>
        <v>#N/A</v>
      </c>
      <c r="BF104" s="100" t="e">
        <f t="shared" si="29"/>
        <v>#REF!</v>
      </c>
      <c r="BG104" s="109"/>
      <c r="BH104" s="112">
        <f>Tab_Process_TCs2527[[#This Row],[TC O_6_'[%']]]+Tab_Process_TCs2527[[#This Row],[TC O_5_'[%']]]+Tab_Process_TCs2527[[#This Row],[TC_O_4_'[%']]]+Tab_Process_TCs2527[[#This Row],[TC_O_3_'[%']]]+Tab_Process_TCs2527[[#This Row],[TC_O_2_'[%']]]+Tab_Process_TCs2527[[#This Row],[TC_O_1_'[%']]]</f>
        <v>1</v>
      </c>
      <c r="BI104" s="50"/>
      <c r="BJ104" s="50"/>
      <c r="BK104" s="50"/>
      <c r="BL104" s="50"/>
      <c r="BM104" s="50"/>
    </row>
    <row r="105" spans="1:65" x14ac:dyDescent="0.25">
      <c r="A105" s="87" t="b">
        <v>0</v>
      </c>
      <c r="B105" s="48">
        <f t="shared" si="23"/>
        <v>104</v>
      </c>
      <c r="C105" s="107" t="e">
        <f>_xlfn.XLOOKUP($D105,Tab_Process_TCs[Name(EN)],Tab_Process_TCs[Process_ID],,0,)</f>
        <v>#N/A</v>
      </c>
      <c r="D105" s="50"/>
      <c r="E105" s="50" t="s">
        <v>55</v>
      </c>
      <c r="F105" s="48" t="e">
        <f>_xlfn.XLOOKUP($D105,Tab_Process_TCs[Name(EN)],Tab_Process_TCs[TC?],,0,)</f>
        <v>#N/A</v>
      </c>
      <c r="G105" s="48" t="e">
        <f>_xlfn.XLOOKUP($D105,Tab_Process_TCs[Name(EN)],Tab_Process_TCs[Dyn_TC?],,0,)</f>
        <v>#N/A</v>
      </c>
      <c r="H105" s="48" t="e">
        <f>_xlfn.XLOOKUP($E105,Tab_Def_Flows[Name(EN)],Tab_Def_Flows[Flow_ID],,0,1)</f>
        <v>#N/A</v>
      </c>
      <c r="I105" s="50" t="e">
        <f>IF(Tab_Process_TCs2527[[#This Row],[Name(EN)]]="N.A.","N.A.","TC"&amp;"_"&amp;RIGHT(H105,5))</f>
        <v>#N/A</v>
      </c>
      <c r="J105" s="50"/>
      <c r="K105" s="249"/>
      <c r="L105" s="50" t="e">
        <f>_xlfn.XLOOKUP($D105,Tab_Def_Processes[Name(EN)],Tab_Def_Processes[Stock?],,0,)</f>
        <v>#N/A</v>
      </c>
      <c r="M105" s="48"/>
      <c r="N105" s="57" t="e">
        <f>_xlfn.XLOOKUP($D105,Tab_Def_Processes[Name(EN)],Tab_Def_Processes[Input_Flow_I_1],,0,)</f>
        <v>#N/A</v>
      </c>
      <c r="O105" s="48" t="e">
        <f>_xlfn.XLOOKUP($D105,Tab_Def_Processes[Name(EN)],Tab_Def_Processes[Flow_ID_I_1],,0,)</f>
        <v>#N/A</v>
      </c>
      <c r="P105" s="246"/>
      <c r="Q105" s="71" t="e">
        <f>_xlfn.XLOOKUP($D105,Tab_Def_Processes[Name(EN)],Tab_Def_Processes[Input_Flow_I_2],,0,)</f>
        <v>#N/A</v>
      </c>
      <c r="R105" s="48" t="e">
        <f>_xlfn.XLOOKUP($D105,Tab_Def_Processes[Name(EN)],Tab_Def_Processes[Flow_ID_I_2],,0,)</f>
        <v>#N/A</v>
      </c>
      <c r="S105" s="246"/>
      <c r="T105" s="71" t="e">
        <f>_xlfn.XLOOKUP($D105,Tab_Def_Processes[Name(EN)],Tab_Def_Processes[Input_Flow_I_3],,0,)</f>
        <v>#N/A</v>
      </c>
      <c r="U105" s="48" t="e">
        <f>_xlfn.XLOOKUP($D105,Tab_Def_Processes[Name(EN)],Tab_Def_Processes[Flow_ID_I_3],,0,)</f>
        <v>#N/A</v>
      </c>
      <c r="V105" s="246"/>
      <c r="W105" s="71" t="e">
        <f>_xlfn.XLOOKUP($D105,Tab_Def_Processes[Name(EN)],Tab_Def_Processes[Input_Flow_I_4],,0,)</f>
        <v>#N/A</v>
      </c>
      <c r="X105" s="48" t="e">
        <f>_xlfn.XLOOKUP($D105,Tab_Def_Processes[Name(EN)],Tab_Def_Processes[Flow_ID_I_4],,0,)</f>
        <v>#N/A</v>
      </c>
      <c r="Y105" s="246"/>
      <c r="Z105" s="71" t="e">
        <f>_xlfn.XLOOKUP($D105,Tab_Def_Processes[Name(EN)],Tab_Def_Processes[Input_Flow_I_5],,0,)</f>
        <v>#N/A</v>
      </c>
      <c r="AA105" s="48" t="e">
        <f>_xlfn.XLOOKUP($D105,Tab_Def_Processes[Name(EN)],Tab_Def_Processes[Flow_ID_I_5],,0,)</f>
        <v>#N/A</v>
      </c>
      <c r="AB105" s="246"/>
      <c r="AC105" s="88">
        <f>Tab_Process_TCs2527[[#This Row],[Flow_TC_I_1_'[%']]]+Tab_Process_TCs2527[[#This Row],[Flow_TC_I_2_'[%']]]+Tab_Process_TCs2527[[#This Row],[Flow_TC_I_3_'[%']]]+Tab_Process_TCs2527[[#This Row],[Flow_TC_I_4_'[%']]]+Tab_Process_TCs2527[[#This Row],[Flow_TC_I_5_'[%']]]</f>
        <v>0</v>
      </c>
      <c r="AD105" s="57" t="e">
        <f>_xlfn.XLOOKUP($D105,Tab_Process_TCs[TC_ID],Tab_Process_TCs[Output_Flow_O_1],,0,)</f>
        <v>#N/A</v>
      </c>
      <c r="AE105" s="48" t="e">
        <f>_xlfn.XLOOKUP($D105,Tab_Process_TCs[TC_ID],Tab_Process_TCs[Flow_ID_O_1],,0,)</f>
        <v>#N/A</v>
      </c>
      <c r="AF105" s="100" t="e">
        <f>Tab_Process_TCs2527[[#This Row],[Flow_ID]]</f>
        <v>#N/A</v>
      </c>
      <c r="AG105" s="48" t="e">
        <f t="shared" si="24"/>
        <v>#N/A</v>
      </c>
      <c r="AH105" s="109">
        <v>0.4</v>
      </c>
      <c r="AI105" s="57" t="e">
        <f>_xlfn.XLOOKUP($D105,Tab_Process_TCs[TC_ID],Tab_Process_TCs[Output_Flow_O_2],,0,)</f>
        <v>#N/A</v>
      </c>
      <c r="AJ105" s="48" t="e">
        <f>_xlfn.XLOOKUP($D105,Tab_Process_TCs[TC_ID],Tab_Process_TCs[Flow_ID_O_2],,0,)</f>
        <v>#N/A</v>
      </c>
      <c r="AK105" s="100" t="e">
        <f>Tab_Process_TCs2527[[#This Row],[Flow_ID]]</f>
        <v>#N/A</v>
      </c>
      <c r="AL105" s="48" t="e">
        <f t="shared" si="25"/>
        <v>#N/A</v>
      </c>
      <c r="AM105" s="228">
        <v>0.6</v>
      </c>
      <c r="AN105" s="57" t="e">
        <f>_xlfn.XLOOKUP($D105,Tab_Process_TCs[TC_ID],Tab_Process_TCs[Output_Flow_O_3],,0,)</f>
        <v>#N/A</v>
      </c>
      <c r="AO105" s="48" t="e">
        <f>_xlfn.XLOOKUP($D105,Tab_Process_TCs[TC_ID],Tab_Process_TCs[Flow_ID_O_3],,0,)</f>
        <v>#N/A</v>
      </c>
      <c r="AP105" s="100" t="e">
        <f>Tab_Process_TCs2527[[#This Row],[Flow_ID]]</f>
        <v>#N/A</v>
      </c>
      <c r="AQ105" s="48" t="e">
        <f t="shared" si="26"/>
        <v>#N/A</v>
      </c>
      <c r="AR105" s="228"/>
      <c r="AS105" s="57" t="e">
        <f>_xlfn.XLOOKUP($D105,Tab_Process_TCs[TC_ID],#REF!,,0,)</f>
        <v>#REF!</v>
      </c>
      <c r="AT105" s="48" t="e">
        <f>_xlfn.XLOOKUP($D105,Tab_Process_TCs[TC_ID],#REF!,,0,)</f>
        <v>#REF!</v>
      </c>
      <c r="AU105" s="100" t="e">
        <f>Tab_Process_TCs2527[[#This Row],[Flow_ID]]</f>
        <v>#N/A</v>
      </c>
      <c r="AV105" s="100" t="e">
        <f t="shared" si="27"/>
        <v>#N/A</v>
      </c>
      <c r="AW105" s="228"/>
      <c r="AX105" s="57" t="e">
        <f>_xlfn.XLOOKUP($D105,Tab_Process_TCs[TC_ID],#REF!,,0,)</f>
        <v>#REF!</v>
      </c>
      <c r="AY105" s="48" t="e">
        <f>_xlfn.XLOOKUP($D105,Tab_Process_TCs[TC_ID],#REF!,,0,)</f>
        <v>#REF!</v>
      </c>
      <c r="AZ105" s="100" t="e">
        <f>Tab_Process_TCs2527[[#This Row],[Flow_ID]]</f>
        <v>#N/A</v>
      </c>
      <c r="BA105" s="100" t="e">
        <f t="shared" si="28"/>
        <v>#REF!</v>
      </c>
      <c r="BB105" s="228"/>
      <c r="BC105" s="48" t="e">
        <f>_xlfn.XLOOKUP($D105,Tab_Process_TCs[TC_ID],#REF!,,0,)</f>
        <v>#REF!</v>
      </c>
      <c r="BD105" s="48" t="e">
        <f>_xlfn.XLOOKUP($D105,Tab_Process_TCs[TC_ID],#REF!,,0,)</f>
        <v>#REF!</v>
      </c>
      <c r="BE105" s="100" t="e">
        <f>Tab_Process_TCs2527[[#This Row],[Flow_ID]]</f>
        <v>#N/A</v>
      </c>
      <c r="BF105" s="100" t="e">
        <f t="shared" si="29"/>
        <v>#REF!</v>
      </c>
      <c r="BG105" s="109"/>
      <c r="BH105" s="112">
        <f>Tab_Process_TCs2527[[#This Row],[TC O_6_'[%']]]+Tab_Process_TCs2527[[#This Row],[TC O_5_'[%']]]+Tab_Process_TCs2527[[#This Row],[TC_O_4_'[%']]]+Tab_Process_TCs2527[[#This Row],[TC_O_3_'[%']]]+Tab_Process_TCs2527[[#This Row],[TC_O_2_'[%']]]+Tab_Process_TCs2527[[#This Row],[TC_O_1_'[%']]]</f>
        <v>1</v>
      </c>
      <c r="BI105" s="50"/>
      <c r="BJ105" s="50"/>
      <c r="BK105" s="50"/>
      <c r="BL105" s="50"/>
      <c r="BM105" s="50"/>
    </row>
    <row r="106" spans="1:65" x14ac:dyDescent="0.25">
      <c r="A106" s="87" t="b">
        <v>0</v>
      </c>
      <c r="B106" s="48">
        <f t="shared" si="23"/>
        <v>105</v>
      </c>
      <c r="C106" s="107" t="e">
        <f>_xlfn.XLOOKUP($D106,Tab_Process_TCs[Name(EN)],Tab_Process_TCs[Process_ID],,0,)</f>
        <v>#N/A</v>
      </c>
      <c r="D106" s="50"/>
      <c r="E106" s="50" t="s">
        <v>55</v>
      </c>
      <c r="F106" s="48" t="e">
        <f>_xlfn.XLOOKUP($D106,Tab_Process_TCs[Name(EN)],Tab_Process_TCs[TC?],,0,)</f>
        <v>#N/A</v>
      </c>
      <c r="G106" s="48" t="e">
        <f>_xlfn.XLOOKUP($D106,Tab_Process_TCs[Name(EN)],Tab_Process_TCs[Dyn_TC?],,0,)</f>
        <v>#N/A</v>
      </c>
      <c r="H106" s="48" t="e">
        <f>_xlfn.XLOOKUP($E106,Tab_Def_Flows[Name(EN)],Tab_Def_Flows[Flow_ID],,0,1)</f>
        <v>#N/A</v>
      </c>
      <c r="I106" s="50" t="e">
        <f>IF(Tab_Process_TCs2527[[#This Row],[Name(EN)]]="N.A.","N.A.","TC"&amp;"_"&amp;RIGHT(H106,5))</f>
        <v>#N/A</v>
      </c>
      <c r="J106" s="50"/>
      <c r="K106" s="249"/>
      <c r="L106" s="50" t="e">
        <f>_xlfn.XLOOKUP($D106,Tab_Def_Processes[Name(EN)],Tab_Def_Processes[Stock?],,0,)</f>
        <v>#N/A</v>
      </c>
      <c r="M106" s="48"/>
      <c r="N106" s="57" t="e">
        <f>_xlfn.XLOOKUP($D106,Tab_Def_Processes[Name(EN)],Tab_Def_Processes[Input_Flow_I_1],,0,)</f>
        <v>#N/A</v>
      </c>
      <c r="O106" s="48" t="e">
        <f>_xlfn.XLOOKUP($D106,Tab_Def_Processes[Name(EN)],Tab_Def_Processes[Flow_ID_I_1],,0,)</f>
        <v>#N/A</v>
      </c>
      <c r="P106" s="246"/>
      <c r="Q106" s="71" t="e">
        <f>_xlfn.XLOOKUP($D106,Tab_Def_Processes[Name(EN)],Tab_Def_Processes[Input_Flow_I_2],,0,)</f>
        <v>#N/A</v>
      </c>
      <c r="R106" s="48" t="e">
        <f>_xlfn.XLOOKUP($D106,Tab_Def_Processes[Name(EN)],Tab_Def_Processes[Flow_ID_I_2],,0,)</f>
        <v>#N/A</v>
      </c>
      <c r="S106" s="246"/>
      <c r="T106" s="71" t="e">
        <f>_xlfn.XLOOKUP($D106,Tab_Def_Processes[Name(EN)],Tab_Def_Processes[Input_Flow_I_3],,0,)</f>
        <v>#N/A</v>
      </c>
      <c r="U106" s="48" t="e">
        <f>_xlfn.XLOOKUP($D106,Tab_Def_Processes[Name(EN)],Tab_Def_Processes[Flow_ID_I_3],,0,)</f>
        <v>#N/A</v>
      </c>
      <c r="V106" s="246"/>
      <c r="W106" s="71" t="e">
        <f>_xlfn.XLOOKUP($D106,Tab_Def_Processes[Name(EN)],Tab_Def_Processes[Input_Flow_I_4],,0,)</f>
        <v>#N/A</v>
      </c>
      <c r="X106" s="48" t="e">
        <f>_xlfn.XLOOKUP($D106,Tab_Def_Processes[Name(EN)],Tab_Def_Processes[Flow_ID_I_4],,0,)</f>
        <v>#N/A</v>
      </c>
      <c r="Y106" s="246"/>
      <c r="Z106" s="71" t="e">
        <f>_xlfn.XLOOKUP($D106,Tab_Def_Processes[Name(EN)],Tab_Def_Processes[Input_Flow_I_5],,0,)</f>
        <v>#N/A</v>
      </c>
      <c r="AA106" s="48" t="e">
        <f>_xlfn.XLOOKUP($D106,Tab_Def_Processes[Name(EN)],Tab_Def_Processes[Flow_ID_I_5],,0,)</f>
        <v>#N/A</v>
      </c>
      <c r="AB106" s="246"/>
      <c r="AC106" s="88">
        <f>Tab_Process_TCs2527[[#This Row],[Flow_TC_I_1_'[%']]]+Tab_Process_TCs2527[[#This Row],[Flow_TC_I_2_'[%']]]+Tab_Process_TCs2527[[#This Row],[Flow_TC_I_3_'[%']]]+Tab_Process_TCs2527[[#This Row],[Flow_TC_I_4_'[%']]]+Tab_Process_TCs2527[[#This Row],[Flow_TC_I_5_'[%']]]</f>
        <v>0</v>
      </c>
      <c r="AD106" s="57" t="e">
        <f>_xlfn.XLOOKUP($D106,Tab_Process_TCs[TC_ID],Tab_Process_TCs[Output_Flow_O_1],,0,)</f>
        <v>#N/A</v>
      </c>
      <c r="AE106" s="48" t="e">
        <f>_xlfn.XLOOKUP($D106,Tab_Process_TCs[TC_ID],Tab_Process_TCs[Flow_ID_O_1],,0,)</f>
        <v>#N/A</v>
      </c>
      <c r="AF106" s="100" t="e">
        <f>Tab_Process_TCs2527[[#This Row],[Flow_ID]]</f>
        <v>#N/A</v>
      </c>
      <c r="AG106" s="48" t="e">
        <f t="shared" si="24"/>
        <v>#N/A</v>
      </c>
      <c r="AH106" s="109">
        <v>0.4</v>
      </c>
      <c r="AI106" s="57" t="e">
        <f>_xlfn.XLOOKUP($D106,Tab_Process_TCs[TC_ID],Tab_Process_TCs[Output_Flow_O_2],,0,)</f>
        <v>#N/A</v>
      </c>
      <c r="AJ106" s="48" t="e">
        <f>_xlfn.XLOOKUP($D106,Tab_Process_TCs[TC_ID],Tab_Process_TCs[Flow_ID_O_2],,0,)</f>
        <v>#N/A</v>
      </c>
      <c r="AK106" s="100" t="e">
        <f>Tab_Process_TCs2527[[#This Row],[Flow_ID]]</f>
        <v>#N/A</v>
      </c>
      <c r="AL106" s="48" t="e">
        <f t="shared" si="25"/>
        <v>#N/A</v>
      </c>
      <c r="AM106" s="228">
        <v>0.6</v>
      </c>
      <c r="AN106" s="57" t="e">
        <f>_xlfn.XLOOKUP($D106,Tab_Process_TCs[TC_ID],Tab_Process_TCs[Output_Flow_O_3],,0,)</f>
        <v>#N/A</v>
      </c>
      <c r="AO106" s="48" t="e">
        <f>_xlfn.XLOOKUP($D106,Tab_Process_TCs[TC_ID],Tab_Process_TCs[Flow_ID_O_3],,0,)</f>
        <v>#N/A</v>
      </c>
      <c r="AP106" s="100" t="e">
        <f>Tab_Process_TCs2527[[#This Row],[Flow_ID]]</f>
        <v>#N/A</v>
      </c>
      <c r="AQ106" s="48" t="e">
        <f t="shared" si="26"/>
        <v>#N/A</v>
      </c>
      <c r="AR106" s="228"/>
      <c r="AS106" s="57" t="e">
        <f>_xlfn.XLOOKUP($D106,Tab_Process_TCs[TC_ID],#REF!,,0,)</f>
        <v>#REF!</v>
      </c>
      <c r="AT106" s="48" t="e">
        <f>_xlfn.XLOOKUP($D106,Tab_Process_TCs[TC_ID],#REF!,,0,)</f>
        <v>#REF!</v>
      </c>
      <c r="AU106" s="100" t="e">
        <f>Tab_Process_TCs2527[[#This Row],[Flow_ID]]</f>
        <v>#N/A</v>
      </c>
      <c r="AV106" s="100" t="e">
        <f t="shared" si="27"/>
        <v>#N/A</v>
      </c>
      <c r="AW106" s="228"/>
      <c r="AX106" s="57" t="e">
        <f>_xlfn.XLOOKUP($D106,Tab_Process_TCs[TC_ID],#REF!,,0,)</f>
        <v>#REF!</v>
      </c>
      <c r="AY106" s="48" t="e">
        <f>_xlfn.XLOOKUP($D106,Tab_Process_TCs[TC_ID],#REF!,,0,)</f>
        <v>#REF!</v>
      </c>
      <c r="AZ106" s="100" t="e">
        <f>Tab_Process_TCs2527[[#This Row],[Flow_ID]]</f>
        <v>#N/A</v>
      </c>
      <c r="BA106" s="100" t="e">
        <f t="shared" si="28"/>
        <v>#REF!</v>
      </c>
      <c r="BB106" s="228"/>
      <c r="BC106" s="48" t="e">
        <f>_xlfn.XLOOKUP($D106,Tab_Process_TCs[TC_ID],#REF!,,0,)</f>
        <v>#REF!</v>
      </c>
      <c r="BD106" s="48" t="e">
        <f>_xlfn.XLOOKUP($D106,Tab_Process_TCs[TC_ID],#REF!,,0,)</f>
        <v>#REF!</v>
      </c>
      <c r="BE106" s="100" t="e">
        <f>Tab_Process_TCs2527[[#This Row],[Flow_ID]]</f>
        <v>#N/A</v>
      </c>
      <c r="BF106" s="100" t="e">
        <f t="shared" si="29"/>
        <v>#REF!</v>
      </c>
      <c r="BG106" s="109"/>
      <c r="BH106" s="112">
        <f>Tab_Process_TCs2527[[#This Row],[TC O_6_'[%']]]+Tab_Process_TCs2527[[#This Row],[TC O_5_'[%']]]+Tab_Process_TCs2527[[#This Row],[TC_O_4_'[%']]]+Tab_Process_TCs2527[[#This Row],[TC_O_3_'[%']]]+Tab_Process_TCs2527[[#This Row],[TC_O_2_'[%']]]+Tab_Process_TCs2527[[#This Row],[TC_O_1_'[%']]]</f>
        <v>1</v>
      </c>
      <c r="BI106" s="50"/>
      <c r="BJ106" s="50"/>
      <c r="BK106" s="50"/>
      <c r="BL106" s="50"/>
      <c r="BM106" s="50"/>
    </row>
    <row r="107" spans="1:65" x14ac:dyDescent="0.25">
      <c r="A107" s="87" t="b">
        <v>0</v>
      </c>
      <c r="B107" s="48">
        <f t="shared" si="23"/>
        <v>106</v>
      </c>
      <c r="C107" s="107" t="e">
        <f>_xlfn.XLOOKUP($D107,Tab_Process_TCs[Name(EN)],Tab_Process_TCs[Process_ID],,0,)</f>
        <v>#N/A</v>
      </c>
      <c r="D107" s="50"/>
      <c r="E107" s="50" t="s">
        <v>55</v>
      </c>
      <c r="F107" s="48" t="e">
        <f>_xlfn.XLOOKUP($D107,Tab_Process_TCs[Name(EN)],Tab_Process_TCs[TC?],,0,)</f>
        <v>#N/A</v>
      </c>
      <c r="G107" s="48" t="e">
        <f>_xlfn.XLOOKUP($D107,Tab_Process_TCs[Name(EN)],Tab_Process_TCs[Dyn_TC?],,0,)</f>
        <v>#N/A</v>
      </c>
      <c r="H107" s="48" t="e">
        <f>_xlfn.XLOOKUP($E107,Tab_Def_Flows[Name(EN)],Tab_Def_Flows[Flow_ID],,0,1)</f>
        <v>#N/A</v>
      </c>
      <c r="I107" s="50" t="e">
        <f>IF(Tab_Process_TCs2527[[#This Row],[Name(EN)]]="N.A.","N.A.","TC"&amp;"_"&amp;RIGHT(H107,5))</f>
        <v>#N/A</v>
      </c>
      <c r="J107" s="50"/>
      <c r="K107" s="249"/>
      <c r="L107" s="50" t="e">
        <f>_xlfn.XLOOKUP($D107,Tab_Def_Processes[Name(EN)],Tab_Def_Processes[Stock?],,0,)</f>
        <v>#N/A</v>
      </c>
      <c r="M107" s="48"/>
      <c r="N107" s="57" t="e">
        <f>_xlfn.XLOOKUP($D107,Tab_Def_Processes[Name(EN)],Tab_Def_Processes[Input_Flow_I_1],,0,)</f>
        <v>#N/A</v>
      </c>
      <c r="O107" s="48" t="e">
        <f>_xlfn.XLOOKUP($D107,Tab_Def_Processes[Name(EN)],Tab_Def_Processes[Flow_ID_I_1],,0,)</f>
        <v>#N/A</v>
      </c>
      <c r="P107" s="246"/>
      <c r="Q107" s="71" t="e">
        <f>_xlfn.XLOOKUP($D107,Tab_Def_Processes[Name(EN)],Tab_Def_Processes[Input_Flow_I_2],,0,)</f>
        <v>#N/A</v>
      </c>
      <c r="R107" s="48" t="e">
        <f>_xlfn.XLOOKUP($D107,Tab_Def_Processes[Name(EN)],Tab_Def_Processes[Flow_ID_I_2],,0,)</f>
        <v>#N/A</v>
      </c>
      <c r="S107" s="246"/>
      <c r="T107" s="71" t="e">
        <f>_xlfn.XLOOKUP($D107,Tab_Def_Processes[Name(EN)],Tab_Def_Processes[Input_Flow_I_3],,0,)</f>
        <v>#N/A</v>
      </c>
      <c r="U107" s="48" t="e">
        <f>_xlfn.XLOOKUP($D107,Tab_Def_Processes[Name(EN)],Tab_Def_Processes[Flow_ID_I_3],,0,)</f>
        <v>#N/A</v>
      </c>
      <c r="V107" s="246"/>
      <c r="W107" s="71" t="e">
        <f>_xlfn.XLOOKUP($D107,Tab_Def_Processes[Name(EN)],Tab_Def_Processes[Input_Flow_I_4],,0,)</f>
        <v>#N/A</v>
      </c>
      <c r="X107" s="48" t="e">
        <f>_xlfn.XLOOKUP($D107,Tab_Def_Processes[Name(EN)],Tab_Def_Processes[Flow_ID_I_4],,0,)</f>
        <v>#N/A</v>
      </c>
      <c r="Y107" s="246"/>
      <c r="Z107" s="71" t="e">
        <f>_xlfn.XLOOKUP($D107,Tab_Def_Processes[Name(EN)],Tab_Def_Processes[Input_Flow_I_5],,0,)</f>
        <v>#N/A</v>
      </c>
      <c r="AA107" s="48" t="e">
        <f>_xlfn.XLOOKUP($D107,Tab_Def_Processes[Name(EN)],Tab_Def_Processes[Flow_ID_I_5],,0,)</f>
        <v>#N/A</v>
      </c>
      <c r="AB107" s="246"/>
      <c r="AC107" s="88">
        <f>Tab_Process_TCs2527[[#This Row],[Flow_TC_I_1_'[%']]]+Tab_Process_TCs2527[[#This Row],[Flow_TC_I_2_'[%']]]+Tab_Process_TCs2527[[#This Row],[Flow_TC_I_3_'[%']]]+Tab_Process_TCs2527[[#This Row],[Flow_TC_I_4_'[%']]]+Tab_Process_TCs2527[[#This Row],[Flow_TC_I_5_'[%']]]</f>
        <v>0</v>
      </c>
      <c r="AD107" s="57" t="e">
        <f>_xlfn.XLOOKUP($D107,Tab_Process_TCs[TC_ID],Tab_Process_TCs[Output_Flow_O_1],,0,)</f>
        <v>#N/A</v>
      </c>
      <c r="AE107" s="48" t="e">
        <f>_xlfn.XLOOKUP($D107,Tab_Process_TCs[TC_ID],Tab_Process_TCs[Flow_ID_O_1],,0,)</f>
        <v>#N/A</v>
      </c>
      <c r="AF107" s="100" t="e">
        <f>Tab_Process_TCs2527[[#This Row],[Flow_ID]]</f>
        <v>#N/A</v>
      </c>
      <c r="AG107" s="48" t="e">
        <f t="shared" si="24"/>
        <v>#N/A</v>
      </c>
      <c r="AH107" s="109">
        <v>0.4</v>
      </c>
      <c r="AI107" s="57" t="e">
        <f>_xlfn.XLOOKUP($D107,Tab_Process_TCs[TC_ID],Tab_Process_TCs[Output_Flow_O_2],,0,)</f>
        <v>#N/A</v>
      </c>
      <c r="AJ107" s="48" t="e">
        <f>_xlfn.XLOOKUP($D107,Tab_Process_TCs[TC_ID],Tab_Process_TCs[Flow_ID_O_2],,0,)</f>
        <v>#N/A</v>
      </c>
      <c r="AK107" s="100" t="e">
        <f>Tab_Process_TCs2527[[#This Row],[Flow_ID]]</f>
        <v>#N/A</v>
      </c>
      <c r="AL107" s="48" t="e">
        <f t="shared" si="25"/>
        <v>#N/A</v>
      </c>
      <c r="AM107" s="228">
        <v>0.6</v>
      </c>
      <c r="AN107" s="57" t="e">
        <f>_xlfn.XLOOKUP($D107,Tab_Process_TCs[TC_ID],Tab_Process_TCs[Output_Flow_O_3],,0,)</f>
        <v>#N/A</v>
      </c>
      <c r="AO107" s="48" t="e">
        <f>_xlfn.XLOOKUP($D107,Tab_Process_TCs[TC_ID],Tab_Process_TCs[Flow_ID_O_3],,0,)</f>
        <v>#N/A</v>
      </c>
      <c r="AP107" s="100" t="e">
        <f>Tab_Process_TCs2527[[#This Row],[Flow_ID]]</f>
        <v>#N/A</v>
      </c>
      <c r="AQ107" s="48" t="e">
        <f t="shared" si="26"/>
        <v>#N/A</v>
      </c>
      <c r="AR107" s="228"/>
      <c r="AS107" s="57" t="e">
        <f>_xlfn.XLOOKUP($D107,Tab_Process_TCs[TC_ID],#REF!,,0,)</f>
        <v>#REF!</v>
      </c>
      <c r="AT107" s="48" t="e">
        <f>_xlfn.XLOOKUP($D107,Tab_Process_TCs[TC_ID],#REF!,,0,)</f>
        <v>#REF!</v>
      </c>
      <c r="AU107" s="100" t="e">
        <f>Tab_Process_TCs2527[[#This Row],[Flow_ID]]</f>
        <v>#N/A</v>
      </c>
      <c r="AV107" s="100" t="e">
        <f t="shared" si="27"/>
        <v>#N/A</v>
      </c>
      <c r="AW107" s="228"/>
      <c r="AX107" s="57" t="e">
        <f>_xlfn.XLOOKUP($D107,Tab_Process_TCs[TC_ID],#REF!,,0,)</f>
        <v>#REF!</v>
      </c>
      <c r="AY107" s="48" t="e">
        <f>_xlfn.XLOOKUP($D107,Tab_Process_TCs[TC_ID],#REF!,,0,)</f>
        <v>#REF!</v>
      </c>
      <c r="AZ107" s="100" t="e">
        <f>Tab_Process_TCs2527[[#This Row],[Flow_ID]]</f>
        <v>#N/A</v>
      </c>
      <c r="BA107" s="100" t="e">
        <f t="shared" si="28"/>
        <v>#REF!</v>
      </c>
      <c r="BB107" s="228"/>
      <c r="BC107" s="48" t="e">
        <f>_xlfn.XLOOKUP($D107,Tab_Process_TCs[TC_ID],#REF!,,0,)</f>
        <v>#REF!</v>
      </c>
      <c r="BD107" s="48" t="e">
        <f>_xlfn.XLOOKUP($D107,Tab_Process_TCs[TC_ID],#REF!,,0,)</f>
        <v>#REF!</v>
      </c>
      <c r="BE107" s="100" t="e">
        <f>Tab_Process_TCs2527[[#This Row],[Flow_ID]]</f>
        <v>#N/A</v>
      </c>
      <c r="BF107" s="100" t="e">
        <f t="shared" si="29"/>
        <v>#REF!</v>
      </c>
      <c r="BG107" s="109"/>
      <c r="BH107" s="112">
        <f>Tab_Process_TCs2527[[#This Row],[TC O_6_'[%']]]+Tab_Process_TCs2527[[#This Row],[TC O_5_'[%']]]+Tab_Process_TCs2527[[#This Row],[TC_O_4_'[%']]]+Tab_Process_TCs2527[[#This Row],[TC_O_3_'[%']]]+Tab_Process_TCs2527[[#This Row],[TC_O_2_'[%']]]+Tab_Process_TCs2527[[#This Row],[TC_O_1_'[%']]]</f>
        <v>1</v>
      </c>
      <c r="BI107" s="50"/>
      <c r="BJ107" s="50"/>
      <c r="BK107" s="50"/>
      <c r="BL107" s="50"/>
      <c r="BM107" s="50"/>
    </row>
    <row r="108" spans="1:65" x14ac:dyDescent="0.25">
      <c r="A108" s="87" t="b">
        <v>0</v>
      </c>
      <c r="B108" s="48">
        <f t="shared" si="23"/>
        <v>107</v>
      </c>
      <c r="C108" s="107" t="e">
        <f>_xlfn.XLOOKUP($D108,Tab_Process_TCs[Name(EN)],Tab_Process_TCs[Process_ID],,0,)</f>
        <v>#N/A</v>
      </c>
      <c r="D108" s="50"/>
      <c r="E108" s="50" t="s">
        <v>55</v>
      </c>
      <c r="F108" s="48" t="e">
        <f>_xlfn.XLOOKUP($D108,Tab_Process_TCs[Name(EN)],Tab_Process_TCs[TC?],,0,)</f>
        <v>#N/A</v>
      </c>
      <c r="G108" s="48" t="e">
        <f>_xlfn.XLOOKUP($D108,Tab_Process_TCs[Name(EN)],Tab_Process_TCs[Dyn_TC?],,0,)</f>
        <v>#N/A</v>
      </c>
      <c r="H108" s="48" t="e">
        <f>_xlfn.XLOOKUP($E108,Tab_Def_Flows[Name(EN)],Tab_Def_Flows[Flow_ID],,0,1)</f>
        <v>#N/A</v>
      </c>
      <c r="I108" s="50" t="e">
        <f>IF(Tab_Process_TCs2527[[#This Row],[Name(EN)]]="N.A.","N.A.","TC"&amp;"_"&amp;RIGHT(H108,5))</f>
        <v>#N/A</v>
      </c>
      <c r="J108" s="50"/>
      <c r="K108" s="249"/>
      <c r="L108" s="50" t="e">
        <f>_xlfn.XLOOKUP($D108,Tab_Def_Processes[Name(EN)],Tab_Def_Processes[Stock?],,0,)</f>
        <v>#N/A</v>
      </c>
      <c r="M108" s="48"/>
      <c r="N108" s="57" t="e">
        <f>_xlfn.XLOOKUP($D108,Tab_Def_Processes[Name(EN)],Tab_Def_Processes[Input_Flow_I_1],,0,)</f>
        <v>#N/A</v>
      </c>
      <c r="O108" s="48" t="e">
        <f>_xlfn.XLOOKUP($D108,Tab_Def_Processes[Name(EN)],Tab_Def_Processes[Flow_ID_I_1],,0,)</f>
        <v>#N/A</v>
      </c>
      <c r="P108" s="246"/>
      <c r="Q108" s="71" t="e">
        <f>_xlfn.XLOOKUP($D108,Tab_Def_Processes[Name(EN)],Tab_Def_Processes[Input_Flow_I_2],,0,)</f>
        <v>#N/A</v>
      </c>
      <c r="R108" s="48" t="e">
        <f>_xlfn.XLOOKUP($D108,Tab_Def_Processes[Name(EN)],Tab_Def_Processes[Flow_ID_I_2],,0,)</f>
        <v>#N/A</v>
      </c>
      <c r="S108" s="246"/>
      <c r="T108" s="71" t="e">
        <f>_xlfn.XLOOKUP($D108,Tab_Def_Processes[Name(EN)],Tab_Def_Processes[Input_Flow_I_3],,0,)</f>
        <v>#N/A</v>
      </c>
      <c r="U108" s="48" t="e">
        <f>_xlfn.XLOOKUP($D108,Tab_Def_Processes[Name(EN)],Tab_Def_Processes[Flow_ID_I_3],,0,)</f>
        <v>#N/A</v>
      </c>
      <c r="V108" s="246"/>
      <c r="W108" s="71" t="e">
        <f>_xlfn.XLOOKUP($D108,Tab_Def_Processes[Name(EN)],Tab_Def_Processes[Input_Flow_I_4],,0,)</f>
        <v>#N/A</v>
      </c>
      <c r="X108" s="48" t="e">
        <f>_xlfn.XLOOKUP($D108,Tab_Def_Processes[Name(EN)],Tab_Def_Processes[Flow_ID_I_4],,0,)</f>
        <v>#N/A</v>
      </c>
      <c r="Y108" s="246"/>
      <c r="Z108" s="71" t="e">
        <f>_xlfn.XLOOKUP($D108,Tab_Def_Processes[Name(EN)],Tab_Def_Processes[Input_Flow_I_5],,0,)</f>
        <v>#N/A</v>
      </c>
      <c r="AA108" s="48" t="e">
        <f>_xlfn.XLOOKUP($D108,Tab_Def_Processes[Name(EN)],Tab_Def_Processes[Flow_ID_I_5],,0,)</f>
        <v>#N/A</v>
      </c>
      <c r="AB108" s="246"/>
      <c r="AC108" s="88">
        <f>Tab_Process_TCs2527[[#This Row],[Flow_TC_I_1_'[%']]]+Tab_Process_TCs2527[[#This Row],[Flow_TC_I_2_'[%']]]+Tab_Process_TCs2527[[#This Row],[Flow_TC_I_3_'[%']]]+Tab_Process_TCs2527[[#This Row],[Flow_TC_I_4_'[%']]]+Tab_Process_TCs2527[[#This Row],[Flow_TC_I_5_'[%']]]</f>
        <v>0</v>
      </c>
      <c r="AD108" s="57" t="e">
        <f>_xlfn.XLOOKUP($D108,Tab_Process_TCs[TC_ID],Tab_Process_TCs[Output_Flow_O_1],,0,)</f>
        <v>#N/A</v>
      </c>
      <c r="AE108" s="48" t="e">
        <f>_xlfn.XLOOKUP($D108,Tab_Process_TCs[TC_ID],Tab_Process_TCs[Flow_ID_O_1],,0,)</f>
        <v>#N/A</v>
      </c>
      <c r="AF108" s="100" t="e">
        <f>Tab_Process_TCs2527[[#This Row],[Flow_ID]]</f>
        <v>#N/A</v>
      </c>
      <c r="AG108" s="48" t="e">
        <f t="shared" si="24"/>
        <v>#N/A</v>
      </c>
      <c r="AH108" s="109">
        <v>0.4</v>
      </c>
      <c r="AI108" s="57" t="e">
        <f>_xlfn.XLOOKUP($D108,Tab_Process_TCs[TC_ID],Tab_Process_TCs[Output_Flow_O_2],,0,)</f>
        <v>#N/A</v>
      </c>
      <c r="AJ108" s="48" t="e">
        <f>_xlfn.XLOOKUP($D108,Tab_Process_TCs[TC_ID],Tab_Process_TCs[Flow_ID_O_2],,0,)</f>
        <v>#N/A</v>
      </c>
      <c r="AK108" s="100" t="e">
        <f>Tab_Process_TCs2527[[#This Row],[Flow_ID]]</f>
        <v>#N/A</v>
      </c>
      <c r="AL108" s="48" t="e">
        <f t="shared" si="25"/>
        <v>#N/A</v>
      </c>
      <c r="AM108" s="228">
        <v>0.6</v>
      </c>
      <c r="AN108" s="57" t="e">
        <f>_xlfn.XLOOKUP($D108,Tab_Process_TCs[TC_ID],Tab_Process_TCs[Output_Flow_O_3],,0,)</f>
        <v>#N/A</v>
      </c>
      <c r="AO108" s="48" t="e">
        <f>_xlfn.XLOOKUP($D108,Tab_Process_TCs[TC_ID],Tab_Process_TCs[Flow_ID_O_3],,0,)</f>
        <v>#N/A</v>
      </c>
      <c r="AP108" s="100" t="e">
        <f>Tab_Process_TCs2527[[#This Row],[Flow_ID]]</f>
        <v>#N/A</v>
      </c>
      <c r="AQ108" s="48" t="e">
        <f t="shared" si="26"/>
        <v>#N/A</v>
      </c>
      <c r="AR108" s="228"/>
      <c r="AS108" s="57" t="e">
        <f>_xlfn.XLOOKUP($D108,Tab_Process_TCs[TC_ID],#REF!,,0,)</f>
        <v>#REF!</v>
      </c>
      <c r="AT108" s="48" t="e">
        <f>_xlfn.XLOOKUP($D108,Tab_Process_TCs[TC_ID],#REF!,,0,)</f>
        <v>#REF!</v>
      </c>
      <c r="AU108" s="100" t="e">
        <f>Tab_Process_TCs2527[[#This Row],[Flow_ID]]</f>
        <v>#N/A</v>
      </c>
      <c r="AV108" s="100" t="e">
        <f t="shared" si="27"/>
        <v>#N/A</v>
      </c>
      <c r="AW108" s="228"/>
      <c r="AX108" s="57" t="e">
        <f>_xlfn.XLOOKUP($D108,Tab_Process_TCs[TC_ID],#REF!,,0,)</f>
        <v>#REF!</v>
      </c>
      <c r="AY108" s="48" t="e">
        <f>_xlfn.XLOOKUP($D108,Tab_Process_TCs[TC_ID],#REF!,,0,)</f>
        <v>#REF!</v>
      </c>
      <c r="AZ108" s="100" t="e">
        <f>Tab_Process_TCs2527[[#This Row],[Flow_ID]]</f>
        <v>#N/A</v>
      </c>
      <c r="BA108" s="100" t="e">
        <f t="shared" si="28"/>
        <v>#REF!</v>
      </c>
      <c r="BB108" s="228"/>
      <c r="BC108" s="48" t="e">
        <f>_xlfn.XLOOKUP($D108,Tab_Process_TCs[TC_ID],#REF!,,0,)</f>
        <v>#REF!</v>
      </c>
      <c r="BD108" s="48" t="e">
        <f>_xlfn.XLOOKUP($D108,Tab_Process_TCs[TC_ID],#REF!,,0,)</f>
        <v>#REF!</v>
      </c>
      <c r="BE108" s="100" t="e">
        <f>Tab_Process_TCs2527[[#This Row],[Flow_ID]]</f>
        <v>#N/A</v>
      </c>
      <c r="BF108" s="100" t="e">
        <f t="shared" si="29"/>
        <v>#REF!</v>
      </c>
      <c r="BG108" s="109"/>
      <c r="BH108" s="112">
        <f>Tab_Process_TCs2527[[#This Row],[TC O_6_'[%']]]+Tab_Process_TCs2527[[#This Row],[TC O_5_'[%']]]+Tab_Process_TCs2527[[#This Row],[TC_O_4_'[%']]]+Tab_Process_TCs2527[[#This Row],[TC_O_3_'[%']]]+Tab_Process_TCs2527[[#This Row],[TC_O_2_'[%']]]+Tab_Process_TCs2527[[#This Row],[TC_O_1_'[%']]]</f>
        <v>1</v>
      </c>
      <c r="BI108" s="50"/>
      <c r="BJ108" s="50"/>
      <c r="BK108" s="50"/>
      <c r="BL108" s="50"/>
      <c r="BM108" s="50"/>
    </row>
    <row r="109" spans="1:65" ht="15.75" thickBot="1" x14ac:dyDescent="0.3">
      <c r="A109" s="87" t="b">
        <v>0</v>
      </c>
      <c r="B109" s="48">
        <f t="shared" si="23"/>
        <v>108</v>
      </c>
      <c r="C109" s="107" t="e">
        <f>_xlfn.XLOOKUP($D109,Tab_Process_TCs[Name(EN)],Tab_Process_TCs[Process_ID],,0,)</f>
        <v>#N/A</v>
      </c>
      <c r="D109" s="50"/>
      <c r="E109" s="50" t="s">
        <v>55</v>
      </c>
      <c r="F109" s="48" t="e">
        <f>_xlfn.XLOOKUP($D109,Tab_Process_TCs[Name(EN)],Tab_Process_TCs[TC?],,0,)</f>
        <v>#N/A</v>
      </c>
      <c r="G109" s="48" t="e">
        <f>_xlfn.XLOOKUP($D109,Tab_Process_TCs[Name(EN)],Tab_Process_TCs[Dyn_TC?],,0,)</f>
        <v>#N/A</v>
      </c>
      <c r="H109" s="48" t="e">
        <f>_xlfn.XLOOKUP($E109,Tab_Def_Flows[Name(EN)],Tab_Def_Flows[Flow_ID],,0,1)</f>
        <v>#N/A</v>
      </c>
      <c r="I109" s="50" t="e">
        <f>IF(Tab_Process_TCs2527[[#This Row],[Name(EN)]]="N.A.","N.A.","TC"&amp;"_"&amp;RIGHT(H109,5))</f>
        <v>#N/A</v>
      </c>
      <c r="J109" s="50"/>
      <c r="K109" s="249"/>
      <c r="L109" s="50" t="e">
        <f>_xlfn.XLOOKUP($D109,Tab_Def_Processes[Name(EN)],Tab_Def_Processes[Stock?],,0,)</f>
        <v>#N/A</v>
      </c>
      <c r="M109" s="48"/>
      <c r="N109" s="59" t="e">
        <f>_xlfn.XLOOKUP($D109,Tab_Def_Processes[Name(EN)],Tab_Def_Processes[Input_Flow_I_1],,0,)</f>
        <v>#N/A</v>
      </c>
      <c r="O109" s="60" t="e">
        <f>_xlfn.XLOOKUP($D109,Tab_Def_Processes[Name(EN)],Tab_Def_Processes[Flow_ID_I_1],,0,)</f>
        <v>#N/A</v>
      </c>
      <c r="P109" s="246"/>
      <c r="Q109" s="72" t="e">
        <f>_xlfn.XLOOKUP($D109,Tab_Def_Processes[Name(EN)],Tab_Def_Processes[Input_Flow_I_2],,0,)</f>
        <v>#N/A</v>
      </c>
      <c r="R109" s="60" t="e">
        <f>_xlfn.XLOOKUP($D109,Tab_Def_Processes[Name(EN)],Tab_Def_Processes[Flow_ID_I_2],,0,)</f>
        <v>#N/A</v>
      </c>
      <c r="S109" s="246"/>
      <c r="T109" s="72" t="e">
        <f>_xlfn.XLOOKUP($D109,Tab_Def_Processes[Name(EN)],Tab_Def_Processes[Input_Flow_I_3],,0,)</f>
        <v>#N/A</v>
      </c>
      <c r="U109" s="60" t="e">
        <f>_xlfn.XLOOKUP($D109,Tab_Def_Processes[Name(EN)],Tab_Def_Processes[Flow_ID_I_3],,0,)</f>
        <v>#N/A</v>
      </c>
      <c r="V109" s="246"/>
      <c r="W109" s="72" t="e">
        <f>_xlfn.XLOOKUP($D109,Tab_Def_Processes[Name(EN)],Tab_Def_Processes[Input_Flow_I_4],,0,)</f>
        <v>#N/A</v>
      </c>
      <c r="X109" s="60" t="e">
        <f>_xlfn.XLOOKUP($D109,Tab_Def_Processes[Name(EN)],Tab_Def_Processes[Flow_ID_I_4],,0,)</f>
        <v>#N/A</v>
      </c>
      <c r="Y109" s="246"/>
      <c r="Z109" s="72" t="e">
        <f>_xlfn.XLOOKUP($D109,Tab_Def_Processes[Name(EN)],Tab_Def_Processes[Input_Flow_I_5],,0,)</f>
        <v>#N/A</v>
      </c>
      <c r="AA109" s="60" t="e">
        <f>_xlfn.XLOOKUP($D109,Tab_Def_Processes[Name(EN)],Tab_Def_Processes[Flow_ID_I_5],,0,)</f>
        <v>#N/A</v>
      </c>
      <c r="AB109" s="246"/>
      <c r="AC109" s="248">
        <f>Tab_Process_TCs2527[[#This Row],[Flow_TC_I_1_'[%']]]+Tab_Process_TCs2527[[#This Row],[Flow_TC_I_2_'[%']]]+Tab_Process_TCs2527[[#This Row],[Flow_TC_I_3_'[%']]]+Tab_Process_TCs2527[[#This Row],[Flow_TC_I_4_'[%']]]+Tab_Process_TCs2527[[#This Row],[Flow_TC_I_5_'[%']]]</f>
        <v>0</v>
      </c>
      <c r="AD109" s="57" t="e">
        <f>_xlfn.XLOOKUP($D109,Tab_Process_TCs[TC_ID],Tab_Process_TCs[Output_Flow_O_1],,0,)</f>
        <v>#N/A</v>
      </c>
      <c r="AE109" s="48" t="e">
        <f>_xlfn.XLOOKUP($D109,Tab_Process_TCs[TC_ID],Tab_Process_TCs[Flow_ID_O_1],,0,)</f>
        <v>#N/A</v>
      </c>
      <c r="AF109" s="100" t="e">
        <f>Tab_Process_TCs2527[[#This Row],[Flow_ID]]</f>
        <v>#N/A</v>
      </c>
      <c r="AG109" s="48" t="e">
        <f t="shared" si="24"/>
        <v>#N/A</v>
      </c>
      <c r="AH109" s="109">
        <v>0.4</v>
      </c>
      <c r="AI109" s="57" t="e">
        <f>_xlfn.XLOOKUP($D109,Tab_Process_TCs[TC_ID],Tab_Process_TCs[Output_Flow_O_2],,0,)</f>
        <v>#N/A</v>
      </c>
      <c r="AJ109" s="48" t="e">
        <f>_xlfn.XLOOKUP($D109,Tab_Process_TCs[TC_ID],Tab_Process_TCs[Flow_ID_O_2],,0,)</f>
        <v>#N/A</v>
      </c>
      <c r="AK109" s="100" t="e">
        <f>Tab_Process_TCs2527[[#This Row],[Flow_ID]]</f>
        <v>#N/A</v>
      </c>
      <c r="AL109" s="48" t="e">
        <f t="shared" si="25"/>
        <v>#N/A</v>
      </c>
      <c r="AM109" s="228">
        <v>0.6</v>
      </c>
      <c r="AN109" s="57" t="e">
        <f>_xlfn.XLOOKUP($D109,Tab_Process_TCs[TC_ID],Tab_Process_TCs[Output_Flow_O_3],,0,)</f>
        <v>#N/A</v>
      </c>
      <c r="AO109" s="48" t="e">
        <f>_xlfn.XLOOKUP($D109,Tab_Process_TCs[TC_ID],Tab_Process_TCs[Flow_ID_O_3],,0,)</f>
        <v>#N/A</v>
      </c>
      <c r="AP109" s="100" t="e">
        <f>Tab_Process_TCs2527[[#This Row],[Flow_ID]]</f>
        <v>#N/A</v>
      </c>
      <c r="AQ109" s="48" t="e">
        <f t="shared" si="26"/>
        <v>#N/A</v>
      </c>
      <c r="AR109" s="228"/>
      <c r="AS109" s="57" t="e">
        <f>_xlfn.XLOOKUP($D109,Tab_Process_TCs[TC_ID],#REF!,,0,)</f>
        <v>#REF!</v>
      </c>
      <c r="AT109" s="48" t="e">
        <f>_xlfn.XLOOKUP($D109,Tab_Process_TCs[TC_ID],#REF!,,0,)</f>
        <v>#REF!</v>
      </c>
      <c r="AU109" s="100" t="e">
        <f>Tab_Process_TCs2527[[#This Row],[Flow_ID]]</f>
        <v>#N/A</v>
      </c>
      <c r="AV109" s="100" t="e">
        <f t="shared" si="27"/>
        <v>#N/A</v>
      </c>
      <c r="AW109" s="228"/>
      <c r="AX109" s="57" t="e">
        <f>_xlfn.XLOOKUP($D109,Tab_Process_TCs[TC_ID],#REF!,,0,)</f>
        <v>#REF!</v>
      </c>
      <c r="AY109" s="48" t="e">
        <f>_xlfn.XLOOKUP($D109,Tab_Process_TCs[TC_ID],#REF!,,0,)</f>
        <v>#REF!</v>
      </c>
      <c r="AZ109" s="100" t="e">
        <f>Tab_Process_TCs2527[[#This Row],[Flow_ID]]</f>
        <v>#N/A</v>
      </c>
      <c r="BA109" s="100" t="e">
        <f t="shared" si="28"/>
        <v>#REF!</v>
      </c>
      <c r="BB109" s="228"/>
      <c r="BC109" s="48" t="e">
        <f>_xlfn.XLOOKUP($D109,Tab_Process_TCs[TC_ID],#REF!,,0,)</f>
        <v>#REF!</v>
      </c>
      <c r="BD109" s="48" t="e">
        <f>_xlfn.XLOOKUP($D109,Tab_Process_TCs[TC_ID],#REF!,,0,)</f>
        <v>#REF!</v>
      </c>
      <c r="BE109" s="100" t="e">
        <f>Tab_Process_TCs2527[[#This Row],[Flow_ID]]</f>
        <v>#N/A</v>
      </c>
      <c r="BF109" s="100" t="e">
        <f t="shared" si="29"/>
        <v>#REF!</v>
      </c>
      <c r="BG109" s="109"/>
      <c r="BH109" s="112">
        <f>Tab_Process_TCs2527[[#This Row],[TC O_6_'[%']]]+Tab_Process_TCs2527[[#This Row],[TC O_5_'[%']]]+Tab_Process_TCs2527[[#This Row],[TC_O_4_'[%']]]+Tab_Process_TCs2527[[#This Row],[TC_O_3_'[%']]]+Tab_Process_TCs2527[[#This Row],[TC_O_2_'[%']]]+Tab_Process_TCs2527[[#This Row],[TC_O_1_'[%']]]</f>
        <v>1</v>
      </c>
      <c r="BI109" s="50"/>
      <c r="BJ109" s="50"/>
      <c r="BK109" s="50"/>
      <c r="BL109" s="50"/>
      <c r="BM109" s="50"/>
    </row>
    <row r="110" spans="1:65" x14ac:dyDescent="0.25">
      <c r="A110" s="87" t="b">
        <v>0</v>
      </c>
      <c r="B110" s="48">
        <f t="shared" si="23"/>
        <v>109</v>
      </c>
      <c r="C110" s="107" t="e">
        <f>_xlfn.XLOOKUP($D110,Tab_Process_TCs[Name(EN)],Tab_Process_TCs[Process_ID],,0,)</f>
        <v>#N/A</v>
      </c>
      <c r="D110" s="50"/>
      <c r="E110" s="50" t="s">
        <v>55</v>
      </c>
      <c r="F110" s="48" t="e">
        <f>_xlfn.XLOOKUP($D110,Tab_Process_TCs[Name(EN)],Tab_Process_TCs[TC?],,0,)</f>
        <v>#N/A</v>
      </c>
      <c r="G110" s="48" t="e">
        <f>_xlfn.XLOOKUP($D110,Tab_Process_TCs[Name(EN)],Tab_Process_TCs[Dyn_TC?],,0,)</f>
        <v>#N/A</v>
      </c>
      <c r="H110" s="48" t="e">
        <f>_xlfn.XLOOKUP($E110,Tab_Def_Flows[Name(EN)],Tab_Def_Flows[Flow_ID],,0,1)</f>
        <v>#N/A</v>
      </c>
      <c r="I110" s="50" t="e">
        <f>IF(Tab_Process_TCs2527[[#This Row],[Name(EN)]]="N.A.","N.A.","TC"&amp;"_"&amp;RIGHT(H110,5))</f>
        <v>#N/A</v>
      </c>
      <c r="J110" s="50"/>
      <c r="K110" s="249"/>
      <c r="L110" s="50" t="e">
        <f>_xlfn.XLOOKUP($D110,Tab_Def_Processes[Name(EN)],Tab_Def_Processes[Stock?],,0,)</f>
        <v>#N/A</v>
      </c>
      <c r="M110" s="48"/>
      <c r="N110" s="57" t="e">
        <f>_xlfn.XLOOKUP($D110,Tab_Def_Processes[Name(EN)],Tab_Def_Processes[Input_Flow_I_1],,0,)</f>
        <v>#N/A</v>
      </c>
      <c r="O110" s="48" t="e">
        <f>_xlfn.XLOOKUP($D110,Tab_Def_Processes[Name(EN)],Tab_Def_Processes[Flow_ID_I_1],,0,)</f>
        <v>#N/A</v>
      </c>
      <c r="P110" s="76"/>
      <c r="Q110" s="71" t="e">
        <f>_xlfn.XLOOKUP($D110,Tab_Def_Processes[Name(EN)],Tab_Def_Processes[Input_Flow_I_2],,0,)</f>
        <v>#N/A</v>
      </c>
      <c r="R110" s="48" t="e">
        <f>_xlfn.XLOOKUP($D110,Tab_Def_Processes[Name(EN)],Tab_Def_Processes[Flow_ID_I_2],,0,)</f>
        <v>#N/A</v>
      </c>
      <c r="S110" s="76"/>
      <c r="T110" s="71" t="e">
        <f>_xlfn.XLOOKUP($D110,Tab_Def_Processes[Name(EN)],Tab_Def_Processes[Input_Flow_I_3],,0,)</f>
        <v>#N/A</v>
      </c>
      <c r="U110" s="48" t="e">
        <f>_xlfn.XLOOKUP($D110,Tab_Def_Processes[Name(EN)],Tab_Def_Processes[Flow_ID_I_3],,0,)</f>
        <v>#N/A</v>
      </c>
      <c r="V110" s="76"/>
      <c r="W110" s="71" t="e">
        <f>_xlfn.XLOOKUP($D110,Tab_Def_Processes[Name(EN)],Tab_Def_Processes[Input_Flow_I_4],,0,)</f>
        <v>#N/A</v>
      </c>
      <c r="X110" s="48" t="e">
        <f>_xlfn.XLOOKUP($D110,Tab_Def_Processes[Name(EN)],Tab_Def_Processes[Flow_ID_I_4],,0,)</f>
        <v>#N/A</v>
      </c>
      <c r="Y110" s="76"/>
      <c r="Z110" s="71" t="e">
        <f>_xlfn.XLOOKUP($D110,Tab_Def_Processes[Name(EN)],Tab_Def_Processes[Input_Flow_I_5],,0,)</f>
        <v>#N/A</v>
      </c>
      <c r="AA110" s="48" t="e">
        <f>_xlfn.XLOOKUP($D110,Tab_Def_Processes[Name(EN)],Tab_Def_Processes[Flow_ID_I_5],,0,)</f>
        <v>#N/A</v>
      </c>
      <c r="AB110" s="76"/>
      <c r="AC110" s="88">
        <f>Tab_Process_TCs2527[[#This Row],[Flow_TC_I_1_'[%']]]+Tab_Process_TCs2527[[#This Row],[Flow_TC_I_2_'[%']]]+Tab_Process_TCs2527[[#This Row],[Flow_TC_I_3_'[%']]]+Tab_Process_TCs2527[[#This Row],[Flow_TC_I_4_'[%']]]+Tab_Process_TCs2527[[#This Row],[Flow_TC_I_5_'[%']]]</f>
        <v>0</v>
      </c>
      <c r="AD110" s="57" t="e">
        <f>_xlfn.XLOOKUP($D110,Tab_Process_TCs[TC_ID],Tab_Process_TCs[Output_Flow_O_1],,0,)</f>
        <v>#N/A</v>
      </c>
      <c r="AE110" s="48" t="e">
        <f>_xlfn.XLOOKUP($D110,Tab_Process_TCs[TC_ID],Tab_Process_TCs[Flow_ID_O_1],,0,)</f>
        <v>#N/A</v>
      </c>
      <c r="AF110" s="100" t="e">
        <f>Tab_Process_TCs2527[[#This Row],[Flow_ID]]</f>
        <v>#N/A</v>
      </c>
      <c r="AG110" s="48" t="e">
        <f t="shared" si="24"/>
        <v>#N/A</v>
      </c>
      <c r="AH110" s="109">
        <v>0.4</v>
      </c>
      <c r="AI110" s="231" t="e">
        <f>_xlfn.XLOOKUP($D110,Tab_Process_TCs[TC_ID],Tab_Process_TCs[Output_Flow_O_2],,0,)</f>
        <v>#N/A</v>
      </c>
      <c r="AJ110" s="113" t="e">
        <f>_xlfn.XLOOKUP($D110,Tab_Process_TCs[TC_ID],Tab_Process_TCs[Flow_ID_O_2],,0,)</f>
        <v>#N/A</v>
      </c>
      <c r="AK110" s="100" t="e">
        <f>Tab_Process_TCs2527[[#This Row],[Flow_ID]]</f>
        <v>#N/A</v>
      </c>
      <c r="AL110" s="48" t="e">
        <f t="shared" si="25"/>
        <v>#N/A</v>
      </c>
      <c r="AM110" s="228">
        <v>0.6</v>
      </c>
      <c r="AN110" s="57" t="e">
        <f>_xlfn.XLOOKUP($D110,Tab_Process_TCs[TC_ID],Tab_Process_TCs[Output_Flow_O_3],,0,)</f>
        <v>#N/A</v>
      </c>
      <c r="AO110" s="48" t="e">
        <f>_xlfn.XLOOKUP($D110,Tab_Process_TCs[TC_ID],Tab_Process_TCs[Flow_ID_O_3],,0,)</f>
        <v>#N/A</v>
      </c>
      <c r="AP110" s="100" t="e">
        <f>Tab_Process_TCs2527[[#This Row],[Flow_ID]]</f>
        <v>#N/A</v>
      </c>
      <c r="AQ110" s="48" t="e">
        <f t="shared" si="26"/>
        <v>#N/A</v>
      </c>
      <c r="AR110" s="228"/>
      <c r="AS110" s="57" t="e">
        <f>_xlfn.XLOOKUP($D110,Tab_Process_TCs[TC_ID],#REF!,,0,)</f>
        <v>#REF!</v>
      </c>
      <c r="AT110" s="48" t="e">
        <f>_xlfn.XLOOKUP($D110,Tab_Process_TCs[TC_ID],#REF!,,0,)</f>
        <v>#REF!</v>
      </c>
      <c r="AU110" s="100" t="e">
        <f>Tab_Process_TCs2527[[#This Row],[Flow_ID]]</f>
        <v>#N/A</v>
      </c>
      <c r="AV110" s="100" t="e">
        <f t="shared" si="27"/>
        <v>#N/A</v>
      </c>
      <c r="AW110" s="228"/>
      <c r="AX110" s="57" t="e">
        <f>_xlfn.XLOOKUP($D110,Tab_Process_TCs[TC_ID],#REF!,,0,)</f>
        <v>#REF!</v>
      </c>
      <c r="AY110" s="48" t="e">
        <f>_xlfn.XLOOKUP($D110,Tab_Process_TCs[TC_ID],#REF!,,0,)</f>
        <v>#REF!</v>
      </c>
      <c r="AZ110" s="100" t="e">
        <f>Tab_Process_TCs2527[[#This Row],[Flow_ID]]</f>
        <v>#N/A</v>
      </c>
      <c r="BA110" s="100" t="e">
        <f t="shared" si="28"/>
        <v>#REF!</v>
      </c>
      <c r="BB110" s="228"/>
      <c r="BC110" s="48" t="e">
        <f>_xlfn.XLOOKUP($D110,Tab_Process_TCs[TC_ID],#REF!,,0,)</f>
        <v>#REF!</v>
      </c>
      <c r="BD110" s="48" t="e">
        <f>_xlfn.XLOOKUP($D110,Tab_Process_TCs[TC_ID],#REF!,,0,)</f>
        <v>#REF!</v>
      </c>
      <c r="BE110" s="100" t="e">
        <f>Tab_Process_TCs2527[[#This Row],[Flow_ID]]</f>
        <v>#N/A</v>
      </c>
      <c r="BF110" s="100" t="e">
        <f t="shared" si="29"/>
        <v>#REF!</v>
      </c>
      <c r="BG110" s="109"/>
      <c r="BH110" s="112">
        <f>Tab_Process_TCs2527[[#This Row],[TC O_6_'[%']]]+Tab_Process_TCs2527[[#This Row],[TC O_5_'[%']]]+Tab_Process_TCs2527[[#This Row],[TC_O_4_'[%']]]+Tab_Process_TCs2527[[#This Row],[TC_O_3_'[%']]]+Tab_Process_TCs2527[[#This Row],[TC_O_2_'[%']]]+Tab_Process_TCs2527[[#This Row],[TC_O_1_'[%']]]</f>
        <v>1</v>
      </c>
      <c r="BI110" s="50"/>
      <c r="BJ110" s="50"/>
      <c r="BK110" s="50"/>
      <c r="BL110" s="50"/>
      <c r="BM110" s="50"/>
    </row>
    <row r="111" spans="1:65" x14ac:dyDescent="0.25">
      <c r="A111" s="87" t="b">
        <v>0</v>
      </c>
      <c r="B111" s="48">
        <f t="shared" si="23"/>
        <v>110</v>
      </c>
      <c r="C111" s="107" t="e">
        <f>_xlfn.XLOOKUP($D111,Tab_Process_TCs[Name(EN)],Tab_Process_TCs[Process_ID],,0,)</f>
        <v>#N/A</v>
      </c>
      <c r="D111" s="50"/>
      <c r="E111" s="50" t="s">
        <v>55</v>
      </c>
      <c r="F111" s="48" t="e">
        <f>_xlfn.XLOOKUP($D111,Tab_Process_TCs[Name(EN)],Tab_Process_TCs[TC?],,0,)</f>
        <v>#N/A</v>
      </c>
      <c r="G111" s="48" t="e">
        <f>_xlfn.XLOOKUP($D111,Tab_Process_TCs[Name(EN)],Tab_Process_TCs[Dyn_TC?],,0,)</f>
        <v>#N/A</v>
      </c>
      <c r="H111" s="48" t="e">
        <f>_xlfn.XLOOKUP($E111,Tab_Def_Flows[Name(EN)],Tab_Def_Flows[Flow_ID],,0,1)</f>
        <v>#N/A</v>
      </c>
      <c r="I111" s="50" t="e">
        <f>IF(Tab_Process_TCs2527[[#This Row],[Name(EN)]]="N.A.","N.A.","TC"&amp;"_"&amp;RIGHT(H111,5))</f>
        <v>#N/A</v>
      </c>
      <c r="J111" s="50"/>
      <c r="K111" s="249"/>
      <c r="L111" s="50" t="e">
        <f>_xlfn.XLOOKUP($D111,Tab_Def_Processes[Name(EN)],Tab_Def_Processes[Stock?],,0,)</f>
        <v>#N/A</v>
      </c>
      <c r="M111" s="48"/>
      <c r="N111" s="57" t="e">
        <f>_xlfn.XLOOKUP($D111,Tab_Def_Processes[Name(EN)],Tab_Def_Processes[Input_Flow_I_1],,0,)</f>
        <v>#N/A</v>
      </c>
      <c r="O111" s="48" t="e">
        <f>_xlfn.XLOOKUP($D111,Tab_Def_Processes[Name(EN)],Tab_Def_Processes[Flow_ID_I_1],,0,)</f>
        <v>#N/A</v>
      </c>
      <c r="P111" s="76"/>
      <c r="Q111" s="71" t="e">
        <f>_xlfn.XLOOKUP($D111,Tab_Def_Processes[Name(EN)],Tab_Def_Processes[Input_Flow_I_2],,0,)</f>
        <v>#N/A</v>
      </c>
      <c r="R111" s="48" t="e">
        <f>_xlfn.XLOOKUP($D111,Tab_Def_Processes[Name(EN)],Tab_Def_Processes[Flow_ID_I_2],,0,)</f>
        <v>#N/A</v>
      </c>
      <c r="S111" s="76"/>
      <c r="T111" s="71" t="e">
        <f>_xlfn.XLOOKUP($D111,Tab_Def_Processes[Name(EN)],Tab_Def_Processes[Input_Flow_I_3],,0,)</f>
        <v>#N/A</v>
      </c>
      <c r="U111" s="48" t="e">
        <f>_xlfn.XLOOKUP($D111,Tab_Def_Processes[Name(EN)],Tab_Def_Processes[Flow_ID_I_3],,0,)</f>
        <v>#N/A</v>
      </c>
      <c r="V111" s="76"/>
      <c r="W111" s="71" t="e">
        <f>_xlfn.XLOOKUP($D111,Tab_Def_Processes[Name(EN)],Tab_Def_Processes[Input_Flow_I_4],,0,)</f>
        <v>#N/A</v>
      </c>
      <c r="X111" s="48" t="e">
        <f>_xlfn.XLOOKUP($D111,Tab_Def_Processes[Name(EN)],Tab_Def_Processes[Flow_ID_I_4],,0,)</f>
        <v>#N/A</v>
      </c>
      <c r="Y111" s="76"/>
      <c r="Z111" s="71" t="e">
        <f>_xlfn.XLOOKUP($D111,Tab_Def_Processes[Name(EN)],Tab_Def_Processes[Input_Flow_I_5],,0,)</f>
        <v>#N/A</v>
      </c>
      <c r="AA111" s="48" t="e">
        <f>_xlfn.XLOOKUP($D111,Tab_Def_Processes[Name(EN)],Tab_Def_Processes[Flow_ID_I_5],,0,)</f>
        <v>#N/A</v>
      </c>
      <c r="AB111" s="76"/>
      <c r="AC111" s="88">
        <f>Tab_Process_TCs2527[[#This Row],[Flow_TC_I_1_'[%']]]+Tab_Process_TCs2527[[#This Row],[Flow_TC_I_2_'[%']]]+Tab_Process_TCs2527[[#This Row],[Flow_TC_I_3_'[%']]]+Tab_Process_TCs2527[[#This Row],[Flow_TC_I_4_'[%']]]+Tab_Process_TCs2527[[#This Row],[Flow_TC_I_5_'[%']]]</f>
        <v>0</v>
      </c>
      <c r="AD111" s="57" t="e">
        <f>_xlfn.XLOOKUP($D111,Tab_Process_TCs[TC_ID],Tab_Process_TCs[Output_Flow_O_1],,0,)</f>
        <v>#N/A</v>
      </c>
      <c r="AE111" s="48" t="e">
        <f>_xlfn.XLOOKUP($D111,Tab_Process_TCs[TC_ID],Tab_Process_TCs[Flow_ID_O_1],,0,)</f>
        <v>#N/A</v>
      </c>
      <c r="AF111" s="100" t="e">
        <f>Tab_Process_TCs2527[[#This Row],[Flow_ID]]</f>
        <v>#N/A</v>
      </c>
      <c r="AG111" s="48" t="e">
        <f t="shared" si="24"/>
        <v>#N/A</v>
      </c>
      <c r="AH111" s="109">
        <v>0.4</v>
      </c>
      <c r="AI111" s="231" t="e">
        <f>_xlfn.XLOOKUP($D111,Tab_Process_TCs[TC_ID],Tab_Process_TCs[Output_Flow_O_2],,0,)</f>
        <v>#N/A</v>
      </c>
      <c r="AJ111" s="113" t="e">
        <f>_xlfn.XLOOKUP($D111,Tab_Process_TCs[TC_ID],Tab_Process_TCs[Flow_ID_O_2],,0,)</f>
        <v>#N/A</v>
      </c>
      <c r="AK111" s="100" t="e">
        <f>Tab_Process_TCs2527[[#This Row],[Flow_ID]]</f>
        <v>#N/A</v>
      </c>
      <c r="AL111" s="48" t="e">
        <f t="shared" si="25"/>
        <v>#N/A</v>
      </c>
      <c r="AM111" s="228">
        <v>0.6</v>
      </c>
      <c r="AN111" s="57" t="e">
        <f>_xlfn.XLOOKUP($D111,Tab_Process_TCs[TC_ID],Tab_Process_TCs[Output_Flow_O_3],,0,)</f>
        <v>#N/A</v>
      </c>
      <c r="AO111" s="48" t="e">
        <f>_xlfn.XLOOKUP($D111,Tab_Process_TCs[TC_ID],Tab_Process_TCs[Flow_ID_O_3],,0,)</f>
        <v>#N/A</v>
      </c>
      <c r="AP111" s="100" t="e">
        <f>Tab_Process_TCs2527[[#This Row],[Flow_ID]]</f>
        <v>#N/A</v>
      </c>
      <c r="AQ111" s="48" t="e">
        <f t="shared" si="26"/>
        <v>#N/A</v>
      </c>
      <c r="AR111" s="228"/>
      <c r="AS111" s="57" t="e">
        <f>_xlfn.XLOOKUP($D111,Tab_Process_TCs[TC_ID],#REF!,,0,)</f>
        <v>#REF!</v>
      </c>
      <c r="AT111" s="48" t="e">
        <f>_xlfn.XLOOKUP($D111,Tab_Process_TCs[TC_ID],#REF!,,0,)</f>
        <v>#REF!</v>
      </c>
      <c r="AU111" s="100" t="e">
        <f>Tab_Process_TCs2527[[#This Row],[Flow_ID]]</f>
        <v>#N/A</v>
      </c>
      <c r="AV111" s="100" t="e">
        <f t="shared" si="27"/>
        <v>#N/A</v>
      </c>
      <c r="AW111" s="228"/>
      <c r="AX111" s="57" t="e">
        <f>_xlfn.XLOOKUP($D111,Tab_Process_TCs[TC_ID],#REF!,,0,)</f>
        <v>#REF!</v>
      </c>
      <c r="AY111" s="48" t="e">
        <f>_xlfn.XLOOKUP($D111,Tab_Process_TCs[TC_ID],#REF!,,0,)</f>
        <v>#REF!</v>
      </c>
      <c r="AZ111" s="100" t="e">
        <f>Tab_Process_TCs2527[[#This Row],[Flow_ID]]</f>
        <v>#N/A</v>
      </c>
      <c r="BA111" s="100" t="e">
        <f t="shared" si="28"/>
        <v>#REF!</v>
      </c>
      <c r="BB111" s="228"/>
      <c r="BC111" s="48" t="e">
        <f>_xlfn.XLOOKUP($D111,Tab_Process_TCs[TC_ID],#REF!,,0,)</f>
        <v>#REF!</v>
      </c>
      <c r="BD111" s="48" t="e">
        <f>_xlfn.XLOOKUP($D111,Tab_Process_TCs[TC_ID],#REF!,,0,)</f>
        <v>#REF!</v>
      </c>
      <c r="BE111" s="100" t="e">
        <f>Tab_Process_TCs2527[[#This Row],[Flow_ID]]</f>
        <v>#N/A</v>
      </c>
      <c r="BF111" s="100" t="e">
        <f t="shared" si="29"/>
        <v>#REF!</v>
      </c>
      <c r="BG111" s="109"/>
      <c r="BH111" s="112">
        <f>Tab_Process_TCs2527[[#This Row],[TC O_6_'[%']]]+Tab_Process_TCs2527[[#This Row],[TC O_5_'[%']]]+Tab_Process_TCs2527[[#This Row],[TC_O_4_'[%']]]+Tab_Process_TCs2527[[#This Row],[TC_O_3_'[%']]]+Tab_Process_TCs2527[[#This Row],[TC_O_2_'[%']]]+Tab_Process_TCs2527[[#This Row],[TC_O_1_'[%']]]</f>
        <v>1</v>
      </c>
      <c r="BI111" s="50"/>
      <c r="BJ111" s="50"/>
      <c r="BK111" s="50"/>
      <c r="BL111" s="50"/>
      <c r="BM111" s="50"/>
    </row>
    <row r="112" spans="1:65" x14ac:dyDescent="0.25">
      <c r="A112" s="87" t="b">
        <v>0</v>
      </c>
      <c r="B112" s="48">
        <f t="shared" si="23"/>
        <v>111</v>
      </c>
      <c r="C112" s="107" t="e">
        <f>_xlfn.XLOOKUP($D112,Tab_Process_TCs[Name(EN)],Tab_Process_TCs[Process_ID],,0,)</f>
        <v>#N/A</v>
      </c>
      <c r="D112" s="50"/>
      <c r="E112" s="50" t="s">
        <v>55</v>
      </c>
      <c r="F112" s="48" t="e">
        <f>_xlfn.XLOOKUP($D112,Tab_Process_TCs[Name(EN)],Tab_Process_TCs[TC?],,0,)</f>
        <v>#N/A</v>
      </c>
      <c r="G112" s="48" t="e">
        <f>_xlfn.XLOOKUP($D112,Tab_Process_TCs[Name(EN)],Tab_Process_TCs[Dyn_TC?],,0,)</f>
        <v>#N/A</v>
      </c>
      <c r="H112" s="48" t="e">
        <f>_xlfn.XLOOKUP($E112,Tab_Def_Flows[Name(EN)],Tab_Def_Flows[Flow_ID],,0,1)</f>
        <v>#N/A</v>
      </c>
      <c r="I112" s="50" t="e">
        <f>IF(Tab_Process_TCs2527[[#This Row],[Name(EN)]]="N.A.","N.A.","TC"&amp;"_"&amp;RIGHT(H112,5))</f>
        <v>#N/A</v>
      </c>
      <c r="J112" s="50"/>
      <c r="K112" s="249"/>
      <c r="L112" s="50" t="e">
        <f>_xlfn.XLOOKUP($D112,Tab_Def_Processes[Name(EN)],Tab_Def_Processes[Stock?],,0,)</f>
        <v>#N/A</v>
      </c>
      <c r="M112" s="48"/>
      <c r="N112" s="57" t="e">
        <f>_xlfn.XLOOKUP($D112,Tab_Def_Processes[Name(EN)],Tab_Def_Processes[Input_Flow_I_1],,0,)</f>
        <v>#N/A</v>
      </c>
      <c r="O112" s="48" t="e">
        <f>_xlfn.XLOOKUP($D112,Tab_Def_Processes[Name(EN)],Tab_Def_Processes[Flow_ID_I_1],,0,)</f>
        <v>#N/A</v>
      </c>
      <c r="P112" s="76"/>
      <c r="Q112" s="71" t="e">
        <f>_xlfn.XLOOKUP($D112,Tab_Def_Processes[Name(EN)],Tab_Def_Processes[Input_Flow_I_2],,0,)</f>
        <v>#N/A</v>
      </c>
      <c r="R112" s="48" t="e">
        <f>_xlfn.XLOOKUP($D112,Tab_Def_Processes[Name(EN)],Tab_Def_Processes[Flow_ID_I_2],,0,)</f>
        <v>#N/A</v>
      </c>
      <c r="S112" s="76"/>
      <c r="T112" s="71" t="e">
        <f>_xlfn.XLOOKUP($D112,Tab_Def_Processes[Name(EN)],Tab_Def_Processes[Input_Flow_I_3],,0,)</f>
        <v>#N/A</v>
      </c>
      <c r="U112" s="48" t="e">
        <f>_xlfn.XLOOKUP($D112,Tab_Def_Processes[Name(EN)],Tab_Def_Processes[Flow_ID_I_3],,0,)</f>
        <v>#N/A</v>
      </c>
      <c r="V112" s="76"/>
      <c r="W112" s="71" t="e">
        <f>_xlfn.XLOOKUP($D112,Tab_Def_Processes[Name(EN)],Tab_Def_Processes[Input_Flow_I_4],,0,)</f>
        <v>#N/A</v>
      </c>
      <c r="X112" s="48" t="e">
        <f>_xlfn.XLOOKUP($D112,Tab_Def_Processes[Name(EN)],Tab_Def_Processes[Flow_ID_I_4],,0,)</f>
        <v>#N/A</v>
      </c>
      <c r="Y112" s="76"/>
      <c r="Z112" s="71" t="e">
        <f>_xlfn.XLOOKUP($D112,Tab_Def_Processes[Name(EN)],Tab_Def_Processes[Input_Flow_I_5],,0,)</f>
        <v>#N/A</v>
      </c>
      <c r="AA112" s="48" t="e">
        <f>_xlfn.XLOOKUP($D112,Tab_Def_Processes[Name(EN)],Tab_Def_Processes[Flow_ID_I_5],,0,)</f>
        <v>#N/A</v>
      </c>
      <c r="AB112" s="76"/>
      <c r="AC112" s="88">
        <f>Tab_Process_TCs2527[[#This Row],[Flow_TC_I_1_'[%']]]+Tab_Process_TCs2527[[#This Row],[Flow_TC_I_2_'[%']]]+Tab_Process_TCs2527[[#This Row],[Flow_TC_I_3_'[%']]]+Tab_Process_TCs2527[[#This Row],[Flow_TC_I_4_'[%']]]+Tab_Process_TCs2527[[#This Row],[Flow_TC_I_5_'[%']]]</f>
        <v>0</v>
      </c>
      <c r="AD112" s="57" t="e">
        <f>_xlfn.XLOOKUP($D112,Tab_Process_TCs[TC_ID],Tab_Process_TCs[Output_Flow_O_1],,0,)</f>
        <v>#N/A</v>
      </c>
      <c r="AE112" s="48" t="e">
        <f>_xlfn.XLOOKUP($D112,Tab_Process_TCs[TC_ID],Tab_Process_TCs[Flow_ID_O_1],,0,)</f>
        <v>#N/A</v>
      </c>
      <c r="AF112" s="100" t="e">
        <f>Tab_Process_TCs2527[[#This Row],[Flow_ID]]</f>
        <v>#N/A</v>
      </c>
      <c r="AG112" s="48" t="e">
        <f t="shared" si="24"/>
        <v>#N/A</v>
      </c>
      <c r="AH112" s="109">
        <v>0.4</v>
      </c>
      <c r="AI112" s="231" t="e">
        <f>_xlfn.XLOOKUP($D112,Tab_Process_TCs[TC_ID],Tab_Process_TCs[Output_Flow_O_2],,0,)</f>
        <v>#N/A</v>
      </c>
      <c r="AJ112" s="113" t="e">
        <f>_xlfn.XLOOKUP($D112,Tab_Process_TCs[TC_ID],Tab_Process_TCs[Flow_ID_O_2],,0,)</f>
        <v>#N/A</v>
      </c>
      <c r="AK112" s="100" t="e">
        <f>Tab_Process_TCs2527[[#This Row],[Flow_ID]]</f>
        <v>#N/A</v>
      </c>
      <c r="AL112" s="48" t="e">
        <f t="shared" si="25"/>
        <v>#N/A</v>
      </c>
      <c r="AM112" s="228">
        <v>0.6</v>
      </c>
      <c r="AN112" s="57" t="e">
        <f>_xlfn.XLOOKUP($D112,Tab_Process_TCs[TC_ID],Tab_Process_TCs[Output_Flow_O_3],,0,)</f>
        <v>#N/A</v>
      </c>
      <c r="AO112" s="48" t="e">
        <f>_xlfn.XLOOKUP($D112,Tab_Process_TCs[TC_ID],Tab_Process_TCs[Flow_ID_O_3],,0,)</f>
        <v>#N/A</v>
      </c>
      <c r="AP112" s="100" t="e">
        <f>Tab_Process_TCs2527[[#This Row],[Flow_ID]]</f>
        <v>#N/A</v>
      </c>
      <c r="AQ112" s="48" t="e">
        <f t="shared" si="26"/>
        <v>#N/A</v>
      </c>
      <c r="AR112" s="228"/>
      <c r="AS112" s="57" t="e">
        <f>_xlfn.XLOOKUP($D112,Tab_Process_TCs[TC_ID],#REF!,,0,)</f>
        <v>#REF!</v>
      </c>
      <c r="AT112" s="48" t="e">
        <f>_xlfn.XLOOKUP($D112,Tab_Process_TCs[TC_ID],#REF!,,0,)</f>
        <v>#REF!</v>
      </c>
      <c r="AU112" s="100" t="e">
        <f>Tab_Process_TCs2527[[#This Row],[Flow_ID]]</f>
        <v>#N/A</v>
      </c>
      <c r="AV112" s="100" t="e">
        <f t="shared" si="27"/>
        <v>#N/A</v>
      </c>
      <c r="AW112" s="228"/>
      <c r="AX112" s="57" t="e">
        <f>_xlfn.XLOOKUP($D112,Tab_Process_TCs[TC_ID],#REF!,,0,)</f>
        <v>#REF!</v>
      </c>
      <c r="AY112" s="48" t="e">
        <f>_xlfn.XLOOKUP($D112,Tab_Process_TCs[TC_ID],#REF!,,0,)</f>
        <v>#REF!</v>
      </c>
      <c r="AZ112" s="100" t="e">
        <f>Tab_Process_TCs2527[[#This Row],[Flow_ID]]</f>
        <v>#N/A</v>
      </c>
      <c r="BA112" s="100" t="e">
        <f t="shared" si="28"/>
        <v>#REF!</v>
      </c>
      <c r="BB112" s="228"/>
      <c r="BC112" s="48" t="e">
        <f>_xlfn.XLOOKUP($D112,Tab_Process_TCs[TC_ID],#REF!,,0,)</f>
        <v>#REF!</v>
      </c>
      <c r="BD112" s="48" t="e">
        <f>_xlfn.XLOOKUP($D112,Tab_Process_TCs[TC_ID],#REF!,,0,)</f>
        <v>#REF!</v>
      </c>
      <c r="BE112" s="100" t="e">
        <f>Tab_Process_TCs2527[[#This Row],[Flow_ID]]</f>
        <v>#N/A</v>
      </c>
      <c r="BF112" s="100" t="e">
        <f t="shared" si="29"/>
        <v>#REF!</v>
      </c>
      <c r="BG112" s="109"/>
      <c r="BH112" s="112">
        <f>Tab_Process_TCs2527[[#This Row],[TC O_6_'[%']]]+Tab_Process_TCs2527[[#This Row],[TC O_5_'[%']]]+Tab_Process_TCs2527[[#This Row],[TC_O_4_'[%']]]+Tab_Process_TCs2527[[#This Row],[TC_O_3_'[%']]]+Tab_Process_TCs2527[[#This Row],[TC_O_2_'[%']]]+Tab_Process_TCs2527[[#This Row],[TC_O_1_'[%']]]</f>
        <v>1</v>
      </c>
      <c r="BI112" s="50"/>
      <c r="BJ112" s="50"/>
      <c r="BK112" s="50"/>
      <c r="BL112" s="50"/>
      <c r="BM112" s="50"/>
    </row>
    <row r="113" spans="1:65" x14ac:dyDescent="0.25">
      <c r="A113" s="87" t="b">
        <v>0</v>
      </c>
      <c r="B113" s="48">
        <f t="shared" si="23"/>
        <v>112</v>
      </c>
      <c r="C113" s="107" t="e">
        <f>_xlfn.XLOOKUP($D113,Tab_Process_TCs[Name(EN)],Tab_Process_TCs[Process_ID],,0,)</f>
        <v>#N/A</v>
      </c>
      <c r="D113" s="50"/>
      <c r="E113" s="50" t="s">
        <v>55</v>
      </c>
      <c r="F113" s="48" t="e">
        <f>_xlfn.XLOOKUP($D113,Tab_Process_TCs[Name(EN)],Tab_Process_TCs[TC?],,0,)</f>
        <v>#N/A</v>
      </c>
      <c r="G113" s="48" t="e">
        <f>_xlfn.XLOOKUP($D113,Tab_Process_TCs[Name(EN)],Tab_Process_TCs[Dyn_TC?],,0,)</f>
        <v>#N/A</v>
      </c>
      <c r="H113" s="48" t="e">
        <f>_xlfn.XLOOKUP($E113,Tab_Def_Flows[Name(EN)],Tab_Def_Flows[Flow_ID],,0,1)</f>
        <v>#N/A</v>
      </c>
      <c r="I113" s="50" t="e">
        <f>IF(Tab_Process_TCs2527[[#This Row],[Name(EN)]]="N.A.","N.A.","TC"&amp;"_"&amp;RIGHT(H113,5))</f>
        <v>#N/A</v>
      </c>
      <c r="J113" s="50"/>
      <c r="K113" s="249"/>
      <c r="L113" s="50" t="e">
        <f>_xlfn.XLOOKUP($D113,Tab_Def_Processes[Name(EN)],Tab_Def_Processes[Stock?],,0,)</f>
        <v>#N/A</v>
      </c>
      <c r="M113" s="48"/>
      <c r="N113" s="57" t="e">
        <f>_xlfn.XLOOKUP($D113,Tab_Def_Processes[Name(EN)],Tab_Def_Processes[Input_Flow_I_1],,0,)</f>
        <v>#N/A</v>
      </c>
      <c r="O113" s="48" t="e">
        <f>_xlfn.XLOOKUP($D113,Tab_Def_Processes[Name(EN)],Tab_Def_Processes[Flow_ID_I_1],,0,)</f>
        <v>#N/A</v>
      </c>
      <c r="P113" s="76"/>
      <c r="Q113" s="71" t="e">
        <f>_xlfn.XLOOKUP($D113,Tab_Def_Processes[Name(EN)],Tab_Def_Processes[Input_Flow_I_2],,0,)</f>
        <v>#N/A</v>
      </c>
      <c r="R113" s="48" t="e">
        <f>_xlfn.XLOOKUP($D113,Tab_Def_Processes[Name(EN)],Tab_Def_Processes[Flow_ID_I_2],,0,)</f>
        <v>#N/A</v>
      </c>
      <c r="S113" s="76"/>
      <c r="T113" s="71" t="e">
        <f>_xlfn.XLOOKUP($D113,Tab_Def_Processes[Name(EN)],Tab_Def_Processes[Input_Flow_I_3],,0,)</f>
        <v>#N/A</v>
      </c>
      <c r="U113" s="48" t="e">
        <f>_xlfn.XLOOKUP($D113,Tab_Def_Processes[Name(EN)],Tab_Def_Processes[Flow_ID_I_3],,0,)</f>
        <v>#N/A</v>
      </c>
      <c r="V113" s="76"/>
      <c r="W113" s="71" t="e">
        <f>_xlfn.XLOOKUP($D113,Tab_Def_Processes[Name(EN)],Tab_Def_Processes[Input_Flow_I_4],,0,)</f>
        <v>#N/A</v>
      </c>
      <c r="X113" s="48" t="e">
        <f>_xlfn.XLOOKUP($D113,Tab_Def_Processes[Name(EN)],Tab_Def_Processes[Flow_ID_I_4],,0,)</f>
        <v>#N/A</v>
      </c>
      <c r="Y113" s="76"/>
      <c r="Z113" s="71" t="e">
        <f>_xlfn.XLOOKUP($D113,Tab_Def_Processes[Name(EN)],Tab_Def_Processes[Input_Flow_I_5],,0,)</f>
        <v>#N/A</v>
      </c>
      <c r="AA113" s="48" t="e">
        <f>_xlfn.XLOOKUP($D113,Tab_Def_Processes[Name(EN)],Tab_Def_Processes[Flow_ID_I_5],,0,)</f>
        <v>#N/A</v>
      </c>
      <c r="AB113" s="76"/>
      <c r="AC113" s="88">
        <f>Tab_Process_TCs2527[[#This Row],[Flow_TC_I_1_'[%']]]+Tab_Process_TCs2527[[#This Row],[Flow_TC_I_2_'[%']]]+Tab_Process_TCs2527[[#This Row],[Flow_TC_I_3_'[%']]]+Tab_Process_TCs2527[[#This Row],[Flow_TC_I_4_'[%']]]+Tab_Process_TCs2527[[#This Row],[Flow_TC_I_5_'[%']]]</f>
        <v>0</v>
      </c>
      <c r="AD113" s="57" t="e">
        <f>_xlfn.XLOOKUP($D113,Tab_Process_TCs[TC_ID],Tab_Process_TCs[Output_Flow_O_1],,0,)</f>
        <v>#N/A</v>
      </c>
      <c r="AE113" s="48" t="e">
        <f>_xlfn.XLOOKUP($D113,Tab_Process_TCs[TC_ID],Tab_Process_TCs[Flow_ID_O_1],,0,)</f>
        <v>#N/A</v>
      </c>
      <c r="AF113" s="100" t="e">
        <f>Tab_Process_TCs2527[[#This Row],[Flow_ID]]</f>
        <v>#N/A</v>
      </c>
      <c r="AG113" s="48" t="e">
        <f t="shared" si="24"/>
        <v>#N/A</v>
      </c>
      <c r="AH113" s="109">
        <v>0.4</v>
      </c>
      <c r="AI113" s="231" t="e">
        <f>_xlfn.XLOOKUP($D113,Tab_Process_TCs[TC_ID],Tab_Process_TCs[Output_Flow_O_2],,0,)</f>
        <v>#N/A</v>
      </c>
      <c r="AJ113" s="113" t="e">
        <f>_xlfn.XLOOKUP($D113,Tab_Process_TCs[TC_ID],Tab_Process_TCs[Flow_ID_O_2],,0,)</f>
        <v>#N/A</v>
      </c>
      <c r="AK113" s="100" t="e">
        <f>Tab_Process_TCs2527[[#This Row],[Flow_ID]]</f>
        <v>#N/A</v>
      </c>
      <c r="AL113" s="48" t="e">
        <f t="shared" si="25"/>
        <v>#N/A</v>
      </c>
      <c r="AM113" s="228">
        <v>0.6</v>
      </c>
      <c r="AN113" s="57" t="e">
        <f>_xlfn.XLOOKUP($D113,Tab_Process_TCs[TC_ID],Tab_Process_TCs[Output_Flow_O_3],,0,)</f>
        <v>#N/A</v>
      </c>
      <c r="AO113" s="48" t="e">
        <f>_xlfn.XLOOKUP($D113,Tab_Process_TCs[TC_ID],Tab_Process_TCs[Flow_ID_O_3],,0,)</f>
        <v>#N/A</v>
      </c>
      <c r="AP113" s="100" t="e">
        <f>Tab_Process_TCs2527[[#This Row],[Flow_ID]]</f>
        <v>#N/A</v>
      </c>
      <c r="AQ113" s="48" t="e">
        <f t="shared" si="26"/>
        <v>#N/A</v>
      </c>
      <c r="AR113" s="228"/>
      <c r="AS113" s="57" t="e">
        <f>_xlfn.XLOOKUP($D113,Tab_Process_TCs[TC_ID],#REF!,,0,)</f>
        <v>#REF!</v>
      </c>
      <c r="AT113" s="48" t="e">
        <f>_xlfn.XLOOKUP($D113,Tab_Process_TCs[TC_ID],#REF!,,0,)</f>
        <v>#REF!</v>
      </c>
      <c r="AU113" s="100" t="e">
        <f>Tab_Process_TCs2527[[#This Row],[Flow_ID]]</f>
        <v>#N/A</v>
      </c>
      <c r="AV113" s="100" t="e">
        <f t="shared" si="27"/>
        <v>#N/A</v>
      </c>
      <c r="AW113" s="228"/>
      <c r="AX113" s="57" t="e">
        <f>_xlfn.XLOOKUP($D113,Tab_Process_TCs[TC_ID],#REF!,,0,)</f>
        <v>#REF!</v>
      </c>
      <c r="AY113" s="48" t="e">
        <f>_xlfn.XLOOKUP($D113,Tab_Process_TCs[TC_ID],#REF!,,0,)</f>
        <v>#REF!</v>
      </c>
      <c r="AZ113" s="100" t="e">
        <f>Tab_Process_TCs2527[[#This Row],[Flow_ID]]</f>
        <v>#N/A</v>
      </c>
      <c r="BA113" s="100" t="e">
        <f t="shared" si="28"/>
        <v>#REF!</v>
      </c>
      <c r="BB113" s="228"/>
      <c r="BC113" s="48" t="e">
        <f>_xlfn.XLOOKUP($D113,Tab_Process_TCs[TC_ID],#REF!,,0,)</f>
        <v>#REF!</v>
      </c>
      <c r="BD113" s="48" t="e">
        <f>_xlfn.XLOOKUP($D113,Tab_Process_TCs[TC_ID],#REF!,,0,)</f>
        <v>#REF!</v>
      </c>
      <c r="BE113" s="100" t="e">
        <f>Tab_Process_TCs2527[[#This Row],[Flow_ID]]</f>
        <v>#N/A</v>
      </c>
      <c r="BF113" s="100" t="e">
        <f t="shared" si="29"/>
        <v>#REF!</v>
      </c>
      <c r="BG113" s="109"/>
      <c r="BH113" s="112">
        <f>Tab_Process_TCs2527[[#This Row],[TC O_6_'[%']]]+Tab_Process_TCs2527[[#This Row],[TC O_5_'[%']]]+Tab_Process_TCs2527[[#This Row],[TC_O_4_'[%']]]+Tab_Process_TCs2527[[#This Row],[TC_O_3_'[%']]]+Tab_Process_TCs2527[[#This Row],[TC_O_2_'[%']]]+Tab_Process_TCs2527[[#This Row],[TC_O_1_'[%']]]</f>
        <v>1</v>
      </c>
      <c r="BI113" s="50"/>
      <c r="BJ113" s="50"/>
      <c r="BK113" s="50"/>
      <c r="BL113" s="50"/>
      <c r="BM113" s="50"/>
    </row>
    <row r="114" spans="1:65" x14ac:dyDescent="0.25">
      <c r="A114" s="87" t="b">
        <v>0</v>
      </c>
      <c r="B114" s="48">
        <f t="shared" si="23"/>
        <v>113</v>
      </c>
      <c r="C114" s="107" t="e">
        <f>_xlfn.XLOOKUP($D114,Tab_Process_TCs[Name(EN)],Tab_Process_TCs[Process_ID],,0,)</f>
        <v>#N/A</v>
      </c>
      <c r="D114" s="50"/>
      <c r="E114" s="50" t="s">
        <v>55</v>
      </c>
      <c r="F114" s="48" t="e">
        <f>_xlfn.XLOOKUP($D114,Tab_Process_TCs[Name(EN)],Tab_Process_TCs[TC?],,0,)</f>
        <v>#N/A</v>
      </c>
      <c r="G114" s="48" t="e">
        <f>_xlfn.XLOOKUP($D114,Tab_Process_TCs[Name(EN)],Tab_Process_TCs[Dyn_TC?],,0,)</f>
        <v>#N/A</v>
      </c>
      <c r="H114" s="48" t="e">
        <f>_xlfn.XLOOKUP($E114,Tab_Def_Flows[Name(EN)],Tab_Def_Flows[Flow_ID],,0,1)</f>
        <v>#N/A</v>
      </c>
      <c r="I114" s="50" t="e">
        <f>IF(Tab_Process_TCs2527[[#This Row],[Name(EN)]]="N.A.","N.A.","TC"&amp;"_"&amp;RIGHT(H114,5))</f>
        <v>#N/A</v>
      </c>
      <c r="J114" s="50"/>
      <c r="K114" s="249"/>
      <c r="L114" s="50" t="e">
        <f>_xlfn.XLOOKUP($D114,Tab_Def_Processes[Name(EN)],Tab_Def_Processes[Stock?],,0,)</f>
        <v>#N/A</v>
      </c>
      <c r="M114" s="48"/>
      <c r="N114" s="57" t="e">
        <f>_xlfn.XLOOKUP($D114,Tab_Def_Processes[Name(EN)],Tab_Def_Processes[Input_Flow_I_1],,0,)</f>
        <v>#N/A</v>
      </c>
      <c r="O114" s="48" t="e">
        <f>_xlfn.XLOOKUP($D114,Tab_Def_Processes[Name(EN)],Tab_Def_Processes[Flow_ID_I_1],,0,)</f>
        <v>#N/A</v>
      </c>
      <c r="P114" s="76"/>
      <c r="Q114" s="71" t="e">
        <f>_xlfn.XLOOKUP($D114,Tab_Def_Processes[Name(EN)],Tab_Def_Processes[Input_Flow_I_2],,0,)</f>
        <v>#N/A</v>
      </c>
      <c r="R114" s="48" t="e">
        <f>_xlfn.XLOOKUP($D114,Tab_Def_Processes[Name(EN)],Tab_Def_Processes[Flow_ID_I_2],,0,)</f>
        <v>#N/A</v>
      </c>
      <c r="S114" s="76"/>
      <c r="T114" s="71" t="e">
        <f>_xlfn.XLOOKUP($D114,Tab_Def_Processes[Name(EN)],Tab_Def_Processes[Input_Flow_I_3],,0,)</f>
        <v>#N/A</v>
      </c>
      <c r="U114" s="48" t="e">
        <f>_xlfn.XLOOKUP($D114,Tab_Def_Processes[Name(EN)],Tab_Def_Processes[Flow_ID_I_3],,0,)</f>
        <v>#N/A</v>
      </c>
      <c r="V114" s="76"/>
      <c r="W114" s="71" t="e">
        <f>_xlfn.XLOOKUP($D114,Tab_Def_Processes[Name(EN)],Tab_Def_Processes[Input_Flow_I_4],,0,)</f>
        <v>#N/A</v>
      </c>
      <c r="X114" s="48" t="e">
        <f>_xlfn.XLOOKUP($D114,Tab_Def_Processes[Name(EN)],Tab_Def_Processes[Flow_ID_I_4],,0,)</f>
        <v>#N/A</v>
      </c>
      <c r="Y114" s="76"/>
      <c r="Z114" s="71" t="e">
        <f>_xlfn.XLOOKUP($D114,Tab_Def_Processes[Name(EN)],Tab_Def_Processes[Input_Flow_I_5],,0,)</f>
        <v>#N/A</v>
      </c>
      <c r="AA114" s="48" t="e">
        <f>_xlfn.XLOOKUP($D114,Tab_Def_Processes[Name(EN)],Tab_Def_Processes[Flow_ID_I_5],,0,)</f>
        <v>#N/A</v>
      </c>
      <c r="AB114" s="76"/>
      <c r="AC114" s="88">
        <f>Tab_Process_TCs2527[[#This Row],[Flow_TC_I_1_'[%']]]+Tab_Process_TCs2527[[#This Row],[Flow_TC_I_2_'[%']]]+Tab_Process_TCs2527[[#This Row],[Flow_TC_I_3_'[%']]]+Tab_Process_TCs2527[[#This Row],[Flow_TC_I_4_'[%']]]+Tab_Process_TCs2527[[#This Row],[Flow_TC_I_5_'[%']]]</f>
        <v>0</v>
      </c>
      <c r="AD114" s="57" t="e">
        <f>_xlfn.XLOOKUP($D114,Tab_Process_TCs[TC_ID],Tab_Process_TCs[Output_Flow_O_1],,0,)</f>
        <v>#N/A</v>
      </c>
      <c r="AE114" s="48" t="e">
        <f>_xlfn.XLOOKUP($D114,Tab_Process_TCs[TC_ID],Tab_Process_TCs[Flow_ID_O_1],,0,)</f>
        <v>#N/A</v>
      </c>
      <c r="AF114" s="100" t="e">
        <f>Tab_Process_TCs2527[[#This Row],[Flow_ID]]</f>
        <v>#N/A</v>
      </c>
      <c r="AG114" s="48" t="e">
        <f t="shared" si="24"/>
        <v>#N/A</v>
      </c>
      <c r="AH114" s="109"/>
      <c r="AI114" s="231" t="e">
        <f>_xlfn.XLOOKUP($D114,Tab_Process_TCs[TC_ID],Tab_Process_TCs[Output_Flow_O_2],,0,)</f>
        <v>#N/A</v>
      </c>
      <c r="AJ114" s="113" t="e">
        <f>_xlfn.XLOOKUP($D114,Tab_Process_TCs[TC_ID],Tab_Process_TCs[Flow_ID_O_2],,0,)</f>
        <v>#N/A</v>
      </c>
      <c r="AK114" s="100" t="e">
        <f>Tab_Process_TCs2527[[#This Row],[Flow_ID]]</f>
        <v>#N/A</v>
      </c>
      <c r="AL114" s="48" t="e">
        <f t="shared" si="25"/>
        <v>#N/A</v>
      </c>
      <c r="AM114" s="228"/>
      <c r="AN114" s="57" t="e">
        <f>_xlfn.XLOOKUP($D114,Tab_Process_TCs[TC_ID],Tab_Process_TCs[Output_Flow_O_3],,0,)</f>
        <v>#N/A</v>
      </c>
      <c r="AO114" s="48" t="e">
        <f>_xlfn.XLOOKUP($D114,Tab_Process_TCs[TC_ID],Tab_Process_TCs[Flow_ID_O_3],,0,)</f>
        <v>#N/A</v>
      </c>
      <c r="AP114" s="100" t="e">
        <f>Tab_Process_TCs2527[[#This Row],[Flow_ID]]</f>
        <v>#N/A</v>
      </c>
      <c r="AQ114" s="48" t="e">
        <f t="shared" si="26"/>
        <v>#N/A</v>
      </c>
      <c r="AR114" s="228"/>
      <c r="AS114" s="57" t="e">
        <f>_xlfn.XLOOKUP($D114,Tab_Process_TCs[TC_ID],#REF!,,0,)</f>
        <v>#REF!</v>
      </c>
      <c r="AT114" s="48" t="e">
        <f>_xlfn.XLOOKUP($D114,Tab_Process_TCs[TC_ID],#REF!,,0,)</f>
        <v>#REF!</v>
      </c>
      <c r="AU114" s="100" t="e">
        <f>Tab_Process_TCs2527[[#This Row],[Flow_ID]]</f>
        <v>#N/A</v>
      </c>
      <c r="AV114" s="100" t="e">
        <f t="shared" si="27"/>
        <v>#N/A</v>
      </c>
      <c r="AW114" s="228"/>
      <c r="AX114" s="57" t="e">
        <f>_xlfn.XLOOKUP($D114,Tab_Process_TCs[TC_ID],#REF!,,0,)</f>
        <v>#REF!</v>
      </c>
      <c r="AY114" s="48" t="e">
        <f>_xlfn.XLOOKUP($D114,Tab_Process_TCs[TC_ID],#REF!,,0,)</f>
        <v>#REF!</v>
      </c>
      <c r="AZ114" s="100" t="e">
        <f>Tab_Process_TCs2527[[#This Row],[Flow_ID]]</f>
        <v>#N/A</v>
      </c>
      <c r="BA114" s="100" t="e">
        <f t="shared" si="28"/>
        <v>#REF!</v>
      </c>
      <c r="BB114" s="228"/>
      <c r="BC114" s="48" t="e">
        <f>_xlfn.XLOOKUP($D114,Tab_Process_TCs[TC_ID],#REF!,,0,)</f>
        <v>#REF!</v>
      </c>
      <c r="BD114" s="48" t="e">
        <f>_xlfn.XLOOKUP($D114,Tab_Process_TCs[TC_ID],#REF!,,0,)</f>
        <v>#REF!</v>
      </c>
      <c r="BE114" s="100" t="e">
        <f>Tab_Process_TCs2527[[#This Row],[Flow_ID]]</f>
        <v>#N/A</v>
      </c>
      <c r="BF114" s="100" t="e">
        <f t="shared" si="29"/>
        <v>#REF!</v>
      </c>
      <c r="BG114" s="109"/>
      <c r="BH114" s="112">
        <f>Tab_Process_TCs2527[[#This Row],[TC O_6_'[%']]]+Tab_Process_TCs2527[[#This Row],[TC O_5_'[%']]]+Tab_Process_TCs2527[[#This Row],[TC_O_4_'[%']]]+Tab_Process_TCs2527[[#This Row],[TC_O_3_'[%']]]+Tab_Process_TCs2527[[#This Row],[TC_O_2_'[%']]]+Tab_Process_TCs2527[[#This Row],[TC_O_1_'[%']]]</f>
        <v>0</v>
      </c>
      <c r="BI114" s="50"/>
      <c r="BJ114" s="50"/>
      <c r="BK114" s="50"/>
      <c r="BL114" s="50"/>
      <c r="BM114" s="50"/>
    </row>
    <row r="115" spans="1:65" x14ac:dyDescent="0.25">
      <c r="A115" s="87" t="b">
        <v>0</v>
      </c>
      <c r="B115" s="48">
        <f t="shared" si="23"/>
        <v>114</v>
      </c>
      <c r="C115" s="107" t="e">
        <f>_xlfn.XLOOKUP($D115,Tab_Process_TCs[Name(EN)],Tab_Process_TCs[Process_ID],,0,)</f>
        <v>#N/A</v>
      </c>
      <c r="D115" s="50"/>
      <c r="E115" s="50" t="s">
        <v>55</v>
      </c>
      <c r="F115" s="48" t="e">
        <f>_xlfn.XLOOKUP($D115,Tab_Process_TCs[Name(EN)],Tab_Process_TCs[TC?],,0,)</f>
        <v>#N/A</v>
      </c>
      <c r="G115" s="48" t="e">
        <f>_xlfn.XLOOKUP($D115,Tab_Process_TCs[Name(EN)],Tab_Process_TCs[Dyn_TC?],,0,)</f>
        <v>#N/A</v>
      </c>
      <c r="H115" s="48" t="e">
        <f>_xlfn.XLOOKUP($E115,Tab_Def_Flows[Name(EN)],Tab_Def_Flows[Flow_ID],,0,1)</f>
        <v>#N/A</v>
      </c>
      <c r="I115" s="50" t="e">
        <f>IF(Tab_Process_TCs2527[[#This Row],[Name(EN)]]="N.A.","N.A.","TC"&amp;"_"&amp;RIGHT(H115,5))</f>
        <v>#N/A</v>
      </c>
      <c r="J115" s="50"/>
      <c r="K115" s="249"/>
      <c r="L115" s="50" t="e">
        <f>_xlfn.XLOOKUP($D115,Tab_Def_Processes[Name(EN)],Tab_Def_Processes[Stock?],,0,)</f>
        <v>#N/A</v>
      </c>
      <c r="M115" s="48"/>
      <c r="N115" s="57" t="e">
        <f>_xlfn.XLOOKUP($D115,Tab_Def_Processes[Name(EN)],Tab_Def_Processes[Input_Flow_I_1],,0,)</f>
        <v>#N/A</v>
      </c>
      <c r="O115" s="48" t="e">
        <f>_xlfn.XLOOKUP($D115,Tab_Def_Processes[Name(EN)],Tab_Def_Processes[Flow_ID_I_1],,0,)</f>
        <v>#N/A</v>
      </c>
      <c r="P115" s="76"/>
      <c r="Q115" s="71" t="e">
        <f>_xlfn.XLOOKUP($D115,Tab_Def_Processes[Name(EN)],Tab_Def_Processes[Input_Flow_I_2],,0,)</f>
        <v>#N/A</v>
      </c>
      <c r="R115" s="48" t="e">
        <f>_xlfn.XLOOKUP($D115,Tab_Def_Processes[Name(EN)],Tab_Def_Processes[Flow_ID_I_2],,0,)</f>
        <v>#N/A</v>
      </c>
      <c r="S115" s="76"/>
      <c r="T115" s="71" t="e">
        <f>_xlfn.XLOOKUP($D115,Tab_Def_Processes[Name(EN)],Tab_Def_Processes[Input_Flow_I_3],,0,)</f>
        <v>#N/A</v>
      </c>
      <c r="U115" s="48" t="e">
        <f>_xlfn.XLOOKUP($D115,Tab_Def_Processes[Name(EN)],Tab_Def_Processes[Flow_ID_I_3],,0,)</f>
        <v>#N/A</v>
      </c>
      <c r="V115" s="76"/>
      <c r="W115" s="71" t="e">
        <f>_xlfn.XLOOKUP($D115,Tab_Def_Processes[Name(EN)],Tab_Def_Processes[Input_Flow_I_4],,0,)</f>
        <v>#N/A</v>
      </c>
      <c r="X115" s="48" t="e">
        <f>_xlfn.XLOOKUP($D115,Tab_Def_Processes[Name(EN)],Tab_Def_Processes[Flow_ID_I_4],,0,)</f>
        <v>#N/A</v>
      </c>
      <c r="Y115" s="76"/>
      <c r="Z115" s="71" t="e">
        <f>_xlfn.XLOOKUP($D115,Tab_Def_Processes[Name(EN)],Tab_Def_Processes[Input_Flow_I_5],,0,)</f>
        <v>#N/A</v>
      </c>
      <c r="AA115" s="48" t="e">
        <f>_xlfn.XLOOKUP($D115,Tab_Def_Processes[Name(EN)],Tab_Def_Processes[Flow_ID_I_5],,0,)</f>
        <v>#N/A</v>
      </c>
      <c r="AB115" s="76"/>
      <c r="AC115" s="88">
        <f>Tab_Process_TCs2527[[#This Row],[Flow_TC_I_1_'[%']]]+Tab_Process_TCs2527[[#This Row],[Flow_TC_I_2_'[%']]]+Tab_Process_TCs2527[[#This Row],[Flow_TC_I_3_'[%']]]+Tab_Process_TCs2527[[#This Row],[Flow_TC_I_4_'[%']]]+Tab_Process_TCs2527[[#This Row],[Flow_TC_I_5_'[%']]]</f>
        <v>0</v>
      </c>
      <c r="AD115" s="57" t="e">
        <f>_xlfn.XLOOKUP($D115,Tab_Process_TCs[TC_ID],Tab_Process_TCs[Output_Flow_O_1],,0,)</f>
        <v>#N/A</v>
      </c>
      <c r="AE115" s="48" t="e">
        <f>_xlfn.XLOOKUP($D115,Tab_Process_TCs[TC_ID],Tab_Process_TCs[Flow_ID_O_1],,0,)</f>
        <v>#N/A</v>
      </c>
      <c r="AF115" s="100" t="e">
        <f>Tab_Process_TCs2527[[#This Row],[Flow_ID]]</f>
        <v>#N/A</v>
      </c>
      <c r="AG115" s="48" t="e">
        <f t="shared" si="24"/>
        <v>#N/A</v>
      </c>
      <c r="AH115" s="109"/>
      <c r="AI115" s="231" t="e">
        <f>_xlfn.XLOOKUP($D115,Tab_Process_TCs[TC_ID],Tab_Process_TCs[Output_Flow_O_2],,0,)</f>
        <v>#N/A</v>
      </c>
      <c r="AJ115" s="113" t="e">
        <f>_xlfn.XLOOKUP($D115,Tab_Process_TCs[TC_ID],Tab_Process_TCs[Flow_ID_O_2],,0,)</f>
        <v>#N/A</v>
      </c>
      <c r="AK115" s="100" t="e">
        <f>Tab_Process_TCs2527[[#This Row],[Flow_ID]]</f>
        <v>#N/A</v>
      </c>
      <c r="AL115" s="48" t="e">
        <f t="shared" si="25"/>
        <v>#N/A</v>
      </c>
      <c r="AM115" s="228"/>
      <c r="AN115" s="57" t="e">
        <f>_xlfn.XLOOKUP($D115,Tab_Process_TCs[TC_ID],Tab_Process_TCs[Output_Flow_O_3],,0,)</f>
        <v>#N/A</v>
      </c>
      <c r="AO115" s="48" t="e">
        <f>_xlfn.XLOOKUP($D115,Tab_Process_TCs[TC_ID],Tab_Process_TCs[Flow_ID_O_3],,0,)</f>
        <v>#N/A</v>
      </c>
      <c r="AP115" s="100" t="e">
        <f>Tab_Process_TCs2527[[#This Row],[Flow_ID]]</f>
        <v>#N/A</v>
      </c>
      <c r="AQ115" s="48" t="e">
        <f t="shared" si="26"/>
        <v>#N/A</v>
      </c>
      <c r="AR115" s="228"/>
      <c r="AS115" s="57" t="e">
        <f>_xlfn.XLOOKUP($D115,Tab_Process_TCs[TC_ID],#REF!,,0,)</f>
        <v>#REF!</v>
      </c>
      <c r="AT115" s="48" t="e">
        <f>_xlfn.XLOOKUP($D115,Tab_Process_TCs[TC_ID],#REF!,,0,)</f>
        <v>#REF!</v>
      </c>
      <c r="AU115" s="100" t="e">
        <f>Tab_Process_TCs2527[[#This Row],[Flow_ID]]</f>
        <v>#N/A</v>
      </c>
      <c r="AV115" s="100" t="e">
        <f t="shared" si="27"/>
        <v>#N/A</v>
      </c>
      <c r="AW115" s="228"/>
      <c r="AX115" s="57" t="e">
        <f>_xlfn.XLOOKUP($D115,Tab_Process_TCs[TC_ID],#REF!,,0,)</f>
        <v>#REF!</v>
      </c>
      <c r="AY115" s="48" t="e">
        <f>_xlfn.XLOOKUP($D115,Tab_Process_TCs[TC_ID],#REF!,,0,)</f>
        <v>#REF!</v>
      </c>
      <c r="AZ115" s="100" t="e">
        <f>Tab_Process_TCs2527[[#This Row],[Flow_ID]]</f>
        <v>#N/A</v>
      </c>
      <c r="BA115" s="100" t="e">
        <f t="shared" si="28"/>
        <v>#REF!</v>
      </c>
      <c r="BB115" s="228"/>
      <c r="BC115" s="48" t="e">
        <f>_xlfn.XLOOKUP($D115,Tab_Process_TCs[TC_ID],#REF!,,0,)</f>
        <v>#REF!</v>
      </c>
      <c r="BD115" s="48" t="e">
        <f>_xlfn.XLOOKUP($D115,Tab_Process_TCs[TC_ID],#REF!,,0,)</f>
        <v>#REF!</v>
      </c>
      <c r="BE115" s="100" t="e">
        <f>Tab_Process_TCs2527[[#This Row],[Flow_ID]]</f>
        <v>#N/A</v>
      </c>
      <c r="BF115" s="100" t="e">
        <f t="shared" si="29"/>
        <v>#REF!</v>
      </c>
      <c r="BG115" s="109"/>
      <c r="BH115" s="112">
        <f>Tab_Process_TCs2527[[#This Row],[TC O_6_'[%']]]+Tab_Process_TCs2527[[#This Row],[TC O_5_'[%']]]+Tab_Process_TCs2527[[#This Row],[TC_O_4_'[%']]]+Tab_Process_TCs2527[[#This Row],[TC_O_3_'[%']]]+Tab_Process_TCs2527[[#This Row],[TC_O_2_'[%']]]+Tab_Process_TCs2527[[#This Row],[TC_O_1_'[%']]]</f>
        <v>0</v>
      </c>
      <c r="BI115" s="50"/>
      <c r="BJ115" s="50"/>
      <c r="BK115" s="50"/>
      <c r="BL115" s="50"/>
      <c r="BM115" s="50"/>
    </row>
    <row r="116" spans="1:65" x14ac:dyDescent="0.25">
      <c r="A116" s="87" t="b">
        <v>0</v>
      </c>
      <c r="B116" s="48">
        <f t="shared" si="23"/>
        <v>115</v>
      </c>
      <c r="C116" s="107" t="e">
        <f>_xlfn.XLOOKUP($D116,Tab_Process_TCs[Name(EN)],Tab_Process_TCs[Process_ID],,0,)</f>
        <v>#N/A</v>
      </c>
      <c r="D116" s="50"/>
      <c r="E116" s="50" t="s">
        <v>55</v>
      </c>
      <c r="F116" s="48" t="e">
        <f>_xlfn.XLOOKUP($D116,Tab_Process_TCs[Name(EN)],Tab_Process_TCs[TC?],,0,)</f>
        <v>#N/A</v>
      </c>
      <c r="G116" s="48" t="e">
        <f>_xlfn.XLOOKUP($D116,Tab_Process_TCs[Name(EN)],Tab_Process_TCs[Dyn_TC?],,0,)</f>
        <v>#N/A</v>
      </c>
      <c r="H116" s="48" t="e">
        <f>_xlfn.XLOOKUP($E116,Tab_Def_Flows[Name(EN)],Tab_Def_Flows[Flow_ID],,0,1)</f>
        <v>#N/A</v>
      </c>
      <c r="I116" s="50" t="e">
        <f>IF(Tab_Process_TCs2527[[#This Row],[Name(EN)]]="N.A.","N.A.","TC"&amp;"_"&amp;RIGHT(H116,5))</f>
        <v>#N/A</v>
      </c>
      <c r="J116" s="50"/>
      <c r="K116" s="249"/>
      <c r="L116" s="50" t="e">
        <f>_xlfn.XLOOKUP($D116,Tab_Def_Processes[Name(EN)],Tab_Def_Processes[Stock?],,0,)</f>
        <v>#N/A</v>
      </c>
      <c r="M116" s="48"/>
      <c r="N116" s="57" t="e">
        <f>_xlfn.XLOOKUP($D116,Tab_Def_Processes[Name(EN)],Tab_Def_Processes[Input_Flow_I_1],,0,)</f>
        <v>#N/A</v>
      </c>
      <c r="O116" s="48" t="e">
        <f>_xlfn.XLOOKUP($D116,Tab_Def_Processes[Name(EN)],Tab_Def_Processes[Flow_ID_I_1],,0,)</f>
        <v>#N/A</v>
      </c>
      <c r="P116" s="76"/>
      <c r="Q116" s="71" t="e">
        <f>_xlfn.XLOOKUP($D116,Tab_Def_Processes[Name(EN)],Tab_Def_Processes[Input_Flow_I_2],,0,)</f>
        <v>#N/A</v>
      </c>
      <c r="R116" s="48" t="e">
        <f>_xlfn.XLOOKUP($D116,Tab_Def_Processes[Name(EN)],Tab_Def_Processes[Flow_ID_I_2],,0,)</f>
        <v>#N/A</v>
      </c>
      <c r="S116" s="76"/>
      <c r="T116" s="71" t="e">
        <f>_xlfn.XLOOKUP($D116,Tab_Def_Processes[Name(EN)],Tab_Def_Processes[Input_Flow_I_3],,0,)</f>
        <v>#N/A</v>
      </c>
      <c r="U116" s="48" t="e">
        <f>_xlfn.XLOOKUP($D116,Tab_Def_Processes[Name(EN)],Tab_Def_Processes[Flow_ID_I_3],,0,)</f>
        <v>#N/A</v>
      </c>
      <c r="V116" s="76"/>
      <c r="W116" s="71" t="e">
        <f>_xlfn.XLOOKUP($D116,Tab_Def_Processes[Name(EN)],Tab_Def_Processes[Input_Flow_I_4],,0,)</f>
        <v>#N/A</v>
      </c>
      <c r="X116" s="48" t="e">
        <f>_xlfn.XLOOKUP($D116,Tab_Def_Processes[Name(EN)],Tab_Def_Processes[Flow_ID_I_4],,0,)</f>
        <v>#N/A</v>
      </c>
      <c r="Y116" s="76"/>
      <c r="Z116" s="71" t="e">
        <f>_xlfn.XLOOKUP($D116,Tab_Def_Processes[Name(EN)],Tab_Def_Processes[Input_Flow_I_5],,0,)</f>
        <v>#N/A</v>
      </c>
      <c r="AA116" s="48" t="e">
        <f>_xlfn.XLOOKUP($D116,Tab_Def_Processes[Name(EN)],Tab_Def_Processes[Flow_ID_I_5],,0,)</f>
        <v>#N/A</v>
      </c>
      <c r="AB116" s="76"/>
      <c r="AC116" s="88">
        <f>Tab_Process_TCs2527[[#This Row],[Flow_TC_I_1_'[%']]]+Tab_Process_TCs2527[[#This Row],[Flow_TC_I_2_'[%']]]+Tab_Process_TCs2527[[#This Row],[Flow_TC_I_3_'[%']]]+Tab_Process_TCs2527[[#This Row],[Flow_TC_I_4_'[%']]]+Tab_Process_TCs2527[[#This Row],[Flow_TC_I_5_'[%']]]</f>
        <v>0</v>
      </c>
      <c r="AD116" s="57" t="e">
        <f>_xlfn.XLOOKUP($D116,Tab_Process_TCs[TC_ID],Tab_Process_TCs[Output_Flow_O_1],,0,)</f>
        <v>#N/A</v>
      </c>
      <c r="AE116" s="48" t="e">
        <f>_xlfn.XLOOKUP($D116,Tab_Process_TCs[TC_ID],Tab_Process_TCs[Flow_ID_O_1],,0,)</f>
        <v>#N/A</v>
      </c>
      <c r="AF116" s="100" t="e">
        <f>Tab_Process_TCs2527[[#This Row],[Flow_ID]]</f>
        <v>#N/A</v>
      </c>
      <c r="AG116" s="48" t="e">
        <f t="shared" si="24"/>
        <v>#N/A</v>
      </c>
      <c r="AH116" s="109"/>
      <c r="AI116" s="231" t="e">
        <f>_xlfn.XLOOKUP($D116,Tab_Process_TCs[TC_ID],Tab_Process_TCs[Output_Flow_O_2],,0,)</f>
        <v>#N/A</v>
      </c>
      <c r="AJ116" s="113" t="e">
        <f>_xlfn.XLOOKUP($D116,Tab_Process_TCs[TC_ID],Tab_Process_TCs[Flow_ID_O_2],,0,)</f>
        <v>#N/A</v>
      </c>
      <c r="AK116" s="100" t="e">
        <f>Tab_Process_TCs2527[[#This Row],[Flow_ID]]</f>
        <v>#N/A</v>
      </c>
      <c r="AL116" s="48" t="e">
        <f t="shared" si="25"/>
        <v>#N/A</v>
      </c>
      <c r="AM116" s="228"/>
      <c r="AN116" s="57" t="e">
        <f>_xlfn.XLOOKUP($D116,Tab_Process_TCs[TC_ID],Tab_Process_TCs[Output_Flow_O_3],,0,)</f>
        <v>#N/A</v>
      </c>
      <c r="AO116" s="48" t="e">
        <f>_xlfn.XLOOKUP($D116,Tab_Process_TCs[TC_ID],Tab_Process_TCs[Flow_ID_O_3],,0,)</f>
        <v>#N/A</v>
      </c>
      <c r="AP116" s="100" t="e">
        <f>Tab_Process_TCs2527[[#This Row],[Flow_ID]]</f>
        <v>#N/A</v>
      </c>
      <c r="AQ116" s="48" t="e">
        <f t="shared" si="26"/>
        <v>#N/A</v>
      </c>
      <c r="AR116" s="228"/>
      <c r="AS116" s="57" t="e">
        <f>_xlfn.XLOOKUP($D116,Tab_Process_TCs[TC_ID],#REF!,,0,)</f>
        <v>#REF!</v>
      </c>
      <c r="AT116" s="48" t="e">
        <f>_xlfn.XLOOKUP($D116,Tab_Process_TCs[TC_ID],#REF!,,0,)</f>
        <v>#REF!</v>
      </c>
      <c r="AU116" s="100" t="e">
        <f>Tab_Process_TCs2527[[#This Row],[Flow_ID]]</f>
        <v>#N/A</v>
      </c>
      <c r="AV116" s="100" t="e">
        <f t="shared" si="27"/>
        <v>#N/A</v>
      </c>
      <c r="AW116" s="228"/>
      <c r="AX116" s="57" t="e">
        <f>_xlfn.XLOOKUP($D116,Tab_Process_TCs[TC_ID],#REF!,,0,)</f>
        <v>#REF!</v>
      </c>
      <c r="AY116" s="48" t="e">
        <f>_xlfn.XLOOKUP($D116,Tab_Process_TCs[TC_ID],#REF!,,0,)</f>
        <v>#REF!</v>
      </c>
      <c r="AZ116" s="100" t="e">
        <f>Tab_Process_TCs2527[[#This Row],[Flow_ID]]</f>
        <v>#N/A</v>
      </c>
      <c r="BA116" s="100" t="e">
        <f t="shared" si="28"/>
        <v>#REF!</v>
      </c>
      <c r="BB116" s="228"/>
      <c r="BC116" s="48" t="e">
        <f>_xlfn.XLOOKUP($D116,Tab_Process_TCs[TC_ID],#REF!,,0,)</f>
        <v>#REF!</v>
      </c>
      <c r="BD116" s="48" t="e">
        <f>_xlfn.XLOOKUP($D116,Tab_Process_TCs[TC_ID],#REF!,,0,)</f>
        <v>#REF!</v>
      </c>
      <c r="BE116" s="100" t="e">
        <f>Tab_Process_TCs2527[[#This Row],[Flow_ID]]</f>
        <v>#N/A</v>
      </c>
      <c r="BF116" s="100" t="e">
        <f t="shared" si="29"/>
        <v>#REF!</v>
      </c>
      <c r="BG116" s="109"/>
      <c r="BH116" s="112">
        <f>Tab_Process_TCs2527[[#This Row],[TC O_6_'[%']]]+Tab_Process_TCs2527[[#This Row],[TC O_5_'[%']]]+Tab_Process_TCs2527[[#This Row],[TC_O_4_'[%']]]+Tab_Process_TCs2527[[#This Row],[TC_O_3_'[%']]]+Tab_Process_TCs2527[[#This Row],[TC_O_2_'[%']]]+Tab_Process_TCs2527[[#This Row],[TC_O_1_'[%']]]</f>
        <v>0</v>
      </c>
      <c r="BI116" s="50"/>
      <c r="BJ116" s="50"/>
      <c r="BK116" s="50"/>
      <c r="BL116" s="50"/>
      <c r="BM116" s="50"/>
    </row>
    <row r="117" spans="1:65" x14ac:dyDescent="0.25">
      <c r="A117" s="87" t="b">
        <v>0</v>
      </c>
      <c r="B117" s="48">
        <f t="shared" si="23"/>
        <v>116</v>
      </c>
      <c r="C117" s="107" t="e">
        <f>_xlfn.XLOOKUP($D117,Tab_Process_TCs[Name(EN)],Tab_Process_TCs[Process_ID],,0,)</f>
        <v>#N/A</v>
      </c>
      <c r="D117" s="50"/>
      <c r="E117" s="50" t="s">
        <v>55</v>
      </c>
      <c r="F117" s="48" t="e">
        <f>_xlfn.XLOOKUP($D117,Tab_Process_TCs[Name(EN)],Tab_Process_TCs[TC?],,0,)</f>
        <v>#N/A</v>
      </c>
      <c r="G117" s="48" t="e">
        <f>_xlfn.XLOOKUP($D117,Tab_Process_TCs[Name(EN)],Tab_Process_TCs[Dyn_TC?],,0,)</f>
        <v>#N/A</v>
      </c>
      <c r="H117" s="48" t="e">
        <f>_xlfn.XLOOKUP($E117,Tab_Def_Flows[Name(EN)],Tab_Def_Flows[Flow_ID],,0,1)</f>
        <v>#N/A</v>
      </c>
      <c r="I117" s="50" t="e">
        <f>IF(Tab_Process_TCs2527[[#This Row],[Name(EN)]]="N.A.","N.A.","TC"&amp;"_"&amp;RIGHT(H117,5))</f>
        <v>#N/A</v>
      </c>
      <c r="J117" s="50"/>
      <c r="K117" s="249"/>
      <c r="L117" s="50" t="e">
        <f>_xlfn.XLOOKUP($D117,Tab_Def_Processes[Name(EN)],Tab_Def_Processes[Stock?],,0,)</f>
        <v>#N/A</v>
      </c>
      <c r="M117" s="48"/>
      <c r="N117" s="57" t="e">
        <f>_xlfn.XLOOKUP($D117,Tab_Def_Processes[Name(EN)],Tab_Def_Processes[Input_Flow_I_1],,0,)</f>
        <v>#N/A</v>
      </c>
      <c r="O117" s="48" t="e">
        <f>_xlfn.XLOOKUP($D117,Tab_Def_Processes[Name(EN)],Tab_Def_Processes[Flow_ID_I_1],,0,)</f>
        <v>#N/A</v>
      </c>
      <c r="P117" s="76"/>
      <c r="Q117" s="71" t="e">
        <f>_xlfn.XLOOKUP($D117,Tab_Def_Processes[Name(EN)],Tab_Def_Processes[Input_Flow_I_2],,0,)</f>
        <v>#N/A</v>
      </c>
      <c r="R117" s="48" t="e">
        <f>_xlfn.XLOOKUP($D117,Tab_Def_Processes[Name(EN)],Tab_Def_Processes[Flow_ID_I_2],,0,)</f>
        <v>#N/A</v>
      </c>
      <c r="S117" s="76"/>
      <c r="T117" s="71" t="e">
        <f>_xlfn.XLOOKUP($D117,Tab_Def_Processes[Name(EN)],Tab_Def_Processes[Input_Flow_I_3],,0,)</f>
        <v>#N/A</v>
      </c>
      <c r="U117" s="48" t="e">
        <f>_xlfn.XLOOKUP($D117,Tab_Def_Processes[Name(EN)],Tab_Def_Processes[Flow_ID_I_3],,0,)</f>
        <v>#N/A</v>
      </c>
      <c r="V117" s="76"/>
      <c r="W117" s="71" t="e">
        <f>_xlfn.XLOOKUP($D117,Tab_Def_Processes[Name(EN)],Tab_Def_Processes[Input_Flow_I_4],,0,)</f>
        <v>#N/A</v>
      </c>
      <c r="X117" s="48" t="e">
        <f>_xlfn.XLOOKUP($D117,Tab_Def_Processes[Name(EN)],Tab_Def_Processes[Flow_ID_I_4],,0,)</f>
        <v>#N/A</v>
      </c>
      <c r="Y117" s="76"/>
      <c r="Z117" s="71" t="e">
        <f>_xlfn.XLOOKUP($D117,Tab_Def_Processes[Name(EN)],Tab_Def_Processes[Input_Flow_I_5],,0,)</f>
        <v>#N/A</v>
      </c>
      <c r="AA117" s="48" t="e">
        <f>_xlfn.XLOOKUP($D117,Tab_Def_Processes[Name(EN)],Tab_Def_Processes[Flow_ID_I_5],,0,)</f>
        <v>#N/A</v>
      </c>
      <c r="AB117" s="76"/>
      <c r="AC117" s="88">
        <f>Tab_Process_TCs2527[[#This Row],[Flow_TC_I_1_'[%']]]+Tab_Process_TCs2527[[#This Row],[Flow_TC_I_2_'[%']]]+Tab_Process_TCs2527[[#This Row],[Flow_TC_I_3_'[%']]]+Tab_Process_TCs2527[[#This Row],[Flow_TC_I_4_'[%']]]+Tab_Process_TCs2527[[#This Row],[Flow_TC_I_5_'[%']]]</f>
        <v>0</v>
      </c>
      <c r="AD117" s="57" t="e">
        <f>_xlfn.XLOOKUP($D117,Tab_Process_TCs[TC_ID],Tab_Process_TCs[Output_Flow_O_1],,0,)</f>
        <v>#N/A</v>
      </c>
      <c r="AE117" s="48" t="e">
        <f>_xlfn.XLOOKUP($D117,Tab_Process_TCs[TC_ID],Tab_Process_TCs[Flow_ID_O_1],,0,)</f>
        <v>#N/A</v>
      </c>
      <c r="AF117" s="100" t="e">
        <f>Tab_Process_TCs2527[[#This Row],[Flow_ID]]</f>
        <v>#N/A</v>
      </c>
      <c r="AG117" s="48" t="e">
        <f t="shared" si="24"/>
        <v>#N/A</v>
      </c>
      <c r="AH117" s="109"/>
      <c r="AI117" s="231" t="e">
        <f>_xlfn.XLOOKUP($D117,Tab_Process_TCs[TC_ID],Tab_Process_TCs[Output_Flow_O_2],,0,)</f>
        <v>#N/A</v>
      </c>
      <c r="AJ117" s="113" t="e">
        <f>_xlfn.XLOOKUP($D117,Tab_Process_TCs[TC_ID],Tab_Process_TCs[Flow_ID_O_2],,0,)</f>
        <v>#N/A</v>
      </c>
      <c r="AK117" s="100" t="e">
        <f>Tab_Process_TCs2527[[#This Row],[Flow_ID]]</f>
        <v>#N/A</v>
      </c>
      <c r="AL117" s="48" t="e">
        <f t="shared" si="25"/>
        <v>#N/A</v>
      </c>
      <c r="AM117" s="228"/>
      <c r="AN117" s="57" t="e">
        <f>_xlfn.XLOOKUP($D117,Tab_Process_TCs[TC_ID],Tab_Process_TCs[Output_Flow_O_3],,0,)</f>
        <v>#N/A</v>
      </c>
      <c r="AO117" s="48" t="e">
        <f>_xlfn.XLOOKUP($D117,Tab_Process_TCs[TC_ID],Tab_Process_TCs[Flow_ID_O_3],,0,)</f>
        <v>#N/A</v>
      </c>
      <c r="AP117" s="100" t="e">
        <f>Tab_Process_TCs2527[[#This Row],[Flow_ID]]</f>
        <v>#N/A</v>
      </c>
      <c r="AQ117" s="48" t="e">
        <f t="shared" si="26"/>
        <v>#N/A</v>
      </c>
      <c r="AR117" s="228"/>
      <c r="AS117" s="57" t="e">
        <f>_xlfn.XLOOKUP($D117,Tab_Process_TCs[TC_ID],#REF!,,0,)</f>
        <v>#REF!</v>
      </c>
      <c r="AT117" s="48" t="e">
        <f>_xlfn.XLOOKUP($D117,Tab_Process_TCs[TC_ID],#REF!,,0,)</f>
        <v>#REF!</v>
      </c>
      <c r="AU117" s="100" t="e">
        <f>Tab_Process_TCs2527[[#This Row],[Flow_ID]]</f>
        <v>#N/A</v>
      </c>
      <c r="AV117" s="100" t="e">
        <f t="shared" si="27"/>
        <v>#N/A</v>
      </c>
      <c r="AW117" s="228"/>
      <c r="AX117" s="57" t="e">
        <f>_xlfn.XLOOKUP($D117,Tab_Process_TCs[TC_ID],#REF!,,0,)</f>
        <v>#REF!</v>
      </c>
      <c r="AY117" s="48" t="e">
        <f>_xlfn.XLOOKUP($D117,Tab_Process_TCs[TC_ID],#REF!,,0,)</f>
        <v>#REF!</v>
      </c>
      <c r="AZ117" s="100" t="e">
        <f>Tab_Process_TCs2527[[#This Row],[Flow_ID]]</f>
        <v>#N/A</v>
      </c>
      <c r="BA117" s="100" t="e">
        <f t="shared" si="28"/>
        <v>#REF!</v>
      </c>
      <c r="BB117" s="228"/>
      <c r="BC117" s="48" t="e">
        <f>_xlfn.XLOOKUP($D117,Tab_Process_TCs[TC_ID],#REF!,,0,)</f>
        <v>#REF!</v>
      </c>
      <c r="BD117" s="48" t="e">
        <f>_xlfn.XLOOKUP($D117,Tab_Process_TCs[TC_ID],#REF!,,0,)</f>
        <v>#REF!</v>
      </c>
      <c r="BE117" s="100" t="e">
        <f>Tab_Process_TCs2527[[#This Row],[Flow_ID]]</f>
        <v>#N/A</v>
      </c>
      <c r="BF117" s="100" t="e">
        <f t="shared" si="29"/>
        <v>#REF!</v>
      </c>
      <c r="BG117" s="109"/>
      <c r="BH117" s="112">
        <f>Tab_Process_TCs2527[[#This Row],[TC O_6_'[%']]]+Tab_Process_TCs2527[[#This Row],[TC O_5_'[%']]]+Tab_Process_TCs2527[[#This Row],[TC_O_4_'[%']]]+Tab_Process_TCs2527[[#This Row],[TC_O_3_'[%']]]+Tab_Process_TCs2527[[#This Row],[TC_O_2_'[%']]]+Tab_Process_TCs2527[[#This Row],[TC_O_1_'[%']]]</f>
        <v>0</v>
      </c>
      <c r="BI117" s="50"/>
      <c r="BJ117" s="50"/>
      <c r="BK117" s="50"/>
      <c r="BL117" s="50"/>
      <c r="BM117" s="50"/>
    </row>
    <row r="118" spans="1:65" x14ac:dyDescent="0.25">
      <c r="A118" s="87" t="b">
        <v>0</v>
      </c>
      <c r="B118" s="48">
        <f t="shared" si="23"/>
        <v>117</v>
      </c>
      <c r="C118" s="107" t="e">
        <f>_xlfn.XLOOKUP($D118,Tab_Process_TCs[Name(EN)],Tab_Process_TCs[Process_ID],,0,)</f>
        <v>#N/A</v>
      </c>
      <c r="D118" s="50"/>
      <c r="E118" s="50" t="s">
        <v>55</v>
      </c>
      <c r="F118" s="48" t="e">
        <f>_xlfn.XLOOKUP($D118,Tab_Process_TCs[Name(EN)],Tab_Process_TCs[TC?],,0,)</f>
        <v>#N/A</v>
      </c>
      <c r="G118" s="48" t="e">
        <f>_xlfn.XLOOKUP($D118,Tab_Process_TCs[Name(EN)],Tab_Process_TCs[Dyn_TC?],,0,)</f>
        <v>#N/A</v>
      </c>
      <c r="H118" s="48" t="e">
        <f>_xlfn.XLOOKUP($E118,Tab_Def_Flows[Name(EN)],Tab_Def_Flows[Flow_ID],,0,1)</f>
        <v>#N/A</v>
      </c>
      <c r="I118" s="50" t="e">
        <f>IF(Tab_Process_TCs2527[[#This Row],[Name(EN)]]="N.A.","N.A.","TC"&amp;"_"&amp;RIGHT(H118,5))</f>
        <v>#N/A</v>
      </c>
      <c r="J118" s="50"/>
      <c r="K118" s="249"/>
      <c r="L118" s="50" t="e">
        <f>_xlfn.XLOOKUP($D118,Tab_Def_Processes[Name(EN)],Tab_Def_Processes[Stock?],,0,)</f>
        <v>#N/A</v>
      </c>
      <c r="M118" s="48"/>
      <c r="N118" s="57" t="e">
        <f>_xlfn.XLOOKUP($D118,Tab_Def_Processes[Name(EN)],Tab_Def_Processes[Input_Flow_I_1],,0,)</f>
        <v>#N/A</v>
      </c>
      <c r="O118" s="48" t="e">
        <f>_xlfn.XLOOKUP($D118,Tab_Def_Processes[Name(EN)],Tab_Def_Processes[Flow_ID_I_1],,0,)</f>
        <v>#N/A</v>
      </c>
      <c r="P118" s="76"/>
      <c r="Q118" s="71" t="e">
        <f>_xlfn.XLOOKUP($D118,Tab_Def_Processes[Name(EN)],Tab_Def_Processes[Input_Flow_I_2],,0,)</f>
        <v>#N/A</v>
      </c>
      <c r="R118" s="48" t="e">
        <f>_xlfn.XLOOKUP($D118,Tab_Def_Processes[Name(EN)],Tab_Def_Processes[Flow_ID_I_2],,0,)</f>
        <v>#N/A</v>
      </c>
      <c r="S118" s="76"/>
      <c r="T118" s="71" t="e">
        <f>_xlfn.XLOOKUP($D118,Tab_Def_Processes[Name(EN)],Tab_Def_Processes[Input_Flow_I_3],,0,)</f>
        <v>#N/A</v>
      </c>
      <c r="U118" s="48" t="e">
        <f>_xlfn.XLOOKUP($D118,Tab_Def_Processes[Name(EN)],Tab_Def_Processes[Flow_ID_I_3],,0,)</f>
        <v>#N/A</v>
      </c>
      <c r="V118" s="76"/>
      <c r="W118" s="71" t="e">
        <f>_xlfn.XLOOKUP($D118,Tab_Def_Processes[Name(EN)],Tab_Def_Processes[Input_Flow_I_4],,0,)</f>
        <v>#N/A</v>
      </c>
      <c r="X118" s="48" t="e">
        <f>_xlfn.XLOOKUP($D118,Tab_Def_Processes[Name(EN)],Tab_Def_Processes[Flow_ID_I_4],,0,)</f>
        <v>#N/A</v>
      </c>
      <c r="Y118" s="76"/>
      <c r="Z118" s="71" t="e">
        <f>_xlfn.XLOOKUP($D118,Tab_Def_Processes[Name(EN)],Tab_Def_Processes[Input_Flow_I_5],,0,)</f>
        <v>#N/A</v>
      </c>
      <c r="AA118" s="48" t="e">
        <f>_xlfn.XLOOKUP($D118,Tab_Def_Processes[Name(EN)],Tab_Def_Processes[Flow_ID_I_5],,0,)</f>
        <v>#N/A</v>
      </c>
      <c r="AB118" s="76"/>
      <c r="AC118" s="88">
        <f>Tab_Process_TCs2527[[#This Row],[Flow_TC_I_1_'[%']]]+Tab_Process_TCs2527[[#This Row],[Flow_TC_I_2_'[%']]]+Tab_Process_TCs2527[[#This Row],[Flow_TC_I_3_'[%']]]+Tab_Process_TCs2527[[#This Row],[Flow_TC_I_4_'[%']]]+Tab_Process_TCs2527[[#This Row],[Flow_TC_I_5_'[%']]]</f>
        <v>0</v>
      </c>
      <c r="AD118" s="57" t="e">
        <f>_xlfn.XLOOKUP($D118,Tab_Process_TCs[TC_ID],Tab_Process_TCs[Output_Flow_O_1],,0,)</f>
        <v>#N/A</v>
      </c>
      <c r="AE118" s="48" t="e">
        <f>_xlfn.XLOOKUP($D118,Tab_Process_TCs[TC_ID],Tab_Process_TCs[Flow_ID_O_1],,0,)</f>
        <v>#N/A</v>
      </c>
      <c r="AF118" s="100" t="e">
        <f>Tab_Process_TCs2527[[#This Row],[Flow_ID]]</f>
        <v>#N/A</v>
      </c>
      <c r="AG118" s="48" t="e">
        <f t="shared" si="24"/>
        <v>#N/A</v>
      </c>
      <c r="AH118" s="109"/>
      <c r="AI118" s="231" t="e">
        <f>_xlfn.XLOOKUP($D118,Tab_Process_TCs[TC_ID],Tab_Process_TCs[Output_Flow_O_2],,0,)</f>
        <v>#N/A</v>
      </c>
      <c r="AJ118" s="113" t="e">
        <f>_xlfn.XLOOKUP($D118,Tab_Process_TCs[TC_ID],Tab_Process_TCs[Flow_ID_O_2],,0,)</f>
        <v>#N/A</v>
      </c>
      <c r="AK118" s="100" t="e">
        <f>Tab_Process_TCs2527[[#This Row],[Flow_ID]]</f>
        <v>#N/A</v>
      </c>
      <c r="AL118" s="48" t="e">
        <f t="shared" si="25"/>
        <v>#N/A</v>
      </c>
      <c r="AM118" s="228"/>
      <c r="AN118" s="57" t="e">
        <f>_xlfn.XLOOKUP($D118,Tab_Process_TCs[TC_ID],Tab_Process_TCs[Output_Flow_O_3],,0,)</f>
        <v>#N/A</v>
      </c>
      <c r="AO118" s="48" t="e">
        <f>_xlfn.XLOOKUP($D118,Tab_Process_TCs[TC_ID],Tab_Process_TCs[Flow_ID_O_3],,0,)</f>
        <v>#N/A</v>
      </c>
      <c r="AP118" s="100" t="e">
        <f>Tab_Process_TCs2527[[#This Row],[Flow_ID]]</f>
        <v>#N/A</v>
      </c>
      <c r="AQ118" s="48" t="e">
        <f t="shared" si="26"/>
        <v>#N/A</v>
      </c>
      <c r="AR118" s="228"/>
      <c r="AS118" s="57" t="e">
        <f>_xlfn.XLOOKUP($D118,Tab_Process_TCs[TC_ID],#REF!,,0,)</f>
        <v>#REF!</v>
      </c>
      <c r="AT118" s="48" t="e">
        <f>_xlfn.XLOOKUP($D118,Tab_Process_TCs[TC_ID],#REF!,,0,)</f>
        <v>#REF!</v>
      </c>
      <c r="AU118" s="100" t="e">
        <f>Tab_Process_TCs2527[[#This Row],[Flow_ID]]</f>
        <v>#N/A</v>
      </c>
      <c r="AV118" s="100" t="e">
        <f t="shared" si="27"/>
        <v>#N/A</v>
      </c>
      <c r="AW118" s="228"/>
      <c r="AX118" s="57" t="e">
        <f>_xlfn.XLOOKUP($D118,Tab_Process_TCs[TC_ID],#REF!,,0,)</f>
        <v>#REF!</v>
      </c>
      <c r="AY118" s="48" t="e">
        <f>_xlfn.XLOOKUP($D118,Tab_Process_TCs[TC_ID],#REF!,,0,)</f>
        <v>#REF!</v>
      </c>
      <c r="AZ118" s="100" t="e">
        <f>Tab_Process_TCs2527[[#This Row],[Flow_ID]]</f>
        <v>#N/A</v>
      </c>
      <c r="BA118" s="100" t="e">
        <f t="shared" si="28"/>
        <v>#REF!</v>
      </c>
      <c r="BB118" s="228"/>
      <c r="BC118" s="48" t="e">
        <f>_xlfn.XLOOKUP($D118,Tab_Process_TCs[TC_ID],#REF!,,0,)</f>
        <v>#REF!</v>
      </c>
      <c r="BD118" s="48" t="e">
        <f>_xlfn.XLOOKUP($D118,Tab_Process_TCs[TC_ID],#REF!,,0,)</f>
        <v>#REF!</v>
      </c>
      <c r="BE118" s="100" t="e">
        <f>Tab_Process_TCs2527[[#This Row],[Flow_ID]]</f>
        <v>#N/A</v>
      </c>
      <c r="BF118" s="100" t="e">
        <f t="shared" si="29"/>
        <v>#REF!</v>
      </c>
      <c r="BG118" s="109"/>
      <c r="BH118" s="112">
        <f>Tab_Process_TCs2527[[#This Row],[TC O_6_'[%']]]+Tab_Process_TCs2527[[#This Row],[TC O_5_'[%']]]+Tab_Process_TCs2527[[#This Row],[TC_O_4_'[%']]]+Tab_Process_TCs2527[[#This Row],[TC_O_3_'[%']]]+Tab_Process_TCs2527[[#This Row],[TC_O_2_'[%']]]+Tab_Process_TCs2527[[#This Row],[TC_O_1_'[%']]]</f>
        <v>0</v>
      </c>
      <c r="BI118" s="50"/>
      <c r="BJ118" s="50"/>
      <c r="BK118" s="50"/>
      <c r="BL118" s="50"/>
      <c r="BM118" s="50"/>
    </row>
    <row r="119" spans="1:65" x14ac:dyDescent="0.25">
      <c r="A119" s="87" t="b">
        <v>0</v>
      </c>
      <c r="B119" s="48">
        <f t="shared" si="23"/>
        <v>118</v>
      </c>
      <c r="C119" s="107" t="e">
        <f>_xlfn.XLOOKUP($D119,Tab_Process_TCs[Name(EN)],Tab_Process_TCs[Process_ID],,0,)</f>
        <v>#N/A</v>
      </c>
      <c r="D119" s="50"/>
      <c r="E119" s="50" t="s">
        <v>55</v>
      </c>
      <c r="F119" s="48" t="e">
        <f>_xlfn.XLOOKUP($D119,Tab_Process_TCs[Name(EN)],Tab_Process_TCs[TC?],,0,)</f>
        <v>#N/A</v>
      </c>
      <c r="G119" s="48" t="e">
        <f>_xlfn.XLOOKUP($D119,Tab_Process_TCs[Name(EN)],Tab_Process_TCs[Dyn_TC?],,0,)</f>
        <v>#N/A</v>
      </c>
      <c r="H119" s="48" t="e">
        <f>_xlfn.XLOOKUP($E119,Tab_Def_Flows[Name(EN)],Tab_Def_Flows[Flow_ID],,0,1)</f>
        <v>#N/A</v>
      </c>
      <c r="I119" s="50" t="e">
        <f>IF(Tab_Process_TCs2527[[#This Row],[Name(EN)]]="N.A.","N.A.","TC"&amp;"_"&amp;RIGHT(H119,5))</f>
        <v>#N/A</v>
      </c>
      <c r="J119" s="50"/>
      <c r="K119" s="249"/>
      <c r="L119" s="50" t="e">
        <f>_xlfn.XLOOKUP($D119,Tab_Def_Processes[Name(EN)],Tab_Def_Processes[Stock?],,0,)</f>
        <v>#N/A</v>
      </c>
      <c r="M119" s="48"/>
      <c r="N119" s="57" t="e">
        <f>_xlfn.XLOOKUP($D119,Tab_Def_Processes[Name(EN)],Tab_Def_Processes[Input_Flow_I_1],,0,)</f>
        <v>#N/A</v>
      </c>
      <c r="O119" s="48" t="e">
        <f>_xlfn.XLOOKUP($D119,Tab_Def_Processes[Name(EN)],Tab_Def_Processes[Flow_ID_I_1],,0,)</f>
        <v>#N/A</v>
      </c>
      <c r="P119" s="76"/>
      <c r="Q119" s="71" t="e">
        <f>_xlfn.XLOOKUP($D119,Tab_Def_Processes[Name(EN)],Tab_Def_Processes[Input_Flow_I_2],,0,)</f>
        <v>#N/A</v>
      </c>
      <c r="R119" s="48" t="e">
        <f>_xlfn.XLOOKUP($D119,Tab_Def_Processes[Name(EN)],Tab_Def_Processes[Flow_ID_I_2],,0,)</f>
        <v>#N/A</v>
      </c>
      <c r="S119" s="76"/>
      <c r="T119" s="71" t="e">
        <f>_xlfn.XLOOKUP($D119,Tab_Def_Processes[Name(EN)],Tab_Def_Processes[Input_Flow_I_3],,0,)</f>
        <v>#N/A</v>
      </c>
      <c r="U119" s="48" t="e">
        <f>_xlfn.XLOOKUP($D119,Tab_Def_Processes[Name(EN)],Tab_Def_Processes[Flow_ID_I_3],,0,)</f>
        <v>#N/A</v>
      </c>
      <c r="V119" s="76"/>
      <c r="W119" s="71" t="e">
        <f>_xlfn.XLOOKUP($D119,Tab_Def_Processes[Name(EN)],Tab_Def_Processes[Input_Flow_I_4],,0,)</f>
        <v>#N/A</v>
      </c>
      <c r="X119" s="48" t="e">
        <f>_xlfn.XLOOKUP($D119,Tab_Def_Processes[Name(EN)],Tab_Def_Processes[Flow_ID_I_4],,0,)</f>
        <v>#N/A</v>
      </c>
      <c r="Y119" s="76"/>
      <c r="Z119" s="71" t="e">
        <f>_xlfn.XLOOKUP($D119,Tab_Def_Processes[Name(EN)],Tab_Def_Processes[Input_Flow_I_5],,0,)</f>
        <v>#N/A</v>
      </c>
      <c r="AA119" s="48" t="e">
        <f>_xlfn.XLOOKUP($D119,Tab_Def_Processes[Name(EN)],Tab_Def_Processes[Flow_ID_I_5],,0,)</f>
        <v>#N/A</v>
      </c>
      <c r="AB119" s="76"/>
      <c r="AC119" s="88">
        <f>Tab_Process_TCs2527[[#This Row],[Flow_TC_I_1_'[%']]]+Tab_Process_TCs2527[[#This Row],[Flow_TC_I_2_'[%']]]+Tab_Process_TCs2527[[#This Row],[Flow_TC_I_3_'[%']]]+Tab_Process_TCs2527[[#This Row],[Flow_TC_I_4_'[%']]]+Tab_Process_TCs2527[[#This Row],[Flow_TC_I_5_'[%']]]</f>
        <v>0</v>
      </c>
      <c r="AD119" s="57" t="e">
        <f>_xlfn.XLOOKUP($D119,Tab_Process_TCs[TC_ID],Tab_Process_TCs[Output_Flow_O_1],,0,)</f>
        <v>#N/A</v>
      </c>
      <c r="AE119" s="48" t="e">
        <f>_xlfn.XLOOKUP($D119,Tab_Process_TCs[TC_ID],Tab_Process_TCs[Flow_ID_O_1],,0,)</f>
        <v>#N/A</v>
      </c>
      <c r="AF119" s="100" t="e">
        <f>Tab_Process_TCs2527[[#This Row],[Flow_ID]]</f>
        <v>#N/A</v>
      </c>
      <c r="AG119" s="48" t="e">
        <f t="shared" si="24"/>
        <v>#N/A</v>
      </c>
      <c r="AH119" s="109"/>
      <c r="AI119" s="231" t="e">
        <f>_xlfn.XLOOKUP($D119,Tab_Process_TCs[TC_ID],Tab_Process_TCs[Output_Flow_O_2],,0,)</f>
        <v>#N/A</v>
      </c>
      <c r="AJ119" s="113" t="e">
        <f>_xlfn.XLOOKUP($D119,Tab_Process_TCs[TC_ID],Tab_Process_TCs[Flow_ID_O_2],,0,)</f>
        <v>#N/A</v>
      </c>
      <c r="AK119" s="100" t="e">
        <f>Tab_Process_TCs2527[[#This Row],[Flow_ID]]</f>
        <v>#N/A</v>
      </c>
      <c r="AL119" s="48" t="e">
        <f t="shared" si="25"/>
        <v>#N/A</v>
      </c>
      <c r="AM119" s="228"/>
      <c r="AN119" s="57" t="e">
        <f>_xlfn.XLOOKUP($D119,Tab_Process_TCs[TC_ID],Tab_Process_TCs[Output_Flow_O_3],,0,)</f>
        <v>#N/A</v>
      </c>
      <c r="AO119" s="48" t="e">
        <f>_xlfn.XLOOKUP($D119,Tab_Process_TCs[TC_ID],Tab_Process_TCs[Flow_ID_O_3],,0,)</f>
        <v>#N/A</v>
      </c>
      <c r="AP119" s="100" t="e">
        <f>Tab_Process_TCs2527[[#This Row],[Flow_ID]]</f>
        <v>#N/A</v>
      </c>
      <c r="AQ119" s="48" t="e">
        <f t="shared" si="26"/>
        <v>#N/A</v>
      </c>
      <c r="AR119" s="228"/>
      <c r="AS119" s="57" t="e">
        <f>_xlfn.XLOOKUP($D119,Tab_Process_TCs[TC_ID],#REF!,,0,)</f>
        <v>#REF!</v>
      </c>
      <c r="AT119" s="48" t="e">
        <f>_xlfn.XLOOKUP($D119,Tab_Process_TCs[TC_ID],#REF!,,0,)</f>
        <v>#REF!</v>
      </c>
      <c r="AU119" s="100" t="e">
        <f>Tab_Process_TCs2527[[#This Row],[Flow_ID]]</f>
        <v>#N/A</v>
      </c>
      <c r="AV119" s="100" t="e">
        <f t="shared" si="27"/>
        <v>#N/A</v>
      </c>
      <c r="AW119" s="228"/>
      <c r="AX119" s="57" t="e">
        <f>_xlfn.XLOOKUP($D119,Tab_Process_TCs[TC_ID],#REF!,,0,)</f>
        <v>#REF!</v>
      </c>
      <c r="AY119" s="48" t="e">
        <f>_xlfn.XLOOKUP($D119,Tab_Process_TCs[TC_ID],#REF!,,0,)</f>
        <v>#REF!</v>
      </c>
      <c r="AZ119" s="100" t="e">
        <f>Tab_Process_TCs2527[[#This Row],[Flow_ID]]</f>
        <v>#N/A</v>
      </c>
      <c r="BA119" s="100" t="e">
        <f t="shared" si="28"/>
        <v>#REF!</v>
      </c>
      <c r="BB119" s="228"/>
      <c r="BC119" s="48" t="e">
        <f>_xlfn.XLOOKUP($D119,Tab_Process_TCs[TC_ID],#REF!,,0,)</f>
        <v>#REF!</v>
      </c>
      <c r="BD119" s="48" t="e">
        <f>_xlfn.XLOOKUP($D119,Tab_Process_TCs[TC_ID],#REF!,,0,)</f>
        <v>#REF!</v>
      </c>
      <c r="BE119" s="100" t="e">
        <f>Tab_Process_TCs2527[[#This Row],[Flow_ID]]</f>
        <v>#N/A</v>
      </c>
      <c r="BF119" s="100" t="e">
        <f t="shared" si="29"/>
        <v>#REF!</v>
      </c>
      <c r="BG119" s="109"/>
      <c r="BH119" s="112">
        <f>Tab_Process_TCs2527[[#This Row],[TC O_6_'[%']]]+Tab_Process_TCs2527[[#This Row],[TC O_5_'[%']]]+Tab_Process_TCs2527[[#This Row],[TC_O_4_'[%']]]+Tab_Process_TCs2527[[#This Row],[TC_O_3_'[%']]]+Tab_Process_TCs2527[[#This Row],[TC_O_2_'[%']]]+Tab_Process_TCs2527[[#This Row],[TC_O_1_'[%']]]</f>
        <v>0</v>
      </c>
      <c r="BI119" s="50"/>
      <c r="BJ119" s="50"/>
      <c r="BK119" s="50"/>
      <c r="BL119" s="50"/>
      <c r="BM119" s="50"/>
    </row>
    <row r="120" spans="1:65" x14ac:dyDescent="0.25">
      <c r="A120" s="87" t="b">
        <v>0</v>
      </c>
      <c r="B120" s="48">
        <f t="shared" si="23"/>
        <v>119</v>
      </c>
      <c r="C120" s="107" t="e">
        <f>_xlfn.XLOOKUP($D120,Tab_Process_TCs[Name(EN)],Tab_Process_TCs[Process_ID],,0,)</f>
        <v>#N/A</v>
      </c>
      <c r="D120" s="50"/>
      <c r="E120" s="50" t="s">
        <v>55</v>
      </c>
      <c r="F120" s="48" t="e">
        <f>_xlfn.XLOOKUP($D120,Tab_Process_TCs[Name(EN)],Tab_Process_TCs[TC?],,0,)</f>
        <v>#N/A</v>
      </c>
      <c r="G120" s="48" t="e">
        <f>_xlfn.XLOOKUP($D120,Tab_Process_TCs[Name(EN)],Tab_Process_TCs[Dyn_TC?],,0,)</f>
        <v>#N/A</v>
      </c>
      <c r="H120" s="48" t="e">
        <f>_xlfn.XLOOKUP($E120,Tab_Def_Flows[Name(EN)],Tab_Def_Flows[Flow_ID],,0,1)</f>
        <v>#N/A</v>
      </c>
      <c r="I120" s="50" t="e">
        <f>IF(Tab_Process_TCs2527[[#This Row],[Name(EN)]]="N.A.","N.A.","TC"&amp;"_"&amp;RIGHT(H120,5))</f>
        <v>#N/A</v>
      </c>
      <c r="J120" s="50"/>
      <c r="K120" s="249"/>
      <c r="L120" s="50" t="e">
        <f>_xlfn.XLOOKUP($D120,Tab_Def_Processes[Name(EN)],Tab_Def_Processes[Stock?],,0,)</f>
        <v>#N/A</v>
      </c>
      <c r="M120" s="48"/>
      <c r="N120" s="57" t="e">
        <f>_xlfn.XLOOKUP($D120,Tab_Def_Processes[Name(EN)],Tab_Def_Processes[Input_Flow_I_1],,0,)</f>
        <v>#N/A</v>
      </c>
      <c r="O120" s="48" t="e">
        <f>_xlfn.XLOOKUP($D120,Tab_Def_Processes[Name(EN)],Tab_Def_Processes[Flow_ID_I_1],,0,)</f>
        <v>#N/A</v>
      </c>
      <c r="P120" s="76"/>
      <c r="Q120" s="71" t="e">
        <f>_xlfn.XLOOKUP($D120,Tab_Def_Processes[Name(EN)],Tab_Def_Processes[Input_Flow_I_2],,0,)</f>
        <v>#N/A</v>
      </c>
      <c r="R120" s="48" t="e">
        <f>_xlfn.XLOOKUP($D120,Tab_Def_Processes[Name(EN)],Tab_Def_Processes[Flow_ID_I_2],,0,)</f>
        <v>#N/A</v>
      </c>
      <c r="S120" s="76"/>
      <c r="T120" s="71" t="e">
        <f>_xlfn.XLOOKUP($D120,Tab_Def_Processes[Name(EN)],Tab_Def_Processes[Input_Flow_I_3],,0,)</f>
        <v>#N/A</v>
      </c>
      <c r="U120" s="48" t="e">
        <f>_xlfn.XLOOKUP($D120,Tab_Def_Processes[Name(EN)],Tab_Def_Processes[Flow_ID_I_3],,0,)</f>
        <v>#N/A</v>
      </c>
      <c r="V120" s="76"/>
      <c r="W120" s="71" t="e">
        <f>_xlfn.XLOOKUP($D120,Tab_Def_Processes[Name(EN)],Tab_Def_Processes[Input_Flow_I_4],,0,)</f>
        <v>#N/A</v>
      </c>
      <c r="X120" s="48" t="e">
        <f>_xlfn.XLOOKUP($D120,Tab_Def_Processes[Name(EN)],Tab_Def_Processes[Flow_ID_I_4],,0,)</f>
        <v>#N/A</v>
      </c>
      <c r="Y120" s="76"/>
      <c r="Z120" s="71" t="e">
        <f>_xlfn.XLOOKUP($D120,Tab_Def_Processes[Name(EN)],Tab_Def_Processes[Input_Flow_I_5],,0,)</f>
        <v>#N/A</v>
      </c>
      <c r="AA120" s="48" t="e">
        <f>_xlfn.XLOOKUP($D120,Tab_Def_Processes[Name(EN)],Tab_Def_Processes[Flow_ID_I_5],,0,)</f>
        <v>#N/A</v>
      </c>
      <c r="AB120" s="76"/>
      <c r="AC120" s="88">
        <f>Tab_Process_TCs2527[[#This Row],[Flow_TC_I_1_'[%']]]+Tab_Process_TCs2527[[#This Row],[Flow_TC_I_2_'[%']]]+Tab_Process_TCs2527[[#This Row],[Flow_TC_I_3_'[%']]]+Tab_Process_TCs2527[[#This Row],[Flow_TC_I_4_'[%']]]+Tab_Process_TCs2527[[#This Row],[Flow_TC_I_5_'[%']]]</f>
        <v>0</v>
      </c>
      <c r="AD120" s="57" t="e">
        <f>_xlfn.XLOOKUP($D120,Tab_Process_TCs[TC_ID],Tab_Process_TCs[Output_Flow_O_1],,0,)</f>
        <v>#N/A</v>
      </c>
      <c r="AE120" s="48" t="e">
        <f>_xlfn.XLOOKUP($D120,Tab_Process_TCs[TC_ID],Tab_Process_TCs[Flow_ID_O_1],,0,)</f>
        <v>#N/A</v>
      </c>
      <c r="AF120" s="100" t="e">
        <f>Tab_Process_TCs2527[[#This Row],[Flow_ID]]</f>
        <v>#N/A</v>
      </c>
      <c r="AG120" s="48" t="e">
        <f t="shared" si="24"/>
        <v>#N/A</v>
      </c>
      <c r="AH120" s="109"/>
      <c r="AI120" s="231" t="e">
        <f>_xlfn.XLOOKUP($D120,Tab_Process_TCs[TC_ID],Tab_Process_TCs[Output_Flow_O_2],,0,)</f>
        <v>#N/A</v>
      </c>
      <c r="AJ120" s="113" t="e">
        <f>_xlfn.XLOOKUP($D120,Tab_Process_TCs[TC_ID],Tab_Process_TCs[Flow_ID_O_2],,0,)</f>
        <v>#N/A</v>
      </c>
      <c r="AK120" s="100" t="e">
        <f>Tab_Process_TCs2527[[#This Row],[Flow_ID]]</f>
        <v>#N/A</v>
      </c>
      <c r="AL120" s="48" t="e">
        <f t="shared" si="25"/>
        <v>#N/A</v>
      </c>
      <c r="AM120" s="228"/>
      <c r="AN120" s="57" t="e">
        <f>_xlfn.XLOOKUP($D120,Tab_Process_TCs[TC_ID],Tab_Process_TCs[Output_Flow_O_3],,0,)</f>
        <v>#N/A</v>
      </c>
      <c r="AO120" s="48" t="e">
        <f>_xlfn.XLOOKUP($D120,Tab_Process_TCs[TC_ID],Tab_Process_TCs[Flow_ID_O_3],,0,)</f>
        <v>#N/A</v>
      </c>
      <c r="AP120" s="100" t="e">
        <f>Tab_Process_TCs2527[[#This Row],[Flow_ID]]</f>
        <v>#N/A</v>
      </c>
      <c r="AQ120" s="48" t="e">
        <f t="shared" si="26"/>
        <v>#N/A</v>
      </c>
      <c r="AR120" s="228"/>
      <c r="AS120" s="57" t="e">
        <f>_xlfn.XLOOKUP($D120,Tab_Process_TCs[TC_ID],#REF!,,0,)</f>
        <v>#REF!</v>
      </c>
      <c r="AT120" s="48" t="e">
        <f>_xlfn.XLOOKUP($D120,Tab_Process_TCs[TC_ID],#REF!,,0,)</f>
        <v>#REF!</v>
      </c>
      <c r="AU120" s="100" t="e">
        <f>Tab_Process_TCs2527[[#This Row],[Flow_ID]]</f>
        <v>#N/A</v>
      </c>
      <c r="AV120" s="100" t="e">
        <f t="shared" si="27"/>
        <v>#N/A</v>
      </c>
      <c r="AW120" s="228"/>
      <c r="AX120" s="57" t="e">
        <f>_xlfn.XLOOKUP($D120,Tab_Process_TCs[TC_ID],#REF!,,0,)</f>
        <v>#REF!</v>
      </c>
      <c r="AY120" s="48" t="e">
        <f>_xlfn.XLOOKUP($D120,Tab_Process_TCs[TC_ID],#REF!,,0,)</f>
        <v>#REF!</v>
      </c>
      <c r="AZ120" s="100" t="e">
        <f>Tab_Process_TCs2527[[#This Row],[Flow_ID]]</f>
        <v>#N/A</v>
      </c>
      <c r="BA120" s="100" t="e">
        <f t="shared" si="28"/>
        <v>#REF!</v>
      </c>
      <c r="BB120" s="228"/>
      <c r="BC120" s="48" t="e">
        <f>_xlfn.XLOOKUP($D120,Tab_Process_TCs[TC_ID],#REF!,,0,)</f>
        <v>#REF!</v>
      </c>
      <c r="BD120" s="48" t="e">
        <f>_xlfn.XLOOKUP($D120,Tab_Process_TCs[TC_ID],#REF!,,0,)</f>
        <v>#REF!</v>
      </c>
      <c r="BE120" s="100" t="e">
        <f>Tab_Process_TCs2527[[#This Row],[Flow_ID]]</f>
        <v>#N/A</v>
      </c>
      <c r="BF120" s="100" t="e">
        <f t="shared" si="29"/>
        <v>#REF!</v>
      </c>
      <c r="BG120" s="109"/>
      <c r="BH120" s="112">
        <f>Tab_Process_TCs2527[[#This Row],[TC O_6_'[%']]]+Tab_Process_TCs2527[[#This Row],[TC O_5_'[%']]]+Tab_Process_TCs2527[[#This Row],[TC_O_4_'[%']]]+Tab_Process_TCs2527[[#This Row],[TC_O_3_'[%']]]+Tab_Process_TCs2527[[#This Row],[TC_O_2_'[%']]]+Tab_Process_TCs2527[[#This Row],[TC_O_1_'[%']]]</f>
        <v>0</v>
      </c>
      <c r="BI120" s="50"/>
      <c r="BJ120" s="50"/>
      <c r="BK120" s="50"/>
      <c r="BL120" s="50"/>
      <c r="BM120" s="50"/>
    </row>
    <row r="121" spans="1:65" x14ac:dyDescent="0.25">
      <c r="A121" s="87" t="b">
        <v>0</v>
      </c>
      <c r="B121" s="48">
        <f t="shared" si="23"/>
        <v>120</v>
      </c>
      <c r="C121" s="107" t="e">
        <f>_xlfn.XLOOKUP($D121,Tab_Process_TCs[Name(EN)],Tab_Process_TCs[Process_ID],,0,)</f>
        <v>#N/A</v>
      </c>
      <c r="D121" s="50"/>
      <c r="E121" s="50" t="s">
        <v>55</v>
      </c>
      <c r="F121" s="48" t="e">
        <f>_xlfn.XLOOKUP($D121,Tab_Process_TCs[Name(EN)],Tab_Process_TCs[TC?],,0,)</f>
        <v>#N/A</v>
      </c>
      <c r="G121" s="48" t="e">
        <f>_xlfn.XLOOKUP($D121,Tab_Process_TCs[Name(EN)],Tab_Process_TCs[Dyn_TC?],,0,)</f>
        <v>#N/A</v>
      </c>
      <c r="H121" s="48" t="e">
        <f>_xlfn.XLOOKUP($E121,Tab_Def_Flows[Name(EN)],Tab_Def_Flows[Flow_ID],,0,1)</f>
        <v>#N/A</v>
      </c>
      <c r="I121" s="50" t="e">
        <f>IF(Tab_Process_TCs2527[[#This Row],[Name(EN)]]="N.A.","N.A.","TC"&amp;"_"&amp;RIGHT(H121,5))</f>
        <v>#N/A</v>
      </c>
      <c r="J121" s="50"/>
      <c r="K121" s="249"/>
      <c r="L121" s="50" t="e">
        <f>_xlfn.XLOOKUP($D121,Tab_Def_Processes[Name(EN)],Tab_Def_Processes[Stock?],,0,)</f>
        <v>#N/A</v>
      </c>
      <c r="M121" s="48"/>
      <c r="N121" s="57" t="e">
        <f>_xlfn.XLOOKUP($D121,Tab_Def_Processes[Name(EN)],Tab_Def_Processes[Input_Flow_I_1],,0,)</f>
        <v>#N/A</v>
      </c>
      <c r="O121" s="48" t="e">
        <f>_xlfn.XLOOKUP($D121,Tab_Def_Processes[Name(EN)],Tab_Def_Processes[Flow_ID_I_1],,0,)</f>
        <v>#N/A</v>
      </c>
      <c r="P121" s="76"/>
      <c r="Q121" s="71" t="e">
        <f>_xlfn.XLOOKUP($D121,Tab_Def_Processes[Name(EN)],Tab_Def_Processes[Input_Flow_I_2],,0,)</f>
        <v>#N/A</v>
      </c>
      <c r="R121" s="48" t="e">
        <f>_xlfn.XLOOKUP($D121,Tab_Def_Processes[Name(EN)],Tab_Def_Processes[Flow_ID_I_2],,0,)</f>
        <v>#N/A</v>
      </c>
      <c r="S121" s="76"/>
      <c r="T121" s="71" t="e">
        <f>_xlfn.XLOOKUP($D121,Tab_Def_Processes[Name(EN)],Tab_Def_Processes[Input_Flow_I_3],,0,)</f>
        <v>#N/A</v>
      </c>
      <c r="U121" s="48" t="e">
        <f>_xlfn.XLOOKUP($D121,Tab_Def_Processes[Name(EN)],Tab_Def_Processes[Flow_ID_I_3],,0,)</f>
        <v>#N/A</v>
      </c>
      <c r="V121" s="76"/>
      <c r="W121" s="71" t="e">
        <f>_xlfn.XLOOKUP($D121,Tab_Def_Processes[Name(EN)],Tab_Def_Processes[Input_Flow_I_4],,0,)</f>
        <v>#N/A</v>
      </c>
      <c r="X121" s="48" t="e">
        <f>_xlfn.XLOOKUP($D121,Tab_Def_Processes[Name(EN)],Tab_Def_Processes[Flow_ID_I_4],,0,)</f>
        <v>#N/A</v>
      </c>
      <c r="Y121" s="76"/>
      <c r="Z121" s="71" t="e">
        <f>_xlfn.XLOOKUP($D121,Tab_Def_Processes[Name(EN)],Tab_Def_Processes[Input_Flow_I_5],,0,)</f>
        <v>#N/A</v>
      </c>
      <c r="AA121" s="48" t="e">
        <f>_xlfn.XLOOKUP($D121,Tab_Def_Processes[Name(EN)],Tab_Def_Processes[Flow_ID_I_5],,0,)</f>
        <v>#N/A</v>
      </c>
      <c r="AB121" s="76"/>
      <c r="AC121" s="88">
        <f>Tab_Process_TCs2527[[#This Row],[Flow_TC_I_1_'[%']]]+Tab_Process_TCs2527[[#This Row],[Flow_TC_I_2_'[%']]]+Tab_Process_TCs2527[[#This Row],[Flow_TC_I_3_'[%']]]+Tab_Process_TCs2527[[#This Row],[Flow_TC_I_4_'[%']]]+Tab_Process_TCs2527[[#This Row],[Flow_TC_I_5_'[%']]]</f>
        <v>0</v>
      </c>
      <c r="AD121" s="57" t="e">
        <f>_xlfn.XLOOKUP($D121,Tab_Process_TCs[TC_ID],Tab_Process_TCs[Output_Flow_O_1],,0,)</f>
        <v>#N/A</v>
      </c>
      <c r="AE121" s="48" t="e">
        <f>_xlfn.XLOOKUP($D121,Tab_Process_TCs[TC_ID],Tab_Process_TCs[Flow_ID_O_1],,0,)</f>
        <v>#N/A</v>
      </c>
      <c r="AF121" s="100" t="e">
        <f>Tab_Process_TCs2527[[#This Row],[Flow_ID]]</f>
        <v>#N/A</v>
      </c>
      <c r="AG121" s="48" t="e">
        <f t="shared" si="24"/>
        <v>#N/A</v>
      </c>
      <c r="AH121" s="109"/>
      <c r="AI121" s="231" t="e">
        <f>_xlfn.XLOOKUP($D121,Tab_Process_TCs[TC_ID],Tab_Process_TCs[Output_Flow_O_2],,0,)</f>
        <v>#N/A</v>
      </c>
      <c r="AJ121" s="113" t="e">
        <f>_xlfn.XLOOKUP($D121,Tab_Process_TCs[TC_ID],Tab_Process_TCs[Flow_ID_O_2],,0,)</f>
        <v>#N/A</v>
      </c>
      <c r="AK121" s="100" t="e">
        <f>Tab_Process_TCs2527[[#This Row],[Flow_ID]]</f>
        <v>#N/A</v>
      </c>
      <c r="AL121" s="48" t="e">
        <f t="shared" si="25"/>
        <v>#N/A</v>
      </c>
      <c r="AM121" s="228"/>
      <c r="AN121" s="57" t="e">
        <f>_xlfn.XLOOKUP($D121,Tab_Process_TCs[TC_ID],Tab_Process_TCs[Output_Flow_O_3],,0,)</f>
        <v>#N/A</v>
      </c>
      <c r="AO121" s="48" t="e">
        <f>_xlfn.XLOOKUP($D121,Tab_Process_TCs[TC_ID],Tab_Process_TCs[Flow_ID_O_3],,0,)</f>
        <v>#N/A</v>
      </c>
      <c r="AP121" s="100" t="e">
        <f>Tab_Process_TCs2527[[#This Row],[Flow_ID]]</f>
        <v>#N/A</v>
      </c>
      <c r="AQ121" s="48" t="e">
        <f t="shared" si="26"/>
        <v>#N/A</v>
      </c>
      <c r="AR121" s="228"/>
      <c r="AS121" s="57" t="e">
        <f>_xlfn.XLOOKUP($D121,Tab_Process_TCs[TC_ID],#REF!,,0,)</f>
        <v>#REF!</v>
      </c>
      <c r="AT121" s="48" t="e">
        <f>_xlfn.XLOOKUP($D121,Tab_Process_TCs[TC_ID],#REF!,,0,)</f>
        <v>#REF!</v>
      </c>
      <c r="AU121" s="100" t="e">
        <f>Tab_Process_TCs2527[[#This Row],[Flow_ID]]</f>
        <v>#N/A</v>
      </c>
      <c r="AV121" s="100" t="e">
        <f t="shared" si="27"/>
        <v>#N/A</v>
      </c>
      <c r="AW121" s="228"/>
      <c r="AX121" s="57" t="e">
        <f>_xlfn.XLOOKUP($D121,Tab_Process_TCs[TC_ID],#REF!,,0,)</f>
        <v>#REF!</v>
      </c>
      <c r="AY121" s="48" t="e">
        <f>_xlfn.XLOOKUP($D121,Tab_Process_TCs[TC_ID],#REF!,,0,)</f>
        <v>#REF!</v>
      </c>
      <c r="AZ121" s="100" t="e">
        <f>Tab_Process_TCs2527[[#This Row],[Flow_ID]]</f>
        <v>#N/A</v>
      </c>
      <c r="BA121" s="100" t="e">
        <f t="shared" si="28"/>
        <v>#REF!</v>
      </c>
      <c r="BB121" s="228"/>
      <c r="BC121" s="48" t="e">
        <f>_xlfn.XLOOKUP($D121,Tab_Process_TCs[TC_ID],#REF!,,0,)</f>
        <v>#REF!</v>
      </c>
      <c r="BD121" s="48" t="e">
        <f>_xlfn.XLOOKUP($D121,Tab_Process_TCs[TC_ID],#REF!,,0,)</f>
        <v>#REF!</v>
      </c>
      <c r="BE121" s="100" t="e">
        <f>Tab_Process_TCs2527[[#This Row],[Flow_ID]]</f>
        <v>#N/A</v>
      </c>
      <c r="BF121" s="100" t="e">
        <f t="shared" si="29"/>
        <v>#REF!</v>
      </c>
      <c r="BG121" s="109"/>
      <c r="BH121" s="112">
        <f>Tab_Process_TCs2527[[#This Row],[TC O_6_'[%']]]+Tab_Process_TCs2527[[#This Row],[TC O_5_'[%']]]+Tab_Process_TCs2527[[#This Row],[TC_O_4_'[%']]]+Tab_Process_TCs2527[[#This Row],[TC_O_3_'[%']]]+Tab_Process_TCs2527[[#This Row],[TC_O_2_'[%']]]+Tab_Process_TCs2527[[#This Row],[TC_O_1_'[%']]]</f>
        <v>0</v>
      </c>
      <c r="BI121" s="50"/>
      <c r="BJ121" s="50"/>
      <c r="BK121" s="50"/>
      <c r="BL121" s="50"/>
      <c r="BM121" s="50"/>
    </row>
    <row r="122" spans="1:65" x14ac:dyDescent="0.25">
      <c r="A122" s="87" t="b">
        <v>0</v>
      </c>
      <c r="B122" s="48">
        <f t="shared" si="23"/>
        <v>121</v>
      </c>
      <c r="C122" s="107" t="e">
        <f>_xlfn.XLOOKUP($D122,Tab_Process_TCs[Name(EN)],Tab_Process_TCs[Process_ID],,0,)</f>
        <v>#N/A</v>
      </c>
      <c r="D122" s="50"/>
      <c r="E122" s="50" t="s">
        <v>55</v>
      </c>
      <c r="F122" s="48" t="e">
        <f>_xlfn.XLOOKUP($D122,Tab_Process_TCs[Name(EN)],Tab_Process_TCs[TC?],,0,)</f>
        <v>#N/A</v>
      </c>
      <c r="G122" s="48" t="e">
        <f>_xlfn.XLOOKUP($D122,Tab_Process_TCs[Name(EN)],Tab_Process_TCs[Dyn_TC?],,0,)</f>
        <v>#N/A</v>
      </c>
      <c r="H122" s="48" t="e">
        <f>_xlfn.XLOOKUP($E122,Tab_Def_Flows[Name(EN)],Tab_Def_Flows[Flow_ID],,0,1)</f>
        <v>#N/A</v>
      </c>
      <c r="I122" s="50" t="e">
        <f>IF(Tab_Process_TCs2527[[#This Row],[Name(EN)]]="N.A.","N.A.","TC"&amp;"_"&amp;RIGHT(H122,5))</f>
        <v>#N/A</v>
      </c>
      <c r="J122" s="50"/>
      <c r="K122" s="249"/>
      <c r="L122" s="50" t="e">
        <f>_xlfn.XLOOKUP($D122,Tab_Def_Processes[Name(EN)],Tab_Def_Processes[Stock?],,0,)</f>
        <v>#N/A</v>
      </c>
      <c r="M122" s="48"/>
      <c r="N122" s="57" t="e">
        <f>_xlfn.XLOOKUP($D122,Tab_Def_Processes[Name(EN)],Tab_Def_Processes[Input_Flow_I_1],,0,)</f>
        <v>#N/A</v>
      </c>
      <c r="O122" s="48" t="e">
        <f>_xlfn.XLOOKUP($D122,Tab_Def_Processes[Name(EN)],Tab_Def_Processes[Flow_ID_I_1],,0,)</f>
        <v>#N/A</v>
      </c>
      <c r="P122" s="76"/>
      <c r="Q122" s="71" t="e">
        <f>_xlfn.XLOOKUP($D122,Tab_Def_Processes[Name(EN)],Tab_Def_Processes[Input_Flow_I_2],,0,)</f>
        <v>#N/A</v>
      </c>
      <c r="R122" s="48" t="e">
        <f>_xlfn.XLOOKUP($D122,Tab_Def_Processes[Name(EN)],Tab_Def_Processes[Flow_ID_I_2],,0,)</f>
        <v>#N/A</v>
      </c>
      <c r="S122" s="76"/>
      <c r="T122" s="71" t="e">
        <f>_xlfn.XLOOKUP($D122,Tab_Def_Processes[Name(EN)],Tab_Def_Processes[Input_Flow_I_3],,0,)</f>
        <v>#N/A</v>
      </c>
      <c r="U122" s="48" t="e">
        <f>_xlfn.XLOOKUP($D122,Tab_Def_Processes[Name(EN)],Tab_Def_Processes[Flow_ID_I_3],,0,)</f>
        <v>#N/A</v>
      </c>
      <c r="V122" s="76"/>
      <c r="W122" s="71" t="e">
        <f>_xlfn.XLOOKUP($D122,Tab_Def_Processes[Name(EN)],Tab_Def_Processes[Input_Flow_I_4],,0,)</f>
        <v>#N/A</v>
      </c>
      <c r="X122" s="48" t="e">
        <f>_xlfn.XLOOKUP($D122,Tab_Def_Processes[Name(EN)],Tab_Def_Processes[Flow_ID_I_4],,0,)</f>
        <v>#N/A</v>
      </c>
      <c r="Y122" s="76"/>
      <c r="Z122" s="71" t="e">
        <f>_xlfn.XLOOKUP($D122,Tab_Def_Processes[Name(EN)],Tab_Def_Processes[Input_Flow_I_5],,0,)</f>
        <v>#N/A</v>
      </c>
      <c r="AA122" s="48" t="e">
        <f>_xlfn.XLOOKUP($D122,Tab_Def_Processes[Name(EN)],Tab_Def_Processes[Flow_ID_I_5],,0,)</f>
        <v>#N/A</v>
      </c>
      <c r="AB122" s="76"/>
      <c r="AC122" s="88">
        <f>Tab_Process_TCs2527[[#This Row],[Flow_TC_I_1_'[%']]]+Tab_Process_TCs2527[[#This Row],[Flow_TC_I_2_'[%']]]+Tab_Process_TCs2527[[#This Row],[Flow_TC_I_3_'[%']]]+Tab_Process_TCs2527[[#This Row],[Flow_TC_I_4_'[%']]]+Tab_Process_TCs2527[[#This Row],[Flow_TC_I_5_'[%']]]</f>
        <v>0</v>
      </c>
      <c r="AD122" s="57" t="e">
        <f>_xlfn.XLOOKUP($D122,Tab_Process_TCs[TC_ID],Tab_Process_TCs[Output_Flow_O_1],,0,)</f>
        <v>#N/A</v>
      </c>
      <c r="AE122" s="48" t="e">
        <f>_xlfn.XLOOKUP($D122,Tab_Process_TCs[TC_ID],Tab_Process_TCs[Flow_ID_O_1],,0,)</f>
        <v>#N/A</v>
      </c>
      <c r="AF122" s="100" t="e">
        <f>Tab_Process_TCs2527[[#This Row],[Flow_ID]]</f>
        <v>#N/A</v>
      </c>
      <c r="AG122" s="48" t="e">
        <f t="shared" si="24"/>
        <v>#N/A</v>
      </c>
      <c r="AH122" s="109"/>
      <c r="AI122" s="231" t="e">
        <f>_xlfn.XLOOKUP($D122,Tab_Process_TCs[TC_ID],Tab_Process_TCs[Output_Flow_O_2],,0,)</f>
        <v>#N/A</v>
      </c>
      <c r="AJ122" s="113" t="e">
        <f>_xlfn.XLOOKUP($D122,Tab_Process_TCs[TC_ID],Tab_Process_TCs[Flow_ID_O_2],,0,)</f>
        <v>#N/A</v>
      </c>
      <c r="AK122" s="100" t="e">
        <f>Tab_Process_TCs2527[[#This Row],[Flow_ID]]</f>
        <v>#N/A</v>
      </c>
      <c r="AL122" s="48" t="e">
        <f t="shared" si="25"/>
        <v>#N/A</v>
      </c>
      <c r="AM122" s="228"/>
      <c r="AN122" s="57" t="e">
        <f>_xlfn.XLOOKUP($D122,Tab_Process_TCs[TC_ID],Tab_Process_TCs[Output_Flow_O_3],,0,)</f>
        <v>#N/A</v>
      </c>
      <c r="AO122" s="48" t="e">
        <f>_xlfn.XLOOKUP($D122,Tab_Process_TCs[TC_ID],Tab_Process_TCs[Flow_ID_O_3],,0,)</f>
        <v>#N/A</v>
      </c>
      <c r="AP122" s="100" t="e">
        <f>Tab_Process_TCs2527[[#This Row],[Flow_ID]]</f>
        <v>#N/A</v>
      </c>
      <c r="AQ122" s="48" t="e">
        <f t="shared" si="26"/>
        <v>#N/A</v>
      </c>
      <c r="AR122" s="228"/>
      <c r="AS122" s="57" t="e">
        <f>_xlfn.XLOOKUP($D122,Tab_Process_TCs[TC_ID],#REF!,,0,)</f>
        <v>#REF!</v>
      </c>
      <c r="AT122" s="48" t="e">
        <f>_xlfn.XLOOKUP($D122,Tab_Process_TCs[TC_ID],#REF!,,0,)</f>
        <v>#REF!</v>
      </c>
      <c r="AU122" s="100" t="e">
        <f>Tab_Process_TCs2527[[#This Row],[Flow_ID]]</f>
        <v>#N/A</v>
      </c>
      <c r="AV122" s="100" t="e">
        <f t="shared" si="27"/>
        <v>#N/A</v>
      </c>
      <c r="AW122" s="228"/>
      <c r="AX122" s="57" t="e">
        <f>_xlfn.XLOOKUP($D122,Tab_Process_TCs[TC_ID],#REF!,,0,)</f>
        <v>#REF!</v>
      </c>
      <c r="AY122" s="48" t="e">
        <f>_xlfn.XLOOKUP($D122,Tab_Process_TCs[TC_ID],#REF!,,0,)</f>
        <v>#REF!</v>
      </c>
      <c r="AZ122" s="100" t="e">
        <f>Tab_Process_TCs2527[[#This Row],[Flow_ID]]</f>
        <v>#N/A</v>
      </c>
      <c r="BA122" s="100" t="e">
        <f t="shared" si="28"/>
        <v>#REF!</v>
      </c>
      <c r="BB122" s="228"/>
      <c r="BC122" s="48" t="e">
        <f>_xlfn.XLOOKUP($D122,Tab_Process_TCs[TC_ID],#REF!,,0,)</f>
        <v>#REF!</v>
      </c>
      <c r="BD122" s="48" t="e">
        <f>_xlfn.XLOOKUP($D122,Tab_Process_TCs[TC_ID],#REF!,,0,)</f>
        <v>#REF!</v>
      </c>
      <c r="BE122" s="100" t="e">
        <f>Tab_Process_TCs2527[[#This Row],[Flow_ID]]</f>
        <v>#N/A</v>
      </c>
      <c r="BF122" s="100" t="e">
        <f t="shared" si="29"/>
        <v>#REF!</v>
      </c>
      <c r="BG122" s="109"/>
      <c r="BH122" s="112">
        <f>Tab_Process_TCs2527[[#This Row],[TC O_6_'[%']]]+Tab_Process_TCs2527[[#This Row],[TC O_5_'[%']]]+Tab_Process_TCs2527[[#This Row],[TC_O_4_'[%']]]+Tab_Process_TCs2527[[#This Row],[TC_O_3_'[%']]]+Tab_Process_TCs2527[[#This Row],[TC_O_2_'[%']]]+Tab_Process_TCs2527[[#This Row],[TC_O_1_'[%']]]</f>
        <v>0</v>
      </c>
      <c r="BI122" s="50"/>
      <c r="BJ122" s="50"/>
      <c r="BK122" s="50"/>
      <c r="BL122" s="50"/>
      <c r="BM122" s="50"/>
    </row>
    <row r="123" spans="1:65" x14ac:dyDescent="0.25">
      <c r="A123" s="87" t="b">
        <v>0</v>
      </c>
      <c r="B123" s="48">
        <f t="shared" si="23"/>
        <v>122</v>
      </c>
      <c r="C123" s="107" t="e">
        <f>_xlfn.XLOOKUP($D123,Tab_Process_TCs[Name(EN)],Tab_Process_TCs[Process_ID],,0,)</f>
        <v>#N/A</v>
      </c>
      <c r="D123" s="50"/>
      <c r="E123" s="50" t="s">
        <v>55</v>
      </c>
      <c r="F123" s="48" t="e">
        <f>_xlfn.XLOOKUP($D123,Tab_Process_TCs[Name(EN)],Tab_Process_TCs[TC?],,0,)</f>
        <v>#N/A</v>
      </c>
      <c r="G123" s="48" t="e">
        <f>_xlfn.XLOOKUP($D123,Tab_Process_TCs[Name(EN)],Tab_Process_TCs[Dyn_TC?],,0,)</f>
        <v>#N/A</v>
      </c>
      <c r="H123" s="48" t="e">
        <f>_xlfn.XLOOKUP($E123,Tab_Def_Flows[Name(EN)],Tab_Def_Flows[Flow_ID],,0,1)</f>
        <v>#N/A</v>
      </c>
      <c r="I123" s="50" t="e">
        <f>IF(Tab_Process_TCs2527[[#This Row],[Name(EN)]]="N.A.","N.A.","TC"&amp;"_"&amp;RIGHT(H123,5))</f>
        <v>#N/A</v>
      </c>
      <c r="J123" s="50"/>
      <c r="K123" s="249"/>
      <c r="L123" s="50" t="e">
        <f>_xlfn.XLOOKUP($D123,Tab_Def_Processes[Name(EN)],Tab_Def_Processes[Stock?],,0,)</f>
        <v>#N/A</v>
      </c>
      <c r="M123" s="48"/>
      <c r="N123" s="57" t="e">
        <f>_xlfn.XLOOKUP($D123,Tab_Def_Processes[Name(EN)],Tab_Def_Processes[Input_Flow_I_1],,0,)</f>
        <v>#N/A</v>
      </c>
      <c r="O123" s="48" t="e">
        <f>_xlfn.XLOOKUP($D123,Tab_Def_Processes[Name(EN)],Tab_Def_Processes[Flow_ID_I_1],,0,)</f>
        <v>#N/A</v>
      </c>
      <c r="P123" s="76"/>
      <c r="Q123" s="71" t="e">
        <f>_xlfn.XLOOKUP($D123,Tab_Def_Processes[Name(EN)],Tab_Def_Processes[Input_Flow_I_2],,0,)</f>
        <v>#N/A</v>
      </c>
      <c r="R123" s="48" t="e">
        <f>_xlfn.XLOOKUP($D123,Tab_Def_Processes[Name(EN)],Tab_Def_Processes[Flow_ID_I_2],,0,)</f>
        <v>#N/A</v>
      </c>
      <c r="S123" s="76"/>
      <c r="T123" s="71" t="e">
        <f>_xlfn.XLOOKUP($D123,Tab_Def_Processes[Name(EN)],Tab_Def_Processes[Input_Flow_I_3],,0,)</f>
        <v>#N/A</v>
      </c>
      <c r="U123" s="48" t="e">
        <f>_xlfn.XLOOKUP($D123,Tab_Def_Processes[Name(EN)],Tab_Def_Processes[Flow_ID_I_3],,0,)</f>
        <v>#N/A</v>
      </c>
      <c r="V123" s="76"/>
      <c r="W123" s="71" t="e">
        <f>_xlfn.XLOOKUP($D123,Tab_Def_Processes[Name(EN)],Tab_Def_Processes[Input_Flow_I_4],,0,)</f>
        <v>#N/A</v>
      </c>
      <c r="X123" s="48" t="e">
        <f>_xlfn.XLOOKUP($D123,Tab_Def_Processes[Name(EN)],Tab_Def_Processes[Flow_ID_I_4],,0,)</f>
        <v>#N/A</v>
      </c>
      <c r="Y123" s="76"/>
      <c r="Z123" s="71" t="e">
        <f>_xlfn.XLOOKUP($D123,Tab_Def_Processes[Name(EN)],Tab_Def_Processes[Input_Flow_I_5],,0,)</f>
        <v>#N/A</v>
      </c>
      <c r="AA123" s="48" t="e">
        <f>_xlfn.XLOOKUP($D123,Tab_Def_Processes[Name(EN)],Tab_Def_Processes[Flow_ID_I_5],,0,)</f>
        <v>#N/A</v>
      </c>
      <c r="AB123" s="76"/>
      <c r="AC123" s="88">
        <f>Tab_Process_TCs2527[[#This Row],[Flow_TC_I_1_'[%']]]+Tab_Process_TCs2527[[#This Row],[Flow_TC_I_2_'[%']]]+Tab_Process_TCs2527[[#This Row],[Flow_TC_I_3_'[%']]]+Tab_Process_TCs2527[[#This Row],[Flow_TC_I_4_'[%']]]+Tab_Process_TCs2527[[#This Row],[Flow_TC_I_5_'[%']]]</f>
        <v>0</v>
      </c>
      <c r="AD123" s="57" t="e">
        <f>_xlfn.XLOOKUP($D123,Tab_Process_TCs[TC_ID],Tab_Process_TCs[Output_Flow_O_1],,0,)</f>
        <v>#N/A</v>
      </c>
      <c r="AE123" s="48" t="e">
        <f>_xlfn.XLOOKUP($D123,Tab_Process_TCs[TC_ID],Tab_Process_TCs[Flow_ID_O_1],,0,)</f>
        <v>#N/A</v>
      </c>
      <c r="AF123" s="100" t="e">
        <f>Tab_Process_TCs2527[[#This Row],[Flow_ID]]</f>
        <v>#N/A</v>
      </c>
      <c r="AG123" s="48" t="e">
        <f t="shared" si="24"/>
        <v>#N/A</v>
      </c>
      <c r="AH123" s="109"/>
      <c r="AI123" s="231" t="e">
        <f>_xlfn.XLOOKUP($D123,Tab_Process_TCs[TC_ID],Tab_Process_TCs[Output_Flow_O_2],,0,)</f>
        <v>#N/A</v>
      </c>
      <c r="AJ123" s="113" t="e">
        <f>_xlfn.XLOOKUP($D123,Tab_Process_TCs[TC_ID],Tab_Process_TCs[Flow_ID_O_2],,0,)</f>
        <v>#N/A</v>
      </c>
      <c r="AK123" s="100" t="e">
        <f>Tab_Process_TCs2527[[#This Row],[Flow_ID]]</f>
        <v>#N/A</v>
      </c>
      <c r="AL123" s="48" t="e">
        <f t="shared" si="25"/>
        <v>#N/A</v>
      </c>
      <c r="AM123" s="228"/>
      <c r="AN123" s="57" t="e">
        <f>_xlfn.XLOOKUP($D123,Tab_Process_TCs[TC_ID],Tab_Process_TCs[Output_Flow_O_3],,0,)</f>
        <v>#N/A</v>
      </c>
      <c r="AO123" s="48" t="e">
        <f>_xlfn.XLOOKUP($D123,Tab_Process_TCs[TC_ID],Tab_Process_TCs[Flow_ID_O_3],,0,)</f>
        <v>#N/A</v>
      </c>
      <c r="AP123" s="100" t="e">
        <f>Tab_Process_TCs2527[[#This Row],[Flow_ID]]</f>
        <v>#N/A</v>
      </c>
      <c r="AQ123" s="48" t="e">
        <f t="shared" si="26"/>
        <v>#N/A</v>
      </c>
      <c r="AR123" s="228"/>
      <c r="AS123" s="57" t="e">
        <f>_xlfn.XLOOKUP($D123,Tab_Process_TCs[TC_ID],#REF!,,0,)</f>
        <v>#REF!</v>
      </c>
      <c r="AT123" s="48" t="e">
        <f>_xlfn.XLOOKUP($D123,Tab_Process_TCs[TC_ID],#REF!,,0,)</f>
        <v>#REF!</v>
      </c>
      <c r="AU123" s="100" t="e">
        <f>Tab_Process_TCs2527[[#This Row],[Flow_ID]]</f>
        <v>#N/A</v>
      </c>
      <c r="AV123" s="100" t="e">
        <f t="shared" si="27"/>
        <v>#N/A</v>
      </c>
      <c r="AW123" s="228"/>
      <c r="AX123" s="57" t="e">
        <f>_xlfn.XLOOKUP($D123,Tab_Process_TCs[TC_ID],#REF!,,0,)</f>
        <v>#REF!</v>
      </c>
      <c r="AY123" s="48" t="e">
        <f>_xlfn.XLOOKUP($D123,Tab_Process_TCs[TC_ID],#REF!,,0,)</f>
        <v>#REF!</v>
      </c>
      <c r="AZ123" s="100" t="e">
        <f>Tab_Process_TCs2527[[#This Row],[Flow_ID]]</f>
        <v>#N/A</v>
      </c>
      <c r="BA123" s="100" t="e">
        <f t="shared" si="28"/>
        <v>#REF!</v>
      </c>
      <c r="BB123" s="228"/>
      <c r="BC123" s="48" t="e">
        <f>_xlfn.XLOOKUP($D123,Tab_Process_TCs[TC_ID],#REF!,,0,)</f>
        <v>#REF!</v>
      </c>
      <c r="BD123" s="48" t="e">
        <f>_xlfn.XLOOKUP($D123,Tab_Process_TCs[TC_ID],#REF!,,0,)</f>
        <v>#REF!</v>
      </c>
      <c r="BE123" s="100" t="e">
        <f>Tab_Process_TCs2527[[#This Row],[Flow_ID]]</f>
        <v>#N/A</v>
      </c>
      <c r="BF123" s="100" t="e">
        <f t="shared" si="29"/>
        <v>#REF!</v>
      </c>
      <c r="BG123" s="109"/>
      <c r="BH123" s="112">
        <f>Tab_Process_TCs2527[[#This Row],[TC O_6_'[%']]]+Tab_Process_TCs2527[[#This Row],[TC O_5_'[%']]]+Tab_Process_TCs2527[[#This Row],[TC_O_4_'[%']]]+Tab_Process_TCs2527[[#This Row],[TC_O_3_'[%']]]+Tab_Process_TCs2527[[#This Row],[TC_O_2_'[%']]]+Tab_Process_TCs2527[[#This Row],[TC_O_1_'[%']]]</f>
        <v>0</v>
      </c>
      <c r="BI123" s="50"/>
      <c r="BJ123" s="50"/>
      <c r="BK123" s="50"/>
      <c r="BL123" s="50"/>
      <c r="BM123" s="50"/>
    </row>
    <row r="124" spans="1:65" x14ac:dyDescent="0.25">
      <c r="A124" s="87" t="b">
        <v>0</v>
      </c>
      <c r="B124" s="48">
        <f t="shared" si="23"/>
        <v>123</v>
      </c>
      <c r="C124" s="107" t="e">
        <f>_xlfn.XLOOKUP($D124,Tab_Process_TCs[Name(EN)],Tab_Process_TCs[Process_ID],,0,)</f>
        <v>#N/A</v>
      </c>
      <c r="D124" s="50"/>
      <c r="E124" s="50" t="s">
        <v>55</v>
      </c>
      <c r="F124" s="48" t="e">
        <f>_xlfn.XLOOKUP($D124,Tab_Process_TCs[Name(EN)],Tab_Process_TCs[TC?],,0,)</f>
        <v>#N/A</v>
      </c>
      <c r="G124" s="48" t="e">
        <f>_xlfn.XLOOKUP($D124,Tab_Process_TCs[Name(EN)],Tab_Process_TCs[Dyn_TC?],,0,)</f>
        <v>#N/A</v>
      </c>
      <c r="H124" s="48" t="e">
        <f>_xlfn.XLOOKUP($E124,Tab_Def_Flows[Name(EN)],Tab_Def_Flows[Flow_ID],,0,1)</f>
        <v>#N/A</v>
      </c>
      <c r="I124" s="50" t="e">
        <f>IF(Tab_Process_TCs2527[[#This Row],[Name(EN)]]="N.A.","N.A.","TC"&amp;"_"&amp;RIGHT(H124,5))</f>
        <v>#N/A</v>
      </c>
      <c r="J124" s="50"/>
      <c r="K124" s="249"/>
      <c r="L124" s="50" t="e">
        <f>_xlfn.XLOOKUP($D124,Tab_Def_Processes[Name(EN)],Tab_Def_Processes[Stock?],,0,)</f>
        <v>#N/A</v>
      </c>
      <c r="M124" s="48"/>
      <c r="N124" s="57" t="e">
        <f>_xlfn.XLOOKUP($D124,Tab_Def_Processes[Name(EN)],Tab_Def_Processes[Input_Flow_I_1],,0,)</f>
        <v>#N/A</v>
      </c>
      <c r="O124" s="48" t="e">
        <f>_xlfn.XLOOKUP($D124,Tab_Def_Processes[Name(EN)],Tab_Def_Processes[Flow_ID_I_1],,0,)</f>
        <v>#N/A</v>
      </c>
      <c r="P124" s="76"/>
      <c r="Q124" s="71" t="e">
        <f>_xlfn.XLOOKUP($D124,Tab_Def_Processes[Name(EN)],Tab_Def_Processes[Input_Flow_I_2],,0,)</f>
        <v>#N/A</v>
      </c>
      <c r="R124" s="48" t="e">
        <f>_xlfn.XLOOKUP($D124,Tab_Def_Processes[Name(EN)],Tab_Def_Processes[Flow_ID_I_2],,0,)</f>
        <v>#N/A</v>
      </c>
      <c r="S124" s="76"/>
      <c r="T124" s="71" t="e">
        <f>_xlfn.XLOOKUP($D124,Tab_Def_Processes[Name(EN)],Tab_Def_Processes[Input_Flow_I_3],,0,)</f>
        <v>#N/A</v>
      </c>
      <c r="U124" s="48" t="e">
        <f>_xlfn.XLOOKUP($D124,Tab_Def_Processes[Name(EN)],Tab_Def_Processes[Flow_ID_I_3],,0,)</f>
        <v>#N/A</v>
      </c>
      <c r="V124" s="76"/>
      <c r="W124" s="71" t="e">
        <f>_xlfn.XLOOKUP($D124,Tab_Def_Processes[Name(EN)],Tab_Def_Processes[Input_Flow_I_4],,0,)</f>
        <v>#N/A</v>
      </c>
      <c r="X124" s="48" t="e">
        <f>_xlfn.XLOOKUP($D124,Tab_Def_Processes[Name(EN)],Tab_Def_Processes[Flow_ID_I_4],,0,)</f>
        <v>#N/A</v>
      </c>
      <c r="Y124" s="76"/>
      <c r="Z124" s="71" t="e">
        <f>_xlfn.XLOOKUP($D124,Tab_Def_Processes[Name(EN)],Tab_Def_Processes[Input_Flow_I_5],,0,)</f>
        <v>#N/A</v>
      </c>
      <c r="AA124" s="48" t="e">
        <f>_xlfn.XLOOKUP($D124,Tab_Def_Processes[Name(EN)],Tab_Def_Processes[Flow_ID_I_5],,0,)</f>
        <v>#N/A</v>
      </c>
      <c r="AB124" s="76"/>
      <c r="AC124" s="88">
        <f>Tab_Process_TCs2527[[#This Row],[Flow_TC_I_1_'[%']]]+Tab_Process_TCs2527[[#This Row],[Flow_TC_I_2_'[%']]]+Tab_Process_TCs2527[[#This Row],[Flow_TC_I_3_'[%']]]+Tab_Process_TCs2527[[#This Row],[Flow_TC_I_4_'[%']]]+Tab_Process_TCs2527[[#This Row],[Flow_TC_I_5_'[%']]]</f>
        <v>0</v>
      </c>
      <c r="AD124" s="57" t="e">
        <f>_xlfn.XLOOKUP($D124,Tab_Process_TCs[TC_ID],Tab_Process_TCs[Output_Flow_O_1],,0,)</f>
        <v>#N/A</v>
      </c>
      <c r="AE124" s="48" t="e">
        <f>_xlfn.XLOOKUP($D124,Tab_Process_TCs[TC_ID],Tab_Process_TCs[Flow_ID_O_1],,0,)</f>
        <v>#N/A</v>
      </c>
      <c r="AF124" s="100" t="e">
        <f>Tab_Process_TCs2527[[#This Row],[Flow_ID]]</f>
        <v>#N/A</v>
      </c>
      <c r="AG124" s="48" t="e">
        <f t="shared" si="24"/>
        <v>#N/A</v>
      </c>
      <c r="AH124" s="109"/>
      <c r="AI124" s="231" t="e">
        <f>_xlfn.XLOOKUP($D124,Tab_Process_TCs[TC_ID],Tab_Process_TCs[Output_Flow_O_2],,0,)</f>
        <v>#N/A</v>
      </c>
      <c r="AJ124" s="113" t="e">
        <f>_xlfn.XLOOKUP($D124,Tab_Process_TCs[TC_ID],Tab_Process_TCs[Flow_ID_O_2],,0,)</f>
        <v>#N/A</v>
      </c>
      <c r="AK124" s="100" t="e">
        <f>Tab_Process_TCs2527[[#This Row],[Flow_ID]]</f>
        <v>#N/A</v>
      </c>
      <c r="AL124" s="48" t="e">
        <f t="shared" si="25"/>
        <v>#N/A</v>
      </c>
      <c r="AM124" s="228"/>
      <c r="AN124" s="57" t="e">
        <f>_xlfn.XLOOKUP($D124,Tab_Process_TCs[TC_ID],Tab_Process_TCs[Output_Flow_O_3],,0,)</f>
        <v>#N/A</v>
      </c>
      <c r="AO124" s="48" t="e">
        <f>_xlfn.XLOOKUP($D124,Tab_Process_TCs[TC_ID],Tab_Process_TCs[Flow_ID_O_3],,0,)</f>
        <v>#N/A</v>
      </c>
      <c r="AP124" s="100" t="e">
        <f>Tab_Process_TCs2527[[#This Row],[Flow_ID]]</f>
        <v>#N/A</v>
      </c>
      <c r="AQ124" s="48" t="e">
        <f t="shared" si="26"/>
        <v>#N/A</v>
      </c>
      <c r="AR124" s="228"/>
      <c r="AS124" s="57" t="e">
        <f>_xlfn.XLOOKUP($D124,Tab_Process_TCs[TC_ID],#REF!,,0,)</f>
        <v>#REF!</v>
      </c>
      <c r="AT124" s="48" t="e">
        <f>_xlfn.XLOOKUP($D124,Tab_Process_TCs[TC_ID],#REF!,,0,)</f>
        <v>#REF!</v>
      </c>
      <c r="AU124" s="100" t="e">
        <f>Tab_Process_TCs2527[[#This Row],[Flow_ID]]</f>
        <v>#N/A</v>
      </c>
      <c r="AV124" s="100" t="e">
        <f t="shared" si="27"/>
        <v>#N/A</v>
      </c>
      <c r="AW124" s="228"/>
      <c r="AX124" s="57" t="e">
        <f>_xlfn.XLOOKUP($D124,Tab_Process_TCs[TC_ID],#REF!,,0,)</f>
        <v>#REF!</v>
      </c>
      <c r="AY124" s="48" t="e">
        <f>_xlfn.XLOOKUP($D124,Tab_Process_TCs[TC_ID],#REF!,,0,)</f>
        <v>#REF!</v>
      </c>
      <c r="AZ124" s="100" t="e">
        <f>Tab_Process_TCs2527[[#This Row],[Flow_ID]]</f>
        <v>#N/A</v>
      </c>
      <c r="BA124" s="100" t="e">
        <f t="shared" si="28"/>
        <v>#REF!</v>
      </c>
      <c r="BB124" s="228"/>
      <c r="BC124" s="48" t="e">
        <f>_xlfn.XLOOKUP($D124,Tab_Process_TCs[TC_ID],#REF!,,0,)</f>
        <v>#REF!</v>
      </c>
      <c r="BD124" s="48" t="e">
        <f>_xlfn.XLOOKUP($D124,Tab_Process_TCs[TC_ID],#REF!,,0,)</f>
        <v>#REF!</v>
      </c>
      <c r="BE124" s="100" t="e">
        <f>Tab_Process_TCs2527[[#This Row],[Flow_ID]]</f>
        <v>#N/A</v>
      </c>
      <c r="BF124" s="100" t="e">
        <f t="shared" si="29"/>
        <v>#REF!</v>
      </c>
      <c r="BG124" s="109"/>
      <c r="BH124" s="112">
        <f>Tab_Process_TCs2527[[#This Row],[TC O_6_'[%']]]+Tab_Process_TCs2527[[#This Row],[TC O_5_'[%']]]+Tab_Process_TCs2527[[#This Row],[TC_O_4_'[%']]]+Tab_Process_TCs2527[[#This Row],[TC_O_3_'[%']]]+Tab_Process_TCs2527[[#This Row],[TC_O_2_'[%']]]+Tab_Process_TCs2527[[#This Row],[TC_O_1_'[%']]]</f>
        <v>0</v>
      </c>
      <c r="BI124" s="50"/>
      <c r="BJ124" s="50"/>
      <c r="BK124" s="50"/>
      <c r="BL124" s="50"/>
      <c r="BM124" s="50"/>
    </row>
    <row r="125" spans="1:65" x14ac:dyDescent="0.25">
      <c r="A125" s="87" t="b">
        <v>0</v>
      </c>
      <c r="B125" s="48">
        <f t="shared" si="23"/>
        <v>124</v>
      </c>
      <c r="C125" s="107" t="e">
        <f>_xlfn.XLOOKUP($D125,Tab_Process_TCs[Name(EN)],Tab_Process_TCs[Process_ID],,0,)</f>
        <v>#N/A</v>
      </c>
      <c r="D125" s="50"/>
      <c r="E125" s="50" t="s">
        <v>55</v>
      </c>
      <c r="F125" s="48" t="e">
        <f>_xlfn.XLOOKUP($D125,Tab_Process_TCs[Name(EN)],Tab_Process_TCs[TC?],,0,)</f>
        <v>#N/A</v>
      </c>
      <c r="G125" s="48" t="e">
        <f>_xlfn.XLOOKUP($D125,Tab_Process_TCs[Name(EN)],Tab_Process_TCs[Dyn_TC?],,0,)</f>
        <v>#N/A</v>
      </c>
      <c r="H125" s="48" t="e">
        <f>_xlfn.XLOOKUP($E125,Tab_Def_Flows[Name(EN)],Tab_Def_Flows[Flow_ID],,0,1)</f>
        <v>#N/A</v>
      </c>
      <c r="I125" s="50" t="e">
        <f>IF(Tab_Process_TCs2527[[#This Row],[Name(EN)]]="N.A.","N.A.","TC"&amp;"_"&amp;RIGHT(H125,5))</f>
        <v>#N/A</v>
      </c>
      <c r="J125" s="50"/>
      <c r="K125" s="249"/>
      <c r="L125" s="50" t="e">
        <f>_xlfn.XLOOKUP($D125,Tab_Def_Processes[Name(EN)],Tab_Def_Processes[Stock?],,0,)</f>
        <v>#N/A</v>
      </c>
      <c r="M125" s="48"/>
      <c r="N125" s="57" t="e">
        <f>_xlfn.XLOOKUP($D125,Tab_Def_Processes[Name(EN)],Tab_Def_Processes[Input_Flow_I_1],,0,)</f>
        <v>#N/A</v>
      </c>
      <c r="O125" s="48" t="e">
        <f>_xlfn.XLOOKUP($D125,Tab_Def_Processes[Name(EN)],Tab_Def_Processes[Flow_ID_I_1],,0,)</f>
        <v>#N/A</v>
      </c>
      <c r="P125" s="76"/>
      <c r="Q125" s="71" t="e">
        <f>_xlfn.XLOOKUP($D125,Tab_Def_Processes[Name(EN)],Tab_Def_Processes[Input_Flow_I_2],,0,)</f>
        <v>#N/A</v>
      </c>
      <c r="R125" s="48" t="e">
        <f>_xlfn.XLOOKUP($D125,Tab_Def_Processes[Name(EN)],Tab_Def_Processes[Flow_ID_I_2],,0,)</f>
        <v>#N/A</v>
      </c>
      <c r="S125" s="76"/>
      <c r="T125" s="71" t="e">
        <f>_xlfn.XLOOKUP($D125,Tab_Def_Processes[Name(EN)],Tab_Def_Processes[Input_Flow_I_3],,0,)</f>
        <v>#N/A</v>
      </c>
      <c r="U125" s="48" t="e">
        <f>_xlfn.XLOOKUP($D125,Tab_Def_Processes[Name(EN)],Tab_Def_Processes[Flow_ID_I_3],,0,)</f>
        <v>#N/A</v>
      </c>
      <c r="V125" s="76"/>
      <c r="W125" s="71" t="e">
        <f>_xlfn.XLOOKUP($D125,Tab_Def_Processes[Name(EN)],Tab_Def_Processes[Input_Flow_I_4],,0,)</f>
        <v>#N/A</v>
      </c>
      <c r="X125" s="48" t="e">
        <f>_xlfn.XLOOKUP($D125,Tab_Def_Processes[Name(EN)],Tab_Def_Processes[Flow_ID_I_4],,0,)</f>
        <v>#N/A</v>
      </c>
      <c r="Y125" s="76"/>
      <c r="Z125" s="71" t="e">
        <f>_xlfn.XLOOKUP($D125,Tab_Def_Processes[Name(EN)],Tab_Def_Processes[Input_Flow_I_5],,0,)</f>
        <v>#N/A</v>
      </c>
      <c r="AA125" s="48" t="e">
        <f>_xlfn.XLOOKUP($D125,Tab_Def_Processes[Name(EN)],Tab_Def_Processes[Flow_ID_I_5],,0,)</f>
        <v>#N/A</v>
      </c>
      <c r="AB125" s="76"/>
      <c r="AC125" s="88">
        <f>Tab_Process_TCs2527[[#This Row],[Flow_TC_I_1_'[%']]]+Tab_Process_TCs2527[[#This Row],[Flow_TC_I_2_'[%']]]+Tab_Process_TCs2527[[#This Row],[Flow_TC_I_3_'[%']]]+Tab_Process_TCs2527[[#This Row],[Flow_TC_I_4_'[%']]]+Tab_Process_TCs2527[[#This Row],[Flow_TC_I_5_'[%']]]</f>
        <v>0</v>
      </c>
      <c r="AD125" s="57" t="e">
        <f>_xlfn.XLOOKUP($D125,Tab_Process_TCs[TC_ID],Tab_Process_TCs[Output_Flow_O_1],,0,)</f>
        <v>#N/A</v>
      </c>
      <c r="AE125" s="48" t="e">
        <f>_xlfn.XLOOKUP($D125,Tab_Process_TCs[TC_ID],Tab_Process_TCs[Flow_ID_O_1],,0,)</f>
        <v>#N/A</v>
      </c>
      <c r="AF125" s="100" t="e">
        <f>Tab_Process_TCs2527[[#This Row],[Flow_ID]]</f>
        <v>#N/A</v>
      </c>
      <c r="AG125" s="48" t="e">
        <f t="shared" si="24"/>
        <v>#N/A</v>
      </c>
      <c r="AH125" s="109"/>
      <c r="AI125" s="231" t="e">
        <f>_xlfn.XLOOKUP($D125,Tab_Process_TCs[TC_ID],Tab_Process_TCs[Output_Flow_O_2],,0,)</f>
        <v>#N/A</v>
      </c>
      <c r="AJ125" s="113" t="e">
        <f>_xlfn.XLOOKUP($D125,Tab_Process_TCs[TC_ID],Tab_Process_TCs[Flow_ID_O_2],,0,)</f>
        <v>#N/A</v>
      </c>
      <c r="AK125" s="100" t="e">
        <f>Tab_Process_TCs2527[[#This Row],[Flow_ID]]</f>
        <v>#N/A</v>
      </c>
      <c r="AL125" s="48" t="e">
        <f t="shared" si="25"/>
        <v>#N/A</v>
      </c>
      <c r="AM125" s="228"/>
      <c r="AN125" s="57" t="e">
        <f>_xlfn.XLOOKUP($D125,Tab_Process_TCs[TC_ID],Tab_Process_TCs[Output_Flow_O_3],,0,)</f>
        <v>#N/A</v>
      </c>
      <c r="AO125" s="48" t="e">
        <f>_xlfn.XLOOKUP($D125,Tab_Process_TCs[TC_ID],Tab_Process_TCs[Flow_ID_O_3],,0,)</f>
        <v>#N/A</v>
      </c>
      <c r="AP125" s="100" t="e">
        <f>Tab_Process_TCs2527[[#This Row],[Flow_ID]]</f>
        <v>#N/A</v>
      </c>
      <c r="AQ125" s="48" t="e">
        <f t="shared" si="26"/>
        <v>#N/A</v>
      </c>
      <c r="AR125" s="228"/>
      <c r="AS125" s="57" t="e">
        <f>_xlfn.XLOOKUP($D125,Tab_Process_TCs[TC_ID],#REF!,,0,)</f>
        <v>#REF!</v>
      </c>
      <c r="AT125" s="48" t="e">
        <f>_xlfn.XLOOKUP($D125,Tab_Process_TCs[TC_ID],#REF!,,0,)</f>
        <v>#REF!</v>
      </c>
      <c r="AU125" s="100" t="e">
        <f>Tab_Process_TCs2527[[#This Row],[Flow_ID]]</f>
        <v>#N/A</v>
      </c>
      <c r="AV125" s="100" t="e">
        <f t="shared" si="27"/>
        <v>#N/A</v>
      </c>
      <c r="AW125" s="228"/>
      <c r="AX125" s="57" t="e">
        <f>_xlfn.XLOOKUP($D125,Tab_Process_TCs[TC_ID],#REF!,,0,)</f>
        <v>#REF!</v>
      </c>
      <c r="AY125" s="48" t="e">
        <f>_xlfn.XLOOKUP($D125,Tab_Process_TCs[TC_ID],#REF!,,0,)</f>
        <v>#REF!</v>
      </c>
      <c r="AZ125" s="100" t="e">
        <f>Tab_Process_TCs2527[[#This Row],[Flow_ID]]</f>
        <v>#N/A</v>
      </c>
      <c r="BA125" s="100" t="e">
        <f t="shared" si="28"/>
        <v>#REF!</v>
      </c>
      <c r="BB125" s="228"/>
      <c r="BC125" s="48" t="e">
        <f>_xlfn.XLOOKUP($D125,Tab_Process_TCs[TC_ID],#REF!,,0,)</f>
        <v>#REF!</v>
      </c>
      <c r="BD125" s="48" t="e">
        <f>_xlfn.XLOOKUP($D125,Tab_Process_TCs[TC_ID],#REF!,,0,)</f>
        <v>#REF!</v>
      </c>
      <c r="BE125" s="100" t="e">
        <f>Tab_Process_TCs2527[[#This Row],[Flow_ID]]</f>
        <v>#N/A</v>
      </c>
      <c r="BF125" s="100" t="e">
        <f t="shared" si="29"/>
        <v>#REF!</v>
      </c>
      <c r="BG125" s="109"/>
      <c r="BH125" s="112">
        <f>Tab_Process_TCs2527[[#This Row],[TC O_6_'[%']]]+Tab_Process_TCs2527[[#This Row],[TC O_5_'[%']]]+Tab_Process_TCs2527[[#This Row],[TC_O_4_'[%']]]+Tab_Process_TCs2527[[#This Row],[TC_O_3_'[%']]]+Tab_Process_TCs2527[[#This Row],[TC_O_2_'[%']]]+Tab_Process_TCs2527[[#This Row],[TC_O_1_'[%']]]</f>
        <v>0</v>
      </c>
      <c r="BI125" s="50"/>
      <c r="BJ125" s="50"/>
      <c r="BK125" s="50"/>
      <c r="BL125" s="50"/>
      <c r="BM125" s="50"/>
    </row>
    <row r="126" spans="1:65" x14ac:dyDescent="0.25">
      <c r="A126" s="87" t="b">
        <v>0</v>
      </c>
      <c r="B126" s="48">
        <f t="shared" si="23"/>
        <v>125</v>
      </c>
      <c r="C126" s="107" t="e">
        <f>_xlfn.XLOOKUP($D126,Tab_Process_TCs[Name(EN)],Tab_Process_TCs[Process_ID],,0,)</f>
        <v>#N/A</v>
      </c>
      <c r="D126" s="50"/>
      <c r="E126" s="50" t="s">
        <v>55</v>
      </c>
      <c r="F126" s="48" t="e">
        <f>_xlfn.XLOOKUP($D126,Tab_Process_TCs[Name(EN)],Tab_Process_TCs[TC?],,0,)</f>
        <v>#N/A</v>
      </c>
      <c r="G126" s="48" t="e">
        <f>_xlfn.XLOOKUP($D126,Tab_Process_TCs[Name(EN)],Tab_Process_TCs[Dyn_TC?],,0,)</f>
        <v>#N/A</v>
      </c>
      <c r="H126" s="48" t="e">
        <f>_xlfn.XLOOKUP($E126,Tab_Def_Flows[Name(EN)],Tab_Def_Flows[Flow_ID],,0,1)</f>
        <v>#N/A</v>
      </c>
      <c r="I126" s="50" t="e">
        <f>IF(Tab_Process_TCs2527[[#This Row],[Name(EN)]]="N.A.","N.A.","TC"&amp;"_"&amp;RIGHT(H126,5))</f>
        <v>#N/A</v>
      </c>
      <c r="J126" s="50"/>
      <c r="K126" s="249"/>
      <c r="L126" s="50" t="e">
        <f>_xlfn.XLOOKUP($D126,Tab_Def_Processes[Name(EN)],Tab_Def_Processes[Stock?],,0,)</f>
        <v>#N/A</v>
      </c>
      <c r="M126" s="48"/>
      <c r="N126" s="57" t="e">
        <f>_xlfn.XLOOKUP($D126,Tab_Def_Processes[Name(EN)],Tab_Def_Processes[Input_Flow_I_1],,0,)</f>
        <v>#N/A</v>
      </c>
      <c r="O126" s="48" t="e">
        <f>_xlfn.XLOOKUP($D126,Tab_Def_Processes[Name(EN)],Tab_Def_Processes[Flow_ID_I_1],,0,)</f>
        <v>#N/A</v>
      </c>
      <c r="P126" s="76"/>
      <c r="Q126" s="71" t="e">
        <f>_xlfn.XLOOKUP($D126,Tab_Def_Processes[Name(EN)],Tab_Def_Processes[Input_Flow_I_2],,0,)</f>
        <v>#N/A</v>
      </c>
      <c r="R126" s="48" t="e">
        <f>_xlfn.XLOOKUP($D126,Tab_Def_Processes[Name(EN)],Tab_Def_Processes[Flow_ID_I_2],,0,)</f>
        <v>#N/A</v>
      </c>
      <c r="S126" s="76"/>
      <c r="T126" s="71" t="e">
        <f>_xlfn.XLOOKUP($D126,Tab_Def_Processes[Name(EN)],Tab_Def_Processes[Input_Flow_I_3],,0,)</f>
        <v>#N/A</v>
      </c>
      <c r="U126" s="48" t="e">
        <f>_xlfn.XLOOKUP($D126,Tab_Def_Processes[Name(EN)],Tab_Def_Processes[Flow_ID_I_3],,0,)</f>
        <v>#N/A</v>
      </c>
      <c r="V126" s="76"/>
      <c r="W126" s="71" t="e">
        <f>_xlfn.XLOOKUP($D126,Tab_Def_Processes[Name(EN)],Tab_Def_Processes[Input_Flow_I_4],,0,)</f>
        <v>#N/A</v>
      </c>
      <c r="X126" s="48" t="e">
        <f>_xlfn.XLOOKUP($D126,Tab_Def_Processes[Name(EN)],Tab_Def_Processes[Flow_ID_I_4],,0,)</f>
        <v>#N/A</v>
      </c>
      <c r="Y126" s="76"/>
      <c r="Z126" s="71" t="e">
        <f>_xlfn.XLOOKUP($D126,Tab_Def_Processes[Name(EN)],Tab_Def_Processes[Input_Flow_I_5],,0,)</f>
        <v>#N/A</v>
      </c>
      <c r="AA126" s="48" t="e">
        <f>_xlfn.XLOOKUP($D126,Tab_Def_Processes[Name(EN)],Tab_Def_Processes[Flow_ID_I_5],,0,)</f>
        <v>#N/A</v>
      </c>
      <c r="AB126" s="76"/>
      <c r="AC126" s="88">
        <f>Tab_Process_TCs2527[[#This Row],[Flow_TC_I_1_'[%']]]+Tab_Process_TCs2527[[#This Row],[Flow_TC_I_2_'[%']]]+Tab_Process_TCs2527[[#This Row],[Flow_TC_I_3_'[%']]]+Tab_Process_TCs2527[[#This Row],[Flow_TC_I_4_'[%']]]+Tab_Process_TCs2527[[#This Row],[Flow_TC_I_5_'[%']]]</f>
        <v>0</v>
      </c>
      <c r="AD126" s="57" t="e">
        <f>_xlfn.XLOOKUP($D126,Tab_Process_TCs[TC_ID],Tab_Process_TCs[Output_Flow_O_1],,0,)</f>
        <v>#N/A</v>
      </c>
      <c r="AE126" s="48" t="e">
        <f>_xlfn.XLOOKUP($D126,Tab_Process_TCs[TC_ID],Tab_Process_TCs[Flow_ID_O_1],,0,)</f>
        <v>#N/A</v>
      </c>
      <c r="AF126" s="100" t="e">
        <f>Tab_Process_TCs2527[[#This Row],[Flow_ID]]</f>
        <v>#N/A</v>
      </c>
      <c r="AG126" s="48" t="e">
        <f t="shared" si="24"/>
        <v>#N/A</v>
      </c>
      <c r="AH126" s="232"/>
      <c r="AI126" s="231" t="e">
        <f>_xlfn.XLOOKUP($D126,Tab_Process_TCs[TC_ID],Tab_Process_TCs[Output_Flow_O_2],,0,)</f>
        <v>#N/A</v>
      </c>
      <c r="AJ126" s="113" t="e">
        <f>_xlfn.XLOOKUP($D126,Tab_Process_TCs[TC_ID],Tab_Process_TCs[Flow_ID_O_2],,0,)</f>
        <v>#N/A</v>
      </c>
      <c r="AK126" s="100" t="e">
        <f>Tab_Process_TCs2527[[#This Row],[Flow_ID]]</f>
        <v>#N/A</v>
      </c>
      <c r="AL126" s="48" t="e">
        <f t="shared" si="25"/>
        <v>#N/A</v>
      </c>
      <c r="AM126" s="228"/>
      <c r="AN126" s="57" t="e">
        <f>_xlfn.XLOOKUP($D126,Tab_Process_TCs[TC_ID],Tab_Process_TCs[Output_Flow_O_3],,0,)</f>
        <v>#N/A</v>
      </c>
      <c r="AO126" s="48" t="e">
        <f>_xlfn.XLOOKUP($D126,Tab_Process_TCs[TC_ID],Tab_Process_TCs[Flow_ID_O_3],,0,)</f>
        <v>#N/A</v>
      </c>
      <c r="AP126" s="100" t="e">
        <f>Tab_Process_TCs2527[[#This Row],[Flow_ID]]</f>
        <v>#N/A</v>
      </c>
      <c r="AQ126" s="48" t="e">
        <f t="shared" si="26"/>
        <v>#N/A</v>
      </c>
      <c r="AR126" s="228"/>
      <c r="AS126" s="57" t="e">
        <f>_xlfn.XLOOKUP($D126,Tab_Process_TCs[TC_ID],#REF!,,0,)</f>
        <v>#REF!</v>
      </c>
      <c r="AT126" s="48" t="e">
        <f>_xlfn.XLOOKUP($D126,Tab_Process_TCs[TC_ID],#REF!,,0,)</f>
        <v>#REF!</v>
      </c>
      <c r="AU126" s="100" t="e">
        <f>Tab_Process_TCs2527[[#This Row],[Flow_ID]]</f>
        <v>#N/A</v>
      </c>
      <c r="AV126" s="100" t="e">
        <f t="shared" si="27"/>
        <v>#N/A</v>
      </c>
      <c r="AW126" s="228"/>
      <c r="AX126" s="57" t="e">
        <f>_xlfn.XLOOKUP($D126,Tab_Process_TCs[TC_ID],#REF!,,0,)</f>
        <v>#REF!</v>
      </c>
      <c r="AY126" s="48" t="e">
        <f>_xlfn.XLOOKUP($D126,Tab_Process_TCs[TC_ID],#REF!,,0,)</f>
        <v>#REF!</v>
      </c>
      <c r="AZ126" s="100" t="e">
        <f>Tab_Process_TCs2527[[#This Row],[Flow_ID]]</f>
        <v>#N/A</v>
      </c>
      <c r="BA126" s="100" t="e">
        <f t="shared" si="28"/>
        <v>#REF!</v>
      </c>
      <c r="BB126" s="228"/>
      <c r="BC126" s="48" t="e">
        <f>_xlfn.XLOOKUP($D126,Tab_Process_TCs[TC_ID],#REF!,,0,)</f>
        <v>#REF!</v>
      </c>
      <c r="BD126" s="48" t="e">
        <f>_xlfn.XLOOKUP($D126,Tab_Process_TCs[TC_ID],#REF!,,0,)</f>
        <v>#REF!</v>
      </c>
      <c r="BE126" s="100" t="e">
        <f>Tab_Process_TCs2527[[#This Row],[Flow_ID]]</f>
        <v>#N/A</v>
      </c>
      <c r="BF126" s="100" t="e">
        <f t="shared" si="29"/>
        <v>#REF!</v>
      </c>
      <c r="BG126" s="109"/>
      <c r="BH126" s="112">
        <f>Tab_Process_TCs2527[[#This Row],[TC O_6_'[%']]]+Tab_Process_TCs2527[[#This Row],[TC O_5_'[%']]]+Tab_Process_TCs2527[[#This Row],[TC_O_4_'[%']]]+Tab_Process_TCs2527[[#This Row],[TC_O_3_'[%']]]+Tab_Process_TCs2527[[#This Row],[TC_O_2_'[%']]]+Tab_Process_TCs2527[[#This Row],[TC_O_1_'[%']]]</f>
        <v>0</v>
      </c>
      <c r="BI126" s="50"/>
      <c r="BJ126" s="50"/>
      <c r="BK126" s="50"/>
      <c r="BL126" s="50"/>
      <c r="BM126" s="50"/>
    </row>
    <row r="127" spans="1:65" x14ac:dyDescent="0.25">
      <c r="A127" s="87" t="b">
        <v>0</v>
      </c>
      <c r="B127" s="48">
        <f t="shared" si="23"/>
        <v>126</v>
      </c>
      <c r="C127" s="107" t="e">
        <f>_xlfn.XLOOKUP($D127,Tab_Process_TCs[Name(EN)],Tab_Process_TCs[Process_ID],,0,)</f>
        <v>#N/A</v>
      </c>
      <c r="D127" s="50"/>
      <c r="E127" s="50" t="s">
        <v>55</v>
      </c>
      <c r="F127" s="48" t="e">
        <f>_xlfn.XLOOKUP($D127,Tab_Process_TCs[Name(EN)],Tab_Process_TCs[TC?],,0,)</f>
        <v>#N/A</v>
      </c>
      <c r="G127" s="48" t="e">
        <f>_xlfn.XLOOKUP($D127,Tab_Process_TCs[Name(EN)],Tab_Process_TCs[Dyn_TC?],,0,)</f>
        <v>#N/A</v>
      </c>
      <c r="H127" s="48" t="e">
        <f>_xlfn.XLOOKUP($E127,Tab_Def_Flows[Name(EN)],Tab_Def_Flows[Flow_ID],,0,1)</f>
        <v>#N/A</v>
      </c>
      <c r="I127" s="50" t="e">
        <f>IF(Tab_Process_TCs2527[[#This Row],[Name(EN)]]="N.A.","N.A.","TC"&amp;"_"&amp;RIGHT(H127,5))</f>
        <v>#N/A</v>
      </c>
      <c r="J127" s="50"/>
      <c r="K127" s="249"/>
      <c r="L127" s="50" t="e">
        <f>_xlfn.XLOOKUP($D127,Tab_Def_Processes[Name(EN)],Tab_Def_Processes[Stock?],,0,)</f>
        <v>#N/A</v>
      </c>
      <c r="M127" s="48"/>
      <c r="N127" s="57" t="e">
        <f>_xlfn.XLOOKUP($D127,Tab_Def_Processes[Name(EN)],Tab_Def_Processes[Input_Flow_I_1],,0,)</f>
        <v>#N/A</v>
      </c>
      <c r="O127" s="48" t="e">
        <f>_xlfn.XLOOKUP($D127,Tab_Def_Processes[Name(EN)],Tab_Def_Processes[Flow_ID_I_1],,0,)</f>
        <v>#N/A</v>
      </c>
      <c r="P127" s="76"/>
      <c r="Q127" s="71" t="e">
        <f>_xlfn.XLOOKUP($D127,Tab_Def_Processes[Name(EN)],Tab_Def_Processes[Input_Flow_I_2],,0,)</f>
        <v>#N/A</v>
      </c>
      <c r="R127" s="48" t="e">
        <f>_xlfn.XLOOKUP($D127,Tab_Def_Processes[Name(EN)],Tab_Def_Processes[Flow_ID_I_2],,0,)</f>
        <v>#N/A</v>
      </c>
      <c r="S127" s="76"/>
      <c r="T127" s="71" t="e">
        <f>_xlfn.XLOOKUP($D127,Tab_Def_Processes[Name(EN)],Tab_Def_Processes[Input_Flow_I_3],,0,)</f>
        <v>#N/A</v>
      </c>
      <c r="U127" s="48" t="e">
        <f>_xlfn.XLOOKUP($D127,Tab_Def_Processes[Name(EN)],Tab_Def_Processes[Flow_ID_I_3],,0,)</f>
        <v>#N/A</v>
      </c>
      <c r="V127" s="76"/>
      <c r="W127" s="71" t="e">
        <f>_xlfn.XLOOKUP($D127,Tab_Def_Processes[Name(EN)],Tab_Def_Processes[Input_Flow_I_4],,0,)</f>
        <v>#N/A</v>
      </c>
      <c r="X127" s="48" t="e">
        <f>_xlfn.XLOOKUP($D127,Tab_Def_Processes[Name(EN)],Tab_Def_Processes[Flow_ID_I_4],,0,)</f>
        <v>#N/A</v>
      </c>
      <c r="Y127" s="76"/>
      <c r="Z127" s="71" t="e">
        <f>_xlfn.XLOOKUP($D127,Tab_Def_Processes[Name(EN)],Tab_Def_Processes[Input_Flow_I_5],,0,)</f>
        <v>#N/A</v>
      </c>
      <c r="AA127" s="48" t="e">
        <f>_xlfn.XLOOKUP($D127,Tab_Def_Processes[Name(EN)],Tab_Def_Processes[Flow_ID_I_5],,0,)</f>
        <v>#N/A</v>
      </c>
      <c r="AB127" s="76"/>
      <c r="AC127" s="88">
        <f>Tab_Process_TCs2527[[#This Row],[Flow_TC_I_1_'[%']]]+Tab_Process_TCs2527[[#This Row],[Flow_TC_I_2_'[%']]]+Tab_Process_TCs2527[[#This Row],[Flow_TC_I_3_'[%']]]+Tab_Process_TCs2527[[#This Row],[Flow_TC_I_4_'[%']]]+Tab_Process_TCs2527[[#This Row],[Flow_TC_I_5_'[%']]]</f>
        <v>0</v>
      </c>
      <c r="AD127" s="57" t="e">
        <f>_xlfn.XLOOKUP($D127,Tab_Process_TCs[TC_ID],Tab_Process_TCs[Output_Flow_O_1],,0,)</f>
        <v>#N/A</v>
      </c>
      <c r="AE127" s="48" t="e">
        <f>_xlfn.XLOOKUP($D127,Tab_Process_TCs[TC_ID],Tab_Process_TCs[Flow_ID_O_1],,0,)</f>
        <v>#N/A</v>
      </c>
      <c r="AF127" s="100" t="e">
        <f>Tab_Process_TCs2527[[#This Row],[Flow_ID]]</f>
        <v>#N/A</v>
      </c>
      <c r="AG127" s="48" t="e">
        <f t="shared" si="24"/>
        <v>#N/A</v>
      </c>
      <c r="AH127" s="232"/>
      <c r="AI127" s="231" t="e">
        <f>_xlfn.XLOOKUP($D127,Tab_Process_TCs[TC_ID],Tab_Process_TCs[Output_Flow_O_2],,0,)</f>
        <v>#N/A</v>
      </c>
      <c r="AJ127" s="113" t="e">
        <f>_xlfn.XLOOKUP($D127,Tab_Process_TCs[TC_ID],Tab_Process_TCs[Flow_ID_O_2],,0,)</f>
        <v>#N/A</v>
      </c>
      <c r="AK127" s="100" t="e">
        <f>Tab_Process_TCs2527[[#This Row],[Flow_ID]]</f>
        <v>#N/A</v>
      </c>
      <c r="AL127" s="48" t="e">
        <f t="shared" si="25"/>
        <v>#N/A</v>
      </c>
      <c r="AM127" s="228"/>
      <c r="AN127" s="57" t="e">
        <f>_xlfn.XLOOKUP($D127,Tab_Process_TCs[TC_ID],Tab_Process_TCs[Output_Flow_O_3],,0,)</f>
        <v>#N/A</v>
      </c>
      <c r="AO127" s="48" t="e">
        <f>_xlfn.XLOOKUP($D127,Tab_Process_TCs[TC_ID],Tab_Process_TCs[Flow_ID_O_3],,0,)</f>
        <v>#N/A</v>
      </c>
      <c r="AP127" s="100" t="e">
        <f>Tab_Process_TCs2527[[#This Row],[Flow_ID]]</f>
        <v>#N/A</v>
      </c>
      <c r="AQ127" s="48" t="e">
        <f t="shared" si="26"/>
        <v>#N/A</v>
      </c>
      <c r="AR127" s="228"/>
      <c r="AS127" s="57" t="e">
        <f>_xlfn.XLOOKUP($D127,Tab_Process_TCs[TC_ID],#REF!,,0,)</f>
        <v>#REF!</v>
      </c>
      <c r="AT127" s="48" t="e">
        <f>_xlfn.XLOOKUP($D127,Tab_Process_TCs[TC_ID],#REF!,,0,)</f>
        <v>#REF!</v>
      </c>
      <c r="AU127" s="100" t="e">
        <f>Tab_Process_TCs2527[[#This Row],[Flow_ID]]</f>
        <v>#N/A</v>
      </c>
      <c r="AV127" s="100" t="e">
        <f t="shared" si="27"/>
        <v>#N/A</v>
      </c>
      <c r="AW127" s="228"/>
      <c r="AX127" s="57" t="e">
        <f>_xlfn.XLOOKUP($D127,Tab_Process_TCs[TC_ID],#REF!,,0,)</f>
        <v>#REF!</v>
      </c>
      <c r="AY127" s="48" t="e">
        <f>_xlfn.XLOOKUP($D127,Tab_Process_TCs[TC_ID],#REF!,,0,)</f>
        <v>#REF!</v>
      </c>
      <c r="AZ127" s="100" t="e">
        <f>Tab_Process_TCs2527[[#This Row],[Flow_ID]]</f>
        <v>#N/A</v>
      </c>
      <c r="BA127" s="100" t="e">
        <f t="shared" si="28"/>
        <v>#REF!</v>
      </c>
      <c r="BB127" s="228"/>
      <c r="BC127" s="48" t="e">
        <f>_xlfn.XLOOKUP($D127,Tab_Process_TCs[TC_ID],#REF!,,0,)</f>
        <v>#REF!</v>
      </c>
      <c r="BD127" s="48" t="e">
        <f>_xlfn.XLOOKUP($D127,Tab_Process_TCs[TC_ID],#REF!,,0,)</f>
        <v>#REF!</v>
      </c>
      <c r="BE127" s="100" t="e">
        <f>Tab_Process_TCs2527[[#This Row],[Flow_ID]]</f>
        <v>#N/A</v>
      </c>
      <c r="BF127" s="100" t="e">
        <f t="shared" si="29"/>
        <v>#REF!</v>
      </c>
      <c r="BG127" s="109"/>
      <c r="BH127" s="112">
        <f>Tab_Process_TCs2527[[#This Row],[TC O_6_'[%']]]+Tab_Process_TCs2527[[#This Row],[TC O_5_'[%']]]+Tab_Process_TCs2527[[#This Row],[TC_O_4_'[%']]]+Tab_Process_TCs2527[[#This Row],[TC_O_3_'[%']]]+Tab_Process_TCs2527[[#This Row],[TC_O_2_'[%']]]+Tab_Process_TCs2527[[#This Row],[TC_O_1_'[%']]]</f>
        <v>0</v>
      </c>
      <c r="BI127" s="50"/>
      <c r="BJ127" s="50"/>
      <c r="BK127" s="50"/>
      <c r="BL127" s="50"/>
      <c r="BM127" s="50"/>
    </row>
    <row r="128" spans="1:65" x14ac:dyDescent="0.25">
      <c r="A128" s="87" t="b">
        <v>0</v>
      </c>
      <c r="B128" s="48">
        <f t="shared" si="23"/>
        <v>127</v>
      </c>
      <c r="C128" s="107" t="e">
        <f>_xlfn.XLOOKUP($D128,Tab_Process_TCs[Name(EN)],Tab_Process_TCs[Process_ID],,0,)</f>
        <v>#N/A</v>
      </c>
      <c r="D128" s="50"/>
      <c r="E128" s="50" t="s">
        <v>55</v>
      </c>
      <c r="F128" s="48" t="e">
        <f>_xlfn.XLOOKUP($D128,Tab_Process_TCs[Name(EN)],Tab_Process_TCs[TC?],,0,)</f>
        <v>#N/A</v>
      </c>
      <c r="G128" s="48" t="e">
        <f>_xlfn.XLOOKUP($D128,Tab_Process_TCs[Name(EN)],Tab_Process_TCs[Dyn_TC?],,0,)</f>
        <v>#N/A</v>
      </c>
      <c r="H128" s="48" t="e">
        <f>_xlfn.XLOOKUP($E128,Tab_Def_Flows[Name(EN)],Tab_Def_Flows[Flow_ID],,0,1)</f>
        <v>#N/A</v>
      </c>
      <c r="I128" s="50" t="e">
        <f>IF(Tab_Process_TCs2527[[#This Row],[Name(EN)]]="N.A.","N.A.","TC"&amp;"_"&amp;RIGHT(H128,5))</f>
        <v>#N/A</v>
      </c>
      <c r="J128" s="50"/>
      <c r="K128" s="249"/>
      <c r="L128" s="50" t="e">
        <f>_xlfn.XLOOKUP($D128,Tab_Def_Processes[Name(EN)],Tab_Def_Processes[Stock?],,0,)</f>
        <v>#N/A</v>
      </c>
      <c r="M128" s="48"/>
      <c r="N128" s="57" t="e">
        <f>_xlfn.XLOOKUP($D128,Tab_Def_Processes[Name(EN)],Tab_Def_Processes[Input_Flow_I_1],,0,)</f>
        <v>#N/A</v>
      </c>
      <c r="O128" s="48" t="e">
        <f>_xlfn.XLOOKUP($D128,Tab_Def_Processes[Name(EN)],Tab_Def_Processes[Flow_ID_I_1],,0,)</f>
        <v>#N/A</v>
      </c>
      <c r="P128" s="76"/>
      <c r="Q128" s="71" t="e">
        <f>_xlfn.XLOOKUP($D128,Tab_Def_Processes[Name(EN)],Tab_Def_Processes[Input_Flow_I_2],,0,)</f>
        <v>#N/A</v>
      </c>
      <c r="R128" s="48" t="e">
        <f>_xlfn.XLOOKUP($D128,Tab_Def_Processes[Name(EN)],Tab_Def_Processes[Flow_ID_I_2],,0,)</f>
        <v>#N/A</v>
      </c>
      <c r="S128" s="76"/>
      <c r="T128" s="71" t="e">
        <f>_xlfn.XLOOKUP($D128,Tab_Def_Processes[Name(EN)],Tab_Def_Processes[Input_Flow_I_3],,0,)</f>
        <v>#N/A</v>
      </c>
      <c r="U128" s="48" t="e">
        <f>_xlfn.XLOOKUP($D128,Tab_Def_Processes[Name(EN)],Tab_Def_Processes[Flow_ID_I_3],,0,)</f>
        <v>#N/A</v>
      </c>
      <c r="V128" s="76"/>
      <c r="W128" s="71" t="e">
        <f>_xlfn.XLOOKUP($D128,Tab_Def_Processes[Name(EN)],Tab_Def_Processes[Input_Flow_I_4],,0,)</f>
        <v>#N/A</v>
      </c>
      <c r="X128" s="48" t="e">
        <f>_xlfn.XLOOKUP($D128,Tab_Def_Processes[Name(EN)],Tab_Def_Processes[Flow_ID_I_4],,0,)</f>
        <v>#N/A</v>
      </c>
      <c r="Y128" s="76"/>
      <c r="Z128" s="71" t="e">
        <f>_xlfn.XLOOKUP($D128,Tab_Def_Processes[Name(EN)],Tab_Def_Processes[Input_Flow_I_5],,0,)</f>
        <v>#N/A</v>
      </c>
      <c r="AA128" s="48" t="e">
        <f>_xlfn.XLOOKUP($D128,Tab_Def_Processes[Name(EN)],Tab_Def_Processes[Flow_ID_I_5],,0,)</f>
        <v>#N/A</v>
      </c>
      <c r="AB128" s="76"/>
      <c r="AC128" s="88">
        <f>Tab_Process_TCs2527[[#This Row],[Flow_TC_I_1_'[%']]]+Tab_Process_TCs2527[[#This Row],[Flow_TC_I_2_'[%']]]+Tab_Process_TCs2527[[#This Row],[Flow_TC_I_3_'[%']]]+Tab_Process_TCs2527[[#This Row],[Flow_TC_I_4_'[%']]]+Tab_Process_TCs2527[[#This Row],[Flow_TC_I_5_'[%']]]</f>
        <v>0</v>
      </c>
      <c r="AD128" s="57" t="e">
        <f>_xlfn.XLOOKUP($D128,Tab_Process_TCs[TC_ID],Tab_Process_TCs[Output_Flow_O_1],,0,)</f>
        <v>#N/A</v>
      </c>
      <c r="AE128" s="48" t="e">
        <f>_xlfn.XLOOKUP($D128,Tab_Process_TCs[TC_ID],Tab_Process_TCs[Flow_ID_O_1],,0,)</f>
        <v>#N/A</v>
      </c>
      <c r="AF128" s="100" t="e">
        <f>Tab_Process_TCs2527[[#This Row],[Flow_ID]]</f>
        <v>#N/A</v>
      </c>
      <c r="AG128" s="48" t="e">
        <f t="shared" si="24"/>
        <v>#N/A</v>
      </c>
      <c r="AH128" s="232"/>
      <c r="AI128" s="231" t="e">
        <f>_xlfn.XLOOKUP($D128,Tab_Process_TCs[TC_ID],Tab_Process_TCs[Output_Flow_O_2],,0,)</f>
        <v>#N/A</v>
      </c>
      <c r="AJ128" s="113" t="e">
        <f>_xlfn.XLOOKUP($D128,Tab_Process_TCs[TC_ID],Tab_Process_TCs[Flow_ID_O_2],,0,)</f>
        <v>#N/A</v>
      </c>
      <c r="AK128" s="100" t="e">
        <f>Tab_Process_TCs2527[[#This Row],[Flow_ID]]</f>
        <v>#N/A</v>
      </c>
      <c r="AL128" s="48" t="e">
        <f t="shared" si="25"/>
        <v>#N/A</v>
      </c>
      <c r="AM128" s="228"/>
      <c r="AN128" s="57" t="e">
        <f>_xlfn.XLOOKUP($D128,Tab_Process_TCs[TC_ID],Tab_Process_TCs[Output_Flow_O_3],,0,)</f>
        <v>#N/A</v>
      </c>
      <c r="AO128" s="48" t="e">
        <f>_xlfn.XLOOKUP($D128,Tab_Process_TCs[TC_ID],Tab_Process_TCs[Flow_ID_O_3],,0,)</f>
        <v>#N/A</v>
      </c>
      <c r="AP128" s="100" t="e">
        <f>Tab_Process_TCs2527[[#This Row],[Flow_ID]]</f>
        <v>#N/A</v>
      </c>
      <c r="AQ128" s="48" t="e">
        <f t="shared" si="26"/>
        <v>#N/A</v>
      </c>
      <c r="AR128" s="228"/>
      <c r="AS128" s="57" t="e">
        <f>_xlfn.XLOOKUP($D128,Tab_Process_TCs[TC_ID],#REF!,,0,)</f>
        <v>#REF!</v>
      </c>
      <c r="AT128" s="48" t="e">
        <f>_xlfn.XLOOKUP($D128,Tab_Process_TCs[TC_ID],#REF!,,0,)</f>
        <v>#REF!</v>
      </c>
      <c r="AU128" s="100" t="e">
        <f>Tab_Process_TCs2527[[#This Row],[Flow_ID]]</f>
        <v>#N/A</v>
      </c>
      <c r="AV128" s="100" t="e">
        <f t="shared" si="27"/>
        <v>#N/A</v>
      </c>
      <c r="AW128" s="228"/>
      <c r="AX128" s="57" t="e">
        <f>_xlfn.XLOOKUP($D128,Tab_Process_TCs[TC_ID],#REF!,,0,)</f>
        <v>#REF!</v>
      </c>
      <c r="AY128" s="48" t="e">
        <f>_xlfn.XLOOKUP($D128,Tab_Process_TCs[TC_ID],#REF!,,0,)</f>
        <v>#REF!</v>
      </c>
      <c r="AZ128" s="100" t="e">
        <f>Tab_Process_TCs2527[[#This Row],[Flow_ID]]</f>
        <v>#N/A</v>
      </c>
      <c r="BA128" s="100" t="e">
        <f t="shared" si="28"/>
        <v>#REF!</v>
      </c>
      <c r="BB128" s="228"/>
      <c r="BC128" s="48" t="e">
        <f>_xlfn.XLOOKUP($D128,Tab_Process_TCs[TC_ID],#REF!,,0,)</f>
        <v>#REF!</v>
      </c>
      <c r="BD128" s="48" t="e">
        <f>_xlfn.XLOOKUP($D128,Tab_Process_TCs[TC_ID],#REF!,,0,)</f>
        <v>#REF!</v>
      </c>
      <c r="BE128" s="100" t="e">
        <f>Tab_Process_TCs2527[[#This Row],[Flow_ID]]</f>
        <v>#N/A</v>
      </c>
      <c r="BF128" s="100" t="e">
        <f t="shared" si="29"/>
        <v>#REF!</v>
      </c>
      <c r="BG128" s="109"/>
      <c r="BH128" s="112">
        <f>Tab_Process_TCs2527[[#This Row],[TC O_6_'[%']]]+Tab_Process_TCs2527[[#This Row],[TC O_5_'[%']]]+Tab_Process_TCs2527[[#This Row],[TC_O_4_'[%']]]+Tab_Process_TCs2527[[#This Row],[TC_O_3_'[%']]]+Tab_Process_TCs2527[[#This Row],[TC_O_2_'[%']]]+Tab_Process_TCs2527[[#This Row],[TC_O_1_'[%']]]</f>
        <v>0</v>
      </c>
      <c r="BI128" s="50"/>
      <c r="BJ128" s="50"/>
      <c r="BK128" s="50"/>
      <c r="BL128" s="50"/>
      <c r="BM128" s="50"/>
    </row>
    <row r="129" spans="1:65" x14ac:dyDescent="0.25">
      <c r="A129" s="87" t="b">
        <v>0</v>
      </c>
      <c r="B129" s="48">
        <f t="shared" si="23"/>
        <v>128</v>
      </c>
      <c r="C129" s="107" t="e">
        <f>_xlfn.XLOOKUP($D129,Tab_Process_TCs[Name(EN)],Tab_Process_TCs[Process_ID],,0,)</f>
        <v>#N/A</v>
      </c>
      <c r="D129" s="50"/>
      <c r="E129" s="50" t="s">
        <v>55</v>
      </c>
      <c r="F129" s="48" t="e">
        <f>_xlfn.XLOOKUP($D129,Tab_Process_TCs[Name(EN)],Tab_Process_TCs[TC?],,0,)</f>
        <v>#N/A</v>
      </c>
      <c r="G129" s="48" t="e">
        <f>_xlfn.XLOOKUP($D129,Tab_Process_TCs[Name(EN)],Tab_Process_TCs[Dyn_TC?],,0,)</f>
        <v>#N/A</v>
      </c>
      <c r="H129" s="48" t="e">
        <f>_xlfn.XLOOKUP($E129,Tab_Def_Flows[Name(EN)],Tab_Def_Flows[Flow_ID],,0,1)</f>
        <v>#N/A</v>
      </c>
      <c r="I129" s="50" t="e">
        <f>IF(Tab_Process_TCs2527[[#This Row],[Name(EN)]]="N.A.","N.A.","TC"&amp;"_"&amp;RIGHT(H129,5))</f>
        <v>#N/A</v>
      </c>
      <c r="J129" s="50"/>
      <c r="K129" s="249"/>
      <c r="L129" s="50" t="e">
        <f>_xlfn.XLOOKUP($D129,Tab_Def_Processes[Name(EN)],Tab_Def_Processes[Stock?],,0,)</f>
        <v>#N/A</v>
      </c>
      <c r="M129" s="48"/>
      <c r="N129" s="57" t="e">
        <f>_xlfn.XLOOKUP($D129,Tab_Def_Processes[Name(EN)],Tab_Def_Processes[Input_Flow_I_1],,0,)</f>
        <v>#N/A</v>
      </c>
      <c r="O129" s="48" t="e">
        <f>_xlfn.XLOOKUP($D129,Tab_Def_Processes[Name(EN)],Tab_Def_Processes[Flow_ID_I_1],,0,)</f>
        <v>#N/A</v>
      </c>
      <c r="P129" s="76"/>
      <c r="Q129" s="71" t="e">
        <f>_xlfn.XLOOKUP($D129,Tab_Def_Processes[Name(EN)],Tab_Def_Processes[Input_Flow_I_2],,0,)</f>
        <v>#N/A</v>
      </c>
      <c r="R129" s="48" t="e">
        <f>_xlfn.XLOOKUP($D129,Tab_Def_Processes[Name(EN)],Tab_Def_Processes[Flow_ID_I_2],,0,)</f>
        <v>#N/A</v>
      </c>
      <c r="S129" s="76"/>
      <c r="T129" s="71" t="e">
        <f>_xlfn.XLOOKUP($D129,Tab_Def_Processes[Name(EN)],Tab_Def_Processes[Input_Flow_I_3],,0,)</f>
        <v>#N/A</v>
      </c>
      <c r="U129" s="48" t="e">
        <f>_xlfn.XLOOKUP($D129,Tab_Def_Processes[Name(EN)],Tab_Def_Processes[Flow_ID_I_3],,0,)</f>
        <v>#N/A</v>
      </c>
      <c r="V129" s="76"/>
      <c r="W129" s="71" t="e">
        <f>_xlfn.XLOOKUP($D129,Tab_Def_Processes[Name(EN)],Tab_Def_Processes[Input_Flow_I_4],,0,)</f>
        <v>#N/A</v>
      </c>
      <c r="X129" s="48" t="e">
        <f>_xlfn.XLOOKUP($D129,Tab_Def_Processes[Name(EN)],Tab_Def_Processes[Flow_ID_I_4],,0,)</f>
        <v>#N/A</v>
      </c>
      <c r="Y129" s="76"/>
      <c r="Z129" s="71" t="e">
        <f>_xlfn.XLOOKUP($D129,Tab_Def_Processes[Name(EN)],Tab_Def_Processes[Input_Flow_I_5],,0,)</f>
        <v>#N/A</v>
      </c>
      <c r="AA129" s="48" t="e">
        <f>_xlfn.XLOOKUP($D129,Tab_Def_Processes[Name(EN)],Tab_Def_Processes[Flow_ID_I_5],,0,)</f>
        <v>#N/A</v>
      </c>
      <c r="AB129" s="76"/>
      <c r="AC129" s="88">
        <f>Tab_Process_TCs2527[[#This Row],[Flow_TC_I_1_'[%']]]+Tab_Process_TCs2527[[#This Row],[Flow_TC_I_2_'[%']]]+Tab_Process_TCs2527[[#This Row],[Flow_TC_I_3_'[%']]]+Tab_Process_TCs2527[[#This Row],[Flow_TC_I_4_'[%']]]+Tab_Process_TCs2527[[#This Row],[Flow_TC_I_5_'[%']]]</f>
        <v>0</v>
      </c>
      <c r="AD129" s="57" t="e">
        <f>_xlfn.XLOOKUP($D129,Tab_Process_TCs[TC_ID],Tab_Process_TCs[Output_Flow_O_1],,0,)</f>
        <v>#N/A</v>
      </c>
      <c r="AE129" s="48" t="e">
        <f>_xlfn.XLOOKUP($D129,Tab_Process_TCs[TC_ID],Tab_Process_TCs[Flow_ID_O_1],,0,)</f>
        <v>#N/A</v>
      </c>
      <c r="AF129" s="100" t="e">
        <f>Tab_Process_TCs2527[[#This Row],[Flow_ID]]</f>
        <v>#N/A</v>
      </c>
      <c r="AG129" s="48" t="e">
        <f t="shared" si="24"/>
        <v>#N/A</v>
      </c>
      <c r="AH129" s="232"/>
      <c r="AI129" s="231" t="e">
        <f>_xlfn.XLOOKUP($D129,Tab_Process_TCs[TC_ID],Tab_Process_TCs[Output_Flow_O_2],,0,)</f>
        <v>#N/A</v>
      </c>
      <c r="AJ129" s="113" t="e">
        <f>_xlfn.XLOOKUP($D129,Tab_Process_TCs[TC_ID],Tab_Process_TCs[Flow_ID_O_2],,0,)</f>
        <v>#N/A</v>
      </c>
      <c r="AK129" s="100" t="e">
        <f>Tab_Process_TCs2527[[#This Row],[Flow_ID]]</f>
        <v>#N/A</v>
      </c>
      <c r="AL129" s="48" t="e">
        <f t="shared" si="25"/>
        <v>#N/A</v>
      </c>
      <c r="AM129" s="228"/>
      <c r="AN129" s="57" t="e">
        <f>_xlfn.XLOOKUP($D129,Tab_Process_TCs[TC_ID],Tab_Process_TCs[Output_Flow_O_3],,0,)</f>
        <v>#N/A</v>
      </c>
      <c r="AO129" s="48" t="e">
        <f>_xlfn.XLOOKUP($D129,Tab_Process_TCs[TC_ID],Tab_Process_TCs[Flow_ID_O_3],,0,)</f>
        <v>#N/A</v>
      </c>
      <c r="AP129" s="100" t="e">
        <f>Tab_Process_TCs2527[[#This Row],[Flow_ID]]</f>
        <v>#N/A</v>
      </c>
      <c r="AQ129" s="48" t="e">
        <f t="shared" si="26"/>
        <v>#N/A</v>
      </c>
      <c r="AR129" s="228"/>
      <c r="AS129" s="57" t="e">
        <f>_xlfn.XLOOKUP($D129,Tab_Process_TCs[TC_ID],#REF!,,0,)</f>
        <v>#REF!</v>
      </c>
      <c r="AT129" s="48" t="e">
        <f>_xlfn.XLOOKUP($D129,Tab_Process_TCs[TC_ID],#REF!,,0,)</f>
        <v>#REF!</v>
      </c>
      <c r="AU129" s="100" t="e">
        <f>Tab_Process_TCs2527[[#This Row],[Flow_ID]]</f>
        <v>#N/A</v>
      </c>
      <c r="AV129" s="100" t="e">
        <f t="shared" si="27"/>
        <v>#N/A</v>
      </c>
      <c r="AW129" s="228"/>
      <c r="AX129" s="57" t="e">
        <f>_xlfn.XLOOKUP($D129,Tab_Process_TCs[TC_ID],#REF!,,0,)</f>
        <v>#REF!</v>
      </c>
      <c r="AY129" s="48" t="e">
        <f>_xlfn.XLOOKUP($D129,Tab_Process_TCs[TC_ID],#REF!,,0,)</f>
        <v>#REF!</v>
      </c>
      <c r="AZ129" s="100" t="e">
        <f>Tab_Process_TCs2527[[#This Row],[Flow_ID]]</f>
        <v>#N/A</v>
      </c>
      <c r="BA129" s="100" t="e">
        <f t="shared" si="28"/>
        <v>#REF!</v>
      </c>
      <c r="BB129" s="228"/>
      <c r="BC129" s="48" t="e">
        <f>_xlfn.XLOOKUP($D129,Tab_Process_TCs[TC_ID],#REF!,,0,)</f>
        <v>#REF!</v>
      </c>
      <c r="BD129" s="48" t="e">
        <f>_xlfn.XLOOKUP($D129,Tab_Process_TCs[TC_ID],#REF!,,0,)</f>
        <v>#REF!</v>
      </c>
      <c r="BE129" s="100" t="e">
        <f>Tab_Process_TCs2527[[#This Row],[Flow_ID]]</f>
        <v>#N/A</v>
      </c>
      <c r="BF129" s="100" t="e">
        <f t="shared" si="29"/>
        <v>#REF!</v>
      </c>
      <c r="BG129" s="109"/>
      <c r="BH129" s="112">
        <f>Tab_Process_TCs2527[[#This Row],[TC O_6_'[%']]]+Tab_Process_TCs2527[[#This Row],[TC O_5_'[%']]]+Tab_Process_TCs2527[[#This Row],[TC_O_4_'[%']]]+Tab_Process_TCs2527[[#This Row],[TC_O_3_'[%']]]+Tab_Process_TCs2527[[#This Row],[TC_O_2_'[%']]]+Tab_Process_TCs2527[[#This Row],[TC_O_1_'[%']]]</f>
        <v>0</v>
      </c>
      <c r="BI129" s="50"/>
      <c r="BJ129" s="50"/>
      <c r="BK129" s="50"/>
      <c r="BL129" s="50"/>
      <c r="BM129" s="50"/>
    </row>
    <row r="130" spans="1:65" x14ac:dyDescent="0.25">
      <c r="A130" s="87" t="b">
        <v>0</v>
      </c>
      <c r="B130" s="48">
        <f t="shared" ref="B130:B151" si="30">ROW()-1</f>
        <v>129</v>
      </c>
      <c r="C130" s="107" t="e">
        <f>_xlfn.XLOOKUP($D130,Tab_Process_TCs[Name(EN)],Tab_Process_TCs[Process_ID],,0,)</f>
        <v>#N/A</v>
      </c>
      <c r="D130" s="50"/>
      <c r="E130" s="50" t="s">
        <v>55</v>
      </c>
      <c r="F130" s="48" t="e">
        <f>_xlfn.XLOOKUP($D130,Tab_Process_TCs[Name(EN)],Tab_Process_TCs[TC?],,0,)</f>
        <v>#N/A</v>
      </c>
      <c r="G130" s="48" t="e">
        <f>_xlfn.XLOOKUP($D130,Tab_Process_TCs[Name(EN)],Tab_Process_TCs[Dyn_TC?],,0,)</f>
        <v>#N/A</v>
      </c>
      <c r="H130" s="48" t="e">
        <f>_xlfn.XLOOKUP($E130,Tab_Def_Flows[Name(EN)],Tab_Def_Flows[Flow_ID],,0,1)</f>
        <v>#N/A</v>
      </c>
      <c r="I130" s="50" t="e">
        <f>IF(Tab_Process_TCs2527[[#This Row],[Name(EN)]]="N.A.","N.A.","TC"&amp;"_"&amp;RIGHT(H130,5))</f>
        <v>#N/A</v>
      </c>
      <c r="J130" s="50"/>
      <c r="K130" s="249"/>
      <c r="L130" s="50" t="e">
        <f>_xlfn.XLOOKUP($D130,Tab_Def_Processes[Name(EN)],Tab_Def_Processes[Stock?],,0,)</f>
        <v>#N/A</v>
      </c>
      <c r="M130" s="48"/>
      <c r="N130" s="57" t="e">
        <f>_xlfn.XLOOKUP($D130,Tab_Def_Processes[Name(EN)],Tab_Def_Processes[Input_Flow_I_1],,0,)</f>
        <v>#N/A</v>
      </c>
      <c r="O130" s="48" t="e">
        <f>_xlfn.XLOOKUP($D130,Tab_Def_Processes[Name(EN)],Tab_Def_Processes[Flow_ID_I_1],,0,)</f>
        <v>#N/A</v>
      </c>
      <c r="P130" s="76"/>
      <c r="Q130" s="71" t="e">
        <f>_xlfn.XLOOKUP($D130,Tab_Def_Processes[Name(EN)],Tab_Def_Processes[Input_Flow_I_2],,0,)</f>
        <v>#N/A</v>
      </c>
      <c r="R130" s="48" t="e">
        <f>_xlfn.XLOOKUP($D130,Tab_Def_Processes[Name(EN)],Tab_Def_Processes[Flow_ID_I_2],,0,)</f>
        <v>#N/A</v>
      </c>
      <c r="S130" s="76"/>
      <c r="T130" s="71" t="e">
        <f>_xlfn.XLOOKUP($D130,Tab_Def_Processes[Name(EN)],Tab_Def_Processes[Input_Flow_I_3],,0,)</f>
        <v>#N/A</v>
      </c>
      <c r="U130" s="48" t="e">
        <f>_xlfn.XLOOKUP($D130,Tab_Def_Processes[Name(EN)],Tab_Def_Processes[Flow_ID_I_3],,0,)</f>
        <v>#N/A</v>
      </c>
      <c r="V130" s="76"/>
      <c r="W130" s="71" t="e">
        <f>_xlfn.XLOOKUP($D130,Tab_Def_Processes[Name(EN)],Tab_Def_Processes[Input_Flow_I_4],,0,)</f>
        <v>#N/A</v>
      </c>
      <c r="X130" s="48" t="e">
        <f>_xlfn.XLOOKUP($D130,Tab_Def_Processes[Name(EN)],Tab_Def_Processes[Flow_ID_I_4],,0,)</f>
        <v>#N/A</v>
      </c>
      <c r="Y130" s="76"/>
      <c r="Z130" s="71" t="e">
        <f>_xlfn.XLOOKUP($D130,Tab_Def_Processes[Name(EN)],Tab_Def_Processes[Input_Flow_I_5],,0,)</f>
        <v>#N/A</v>
      </c>
      <c r="AA130" s="48" t="e">
        <f>_xlfn.XLOOKUP($D130,Tab_Def_Processes[Name(EN)],Tab_Def_Processes[Flow_ID_I_5],,0,)</f>
        <v>#N/A</v>
      </c>
      <c r="AB130" s="76"/>
      <c r="AC130" s="88">
        <f>Tab_Process_TCs2527[[#This Row],[Flow_TC_I_1_'[%']]]+Tab_Process_TCs2527[[#This Row],[Flow_TC_I_2_'[%']]]+Tab_Process_TCs2527[[#This Row],[Flow_TC_I_3_'[%']]]+Tab_Process_TCs2527[[#This Row],[Flow_TC_I_4_'[%']]]+Tab_Process_TCs2527[[#This Row],[Flow_TC_I_5_'[%']]]</f>
        <v>0</v>
      </c>
      <c r="AD130" s="57" t="e">
        <f>_xlfn.XLOOKUP($D130,Tab_Process_TCs[TC_ID],Tab_Process_TCs[Output_Flow_O_1],,0,)</f>
        <v>#N/A</v>
      </c>
      <c r="AE130" s="48" t="e">
        <f>_xlfn.XLOOKUP($D130,Tab_Process_TCs[TC_ID],Tab_Process_TCs[Flow_ID_O_1],,0,)</f>
        <v>#N/A</v>
      </c>
      <c r="AF130" s="100" t="e">
        <f>Tab_Process_TCs2527[[#This Row],[Flow_ID]]</f>
        <v>#N/A</v>
      </c>
      <c r="AG130" s="48" t="e">
        <f t="shared" ref="AG130:AG151" si="31">"TC"&amp;"_"&amp;RIGHT(AE130,5)</f>
        <v>#N/A</v>
      </c>
      <c r="AH130" s="232"/>
      <c r="AI130" s="231" t="e">
        <f>_xlfn.XLOOKUP($D130,Tab_Process_TCs[TC_ID],Tab_Process_TCs[Output_Flow_O_2],,0,)</f>
        <v>#N/A</v>
      </c>
      <c r="AJ130" s="113" t="e">
        <f>_xlfn.XLOOKUP($D130,Tab_Process_TCs[TC_ID],Tab_Process_TCs[Flow_ID_O_2],,0,)</f>
        <v>#N/A</v>
      </c>
      <c r="AK130" s="100" t="e">
        <f>Tab_Process_TCs2527[[#This Row],[Flow_ID]]</f>
        <v>#N/A</v>
      </c>
      <c r="AL130" s="48" t="e">
        <f t="shared" ref="AL130:AL151" si="32">"TC"&amp;"_"&amp;RIGHT(AJ130,5)</f>
        <v>#N/A</v>
      </c>
      <c r="AM130" s="228"/>
      <c r="AN130" s="57" t="e">
        <f>_xlfn.XLOOKUP($D130,Tab_Process_TCs[TC_ID],Tab_Process_TCs[Output_Flow_O_3],,0,)</f>
        <v>#N/A</v>
      </c>
      <c r="AO130" s="48" t="e">
        <f>_xlfn.XLOOKUP($D130,Tab_Process_TCs[TC_ID],Tab_Process_TCs[Flow_ID_O_3],,0,)</f>
        <v>#N/A</v>
      </c>
      <c r="AP130" s="100" t="e">
        <f>Tab_Process_TCs2527[[#This Row],[Flow_ID]]</f>
        <v>#N/A</v>
      </c>
      <c r="AQ130" s="48" t="e">
        <f t="shared" ref="AQ130:AQ151" si="33">"TC"&amp;"_"&amp;RIGHT(AO130,5)</f>
        <v>#N/A</v>
      </c>
      <c r="AR130" s="228"/>
      <c r="AS130" s="57" t="e">
        <f>_xlfn.XLOOKUP($D130,Tab_Process_TCs[TC_ID],#REF!,,0,)</f>
        <v>#REF!</v>
      </c>
      <c r="AT130" s="48" t="e">
        <f>_xlfn.XLOOKUP($D130,Tab_Process_TCs[TC_ID],#REF!,,0,)</f>
        <v>#REF!</v>
      </c>
      <c r="AU130" s="100" t="e">
        <f>Tab_Process_TCs2527[[#This Row],[Flow_ID]]</f>
        <v>#N/A</v>
      </c>
      <c r="AV130" s="100" t="e">
        <f t="shared" ref="AV130:AV151" si="34">"TC"&amp;"_"&amp;RIGHT(AO130,5)</f>
        <v>#N/A</v>
      </c>
      <c r="AW130" s="228"/>
      <c r="AX130" s="57" t="e">
        <f>_xlfn.XLOOKUP($D130,Tab_Process_TCs[TC_ID],#REF!,,0,)</f>
        <v>#REF!</v>
      </c>
      <c r="AY130" s="48" t="e">
        <f>_xlfn.XLOOKUP($D130,Tab_Process_TCs[TC_ID],#REF!,,0,)</f>
        <v>#REF!</v>
      </c>
      <c r="AZ130" s="100" t="e">
        <f>Tab_Process_TCs2527[[#This Row],[Flow_ID]]</f>
        <v>#N/A</v>
      </c>
      <c r="BA130" s="100" t="e">
        <f t="shared" ref="BA130:BA151" si="35">"TC"&amp;"_"&amp;RIGHT(AY130,5)</f>
        <v>#REF!</v>
      </c>
      <c r="BB130" s="228"/>
      <c r="BC130" s="48" t="e">
        <f>_xlfn.XLOOKUP($D130,Tab_Process_TCs[TC_ID],#REF!,,0,)</f>
        <v>#REF!</v>
      </c>
      <c r="BD130" s="48" t="e">
        <f>_xlfn.XLOOKUP($D130,Tab_Process_TCs[TC_ID],#REF!,,0,)</f>
        <v>#REF!</v>
      </c>
      <c r="BE130" s="100" t="e">
        <f>Tab_Process_TCs2527[[#This Row],[Flow_ID]]</f>
        <v>#N/A</v>
      </c>
      <c r="BF130" s="100" t="e">
        <f t="shared" ref="BF130:BF151" si="36">"TC"&amp;"_"&amp;RIGHT(BD130,5)</f>
        <v>#REF!</v>
      </c>
      <c r="BG130" s="109"/>
      <c r="BH130" s="112">
        <f>Tab_Process_TCs2527[[#This Row],[TC O_6_'[%']]]+Tab_Process_TCs2527[[#This Row],[TC O_5_'[%']]]+Tab_Process_TCs2527[[#This Row],[TC_O_4_'[%']]]+Tab_Process_TCs2527[[#This Row],[TC_O_3_'[%']]]+Tab_Process_TCs2527[[#This Row],[TC_O_2_'[%']]]+Tab_Process_TCs2527[[#This Row],[TC_O_1_'[%']]]</f>
        <v>0</v>
      </c>
      <c r="BI130" s="50"/>
      <c r="BJ130" s="50"/>
      <c r="BK130" s="50"/>
      <c r="BL130" s="50"/>
      <c r="BM130" s="50"/>
    </row>
    <row r="131" spans="1:65" x14ac:dyDescent="0.25">
      <c r="A131" s="87" t="b">
        <v>0</v>
      </c>
      <c r="B131" s="48">
        <f t="shared" si="30"/>
        <v>130</v>
      </c>
      <c r="C131" s="107" t="e">
        <f>_xlfn.XLOOKUP($D131,Tab_Process_TCs[Name(EN)],Tab_Process_TCs[Process_ID],,0,)</f>
        <v>#N/A</v>
      </c>
      <c r="D131" s="50"/>
      <c r="E131" s="50" t="s">
        <v>55</v>
      </c>
      <c r="F131" s="48" t="e">
        <f>_xlfn.XLOOKUP($D131,Tab_Process_TCs[Name(EN)],Tab_Process_TCs[TC?],,0,)</f>
        <v>#N/A</v>
      </c>
      <c r="G131" s="48" t="e">
        <f>_xlfn.XLOOKUP($D131,Tab_Process_TCs[Name(EN)],Tab_Process_TCs[Dyn_TC?],,0,)</f>
        <v>#N/A</v>
      </c>
      <c r="H131" s="48" t="e">
        <f>_xlfn.XLOOKUP($E131,Tab_Def_Flows[Name(EN)],Tab_Def_Flows[Flow_ID],,0,1)</f>
        <v>#N/A</v>
      </c>
      <c r="I131" s="50" t="e">
        <f>IF(Tab_Process_TCs2527[[#This Row],[Name(EN)]]="N.A.","N.A.","TC"&amp;"_"&amp;RIGHT(H131,5))</f>
        <v>#N/A</v>
      </c>
      <c r="J131" s="50"/>
      <c r="K131" s="249"/>
      <c r="L131" s="50" t="e">
        <f>_xlfn.XLOOKUP($D131,Tab_Def_Processes[Name(EN)],Tab_Def_Processes[Stock?],,0,)</f>
        <v>#N/A</v>
      </c>
      <c r="M131" s="48"/>
      <c r="N131" s="57" t="e">
        <f>_xlfn.XLOOKUP($D131,Tab_Def_Processes[Name(EN)],Tab_Def_Processes[Input_Flow_I_1],,0,)</f>
        <v>#N/A</v>
      </c>
      <c r="O131" s="48" t="e">
        <f>_xlfn.XLOOKUP($D131,Tab_Def_Processes[Name(EN)],Tab_Def_Processes[Flow_ID_I_1],,0,)</f>
        <v>#N/A</v>
      </c>
      <c r="P131" s="76"/>
      <c r="Q131" s="71" t="e">
        <f>_xlfn.XLOOKUP($D131,Tab_Def_Processes[Name(EN)],Tab_Def_Processes[Input_Flow_I_2],,0,)</f>
        <v>#N/A</v>
      </c>
      <c r="R131" s="48" t="e">
        <f>_xlfn.XLOOKUP($D131,Tab_Def_Processes[Name(EN)],Tab_Def_Processes[Flow_ID_I_2],,0,)</f>
        <v>#N/A</v>
      </c>
      <c r="S131" s="76"/>
      <c r="T131" s="71" t="e">
        <f>_xlfn.XLOOKUP($D131,Tab_Def_Processes[Name(EN)],Tab_Def_Processes[Input_Flow_I_3],,0,)</f>
        <v>#N/A</v>
      </c>
      <c r="U131" s="48" t="e">
        <f>_xlfn.XLOOKUP($D131,Tab_Def_Processes[Name(EN)],Tab_Def_Processes[Flow_ID_I_3],,0,)</f>
        <v>#N/A</v>
      </c>
      <c r="V131" s="76"/>
      <c r="W131" s="71" t="e">
        <f>_xlfn.XLOOKUP($D131,Tab_Def_Processes[Name(EN)],Tab_Def_Processes[Input_Flow_I_4],,0,)</f>
        <v>#N/A</v>
      </c>
      <c r="X131" s="48" t="e">
        <f>_xlfn.XLOOKUP($D131,Tab_Def_Processes[Name(EN)],Tab_Def_Processes[Flow_ID_I_4],,0,)</f>
        <v>#N/A</v>
      </c>
      <c r="Y131" s="76"/>
      <c r="Z131" s="71" t="e">
        <f>_xlfn.XLOOKUP($D131,Tab_Def_Processes[Name(EN)],Tab_Def_Processes[Input_Flow_I_5],,0,)</f>
        <v>#N/A</v>
      </c>
      <c r="AA131" s="48" t="e">
        <f>_xlfn.XLOOKUP($D131,Tab_Def_Processes[Name(EN)],Tab_Def_Processes[Flow_ID_I_5],,0,)</f>
        <v>#N/A</v>
      </c>
      <c r="AB131" s="76"/>
      <c r="AC131" s="88">
        <f>Tab_Process_TCs2527[[#This Row],[Flow_TC_I_1_'[%']]]+Tab_Process_TCs2527[[#This Row],[Flow_TC_I_2_'[%']]]+Tab_Process_TCs2527[[#This Row],[Flow_TC_I_3_'[%']]]+Tab_Process_TCs2527[[#This Row],[Flow_TC_I_4_'[%']]]+Tab_Process_TCs2527[[#This Row],[Flow_TC_I_5_'[%']]]</f>
        <v>0</v>
      </c>
      <c r="AD131" s="57" t="e">
        <f>_xlfn.XLOOKUP($D131,Tab_Process_TCs[TC_ID],Tab_Process_TCs[Output_Flow_O_1],,0,)</f>
        <v>#N/A</v>
      </c>
      <c r="AE131" s="48" t="e">
        <f>_xlfn.XLOOKUP($D131,Tab_Process_TCs[TC_ID],Tab_Process_TCs[Flow_ID_O_1],,0,)</f>
        <v>#N/A</v>
      </c>
      <c r="AF131" s="100" t="e">
        <f>Tab_Process_TCs2527[[#This Row],[Flow_ID]]</f>
        <v>#N/A</v>
      </c>
      <c r="AG131" s="48" t="e">
        <f t="shared" si="31"/>
        <v>#N/A</v>
      </c>
      <c r="AH131" s="232"/>
      <c r="AI131" s="231" t="e">
        <f>_xlfn.XLOOKUP($D131,Tab_Process_TCs[TC_ID],Tab_Process_TCs[Output_Flow_O_2],,0,)</f>
        <v>#N/A</v>
      </c>
      <c r="AJ131" s="113" t="e">
        <f>_xlfn.XLOOKUP($D131,Tab_Process_TCs[TC_ID],Tab_Process_TCs[Flow_ID_O_2],,0,)</f>
        <v>#N/A</v>
      </c>
      <c r="AK131" s="100" t="e">
        <f>Tab_Process_TCs2527[[#This Row],[Flow_ID]]</f>
        <v>#N/A</v>
      </c>
      <c r="AL131" s="48" t="e">
        <f t="shared" si="32"/>
        <v>#N/A</v>
      </c>
      <c r="AM131" s="228"/>
      <c r="AN131" s="57" t="e">
        <f>_xlfn.XLOOKUP($D131,Tab_Process_TCs[TC_ID],Tab_Process_TCs[Output_Flow_O_3],,0,)</f>
        <v>#N/A</v>
      </c>
      <c r="AO131" s="48" t="e">
        <f>_xlfn.XLOOKUP($D131,Tab_Process_TCs[TC_ID],Tab_Process_TCs[Flow_ID_O_3],,0,)</f>
        <v>#N/A</v>
      </c>
      <c r="AP131" s="100" t="e">
        <f>Tab_Process_TCs2527[[#This Row],[Flow_ID]]</f>
        <v>#N/A</v>
      </c>
      <c r="AQ131" s="48" t="e">
        <f t="shared" si="33"/>
        <v>#N/A</v>
      </c>
      <c r="AR131" s="228"/>
      <c r="AS131" s="57" t="e">
        <f>_xlfn.XLOOKUP($D131,Tab_Process_TCs[TC_ID],#REF!,,0,)</f>
        <v>#REF!</v>
      </c>
      <c r="AT131" s="48" t="e">
        <f>_xlfn.XLOOKUP($D131,Tab_Process_TCs[TC_ID],#REF!,,0,)</f>
        <v>#REF!</v>
      </c>
      <c r="AU131" s="100" t="e">
        <f>Tab_Process_TCs2527[[#This Row],[Flow_ID]]</f>
        <v>#N/A</v>
      </c>
      <c r="AV131" s="100" t="e">
        <f t="shared" si="34"/>
        <v>#N/A</v>
      </c>
      <c r="AW131" s="228"/>
      <c r="AX131" s="57" t="e">
        <f>_xlfn.XLOOKUP($D131,Tab_Process_TCs[TC_ID],#REF!,,0,)</f>
        <v>#REF!</v>
      </c>
      <c r="AY131" s="48" t="e">
        <f>_xlfn.XLOOKUP($D131,Tab_Process_TCs[TC_ID],#REF!,,0,)</f>
        <v>#REF!</v>
      </c>
      <c r="AZ131" s="100" t="e">
        <f>Tab_Process_TCs2527[[#This Row],[Flow_ID]]</f>
        <v>#N/A</v>
      </c>
      <c r="BA131" s="100" t="e">
        <f t="shared" si="35"/>
        <v>#REF!</v>
      </c>
      <c r="BB131" s="228"/>
      <c r="BC131" s="48" t="e">
        <f>_xlfn.XLOOKUP($D131,Tab_Process_TCs[TC_ID],#REF!,,0,)</f>
        <v>#REF!</v>
      </c>
      <c r="BD131" s="48" t="e">
        <f>_xlfn.XLOOKUP($D131,Tab_Process_TCs[TC_ID],#REF!,,0,)</f>
        <v>#REF!</v>
      </c>
      <c r="BE131" s="100" t="e">
        <f>Tab_Process_TCs2527[[#This Row],[Flow_ID]]</f>
        <v>#N/A</v>
      </c>
      <c r="BF131" s="100" t="e">
        <f t="shared" si="36"/>
        <v>#REF!</v>
      </c>
      <c r="BG131" s="109"/>
      <c r="BH131" s="112">
        <f>Tab_Process_TCs2527[[#This Row],[TC O_6_'[%']]]+Tab_Process_TCs2527[[#This Row],[TC O_5_'[%']]]+Tab_Process_TCs2527[[#This Row],[TC_O_4_'[%']]]+Tab_Process_TCs2527[[#This Row],[TC_O_3_'[%']]]+Tab_Process_TCs2527[[#This Row],[TC_O_2_'[%']]]+Tab_Process_TCs2527[[#This Row],[TC_O_1_'[%']]]</f>
        <v>0</v>
      </c>
      <c r="BI131" s="50"/>
      <c r="BJ131" s="50"/>
      <c r="BK131" s="50"/>
      <c r="BL131" s="50"/>
      <c r="BM131" s="50"/>
    </row>
    <row r="132" spans="1:65" x14ac:dyDescent="0.25">
      <c r="A132" s="87" t="b">
        <v>0</v>
      </c>
      <c r="B132" s="48">
        <f t="shared" si="30"/>
        <v>131</v>
      </c>
      <c r="C132" s="107" t="e">
        <f>_xlfn.XLOOKUP($D132,Tab_Process_TCs[Name(EN)],Tab_Process_TCs[Process_ID],,0,)</f>
        <v>#N/A</v>
      </c>
      <c r="D132" s="50"/>
      <c r="E132" s="50" t="s">
        <v>55</v>
      </c>
      <c r="F132" s="48" t="e">
        <f>_xlfn.XLOOKUP($D132,Tab_Process_TCs[Name(EN)],Tab_Process_TCs[TC?],,0,)</f>
        <v>#N/A</v>
      </c>
      <c r="G132" s="48" t="e">
        <f>_xlfn.XLOOKUP($D132,Tab_Process_TCs[Name(EN)],Tab_Process_TCs[Dyn_TC?],,0,)</f>
        <v>#N/A</v>
      </c>
      <c r="H132" s="48" t="e">
        <f>_xlfn.XLOOKUP($E132,Tab_Def_Flows[Name(EN)],Tab_Def_Flows[Flow_ID],,0,1)</f>
        <v>#N/A</v>
      </c>
      <c r="I132" s="50" t="e">
        <f>IF(Tab_Process_TCs2527[[#This Row],[Name(EN)]]="N.A.","N.A.","TC"&amp;"_"&amp;RIGHT(H132,5))</f>
        <v>#N/A</v>
      </c>
      <c r="J132" s="50"/>
      <c r="K132" s="249"/>
      <c r="L132" s="50" t="e">
        <f>_xlfn.XLOOKUP($D132,Tab_Def_Processes[Name(EN)],Tab_Def_Processes[Stock?],,0,)</f>
        <v>#N/A</v>
      </c>
      <c r="M132" s="48"/>
      <c r="N132" s="57" t="e">
        <f>_xlfn.XLOOKUP($D132,Tab_Def_Processes[Name(EN)],Tab_Def_Processes[Input_Flow_I_1],,0,)</f>
        <v>#N/A</v>
      </c>
      <c r="O132" s="48" t="e">
        <f>_xlfn.XLOOKUP($D132,Tab_Def_Processes[Name(EN)],Tab_Def_Processes[Flow_ID_I_1],,0,)</f>
        <v>#N/A</v>
      </c>
      <c r="P132" s="76"/>
      <c r="Q132" s="71" t="e">
        <f>_xlfn.XLOOKUP($D132,Tab_Def_Processes[Name(EN)],Tab_Def_Processes[Input_Flow_I_2],,0,)</f>
        <v>#N/A</v>
      </c>
      <c r="R132" s="48" t="e">
        <f>_xlfn.XLOOKUP($D132,Tab_Def_Processes[Name(EN)],Tab_Def_Processes[Flow_ID_I_2],,0,)</f>
        <v>#N/A</v>
      </c>
      <c r="S132" s="76"/>
      <c r="T132" s="71" t="e">
        <f>_xlfn.XLOOKUP($D132,Tab_Def_Processes[Name(EN)],Tab_Def_Processes[Input_Flow_I_3],,0,)</f>
        <v>#N/A</v>
      </c>
      <c r="U132" s="48" t="e">
        <f>_xlfn.XLOOKUP($D132,Tab_Def_Processes[Name(EN)],Tab_Def_Processes[Flow_ID_I_3],,0,)</f>
        <v>#N/A</v>
      </c>
      <c r="V132" s="76"/>
      <c r="W132" s="71" t="e">
        <f>_xlfn.XLOOKUP($D132,Tab_Def_Processes[Name(EN)],Tab_Def_Processes[Input_Flow_I_4],,0,)</f>
        <v>#N/A</v>
      </c>
      <c r="X132" s="48" t="e">
        <f>_xlfn.XLOOKUP($D132,Tab_Def_Processes[Name(EN)],Tab_Def_Processes[Flow_ID_I_4],,0,)</f>
        <v>#N/A</v>
      </c>
      <c r="Y132" s="76"/>
      <c r="Z132" s="71" t="e">
        <f>_xlfn.XLOOKUP($D132,Tab_Def_Processes[Name(EN)],Tab_Def_Processes[Input_Flow_I_5],,0,)</f>
        <v>#N/A</v>
      </c>
      <c r="AA132" s="48" t="e">
        <f>_xlfn.XLOOKUP($D132,Tab_Def_Processes[Name(EN)],Tab_Def_Processes[Flow_ID_I_5],,0,)</f>
        <v>#N/A</v>
      </c>
      <c r="AB132" s="76"/>
      <c r="AC132" s="88">
        <f>Tab_Process_TCs2527[[#This Row],[Flow_TC_I_1_'[%']]]+Tab_Process_TCs2527[[#This Row],[Flow_TC_I_2_'[%']]]+Tab_Process_TCs2527[[#This Row],[Flow_TC_I_3_'[%']]]+Tab_Process_TCs2527[[#This Row],[Flow_TC_I_4_'[%']]]+Tab_Process_TCs2527[[#This Row],[Flow_TC_I_5_'[%']]]</f>
        <v>0</v>
      </c>
      <c r="AD132" s="57" t="e">
        <f>_xlfn.XLOOKUP($D132,Tab_Process_TCs[TC_ID],Tab_Process_TCs[Output_Flow_O_1],,0,)</f>
        <v>#N/A</v>
      </c>
      <c r="AE132" s="48" t="e">
        <f>_xlfn.XLOOKUP($D132,Tab_Process_TCs[TC_ID],Tab_Process_TCs[Flow_ID_O_1],,0,)</f>
        <v>#N/A</v>
      </c>
      <c r="AF132" s="100" t="e">
        <f>Tab_Process_TCs2527[[#This Row],[Flow_ID]]</f>
        <v>#N/A</v>
      </c>
      <c r="AG132" s="48" t="e">
        <f t="shared" si="31"/>
        <v>#N/A</v>
      </c>
      <c r="AH132" s="232"/>
      <c r="AI132" s="231" t="e">
        <f>_xlfn.XLOOKUP($D132,Tab_Process_TCs[TC_ID],Tab_Process_TCs[Output_Flow_O_2],,0,)</f>
        <v>#N/A</v>
      </c>
      <c r="AJ132" s="113" t="e">
        <f>_xlfn.XLOOKUP($D132,Tab_Process_TCs[TC_ID],Tab_Process_TCs[Flow_ID_O_2],,0,)</f>
        <v>#N/A</v>
      </c>
      <c r="AK132" s="100" t="e">
        <f>Tab_Process_TCs2527[[#This Row],[Flow_ID]]</f>
        <v>#N/A</v>
      </c>
      <c r="AL132" s="48" t="e">
        <f t="shared" si="32"/>
        <v>#N/A</v>
      </c>
      <c r="AM132" s="228"/>
      <c r="AN132" s="57" t="e">
        <f>_xlfn.XLOOKUP($D132,Tab_Process_TCs[TC_ID],Tab_Process_TCs[Output_Flow_O_3],,0,)</f>
        <v>#N/A</v>
      </c>
      <c r="AO132" s="48" t="e">
        <f>_xlfn.XLOOKUP($D132,Tab_Process_TCs[TC_ID],Tab_Process_TCs[Flow_ID_O_3],,0,)</f>
        <v>#N/A</v>
      </c>
      <c r="AP132" s="100" t="e">
        <f>Tab_Process_TCs2527[[#This Row],[Flow_ID]]</f>
        <v>#N/A</v>
      </c>
      <c r="AQ132" s="48" t="e">
        <f t="shared" si="33"/>
        <v>#N/A</v>
      </c>
      <c r="AR132" s="228"/>
      <c r="AS132" s="57" t="e">
        <f>_xlfn.XLOOKUP($D132,Tab_Process_TCs[TC_ID],#REF!,,0,)</f>
        <v>#REF!</v>
      </c>
      <c r="AT132" s="48" t="e">
        <f>_xlfn.XLOOKUP($D132,Tab_Process_TCs[TC_ID],#REF!,,0,)</f>
        <v>#REF!</v>
      </c>
      <c r="AU132" s="100" t="e">
        <f>Tab_Process_TCs2527[[#This Row],[Flow_ID]]</f>
        <v>#N/A</v>
      </c>
      <c r="AV132" s="100" t="e">
        <f t="shared" si="34"/>
        <v>#N/A</v>
      </c>
      <c r="AW132" s="228"/>
      <c r="AX132" s="57" t="e">
        <f>_xlfn.XLOOKUP($D132,Tab_Process_TCs[TC_ID],#REF!,,0,)</f>
        <v>#REF!</v>
      </c>
      <c r="AY132" s="48" t="e">
        <f>_xlfn.XLOOKUP($D132,Tab_Process_TCs[TC_ID],#REF!,,0,)</f>
        <v>#REF!</v>
      </c>
      <c r="AZ132" s="100" t="e">
        <f>Tab_Process_TCs2527[[#This Row],[Flow_ID]]</f>
        <v>#N/A</v>
      </c>
      <c r="BA132" s="100" t="e">
        <f t="shared" si="35"/>
        <v>#REF!</v>
      </c>
      <c r="BB132" s="228"/>
      <c r="BC132" s="48" t="e">
        <f>_xlfn.XLOOKUP($D132,Tab_Process_TCs[TC_ID],#REF!,,0,)</f>
        <v>#REF!</v>
      </c>
      <c r="BD132" s="48" t="e">
        <f>_xlfn.XLOOKUP($D132,Tab_Process_TCs[TC_ID],#REF!,,0,)</f>
        <v>#REF!</v>
      </c>
      <c r="BE132" s="100" t="e">
        <f>Tab_Process_TCs2527[[#This Row],[Flow_ID]]</f>
        <v>#N/A</v>
      </c>
      <c r="BF132" s="100" t="e">
        <f t="shared" si="36"/>
        <v>#REF!</v>
      </c>
      <c r="BG132" s="109"/>
      <c r="BH132" s="112">
        <f>Tab_Process_TCs2527[[#This Row],[TC O_6_'[%']]]+Tab_Process_TCs2527[[#This Row],[TC O_5_'[%']]]+Tab_Process_TCs2527[[#This Row],[TC_O_4_'[%']]]+Tab_Process_TCs2527[[#This Row],[TC_O_3_'[%']]]+Tab_Process_TCs2527[[#This Row],[TC_O_2_'[%']]]+Tab_Process_TCs2527[[#This Row],[TC_O_1_'[%']]]</f>
        <v>0</v>
      </c>
      <c r="BI132" s="50"/>
      <c r="BJ132" s="50"/>
      <c r="BK132" s="50"/>
      <c r="BL132" s="50"/>
      <c r="BM132" s="50"/>
    </row>
    <row r="133" spans="1:65" x14ac:dyDescent="0.25">
      <c r="A133" s="87" t="b">
        <v>0</v>
      </c>
      <c r="B133" s="48">
        <f t="shared" si="30"/>
        <v>132</v>
      </c>
      <c r="C133" s="107" t="e">
        <f>_xlfn.XLOOKUP($D133,Tab_Process_TCs[Name(EN)],Tab_Process_TCs[Process_ID],,0,)</f>
        <v>#N/A</v>
      </c>
      <c r="D133" s="50"/>
      <c r="E133" s="50" t="s">
        <v>55</v>
      </c>
      <c r="F133" s="48" t="e">
        <f>_xlfn.XLOOKUP($D133,Tab_Process_TCs[Name(EN)],Tab_Process_TCs[TC?],,0,)</f>
        <v>#N/A</v>
      </c>
      <c r="G133" s="48" t="e">
        <f>_xlfn.XLOOKUP($D133,Tab_Process_TCs[Name(EN)],Tab_Process_TCs[Dyn_TC?],,0,)</f>
        <v>#N/A</v>
      </c>
      <c r="H133" s="48" t="e">
        <f>_xlfn.XLOOKUP($E133,Tab_Def_Flows[Name(EN)],Tab_Def_Flows[Flow_ID],,0,1)</f>
        <v>#N/A</v>
      </c>
      <c r="I133" s="50" t="e">
        <f>IF(Tab_Process_TCs2527[[#This Row],[Name(EN)]]="N.A.","N.A.","TC"&amp;"_"&amp;RIGHT(H133,5))</f>
        <v>#N/A</v>
      </c>
      <c r="J133" s="50"/>
      <c r="K133" s="249"/>
      <c r="L133" s="50" t="e">
        <f>_xlfn.XLOOKUP($D133,Tab_Def_Processes[Name(EN)],Tab_Def_Processes[Stock?],,0,)</f>
        <v>#N/A</v>
      </c>
      <c r="M133" s="48"/>
      <c r="N133" s="57" t="e">
        <f>_xlfn.XLOOKUP($D133,Tab_Def_Processes[Name(EN)],Tab_Def_Processes[Input_Flow_I_1],,0,)</f>
        <v>#N/A</v>
      </c>
      <c r="O133" s="48" t="e">
        <f>_xlfn.XLOOKUP($D133,Tab_Def_Processes[Name(EN)],Tab_Def_Processes[Flow_ID_I_1],,0,)</f>
        <v>#N/A</v>
      </c>
      <c r="P133" s="76"/>
      <c r="Q133" s="71" t="e">
        <f>_xlfn.XLOOKUP($D133,Tab_Def_Processes[Name(EN)],Tab_Def_Processes[Input_Flow_I_2],,0,)</f>
        <v>#N/A</v>
      </c>
      <c r="R133" s="48" t="e">
        <f>_xlfn.XLOOKUP($D133,Tab_Def_Processes[Name(EN)],Tab_Def_Processes[Flow_ID_I_2],,0,)</f>
        <v>#N/A</v>
      </c>
      <c r="S133" s="76"/>
      <c r="T133" s="71" t="e">
        <f>_xlfn.XLOOKUP($D133,Tab_Def_Processes[Name(EN)],Tab_Def_Processes[Input_Flow_I_3],,0,)</f>
        <v>#N/A</v>
      </c>
      <c r="U133" s="48" t="e">
        <f>_xlfn.XLOOKUP($D133,Tab_Def_Processes[Name(EN)],Tab_Def_Processes[Flow_ID_I_3],,0,)</f>
        <v>#N/A</v>
      </c>
      <c r="V133" s="76"/>
      <c r="W133" s="71" t="e">
        <f>_xlfn.XLOOKUP($D133,Tab_Def_Processes[Name(EN)],Tab_Def_Processes[Input_Flow_I_4],,0,)</f>
        <v>#N/A</v>
      </c>
      <c r="X133" s="48" t="e">
        <f>_xlfn.XLOOKUP($D133,Tab_Def_Processes[Name(EN)],Tab_Def_Processes[Flow_ID_I_4],,0,)</f>
        <v>#N/A</v>
      </c>
      <c r="Y133" s="76"/>
      <c r="Z133" s="71" t="e">
        <f>_xlfn.XLOOKUP($D133,Tab_Def_Processes[Name(EN)],Tab_Def_Processes[Input_Flow_I_5],,0,)</f>
        <v>#N/A</v>
      </c>
      <c r="AA133" s="48" t="e">
        <f>_xlfn.XLOOKUP($D133,Tab_Def_Processes[Name(EN)],Tab_Def_Processes[Flow_ID_I_5],,0,)</f>
        <v>#N/A</v>
      </c>
      <c r="AB133" s="76"/>
      <c r="AC133" s="88">
        <f>Tab_Process_TCs2527[[#This Row],[Flow_TC_I_1_'[%']]]+Tab_Process_TCs2527[[#This Row],[Flow_TC_I_2_'[%']]]+Tab_Process_TCs2527[[#This Row],[Flow_TC_I_3_'[%']]]+Tab_Process_TCs2527[[#This Row],[Flow_TC_I_4_'[%']]]+Tab_Process_TCs2527[[#This Row],[Flow_TC_I_5_'[%']]]</f>
        <v>0</v>
      </c>
      <c r="AD133" s="57" t="e">
        <f>_xlfn.XLOOKUP($D133,Tab_Process_TCs[TC_ID],Tab_Process_TCs[Output_Flow_O_1],,0,)</f>
        <v>#N/A</v>
      </c>
      <c r="AE133" s="48" t="e">
        <f>_xlfn.XLOOKUP($D133,Tab_Process_TCs[TC_ID],Tab_Process_TCs[Flow_ID_O_1],,0,)</f>
        <v>#N/A</v>
      </c>
      <c r="AF133" s="100" t="e">
        <f>Tab_Process_TCs2527[[#This Row],[Flow_ID]]</f>
        <v>#N/A</v>
      </c>
      <c r="AG133" s="48" t="e">
        <f t="shared" si="31"/>
        <v>#N/A</v>
      </c>
      <c r="AH133" s="232"/>
      <c r="AI133" s="231" t="e">
        <f>_xlfn.XLOOKUP($D133,Tab_Process_TCs[TC_ID],Tab_Process_TCs[Output_Flow_O_2],,0,)</f>
        <v>#N/A</v>
      </c>
      <c r="AJ133" s="113" t="e">
        <f>_xlfn.XLOOKUP($D133,Tab_Process_TCs[TC_ID],Tab_Process_TCs[Flow_ID_O_2],,0,)</f>
        <v>#N/A</v>
      </c>
      <c r="AK133" s="100" t="e">
        <f>Tab_Process_TCs2527[[#This Row],[Flow_ID]]</f>
        <v>#N/A</v>
      </c>
      <c r="AL133" s="48" t="e">
        <f t="shared" si="32"/>
        <v>#N/A</v>
      </c>
      <c r="AM133" s="228"/>
      <c r="AN133" s="57" t="e">
        <f>_xlfn.XLOOKUP($D133,Tab_Process_TCs[TC_ID],Tab_Process_TCs[Output_Flow_O_3],,0,)</f>
        <v>#N/A</v>
      </c>
      <c r="AO133" s="48" t="e">
        <f>_xlfn.XLOOKUP($D133,Tab_Process_TCs[TC_ID],Tab_Process_TCs[Flow_ID_O_3],,0,)</f>
        <v>#N/A</v>
      </c>
      <c r="AP133" s="100" t="e">
        <f>Tab_Process_TCs2527[[#This Row],[Flow_ID]]</f>
        <v>#N/A</v>
      </c>
      <c r="AQ133" s="48" t="e">
        <f t="shared" si="33"/>
        <v>#N/A</v>
      </c>
      <c r="AR133" s="228"/>
      <c r="AS133" s="57" t="e">
        <f>_xlfn.XLOOKUP($D133,Tab_Process_TCs[TC_ID],#REF!,,0,)</f>
        <v>#REF!</v>
      </c>
      <c r="AT133" s="48" t="e">
        <f>_xlfn.XLOOKUP($D133,Tab_Process_TCs[TC_ID],#REF!,,0,)</f>
        <v>#REF!</v>
      </c>
      <c r="AU133" s="100" t="e">
        <f>Tab_Process_TCs2527[[#This Row],[Flow_ID]]</f>
        <v>#N/A</v>
      </c>
      <c r="AV133" s="100" t="e">
        <f t="shared" si="34"/>
        <v>#N/A</v>
      </c>
      <c r="AW133" s="228"/>
      <c r="AX133" s="57" t="e">
        <f>_xlfn.XLOOKUP($D133,Tab_Process_TCs[TC_ID],#REF!,,0,)</f>
        <v>#REF!</v>
      </c>
      <c r="AY133" s="48" t="e">
        <f>_xlfn.XLOOKUP($D133,Tab_Process_TCs[TC_ID],#REF!,,0,)</f>
        <v>#REF!</v>
      </c>
      <c r="AZ133" s="100" t="e">
        <f>Tab_Process_TCs2527[[#This Row],[Flow_ID]]</f>
        <v>#N/A</v>
      </c>
      <c r="BA133" s="100" t="e">
        <f t="shared" si="35"/>
        <v>#REF!</v>
      </c>
      <c r="BB133" s="228"/>
      <c r="BC133" s="48" t="e">
        <f>_xlfn.XLOOKUP($D133,Tab_Process_TCs[TC_ID],#REF!,,0,)</f>
        <v>#REF!</v>
      </c>
      <c r="BD133" s="48" t="e">
        <f>_xlfn.XLOOKUP($D133,Tab_Process_TCs[TC_ID],#REF!,,0,)</f>
        <v>#REF!</v>
      </c>
      <c r="BE133" s="100" t="e">
        <f>Tab_Process_TCs2527[[#This Row],[Flow_ID]]</f>
        <v>#N/A</v>
      </c>
      <c r="BF133" s="100" t="e">
        <f t="shared" si="36"/>
        <v>#REF!</v>
      </c>
      <c r="BG133" s="109"/>
      <c r="BH133" s="112">
        <f>Tab_Process_TCs2527[[#This Row],[TC O_6_'[%']]]+Tab_Process_TCs2527[[#This Row],[TC O_5_'[%']]]+Tab_Process_TCs2527[[#This Row],[TC_O_4_'[%']]]+Tab_Process_TCs2527[[#This Row],[TC_O_3_'[%']]]+Tab_Process_TCs2527[[#This Row],[TC_O_2_'[%']]]+Tab_Process_TCs2527[[#This Row],[TC_O_1_'[%']]]</f>
        <v>0</v>
      </c>
      <c r="BI133" s="50"/>
      <c r="BJ133" s="50"/>
      <c r="BK133" s="50"/>
      <c r="BL133" s="50"/>
      <c r="BM133" s="50"/>
    </row>
    <row r="134" spans="1:65" x14ac:dyDescent="0.25">
      <c r="A134" s="87" t="b">
        <v>0</v>
      </c>
      <c r="B134" s="48">
        <f t="shared" si="30"/>
        <v>133</v>
      </c>
      <c r="C134" s="107" t="e">
        <f>_xlfn.XLOOKUP($D134,Tab_Process_TCs[Name(EN)],Tab_Process_TCs[Process_ID],,0,)</f>
        <v>#N/A</v>
      </c>
      <c r="D134" s="50"/>
      <c r="E134" s="50" t="s">
        <v>55</v>
      </c>
      <c r="F134" s="48" t="e">
        <f>_xlfn.XLOOKUP($D134,Tab_Process_TCs[Name(EN)],Tab_Process_TCs[TC?],,0,)</f>
        <v>#N/A</v>
      </c>
      <c r="G134" s="48" t="e">
        <f>_xlfn.XLOOKUP($D134,Tab_Process_TCs[Name(EN)],Tab_Process_TCs[Dyn_TC?],,0,)</f>
        <v>#N/A</v>
      </c>
      <c r="H134" s="48" t="e">
        <f>_xlfn.XLOOKUP($E134,Tab_Def_Flows[Name(EN)],Tab_Def_Flows[Flow_ID],,0,1)</f>
        <v>#N/A</v>
      </c>
      <c r="I134" s="50" t="e">
        <f>IF(Tab_Process_TCs2527[[#This Row],[Name(EN)]]="N.A.","N.A.","TC"&amp;"_"&amp;RIGHT(H134,5))</f>
        <v>#N/A</v>
      </c>
      <c r="J134" s="50"/>
      <c r="K134" s="249"/>
      <c r="L134" s="50" t="e">
        <f>_xlfn.XLOOKUP($D134,Tab_Def_Processes[Name(EN)],Tab_Def_Processes[Stock?],,0,)</f>
        <v>#N/A</v>
      </c>
      <c r="M134" s="48"/>
      <c r="N134" s="57" t="e">
        <f>_xlfn.XLOOKUP($D134,Tab_Def_Processes[Name(EN)],Tab_Def_Processes[Input_Flow_I_1],,0,)</f>
        <v>#N/A</v>
      </c>
      <c r="O134" s="48" t="e">
        <f>_xlfn.XLOOKUP($D134,Tab_Def_Processes[Name(EN)],Tab_Def_Processes[Flow_ID_I_1],,0,)</f>
        <v>#N/A</v>
      </c>
      <c r="P134" s="76"/>
      <c r="Q134" s="71" t="e">
        <f>_xlfn.XLOOKUP($D134,Tab_Def_Processes[Name(EN)],Tab_Def_Processes[Input_Flow_I_2],,0,)</f>
        <v>#N/A</v>
      </c>
      <c r="R134" s="48" t="e">
        <f>_xlfn.XLOOKUP($D134,Tab_Def_Processes[Name(EN)],Tab_Def_Processes[Flow_ID_I_2],,0,)</f>
        <v>#N/A</v>
      </c>
      <c r="S134" s="76"/>
      <c r="T134" s="71" t="e">
        <f>_xlfn.XLOOKUP($D134,Tab_Def_Processes[Name(EN)],Tab_Def_Processes[Input_Flow_I_3],,0,)</f>
        <v>#N/A</v>
      </c>
      <c r="U134" s="48" t="e">
        <f>_xlfn.XLOOKUP($D134,Tab_Def_Processes[Name(EN)],Tab_Def_Processes[Flow_ID_I_3],,0,)</f>
        <v>#N/A</v>
      </c>
      <c r="V134" s="76"/>
      <c r="W134" s="71" t="e">
        <f>_xlfn.XLOOKUP($D134,Tab_Def_Processes[Name(EN)],Tab_Def_Processes[Input_Flow_I_4],,0,)</f>
        <v>#N/A</v>
      </c>
      <c r="X134" s="48" t="e">
        <f>_xlfn.XLOOKUP($D134,Tab_Def_Processes[Name(EN)],Tab_Def_Processes[Flow_ID_I_4],,0,)</f>
        <v>#N/A</v>
      </c>
      <c r="Y134" s="76"/>
      <c r="Z134" s="71" t="e">
        <f>_xlfn.XLOOKUP($D134,Tab_Def_Processes[Name(EN)],Tab_Def_Processes[Input_Flow_I_5],,0,)</f>
        <v>#N/A</v>
      </c>
      <c r="AA134" s="48" t="e">
        <f>_xlfn.XLOOKUP($D134,Tab_Def_Processes[Name(EN)],Tab_Def_Processes[Flow_ID_I_5],,0,)</f>
        <v>#N/A</v>
      </c>
      <c r="AB134" s="76"/>
      <c r="AC134" s="88">
        <f>Tab_Process_TCs2527[[#This Row],[Flow_TC_I_1_'[%']]]+Tab_Process_TCs2527[[#This Row],[Flow_TC_I_2_'[%']]]+Tab_Process_TCs2527[[#This Row],[Flow_TC_I_3_'[%']]]+Tab_Process_TCs2527[[#This Row],[Flow_TC_I_4_'[%']]]+Tab_Process_TCs2527[[#This Row],[Flow_TC_I_5_'[%']]]</f>
        <v>0</v>
      </c>
      <c r="AD134" s="57" t="e">
        <f>_xlfn.XLOOKUP($D134,Tab_Process_TCs[TC_ID],Tab_Process_TCs[Output_Flow_O_1],,0,)</f>
        <v>#N/A</v>
      </c>
      <c r="AE134" s="48" t="e">
        <f>_xlfn.XLOOKUP($D134,Tab_Process_TCs[TC_ID],Tab_Process_TCs[Flow_ID_O_1],,0,)</f>
        <v>#N/A</v>
      </c>
      <c r="AF134" s="100" t="e">
        <f>Tab_Process_TCs2527[[#This Row],[Flow_ID]]</f>
        <v>#N/A</v>
      </c>
      <c r="AG134" s="48" t="e">
        <f t="shared" si="31"/>
        <v>#N/A</v>
      </c>
      <c r="AH134" s="232"/>
      <c r="AI134" s="231" t="e">
        <f>_xlfn.XLOOKUP($D134,Tab_Process_TCs[TC_ID],Tab_Process_TCs[Output_Flow_O_2],,0,)</f>
        <v>#N/A</v>
      </c>
      <c r="AJ134" s="113" t="e">
        <f>_xlfn.XLOOKUP($D134,Tab_Process_TCs[TC_ID],Tab_Process_TCs[Flow_ID_O_2],,0,)</f>
        <v>#N/A</v>
      </c>
      <c r="AK134" s="100" t="e">
        <f>Tab_Process_TCs2527[[#This Row],[Flow_ID]]</f>
        <v>#N/A</v>
      </c>
      <c r="AL134" s="48" t="e">
        <f t="shared" si="32"/>
        <v>#N/A</v>
      </c>
      <c r="AM134" s="228"/>
      <c r="AN134" s="57" t="e">
        <f>_xlfn.XLOOKUP($D134,Tab_Process_TCs[TC_ID],Tab_Process_TCs[Output_Flow_O_3],,0,)</f>
        <v>#N/A</v>
      </c>
      <c r="AO134" s="48" t="e">
        <f>_xlfn.XLOOKUP($D134,Tab_Process_TCs[TC_ID],Tab_Process_TCs[Flow_ID_O_3],,0,)</f>
        <v>#N/A</v>
      </c>
      <c r="AP134" s="100" t="e">
        <f>Tab_Process_TCs2527[[#This Row],[Flow_ID]]</f>
        <v>#N/A</v>
      </c>
      <c r="AQ134" s="48" t="e">
        <f t="shared" si="33"/>
        <v>#N/A</v>
      </c>
      <c r="AR134" s="228"/>
      <c r="AS134" s="57" t="e">
        <f>_xlfn.XLOOKUP($D134,Tab_Process_TCs[TC_ID],#REF!,,0,)</f>
        <v>#REF!</v>
      </c>
      <c r="AT134" s="48" t="e">
        <f>_xlfn.XLOOKUP($D134,Tab_Process_TCs[TC_ID],#REF!,,0,)</f>
        <v>#REF!</v>
      </c>
      <c r="AU134" s="100" t="e">
        <f>Tab_Process_TCs2527[[#This Row],[Flow_ID]]</f>
        <v>#N/A</v>
      </c>
      <c r="AV134" s="100" t="e">
        <f t="shared" si="34"/>
        <v>#N/A</v>
      </c>
      <c r="AW134" s="228"/>
      <c r="AX134" s="57" t="e">
        <f>_xlfn.XLOOKUP($D134,Tab_Process_TCs[TC_ID],#REF!,,0,)</f>
        <v>#REF!</v>
      </c>
      <c r="AY134" s="48" t="e">
        <f>_xlfn.XLOOKUP($D134,Tab_Process_TCs[TC_ID],#REF!,,0,)</f>
        <v>#REF!</v>
      </c>
      <c r="AZ134" s="100" t="e">
        <f>Tab_Process_TCs2527[[#This Row],[Flow_ID]]</f>
        <v>#N/A</v>
      </c>
      <c r="BA134" s="100" t="e">
        <f t="shared" si="35"/>
        <v>#REF!</v>
      </c>
      <c r="BB134" s="228"/>
      <c r="BC134" s="48" t="e">
        <f>_xlfn.XLOOKUP($D134,Tab_Process_TCs[TC_ID],#REF!,,0,)</f>
        <v>#REF!</v>
      </c>
      <c r="BD134" s="48" t="e">
        <f>_xlfn.XLOOKUP($D134,Tab_Process_TCs[TC_ID],#REF!,,0,)</f>
        <v>#REF!</v>
      </c>
      <c r="BE134" s="100" t="e">
        <f>Tab_Process_TCs2527[[#This Row],[Flow_ID]]</f>
        <v>#N/A</v>
      </c>
      <c r="BF134" s="100" t="e">
        <f t="shared" si="36"/>
        <v>#REF!</v>
      </c>
      <c r="BG134" s="109"/>
      <c r="BH134" s="112">
        <f>Tab_Process_TCs2527[[#This Row],[TC O_6_'[%']]]+Tab_Process_TCs2527[[#This Row],[TC O_5_'[%']]]+Tab_Process_TCs2527[[#This Row],[TC_O_4_'[%']]]+Tab_Process_TCs2527[[#This Row],[TC_O_3_'[%']]]+Tab_Process_TCs2527[[#This Row],[TC_O_2_'[%']]]+Tab_Process_TCs2527[[#This Row],[TC_O_1_'[%']]]</f>
        <v>0</v>
      </c>
      <c r="BI134" s="50"/>
      <c r="BJ134" s="50"/>
      <c r="BK134" s="50"/>
      <c r="BL134" s="50"/>
      <c r="BM134" s="50"/>
    </row>
    <row r="135" spans="1:65" x14ac:dyDescent="0.25">
      <c r="A135" s="87" t="b">
        <v>0</v>
      </c>
      <c r="B135" s="48">
        <f t="shared" si="30"/>
        <v>134</v>
      </c>
      <c r="C135" s="107" t="e">
        <f>_xlfn.XLOOKUP($D135,Tab_Process_TCs[Name(EN)],Tab_Process_TCs[Process_ID],,0,)</f>
        <v>#N/A</v>
      </c>
      <c r="D135" s="50"/>
      <c r="E135" s="50" t="s">
        <v>55</v>
      </c>
      <c r="F135" s="48" t="e">
        <f>_xlfn.XLOOKUP($D135,Tab_Process_TCs[Name(EN)],Tab_Process_TCs[TC?],,0,)</f>
        <v>#N/A</v>
      </c>
      <c r="G135" s="48" t="e">
        <f>_xlfn.XLOOKUP($D135,Tab_Process_TCs[Name(EN)],Tab_Process_TCs[Dyn_TC?],,0,)</f>
        <v>#N/A</v>
      </c>
      <c r="H135" s="48" t="e">
        <f>_xlfn.XLOOKUP($E135,Tab_Def_Flows[Name(EN)],Tab_Def_Flows[Flow_ID],,0,1)</f>
        <v>#N/A</v>
      </c>
      <c r="I135" s="50" t="e">
        <f>IF(Tab_Process_TCs2527[[#This Row],[Name(EN)]]="N.A.","N.A.","TC"&amp;"_"&amp;RIGHT(H135,5))</f>
        <v>#N/A</v>
      </c>
      <c r="J135" s="50"/>
      <c r="K135" s="249"/>
      <c r="L135" s="50" t="e">
        <f>_xlfn.XLOOKUP($D135,Tab_Def_Processes[Name(EN)],Tab_Def_Processes[Stock?],,0,)</f>
        <v>#N/A</v>
      </c>
      <c r="M135" s="48"/>
      <c r="N135" s="57" t="e">
        <f>_xlfn.XLOOKUP($D135,Tab_Def_Processes[Name(EN)],Tab_Def_Processes[Input_Flow_I_1],,0,)</f>
        <v>#N/A</v>
      </c>
      <c r="O135" s="48" t="e">
        <f>_xlfn.XLOOKUP($D135,Tab_Def_Processes[Name(EN)],Tab_Def_Processes[Flow_ID_I_1],,0,)</f>
        <v>#N/A</v>
      </c>
      <c r="P135" s="76"/>
      <c r="Q135" s="71" t="e">
        <f>_xlfn.XLOOKUP($D135,Tab_Def_Processes[Name(EN)],Tab_Def_Processes[Input_Flow_I_2],,0,)</f>
        <v>#N/A</v>
      </c>
      <c r="R135" s="48" t="e">
        <f>_xlfn.XLOOKUP($D135,Tab_Def_Processes[Name(EN)],Tab_Def_Processes[Flow_ID_I_2],,0,)</f>
        <v>#N/A</v>
      </c>
      <c r="S135" s="76"/>
      <c r="T135" s="71" t="e">
        <f>_xlfn.XLOOKUP($D135,Tab_Def_Processes[Name(EN)],Tab_Def_Processes[Input_Flow_I_3],,0,)</f>
        <v>#N/A</v>
      </c>
      <c r="U135" s="48" t="e">
        <f>_xlfn.XLOOKUP($D135,Tab_Def_Processes[Name(EN)],Tab_Def_Processes[Flow_ID_I_3],,0,)</f>
        <v>#N/A</v>
      </c>
      <c r="V135" s="76"/>
      <c r="W135" s="71" t="e">
        <f>_xlfn.XLOOKUP($D135,Tab_Def_Processes[Name(EN)],Tab_Def_Processes[Input_Flow_I_4],,0,)</f>
        <v>#N/A</v>
      </c>
      <c r="X135" s="48" t="e">
        <f>_xlfn.XLOOKUP($D135,Tab_Def_Processes[Name(EN)],Tab_Def_Processes[Flow_ID_I_4],,0,)</f>
        <v>#N/A</v>
      </c>
      <c r="Y135" s="76"/>
      <c r="Z135" s="71" t="e">
        <f>_xlfn.XLOOKUP($D135,Tab_Def_Processes[Name(EN)],Tab_Def_Processes[Input_Flow_I_5],,0,)</f>
        <v>#N/A</v>
      </c>
      <c r="AA135" s="48" t="e">
        <f>_xlfn.XLOOKUP($D135,Tab_Def_Processes[Name(EN)],Tab_Def_Processes[Flow_ID_I_5],,0,)</f>
        <v>#N/A</v>
      </c>
      <c r="AB135" s="76"/>
      <c r="AC135" s="88">
        <f>Tab_Process_TCs2527[[#This Row],[Flow_TC_I_1_'[%']]]+Tab_Process_TCs2527[[#This Row],[Flow_TC_I_2_'[%']]]+Tab_Process_TCs2527[[#This Row],[Flow_TC_I_3_'[%']]]+Tab_Process_TCs2527[[#This Row],[Flow_TC_I_4_'[%']]]+Tab_Process_TCs2527[[#This Row],[Flow_TC_I_5_'[%']]]</f>
        <v>0</v>
      </c>
      <c r="AD135" s="57" t="e">
        <f>_xlfn.XLOOKUP($D135,Tab_Process_TCs[TC_ID],Tab_Process_TCs[Output_Flow_O_1],,0,)</f>
        <v>#N/A</v>
      </c>
      <c r="AE135" s="48" t="e">
        <f>_xlfn.XLOOKUP($D135,Tab_Process_TCs[TC_ID],Tab_Process_TCs[Flow_ID_O_1],,0,)</f>
        <v>#N/A</v>
      </c>
      <c r="AF135" s="100" t="e">
        <f>Tab_Process_TCs2527[[#This Row],[Flow_ID]]</f>
        <v>#N/A</v>
      </c>
      <c r="AG135" s="48" t="e">
        <f t="shared" si="31"/>
        <v>#N/A</v>
      </c>
      <c r="AH135" s="232"/>
      <c r="AI135" s="231" t="e">
        <f>_xlfn.XLOOKUP($D135,Tab_Process_TCs[TC_ID],Tab_Process_TCs[Output_Flow_O_2],,0,)</f>
        <v>#N/A</v>
      </c>
      <c r="AJ135" s="113" t="e">
        <f>_xlfn.XLOOKUP($D135,Tab_Process_TCs[TC_ID],Tab_Process_TCs[Flow_ID_O_2],,0,)</f>
        <v>#N/A</v>
      </c>
      <c r="AK135" s="100" t="e">
        <f>Tab_Process_TCs2527[[#This Row],[Flow_ID]]</f>
        <v>#N/A</v>
      </c>
      <c r="AL135" s="48" t="e">
        <f t="shared" si="32"/>
        <v>#N/A</v>
      </c>
      <c r="AM135" s="228"/>
      <c r="AN135" s="57" t="e">
        <f>_xlfn.XLOOKUP($D135,Tab_Process_TCs[TC_ID],Tab_Process_TCs[Output_Flow_O_3],,0,)</f>
        <v>#N/A</v>
      </c>
      <c r="AO135" s="48" t="e">
        <f>_xlfn.XLOOKUP($D135,Tab_Process_TCs[TC_ID],Tab_Process_TCs[Flow_ID_O_3],,0,)</f>
        <v>#N/A</v>
      </c>
      <c r="AP135" s="100" t="e">
        <f>Tab_Process_TCs2527[[#This Row],[Flow_ID]]</f>
        <v>#N/A</v>
      </c>
      <c r="AQ135" s="48" t="e">
        <f t="shared" si="33"/>
        <v>#N/A</v>
      </c>
      <c r="AR135" s="228"/>
      <c r="AS135" s="57" t="e">
        <f>_xlfn.XLOOKUP($D135,Tab_Process_TCs[TC_ID],#REF!,,0,)</f>
        <v>#REF!</v>
      </c>
      <c r="AT135" s="48" t="e">
        <f>_xlfn.XLOOKUP($D135,Tab_Process_TCs[TC_ID],#REF!,,0,)</f>
        <v>#REF!</v>
      </c>
      <c r="AU135" s="100" t="e">
        <f>Tab_Process_TCs2527[[#This Row],[Flow_ID]]</f>
        <v>#N/A</v>
      </c>
      <c r="AV135" s="100" t="e">
        <f t="shared" si="34"/>
        <v>#N/A</v>
      </c>
      <c r="AW135" s="228"/>
      <c r="AX135" s="57" t="e">
        <f>_xlfn.XLOOKUP($D135,Tab_Process_TCs[TC_ID],#REF!,,0,)</f>
        <v>#REF!</v>
      </c>
      <c r="AY135" s="48" t="e">
        <f>_xlfn.XLOOKUP($D135,Tab_Process_TCs[TC_ID],#REF!,,0,)</f>
        <v>#REF!</v>
      </c>
      <c r="AZ135" s="100" t="e">
        <f>Tab_Process_TCs2527[[#This Row],[Flow_ID]]</f>
        <v>#N/A</v>
      </c>
      <c r="BA135" s="100" t="e">
        <f t="shared" si="35"/>
        <v>#REF!</v>
      </c>
      <c r="BB135" s="228"/>
      <c r="BC135" s="48" t="e">
        <f>_xlfn.XLOOKUP($D135,Tab_Process_TCs[TC_ID],#REF!,,0,)</f>
        <v>#REF!</v>
      </c>
      <c r="BD135" s="48" t="e">
        <f>_xlfn.XLOOKUP($D135,Tab_Process_TCs[TC_ID],#REF!,,0,)</f>
        <v>#REF!</v>
      </c>
      <c r="BE135" s="100" t="e">
        <f>Tab_Process_TCs2527[[#This Row],[Flow_ID]]</f>
        <v>#N/A</v>
      </c>
      <c r="BF135" s="100" t="e">
        <f t="shared" si="36"/>
        <v>#REF!</v>
      </c>
      <c r="BG135" s="109"/>
      <c r="BH135" s="112">
        <f>Tab_Process_TCs2527[[#This Row],[TC O_6_'[%']]]+Tab_Process_TCs2527[[#This Row],[TC O_5_'[%']]]+Tab_Process_TCs2527[[#This Row],[TC_O_4_'[%']]]+Tab_Process_TCs2527[[#This Row],[TC_O_3_'[%']]]+Tab_Process_TCs2527[[#This Row],[TC_O_2_'[%']]]+Tab_Process_TCs2527[[#This Row],[TC_O_1_'[%']]]</f>
        <v>0</v>
      </c>
      <c r="BI135" s="50"/>
      <c r="BJ135" s="50"/>
      <c r="BK135" s="50"/>
      <c r="BL135" s="50"/>
      <c r="BM135" s="50"/>
    </row>
    <row r="136" spans="1:65" x14ac:dyDescent="0.25">
      <c r="A136" s="87" t="b">
        <v>0</v>
      </c>
      <c r="B136" s="48">
        <f t="shared" si="30"/>
        <v>135</v>
      </c>
      <c r="C136" s="107" t="e">
        <f>_xlfn.XLOOKUP($D136,Tab_Process_TCs[Name(EN)],Tab_Process_TCs[Process_ID],,0,)</f>
        <v>#N/A</v>
      </c>
      <c r="D136" s="50"/>
      <c r="E136" s="50" t="s">
        <v>55</v>
      </c>
      <c r="F136" s="48" t="e">
        <f>_xlfn.XLOOKUP($D136,Tab_Process_TCs[Name(EN)],Tab_Process_TCs[TC?],,0,)</f>
        <v>#N/A</v>
      </c>
      <c r="G136" s="48" t="e">
        <f>_xlfn.XLOOKUP($D136,Tab_Process_TCs[Name(EN)],Tab_Process_TCs[Dyn_TC?],,0,)</f>
        <v>#N/A</v>
      </c>
      <c r="H136" s="48" t="e">
        <f>_xlfn.XLOOKUP($E136,Tab_Def_Flows[Name(EN)],Tab_Def_Flows[Flow_ID],,0,1)</f>
        <v>#N/A</v>
      </c>
      <c r="I136" s="50" t="e">
        <f>IF(Tab_Process_TCs2527[[#This Row],[Name(EN)]]="N.A.","N.A.","TC"&amp;"_"&amp;RIGHT(H136,5))</f>
        <v>#N/A</v>
      </c>
      <c r="J136" s="50"/>
      <c r="K136" s="249"/>
      <c r="L136" s="50" t="e">
        <f>_xlfn.XLOOKUP($D136,Tab_Def_Processes[Name(EN)],Tab_Def_Processes[Stock?],,0,)</f>
        <v>#N/A</v>
      </c>
      <c r="M136" s="48"/>
      <c r="N136" s="57" t="e">
        <f>_xlfn.XLOOKUP($D136,Tab_Def_Processes[Name(EN)],Tab_Def_Processes[Input_Flow_I_1],,0,)</f>
        <v>#N/A</v>
      </c>
      <c r="O136" s="48" t="e">
        <f>_xlfn.XLOOKUP($D136,Tab_Def_Processes[Name(EN)],Tab_Def_Processes[Flow_ID_I_1],,0,)</f>
        <v>#N/A</v>
      </c>
      <c r="P136" s="76"/>
      <c r="Q136" s="71" t="e">
        <f>_xlfn.XLOOKUP($D136,Tab_Def_Processes[Name(EN)],Tab_Def_Processes[Input_Flow_I_2],,0,)</f>
        <v>#N/A</v>
      </c>
      <c r="R136" s="48" t="e">
        <f>_xlfn.XLOOKUP($D136,Tab_Def_Processes[Name(EN)],Tab_Def_Processes[Flow_ID_I_2],,0,)</f>
        <v>#N/A</v>
      </c>
      <c r="S136" s="76"/>
      <c r="T136" s="71" t="e">
        <f>_xlfn.XLOOKUP($D136,Tab_Def_Processes[Name(EN)],Tab_Def_Processes[Input_Flow_I_3],,0,)</f>
        <v>#N/A</v>
      </c>
      <c r="U136" s="48" t="e">
        <f>_xlfn.XLOOKUP($D136,Tab_Def_Processes[Name(EN)],Tab_Def_Processes[Flow_ID_I_3],,0,)</f>
        <v>#N/A</v>
      </c>
      <c r="V136" s="76"/>
      <c r="W136" s="71" t="e">
        <f>_xlfn.XLOOKUP($D136,Tab_Def_Processes[Name(EN)],Tab_Def_Processes[Input_Flow_I_4],,0,)</f>
        <v>#N/A</v>
      </c>
      <c r="X136" s="48" t="e">
        <f>_xlfn.XLOOKUP($D136,Tab_Def_Processes[Name(EN)],Tab_Def_Processes[Flow_ID_I_4],,0,)</f>
        <v>#N/A</v>
      </c>
      <c r="Y136" s="76"/>
      <c r="Z136" s="71" t="e">
        <f>_xlfn.XLOOKUP($D136,Tab_Def_Processes[Name(EN)],Tab_Def_Processes[Input_Flow_I_5],,0,)</f>
        <v>#N/A</v>
      </c>
      <c r="AA136" s="48" t="e">
        <f>_xlfn.XLOOKUP($D136,Tab_Def_Processes[Name(EN)],Tab_Def_Processes[Flow_ID_I_5],,0,)</f>
        <v>#N/A</v>
      </c>
      <c r="AB136" s="76"/>
      <c r="AC136" s="88">
        <f>Tab_Process_TCs2527[[#This Row],[Flow_TC_I_1_'[%']]]+Tab_Process_TCs2527[[#This Row],[Flow_TC_I_2_'[%']]]+Tab_Process_TCs2527[[#This Row],[Flow_TC_I_3_'[%']]]+Tab_Process_TCs2527[[#This Row],[Flow_TC_I_4_'[%']]]+Tab_Process_TCs2527[[#This Row],[Flow_TC_I_5_'[%']]]</f>
        <v>0</v>
      </c>
      <c r="AD136" s="57" t="e">
        <f>_xlfn.XLOOKUP($D136,Tab_Process_TCs[TC_ID],Tab_Process_TCs[Output_Flow_O_1],,0,)</f>
        <v>#N/A</v>
      </c>
      <c r="AE136" s="48" t="e">
        <f>_xlfn.XLOOKUP($D136,Tab_Process_TCs[TC_ID],Tab_Process_TCs[Flow_ID_O_1],,0,)</f>
        <v>#N/A</v>
      </c>
      <c r="AF136" s="100" t="e">
        <f>Tab_Process_TCs2527[[#This Row],[Flow_ID]]</f>
        <v>#N/A</v>
      </c>
      <c r="AG136" s="48" t="e">
        <f t="shared" si="31"/>
        <v>#N/A</v>
      </c>
      <c r="AH136" s="232"/>
      <c r="AI136" s="231" t="e">
        <f>_xlfn.XLOOKUP($D136,Tab_Process_TCs[TC_ID],Tab_Process_TCs[Output_Flow_O_2],,0,)</f>
        <v>#N/A</v>
      </c>
      <c r="AJ136" s="113" t="e">
        <f>_xlfn.XLOOKUP($D136,Tab_Process_TCs[TC_ID],Tab_Process_TCs[Flow_ID_O_2],,0,)</f>
        <v>#N/A</v>
      </c>
      <c r="AK136" s="100" t="e">
        <f>Tab_Process_TCs2527[[#This Row],[Flow_ID]]</f>
        <v>#N/A</v>
      </c>
      <c r="AL136" s="48" t="e">
        <f t="shared" si="32"/>
        <v>#N/A</v>
      </c>
      <c r="AM136" s="228"/>
      <c r="AN136" s="57" t="e">
        <f>_xlfn.XLOOKUP($D136,Tab_Process_TCs[TC_ID],Tab_Process_TCs[Output_Flow_O_3],,0,)</f>
        <v>#N/A</v>
      </c>
      <c r="AO136" s="48" t="e">
        <f>_xlfn.XLOOKUP($D136,Tab_Process_TCs[TC_ID],Tab_Process_TCs[Flow_ID_O_3],,0,)</f>
        <v>#N/A</v>
      </c>
      <c r="AP136" s="100" t="e">
        <f>Tab_Process_TCs2527[[#This Row],[Flow_ID]]</f>
        <v>#N/A</v>
      </c>
      <c r="AQ136" s="48" t="e">
        <f t="shared" si="33"/>
        <v>#N/A</v>
      </c>
      <c r="AR136" s="228"/>
      <c r="AS136" s="57" t="e">
        <f>_xlfn.XLOOKUP($D136,Tab_Process_TCs[TC_ID],#REF!,,0,)</f>
        <v>#REF!</v>
      </c>
      <c r="AT136" s="48" t="e">
        <f>_xlfn.XLOOKUP($D136,Tab_Process_TCs[TC_ID],#REF!,,0,)</f>
        <v>#REF!</v>
      </c>
      <c r="AU136" s="100" t="e">
        <f>Tab_Process_TCs2527[[#This Row],[Flow_ID]]</f>
        <v>#N/A</v>
      </c>
      <c r="AV136" s="100" t="e">
        <f t="shared" si="34"/>
        <v>#N/A</v>
      </c>
      <c r="AW136" s="228"/>
      <c r="AX136" s="57" t="e">
        <f>_xlfn.XLOOKUP($D136,Tab_Process_TCs[TC_ID],#REF!,,0,)</f>
        <v>#REF!</v>
      </c>
      <c r="AY136" s="48" t="e">
        <f>_xlfn.XLOOKUP($D136,Tab_Process_TCs[TC_ID],#REF!,,0,)</f>
        <v>#REF!</v>
      </c>
      <c r="AZ136" s="100" t="e">
        <f>Tab_Process_TCs2527[[#This Row],[Flow_ID]]</f>
        <v>#N/A</v>
      </c>
      <c r="BA136" s="100" t="e">
        <f t="shared" si="35"/>
        <v>#REF!</v>
      </c>
      <c r="BB136" s="228"/>
      <c r="BC136" s="48" t="e">
        <f>_xlfn.XLOOKUP($D136,Tab_Process_TCs[TC_ID],#REF!,,0,)</f>
        <v>#REF!</v>
      </c>
      <c r="BD136" s="48" t="e">
        <f>_xlfn.XLOOKUP($D136,Tab_Process_TCs[TC_ID],#REF!,,0,)</f>
        <v>#REF!</v>
      </c>
      <c r="BE136" s="100" t="e">
        <f>Tab_Process_TCs2527[[#This Row],[Flow_ID]]</f>
        <v>#N/A</v>
      </c>
      <c r="BF136" s="100" t="e">
        <f t="shared" si="36"/>
        <v>#REF!</v>
      </c>
      <c r="BG136" s="109"/>
      <c r="BH136" s="112">
        <f>Tab_Process_TCs2527[[#This Row],[TC O_6_'[%']]]+Tab_Process_TCs2527[[#This Row],[TC O_5_'[%']]]+Tab_Process_TCs2527[[#This Row],[TC_O_4_'[%']]]+Tab_Process_TCs2527[[#This Row],[TC_O_3_'[%']]]+Tab_Process_TCs2527[[#This Row],[TC_O_2_'[%']]]+Tab_Process_TCs2527[[#This Row],[TC_O_1_'[%']]]</f>
        <v>0</v>
      </c>
      <c r="BI136" s="50"/>
      <c r="BJ136" s="50"/>
      <c r="BK136" s="50"/>
      <c r="BL136" s="50"/>
      <c r="BM136" s="50"/>
    </row>
    <row r="137" spans="1:65" x14ac:dyDescent="0.25">
      <c r="A137" s="87" t="b">
        <v>0</v>
      </c>
      <c r="B137" s="48">
        <f t="shared" si="30"/>
        <v>136</v>
      </c>
      <c r="C137" s="107" t="e">
        <f>_xlfn.XLOOKUP($D137,Tab_Process_TCs[Name(EN)],Tab_Process_TCs[Process_ID],,0,)</f>
        <v>#N/A</v>
      </c>
      <c r="D137" s="50"/>
      <c r="E137" s="50" t="s">
        <v>55</v>
      </c>
      <c r="F137" s="48" t="e">
        <f>_xlfn.XLOOKUP($D137,Tab_Process_TCs[Name(EN)],Tab_Process_TCs[TC?],,0,)</f>
        <v>#N/A</v>
      </c>
      <c r="G137" s="48" t="e">
        <f>_xlfn.XLOOKUP($D137,Tab_Process_TCs[Name(EN)],Tab_Process_TCs[Dyn_TC?],,0,)</f>
        <v>#N/A</v>
      </c>
      <c r="H137" s="48" t="e">
        <f>_xlfn.XLOOKUP($E137,Tab_Def_Flows[Name(EN)],Tab_Def_Flows[Flow_ID],,0,1)</f>
        <v>#N/A</v>
      </c>
      <c r="I137" s="50" t="e">
        <f>IF(Tab_Process_TCs2527[[#This Row],[Name(EN)]]="N.A.","N.A.","TC"&amp;"_"&amp;RIGHT(H137,5))</f>
        <v>#N/A</v>
      </c>
      <c r="J137" s="50"/>
      <c r="K137" s="249"/>
      <c r="L137" s="50" t="e">
        <f>_xlfn.XLOOKUP($D137,Tab_Def_Processes[Name(EN)],Tab_Def_Processes[Stock?],,0,)</f>
        <v>#N/A</v>
      </c>
      <c r="M137" s="48"/>
      <c r="N137" s="57" t="e">
        <f>_xlfn.XLOOKUP($D137,Tab_Def_Processes[Name(EN)],Tab_Def_Processes[Input_Flow_I_1],,0,)</f>
        <v>#N/A</v>
      </c>
      <c r="O137" s="48" t="e">
        <f>_xlfn.XLOOKUP($D137,Tab_Def_Processes[Name(EN)],Tab_Def_Processes[Flow_ID_I_1],,0,)</f>
        <v>#N/A</v>
      </c>
      <c r="P137" s="76"/>
      <c r="Q137" s="71" t="e">
        <f>_xlfn.XLOOKUP($D137,Tab_Def_Processes[Name(EN)],Tab_Def_Processes[Input_Flow_I_2],,0,)</f>
        <v>#N/A</v>
      </c>
      <c r="R137" s="48" t="e">
        <f>_xlfn.XLOOKUP($D137,Tab_Def_Processes[Name(EN)],Tab_Def_Processes[Flow_ID_I_2],,0,)</f>
        <v>#N/A</v>
      </c>
      <c r="S137" s="76"/>
      <c r="T137" s="71" t="e">
        <f>_xlfn.XLOOKUP($D137,Tab_Def_Processes[Name(EN)],Tab_Def_Processes[Input_Flow_I_3],,0,)</f>
        <v>#N/A</v>
      </c>
      <c r="U137" s="48" t="e">
        <f>_xlfn.XLOOKUP($D137,Tab_Def_Processes[Name(EN)],Tab_Def_Processes[Flow_ID_I_3],,0,)</f>
        <v>#N/A</v>
      </c>
      <c r="V137" s="76"/>
      <c r="W137" s="71" t="e">
        <f>_xlfn.XLOOKUP($D137,Tab_Def_Processes[Name(EN)],Tab_Def_Processes[Input_Flow_I_4],,0,)</f>
        <v>#N/A</v>
      </c>
      <c r="X137" s="48" t="e">
        <f>_xlfn.XLOOKUP($D137,Tab_Def_Processes[Name(EN)],Tab_Def_Processes[Flow_ID_I_4],,0,)</f>
        <v>#N/A</v>
      </c>
      <c r="Y137" s="76"/>
      <c r="Z137" s="71" t="e">
        <f>_xlfn.XLOOKUP($D137,Tab_Def_Processes[Name(EN)],Tab_Def_Processes[Input_Flow_I_5],,0,)</f>
        <v>#N/A</v>
      </c>
      <c r="AA137" s="48" t="e">
        <f>_xlfn.XLOOKUP($D137,Tab_Def_Processes[Name(EN)],Tab_Def_Processes[Flow_ID_I_5],,0,)</f>
        <v>#N/A</v>
      </c>
      <c r="AB137" s="76"/>
      <c r="AC137" s="88">
        <f>Tab_Process_TCs2527[[#This Row],[Flow_TC_I_1_'[%']]]+Tab_Process_TCs2527[[#This Row],[Flow_TC_I_2_'[%']]]+Tab_Process_TCs2527[[#This Row],[Flow_TC_I_3_'[%']]]+Tab_Process_TCs2527[[#This Row],[Flow_TC_I_4_'[%']]]+Tab_Process_TCs2527[[#This Row],[Flow_TC_I_5_'[%']]]</f>
        <v>0</v>
      </c>
      <c r="AD137" s="57" t="e">
        <f>_xlfn.XLOOKUP($D137,Tab_Process_TCs[TC_ID],Tab_Process_TCs[Output_Flow_O_1],,0,)</f>
        <v>#N/A</v>
      </c>
      <c r="AE137" s="48" t="e">
        <f>_xlfn.XLOOKUP($D137,Tab_Process_TCs[TC_ID],Tab_Process_TCs[Flow_ID_O_1],,0,)</f>
        <v>#N/A</v>
      </c>
      <c r="AF137" s="100" t="e">
        <f>Tab_Process_TCs2527[[#This Row],[Flow_ID]]</f>
        <v>#N/A</v>
      </c>
      <c r="AG137" s="48" t="e">
        <f t="shared" si="31"/>
        <v>#N/A</v>
      </c>
      <c r="AH137" s="232"/>
      <c r="AI137" s="231" t="e">
        <f>_xlfn.XLOOKUP($D137,Tab_Process_TCs[TC_ID],Tab_Process_TCs[Output_Flow_O_2],,0,)</f>
        <v>#N/A</v>
      </c>
      <c r="AJ137" s="113" t="e">
        <f>_xlfn.XLOOKUP($D137,Tab_Process_TCs[TC_ID],Tab_Process_TCs[Flow_ID_O_2],,0,)</f>
        <v>#N/A</v>
      </c>
      <c r="AK137" s="100" t="e">
        <f>Tab_Process_TCs2527[[#This Row],[Flow_ID]]</f>
        <v>#N/A</v>
      </c>
      <c r="AL137" s="48" t="e">
        <f t="shared" si="32"/>
        <v>#N/A</v>
      </c>
      <c r="AM137" s="228"/>
      <c r="AN137" s="57" t="e">
        <f>_xlfn.XLOOKUP($D137,Tab_Process_TCs[TC_ID],Tab_Process_TCs[Output_Flow_O_3],,0,)</f>
        <v>#N/A</v>
      </c>
      <c r="AO137" s="48" t="e">
        <f>_xlfn.XLOOKUP($D137,Tab_Process_TCs[TC_ID],Tab_Process_TCs[Flow_ID_O_3],,0,)</f>
        <v>#N/A</v>
      </c>
      <c r="AP137" s="100" t="e">
        <f>Tab_Process_TCs2527[[#This Row],[Flow_ID]]</f>
        <v>#N/A</v>
      </c>
      <c r="AQ137" s="48" t="e">
        <f t="shared" si="33"/>
        <v>#N/A</v>
      </c>
      <c r="AR137" s="228"/>
      <c r="AS137" s="57" t="e">
        <f>_xlfn.XLOOKUP($D137,Tab_Process_TCs[TC_ID],#REF!,,0,)</f>
        <v>#REF!</v>
      </c>
      <c r="AT137" s="48" t="e">
        <f>_xlfn.XLOOKUP($D137,Tab_Process_TCs[TC_ID],#REF!,,0,)</f>
        <v>#REF!</v>
      </c>
      <c r="AU137" s="100" t="e">
        <f>Tab_Process_TCs2527[[#This Row],[Flow_ID]]</f>
        <v>#N/A</v>
      </c>
      <c r="AV137" s="100" t="e">
        <f t="shared" si="34"/>
        <v>#N/A</v>
      </c>
      <c r="AW137" s="228"/>
      <c r="AX137" s="57" t="e">
        <f>_xlfn.XLOOKUP($D137,Tab_Process_TCs[TC_ID],#REF!,,0,)</f>
        <v>#REF!</v>
      </c>
      <c r="AY137" s="48" t="e">
        <f>_xlfn.XLOOKUP($D137,Tab_Process_TCs[TC_ID],#REF!,,0,)</f>
        <v>#REF!</v>
      </c>
      <c r="AZ137" s="100" t="e">
        <f>Tab_Process_TCs2527[[#This Row],[Flow_ID]]</f>
        <v>#N/A</v>
      </c>
      <c r="BA137" s="100" t="e">
        <f t="shared" si="35"/>
        <v>#REF!</v>
      </c>
      <c r="BB137" s="228"/>
      <c r="BC137" s="48" t="e">
        <f>_xlfn.XLOOKUP($D137,Tab_Process_TCs[TC_ID],#REF!,,0,)</f>
        <v>#REF!</v>
      </c>
      <c r="BD137" s="48" t="e">
        <f>_xlfn.XLOOKUP($D137,Tab_Process_TCs[TC_ID],#REF!,,0,)</f>
        <v>#REF!</v>
      </c>
      <c r="BE137" s="100" t="e">
        <f>Tab_Process_TCs2527[[#This Row],[Flow_ID]]</f>
        <v>#N/A</v>
      </c>
      <c r="BF137" s="100" t="e">
        <f t="shared" si="36"/>
        <v>#REF!</v>
      </c>
      <c r="BG137" s="109"/>
      <c r="BH137" s="112">
        <f>Tab_Process_TCs2527[[#This Row],[TC O_6_'[%']]]+Tab_Process_TCs2527[[#This Row],[TC O_5_'[%']]]+Tab_Process_TCs2527[[#This Row],[TC_O_4_'[%']]]+Tab_Process_TCs2527[[#This Row],[TC_O_3_'[%']]]+Tab_Process_TCs2527[[#This Row],[TC_O_2_'[%']]]+Tab_Process_TCs2527[[#This Row],[TC_O_1_'[%']]]</f>
        <v>0</v>
      </c>
      <c r="BI137" s="50"/>
      <c r="BJ137" s="50"/>
      <c r="BK137" s="50"/>
      <c r="BL137" s="50"/>
      <c r="BM137" s="50"/>
    </row>
    <row r="138" spans="1:65" x14ac:dyDescent="0.25">
      <c r="A138" s="87" t="b">
        <v>0</v>
      </c>
      <c r="B138" s="48">
        <f t="shared" si="30"/>
        <v>137</v>
      </c>
      <c r="C138" s="107" t="e">
        <f>_xlfn.XLOOKUP($D138,Tab_Process_TCs[Name(EN)],Tab_Process_TCs[Process_ID],,0,)</f>
        <v>#N/A</v>
      </c>
      <c r="D138" s="50"/>
      <c r="E138" s="50" t="s">
        <v>55</v>
      </c>
      <c r="F138" s="48" t="e">
        <f>_xlfn.XLOOKUP($D138,Tab_Process_TCs[Name(EN)],Tab_Process_TCs[TC?],,0,)</f>
        <v>#N/A</v>
      </c>
      <c r="G138" s="48" t="e">
        <f>_xlfn.XLOOKUP($D138,Tab_Process_TCs[Name(EN)],Tab_Process_TCs[Dyn_TC?],,0,)</f>
        <v>#N/A</v>
      </c>
      <c r="H138" s="48" t="e">
        <f>_xlfn.XLOOKUP($E138,Tab_Def_Flows[Name(EN)],Tab_Def_Flows[Flow_ID],,0,1)</f>
        <v>#N/A</v>
      </c>
      <c r="I138" s="50" t="e">
        <f>IF(Tab_Process_TCs2527[[#This Row],[Name(EN)]]="N.A.","N.A.","TC"&amp;"_"&amp;RIGHT(H138,5))</f>
        <v>#N/A</v>
      </c>
      <c r="J138" s="50"/>
      <c r="K138" s="249"/>
      <c r="L138" s="50" t="e">
        <f>_xlfn.XLOOKUP($D138,Tab_Def_Processes[Name(EN)],Tab_Def_Processes[Stock?],,0,)</f>
        <v>#N/A</v>
      </c>
      <c r="M138" s="48"/>
      <c r="N138" s="57" t="e">
        <f>_xlfn.XLOOKUP($D138,Tab_Def_Processes[Name(EN)],Tab_Def_Processes[Input_Flow_I_1],,0,)</f>
        <v>#N/A</v>
      </c>
      <c r="O138" s="48" t="e">
        <f>_xlfn.XLOOKUP($D138,Tab_Def_Processes[Name(EN)],Tab_Def_Processes[Flow_ID_I_1],,0,)</f>
        <v>#N/A</v>
      </c>
      <c r="P138" s="76"/>
      <c r="Q138" s="71" t="e">
        <f>_xlfn.XLOOKUP($D138,Tab_Def_Processes[Name(EN)],Tab_Def_Processes[Input_Flow_I_2],,0,)</f>
        <v>#N/A</v>
      </c>
      <c r="R138" s="48" t="e">
        <f>_xlfn.XLOOKUP($D138,Tab_Def_Processes[Name(EN)],Tab_Def_Processes[Flow_ID_I_2],,0,)</f>
        <v>#N/A</v>
      </c>
      <c r="S138" s="76"/>
      <c r="T138" s="71" t="e">
        <f>_xlfn.XLOOKUP($D138,Tab_Def_Processes[Name(EN)],Tab_Def_Processes[Input_Flow_I_3],,0,)</f>
        <v>#N/A</v>
      </c>
      <c r="U138" s="48" t="e">
        <f>_xlfn.XLOOKUP($D138,Tab_Def_Processes[Name(EN)],Tab_Def_Processes[Flow_ID_I_3],,0,)</f>
        <v>#N/A</v>
      </c>
      <c r="V138" s="76"/>
      <c r="W138" s="71" t="e">
        <f>_xlfn.XLOOKUP($D138,Tab_Def_Processes[Name(EN)],Tab_Def_Processes[Input_Flow_I_4],,0,)</f>
        <v>#N/A</v>
      </c>
      <c r="X138" s="48" t="e">
        <f>_xlfn.XLOOKUP($D138,Tab_Def_Processes[Name(EN)],Tab_Def_Processes[Flow_ID_I_4],,0,)</f>
        <v>#N/A</v>
      </c>
      <c r="Y138" s="76"/>
      <c r="Z138" s="71" t="e">
        <f>_xlfn.XLOOKUP($D138,Tab_Def_Processes[Name(EN)],Tab_Def_Processes[Input_Flow_I_5],,0,)</f>
        <v>#N/A</v>
      </c>
      <c r="AA138" s="48" t="e">
        <f>_xlfn.XLOOKUP($D138,Tab_Def_Processes[Name(EN)],Tab_Def_Processes[Flow_ID_I_5],,0,)</f>
        <v>#N/A</v>
      </c>
      <c r="AB138" s="76"/>
      <c r="AC138" s="88">
        <f>Tab_Process_TCs2527[[#This Row],[Flow_TC_I_1_'[%']]]+Tab_Process_TCs2527[[#This Row],[Flow_TC_I_2_'[%']]]+Tab_Process_TCs2527[[#This Row],[Flow_TC_I_3_'[%']]]+Tab_Process_TCs2527[[#This Row],[Flow_TC_I_4_'[%']]]+Tab_Process_TCs2527[[#This Row],[Flow_TC_I_5_'[%']]]</f>
        <v>0</v>
      </c>
      <c r="AD138" s="57" t="e">
        <f>_xlfn.XLOOKUP($D138,Tab_Process_TCs[TC_ID],Tab_Process_TCs[Output_Flow_O_1],,0,)</f>
        <v>#N/A</v>
      </c>
      <c r="AE138" s="48" t="e">
        <f>_xlfn.XLOOKUP($D138,Tab_Process_TCs[TC_ID],Tab_Process_TCs[Flow_ID_O_1],,0,)</f>
        <v>#N/A</v>
      </c>
      <c r="AF138" s="100" t="e">
        <f>Tab_Process_TCs2527[[#This Row],[Flow_ID]]</f>
        <v>#N/A</v>
      </c>
      <c r="AG138" s="48" t="e">
        <f t="shared" si="31"/>
        <v>#N/A</v>
      </c>
      <c r="AH138" s="232"/>
      <c r="AI138" s="231" t="e">
        <f>_xlfn.XLOOKUP($D138,Tab_Process_TCs[TC_ID],Tab_Process_TCs[Output_Flow_O_2],,0,)</f>
        <v>#N/A</v>
      </c>
      <c r="AJ138" s="113" t="e">
        <f>_xlfn.XLOOKUP($D138,Tab_Process_TCs[TC_ID],Tab_Process_TCs[Flow_ID_O_2],,0,)</f>
        <v>#N/A</v>
      </c>
      <c r="AK138" s="100" t="e">
        <f>Tab_Process_TCs2527[[#This Row],[Flow_ID]]</f>
        <v>#N/A</v>
      </c>
      <c r="AL138" s="48" t="e">
        <f t="shared" si="32"/>
        <v>#N/A</v>
      </c>
      <c r="AM138" s="228"/>
      <c r="AN138" s="57" t="e">
        <f>_xlfn.XLOOKUP($D138,Tab_Process_TCs[TC_ID],Tab_Process_TCs[Output_Flow_O_3],,0,)</f>
        <v>#N/A</v>
      </c>
      <c r="AO138" s="48" t="e">
        <f>_xlfn.XLOOKUP($D138,Tab_Process_TCs[TC_ID],Tab_Process_TCs[Flow_ID_O_3],,0,)</f>
        <v>#N/A</v>
      </c>
      <c r="AP138" s="100" t="e">
        <f>Tab_Process_TCs2527[[#This Row],[Flow_ID]]</f>
        <v>#N/A</v>
      </c>
      <c r="AQ138" s="48" t="e">
        <f t="shared" si="33"/>
        <v>#N/A</v>
      </c>
      <c r="AR138" s="228"/>
      <c r="AS138" s="57" t="e">
        <f>_xlfn.XLOOKUP($D138,Tab_Process_TCs[TC_ID],#REF!,,0,)</f>
        <v>#REF!</v>
      </c>
      <c r="AT138" s="48" t="e">
        <f>_xlfn.XLOOKUP($D138,Tab_Process_TCs[TC_ID],#REF!,,0,)</f>
        <v>#REF!</v>
      </c>
      <c r="AU138" s="100" t="e">
        <f>Tab_Process_TCs2527[[#This Row],[Flow_ID]]</f>
        <v>#N/A</v>
      </c>
      <c r="AV138" s="100" t="e">
        <f t="shared" si="34"/>
        <v>#N/A</v>
      </c>
      <c r="AW138" s="228"/>
      <c r="AX138" s="57" t="e">
        <f>_xlfn.XLOOKUP($D138,Tab_Process_TCs[TC_ID],#REF!,,0,)</f>
        <v>#REF!</v>
      </c>
      <c r="AY138" s="48" t="e">
        <f>_xlfn.XLOOKUP($D138,Tab_Process_TCs[TC_ID],#REF!,,0,)</f>
        <v>#REF!</v>
      </c>
      <c r="AZ138" s="100" t="e">
        <f>Tab_Process_TCs2527[[#This Row],[Flow_ID]]</f>
        <v>#N/A</v>
      </c>
      <c r="BA138" s="100" t="e">
        <f t="shared" si="35"/>
        <v>#REF!</v>
      </c>
      <c r="BB138" s="228"/>
      <c r="BC138" s="48" t="e">
        <f>_xlfn.XLOOKUP($D138,Tab_Process_TCs[TC_ID],#REF!,,0,)</f>
        <v>#REF!</v>
      </c>
      <c r="BD138" s="48" t="e">
        <f>_xlfn.XLOOKUP($D138,Tab_Process_TCs[TC_ID],#REF!,,0,)</f>
        <v>#REF!</v>
      </c>
      <c r="BE138" s="100" t="e">
        <f>Tab_Process_TCs2527[[#This Row],[Flow_ID]]</f>
        <v>#N/A</v>
      </c>
      <c r="BF138" s="100" t="e">
        <f t="shared" si="36"/>
        <v>#REF!</v>
      </c>
      <c r="BG138" s="109"/>
      <c r="BH138" s="112">
        <f>Tab_Process_TCs2527[[#This Row],[TC O_6_'[%']]]+Tab_Process_TCs2527[[#This Row],[TC O_5_'[%']]]+Tab_Process_TCs2527[[#This Row],[TC_O_4_'[%']]]+Tab_Process_TCs2527[[#This Row],[TC_O_3_'[%']]]+Tab_Process_TCs2527[[#This Row],[TC_O_2_'[%']]]+Tab_Process_TCs2527[[#This Row],[TC_O_1_'[%']]]</f>
        <v>0</v>
      </c>
      <c r="BI138" s="50"/>
      <c r="BJ138" s="50"/>
      <c r="BK138" s="50"/>
      <c r="BL138" s="50"/>
      <c r="BM138" s="50"/>
    </row>
    <row r="139" spans="1:65" x14ac:dyDescent="0.25">
      <c r="A139" s="87" t="b">
        <v>0</v>
      </c>
      <c r="B139" s="48">
        <f t="shared" si="30"/>
        <v>138</v>
      </c>
      <c r="C139" s="107" t="e">
        <f>_xlfn.XLOOKUP($D139,Tab_Process_TCs[Name(EN)],Tab_Process_TCs[Process_ID],,0,)</f>
        <v>#N/A</v>
      </c>
      <c r="D139" s="50"/>
      <c r="E139" s="50" t="s">
        <v>55</v>
      </c>
      <c r="F139" s="48" t="e">
        <f>_xlfn.XLOOKUP($D139,Tab_Process_TCs[Name(EN)],Tab_Process_TCs[TC?],,0,)</f>
        <v>#N/A</v>
      </c>
      <c r="G139" s="48" t="e">
        <f>_xlfn.XLOOKUP($D139,Tab_Process_TCs[Name(EN)],Tab_Process_TCs[Dyn_TC?],,0,)</f>
        <v>#N/A</v>
      </c>
      <c r="H139" s="48" t="e">
        <f>_xlfn.XLOOKUP($E139,Tab_Def_Flows[Name(EN)],Tab_Def_Flows[Flow_ID],,0,1)</f>
        <v>#N/A</v>
      </c>
      <c r="I139" s="50" t="e">
        <f>IF(Tab_Process_TCs2527[[#This Row],[Name(EN)]]="N.A.","N.A.","TC"&amp;"_"&amp;RIGHT(H139,5))</f>
        <v>#N/A</v>
      </c>
      <c r="J139" s="50"/>
      <c r="K139" s="249"/>
      <c r="L139" s="50" t="e">
        <f>_xlfn.XLOOKUP($D139,Tab_Def_Processes[Name(EN)],Tab_Def_Processes[Stock?],,0,)</f>
        <v>#N/A</v>
      </c>
      <c r="M139" s="48"/>
      <c r="N139" s="57" t="e">
        <f>_xlfn.XLOOKUP($D139,Tab_Def_Processes[Name(EN)],Tab_Def_Processes[Input_Flow_I_1],,0,)</f>
        <v>#N/A</v>
      </c>
      <c r="O139" s="48" t="e">
        <f>_xlfn.XLOOKUP($D139,Tab_Def_Processes[Name(EN)],Tab_Def_Processes[Flow_ID_I_1],,0,)</f>
        <v>#N/A</v>
      </c>
      <c r="P139" s="76"/>
      <c r="Q139" s="71" t="e">
        <f>_xlfn.XLOOKUP($D139,Tab_Def_Processes[Name(EN)],Tab_Def_Processes[Input_Flow_I_2],,0,)</f>
        <v>#N/A</v>
      </c>
      <c r="R139" s="48" t="e">
        <f>_xlfn.XLOOKUP($D139,Tab_Def_Processes[Name(EN)],Tab_Def_Processes[Flow_ID_I_2],,0,)</f>
        <v>#N/A</v>
      </c>
      <c r="S139" s="76"/>
      <c r="T139" s="71" t="e">
        <f>_xlfn.XLOOKUP($D139,Tab_Def_Processes[Name(EN)],Tab_Def_Processes[Input_Flow_I_3],,0,)</f>
        <v>#N/A</v>
      </c>
      <c r="U139" s="48" t="e">
        <f>_xlfn.XLOOKUP($D139,Tab_Def_Processes[Name(EN)],Tab_Def_Processes[Flow_ID_I_3],,0,)</f>
        <v>#N/A</v>
      </c>
      <c r="V139" s="76"/>
      <c r="W139" s="71" t="e">
        <f>_xlfn.XLOOKUP($D139,Tab_Def_Processes[Name(EN)],Tab_Def_Processes[Input_Flow_I_4],,0,)</f>
        <v>#N/A</v>
      </c>
      <c r="X139" s="48" t="e">
        <f>_xlfn.XLOOKUP($D139,Tab_Def_Processes[Name(EN)],Tab_Def_Processes[Flow_ID_I_4],,0,)</f>
        <v>#N/A</v>
      </c>
      <c r="Y139" s="76"/>
      <c r="Z139" s="71" t="e">
        <f>_xlfn.XLOOKUP($D139,Tab_Def_Processes[Name(EN)],Tab_Def_Processes[Input_Flow_I_5],,0,)</f>
        <v>#N/A</v>
      </c>
      <c r="AA139" s="48" t="e">
        <f>_xlfn.XLOOKUP($D139,Tab_Def_Processes[Name(EN)],Tab_Def_Processes[Flow_ID_I_5],,0,)</f>
        <v>#N/A</v>
      </c>
      <c r="AB139" s="76"/>
      <c r="AC139" s="88">
        <f>Tab_Process_TCs2527[[#This Row],[Flow_TC_I_1_'[%']]]+Tab_Process_TCs2527[[#This Row],[Flow_TC_I_2_'[%']]]+Tab_Process_TCs2527[[#This Row],[Flow_TC_I_3_'[%']]]+Tab_Process_TCs2527[[#This Row],[Flow_TC_I_4_'[%']]]+Tab_Process_TCs2527[[#This Row],[Flow_TC_I_5_'[%']]]</f>
        <v>0</v>
      </c>
      <c r="AD139" s="57" t="e">
        <f>_xlfn.XLOOKUP($D139,Tab_Process_TCs[TC_ID],Tab_Process_TCs[Output_Flow_O_1],,0,)</f>
        <v>#N/A</v>
      </c>
      <c r="AE139" s="48" t="e">
        <f>_xlfn.XLOOKUP($D139,Tab_Process_TCs[TC_ID],Tab_Process_TCs[Flow_ID_O_1],,0,)</f>
        <v>#N/A</v>
      </c>
      <c r="AF139" s="100" t="e">
        <f>Tab_Process_TCs2527[[#This Row],[Flow_ID]]</f>
        <v>#N/A</v>
      </c>
      <c r="AG139" s="48" t="e">
        <f t="shared" si="31"/>
        <v>#N/A</v>
      </c>
      <c r="AH139" s="232"/>
      <c r="AI139" s="231" t="e">
        <f>_xlfn.XLOOKUP($D139,Tab_Process_TCs[TC_ID],Tab_Process_TCs[Output_Flow_O_2],,0,)</f>
        <v>#N/A</v>
      </c>
      <c r="AJ139" s="113" t="e">
        <f>_xlfn.XLOOKUP($D139,Tab_Process_TCs[TC_ID],Tab_Process_TCs[Flow_ID_O_2],,0,)</f>
        <v>#N/A</v>
      </c>
      <c r="AK139" s="100" t="e">
        <f>Tab_Process_TCs2527[[#This Row],[Flow_ID]]</f>
        <v>#N/A</v>
      </c>
      <c r="AL139" s="48" t="e">
        <f t="shared" si="32"/>
        <v>#N/A</v>
      </c>
      <c r="AM139" s="228"/>
      <c r="AN139" s="57" t="e">
        <f>_xlfn.XLOOKUP($D139,Tab_Process_TCs[TC_ID],Tab_Process_TCs[Output_Flow_O_3],,0,)</f>
        <v>#N/A</v>
      </c>
      <c r="AO139" s="48" t="e">
        <f>_xlfn.XLOOKUP($D139,Tab_Process_TCs[TC_ID],Tab_Process_TCs[Flow_ID_O_3],,0,)</f>
        <v>#N/A</v>
      </c>
      <c r="AP139" s="100" t="e">
        <f>Tab_Process_TCs2527[[#This Row],[Flow_ID]]</f>
        <v>#N/A</v>
      </c>
      <c r="AQ139" s="48" t="e">
        <f t="shared" si="33"/>
        <v>#N/A</v>
      </c>
      <c r="AR139" s="228"/>
      <c r="AS139" s="57" t="e">
        <f>_xlfn.XLOOKUP($D139,Tab_Process_TCs[TC_ID],#REF!,,0,)</f>
        <v>#REF!</v>
      </c>
      <c r="AT139" s="48" t="e">
        <f>_xlfn.XLOOKUP($D139,Tab_Process_TCs[TC_ID],#REF!,,0,)</f>
        <v>#REF!</v>
      </c>
      <c r="AU139" s="100" t="e">
        <f>Tab_Process_TCs2527[[#This Row],[Flow_ID]]</f>
        <v>#N/A</v>
      </c>
      <c r="AV139" s="100" t="e">
        <f t="shared" si="34"/>
        <v>#N/A</v>
      </c>
      <c r="AW139" s="228"/>
      <c r="AX139" s="57" t="e">
        <f>_xlfn.XLOOKUP($D139,Tab_Process_TCs[TC_ID],#REF!,,0,)</f>
        <v>#REF!</v>
      </c>
      <c r="AY139" s="48" t="e">
        <f>_xlfn.XLOOKUP($D139,Tab_Process_TCs[TC_ID],#REF!,,0,)</f>
        <v>#REF!</v>
      </c>
      <c r="AZ139" s="100" t="e">
        <f>Tab_Process_TCs2527[[#This Row],[Flow_ID]]</f>
        <v>#N/A</v>
      </c>
      <c r="BA139" s="100" t="e">
        <f t="shared" si="35"/>
        <v>#REF!</v>
      </c>
      <c r="BB139" s="228"/>
      <c r="BC139" s="48" t="e">
        <f>_xlfn.XLOOKUP($D139,Tab_Process_TCs[TC_ID],#REF!,,0,)</f>
        <v>#REF!</v>
      </c>
      <c r="BD139" s="48" t="e">
        <f>_xlfn.XLOOKUP($D139,Tab_Process_TCs[TC_ID],#REF!,,0,)</f>
        <v>#REF!</v>
      </c>
      <c r="BE139" s="100" t="e">
        <f>Tab_Process_TCs2527[[#This Row],[Flow_ID]]</f>
        <v>#N/A</v>
      </c>
      <c r="BF139" s="100" t="e">
        <f t="shared" si="36"/>
        <v>#REF!</v>
      </c>
      <c r="BG139" s="109"/>
      <c r="BH139" s="112">
        <f>Tab_Process_TCs2527[[#This Row],[TC O_6_'[%']]]+Tab_Process_TCs2527[[#This Row],[TC O_5_'[%']]]+Tab_Process_TCs2527[[#This Row],[TC_O_4_'[%']]]+Tab_Process_TCs2527[[#This Row],[TC_O_3_'[%']]]+Tab_Process_TCs2527[[#This Row],[TC_O_2_'[%']]]+Tab_Process_TCs2527[[#This Row],[TC_O_1_'[%']]]</f>
        <v>0</v>
      </c>
      <c r="BI139" s="50"/>
      <c r="BJ139" s="50"/>
      <c r="BK139" s="50"/>
      <c r="BL139" s="50"/>
      <c r="BM139" s="50"/>
    </row>
    <row r="140" spans="1:65" x14ac:dyDescent="0.25">
      <c r="A140" s="87" t="b">
        <v>0</v>
      </c>
      <c r="B140" s="48">
        <f t="shared" si="30"/>
        <v>139</v>
      </c>
      <c r="C140" s="107" t="e">
        <f>_xlfn.XLOOKUP($D140,Tab_Process_TCs[Name(EN)],Tab_Process_TCs[Process_ID],,0,)</f>
        <v>#N/A</v>
      </c>
      <c r="D140" s="50"/>
      <c r="E140" s="50" t="s">
        <v>55</v>
      </c>
      <c r="F140" s="48" t="e">
        <f>_xlfn.XLOOKUP($D140,Tab_Process_TCs[Name(EN)],Tab_Process_TCs[TC?],,0,)</f>
        <v>#N/A</v>
      </c>
      <c r="G140" s="48" t="e">
        <f>_xlfn.XLOOKUP($D140,Tab_Process_TCs[Name(EN)],Tab_Process_TCs[Dyn_TC?],,0,)</f>
        <v>#N/A</v>
      </c>
      <c r="H140" s="48" t="e">
        <f>_xlfn.XLOOKUP($E140,Tab_Def_Flows[Name(EN)],Tab_Def_Flows[Flow_ID],,0,1)</f>
        <v>#N/A</v>
      </c>
      <c r="I140" s="50" t="e">
        <f>IF(Tab_Process_TCs2527[[#This Row],[Name(EN)]]="N.A.","N.A.","TC"&amp;"_"&amp;RIGHT(H140,5))</f>
        <v>#N/A</v>
      </c>
      <c r="J140" s="50"/>
      <c r="K140" s="117"/>
      <c r="L140" s="50" t="e">
        <f>_xlfn.XLOOKUP($D140,Tab_Def_Processes[Name(EN)],Tab_Def_Processes[Stock?],,0,)</f>
        <v>#N/A</v>
      </c>
      <c r="M140" s="48"/>
      <c r="N140" s="57" t="e">
        <f>_xlfn.XLOOKUP($D140,Tab_Def_Processes[Name(EN)],Tab_Def_Processes[Input_Flow_I_1],,0,)</f>
        <v>#N/A</v>
      </c>
      <c r="O140" s="48" t="e">
        <f>_xlfn.XLOOKUP($D140,Tab_Def_Processes[Name(EN)],Tab_Def_Processes[Flow_ID_I_1],,0,)</f>
        <v>#N/A</v>
      </c>
      <c r="P140" s="247"/>
      <c r="Q140" s="71" t="e">
        <f>_xlfn.XLOOKUP($D140,Tab_Def_Processes[Name(EN)],Tab_Def_Processes[Input_Flow_I_2],,0,)</f>
        <v>#N/A</v>
      </c>
      <c r="R140" s="48" t="e">
        <f>_xlfn.XLOOKUP($D140,Tab_Def_Processes[Name(EN)],Tab_Def_Processes[Flow_ID_I_2],,0,)</f>
        <v>#N/A</v>
      </c>
      <c r="S140" s="247"/>
      <c r="T140" s="71" t="e">
        <f>_xlfn.XLOOKUP($D140,Tab_Def_Processes[Name(EN)],Tab_Def_Processes[Input_Flow_I_3],,0,)</f>
        <v>#N/A</v>
      </c>
      <c r="U140" s="48" t="e">
        <f>_xlfn.XLOOKUP($D140,Tab_Def_Processes[Name(EN)],Tab_Def_Processes[Flow_ID_I_3],,0,)</f>
        <v>#N/A</v>
      </c>
      <c r="V140" s="247"/>
      <c r="W140" s="71" t="e">
        <f>_xlfn.XLOOKUP($D140,Tab_Def_Processes[Name(EN)],Tab_Def_Processes[Input_Flow_I_4],,0,)</f>
        <v>#N/A</v>
      </c>
      <c r="X140" s="48" t="e">
        <f>_xlfn.XLOOKUP($D140,Tab_Def_Processes[Name(EN)],Tab_Def_Processes[Flow_ID_I_4],,0,)</f>
        <v>#N/A</v>
      </c>
      <c r="Y140" s="247"/>
      <c r="Z140" s="71" t="e">
        <f>_xlfn.XLOOKUP($D140,Tab_Def_Processes[Name(EN)],Tab_Def_Processes[Input_Flow_I_5],,0,)</f>
        <v>#N/A</v>
      </c>
      <c r="AA140" s="48" t="e">
        <f>_xlfn.XLOOKUP($D140,Tab_Def_Processes[Name(EN)],Tab_Def_Processes[Flow_ID_I_5],,0,)</f>
        <v>#N/A</v>
      </c>
      <c r="AB140" s="247"/>
      <c r="AC140" s="74">
        <f>Tab_Process_TCs2527[[#This Row],[Flow_TC_I_1_'[%']]]+Tab_Process_TCs2527[[#This Row],[Flow_TC_I_2_'[%']]]+Tab_Process_TCs2527[[#This Row],[Flow_TC_I_3_'[%']]]+Tab_Process_TCs2527[[#This Row],[Flow_TC_I_4_'[%']]]+Tab_Process_TCs2527[[#This Row],[Flow_TC_I_5_'[%']]]</f>
        <v>0</v>
      </c>
      <c r="AD140" s="57" t="e">
        <f>_xlfn.XLOOKUP($D140,Tab_Process_TCs[TC_ID],Tab_Process_TCs[Output_Flow_O_1],,0,)</f>
        <v>#N/A</v>
      </c>
      <c r="AE140" s="48" t="e">
        <f>_xlfn.XLOOKUP($D140,Tab_Process_TCs[TC_ID],Tab_Process_TCs[Flow_ID_O_1],,0,)</f>
        <v>#N/A</v>
      </c>
      <c r="AF140" s="100" t="e">
        <f>Tab_Process_TCs2527[[#This Row],[Flow_ID]]</f>
        <v>#N/A</v>
      </c>
      <c r="AG140" s="48" t="e">
        <f t="shared" si="31"/>
        <v>#N/A</v>
      </c>
      <c r="AH140" s="232">
        <v>0.2</v>
      </c>
      <c r="AI140" s="57" t="e">
        <f>_xlfn.XLOOKUP($D140,Tab_Process_TCs[TC_ID],Tab_Process_TCs[Output_Flow_O_2],,0,)</f>
        <v>#N/A</v>
      </c>
      <c r="AJ140" s="48" t="e">
        <f>_xlfn.XLOOKUP($D140,Tab_Process_TCs[TC_ID],Tab_Process_TCs[Flow_ID_O_2],,0,)</f>
        <v>#N/A</v>
      </c>
      <c r="AK140" s="100" t="e">
        <f>Tab_Process_TCs2527[[#This Row],[Flow_ID]]</f>
        <v>#N/A</v>
      </c>
      <c r="AL140" s="48" t="e">
        <f t="shared" si="32"/>
        <v>#N/A</v>
      </c>
      <c r="AM140" s="228">
        <v>0.8</v>
      </c>
      <c r="AN140" s="57" t="e">
        <f>_xlfn.XLOOKUP($D140,Tab_Process_TCs[TC_ID],Tab_Process_TCs[Output_Flow_O_3],,0,)</f>
        <v>#N/A</v>
      </c>
      <c r="AO140" s="48" t="e">
        <f>_xlfn.XLOOKUP($D140,Tab_Process_TCs[TC_ID],Tab_Process_TCs[Flow_ID_O_3],,0,)</f>
        <v>#N/A</v>
      </c>
      <c r="AP140" s="100" t="e">
        <f>Tab_Process_TCs2527[[#This Row],[Flow_ID]]</f>
        <v>#N/A</v>
      </c>
      <c r="AQ140" s="48" t="e">
        <f t="shared" si="33"/>
        <v>#N/A</v>
      </c>
      <c r="AR140" s="228"/>
      <c r="AS140" s="57" t="e">
        <f>_xlfn.XLOOKUP($D140,Tab_Process_TCs[TC_ID],#REF!,,0,)</f>
        <v>#REF!</v>
      </c>
      <c r="AT140" s="48" t="e">
        <f>_xlfn.XLOOKUP($D140,Tab_Process_TCs[TC_ID],#REF!,,0,)</f>
        <v>#REF!</v>
      </c>
      <c r="AU140" s="100" t="e">
        <f>Tab_Process_TCs2527[[#This Row],[Flow_ID]]</f>
        <v>#N/A</v>
      </c>
      <c r="AV140" s="100" t="e">
        <f t="shared" si="34"/>
        <v>#N/A</v>
      </c>
      <c r="AW140" s="228"/>
      <c r="AX140" s="57" t="e">
        <f>_xlfn.XLOOKUP($D140,Tab_Process_TCs[TC_ID],#REF!,,0,)</f>
        <v>#REF!</v>
      </c>
      <c r="AY140" s="48" t="e">
        <f>_xlfn.XLOOKUP($D140,Tab_Process_TCs[TC_ID],#REF!,,0,)</f>
        <v>#REF!</v>
      </c>
      <c r="AZ140" s="100" t="e">
        <f>Tab_Process_TCs2527[[#This Row],[Flow_ID]]</f>
        <v>#N/A</v>
      </c>
      <c r="BA140" s="100" t="e">
        <f t="shared" si="35"/>
        <v>#REF!</v>
      </c>
      <c r="BB140" s="228"/>
      <c r="BC140" s="48" t="e">
        <f>_xlfn.XLOOKUP($D140,Tab_Process_TCs[TC_ID],#REF!,,0,)</f>
        <v>#REF!</v>
      </c>
      <c r="BD140" s="48" t="e">
        <f>_xlfn.XLOOKUP($D140,Tab_Process_TCs[TC_ID],#REF!,,0,)</f>
        <v>#REF!</v>
      </c>
      <c r="BE140" s="100" t="e">
        <f>Tab_Process_TCs2527[[#This Row],[Flow_ID]]</f>
        <v>#N/A</v>
      </c>
      <c r="BF140" s="100" t="e">
        <f t="shared" si="36"/>
        <v>#REF!</v>
      </c>
      <c r="BG140" s="109"/>
      <c r="BH140" s="112">
        <f>Tab_Process_TCs2527[[#This Row],[TC O_6_'[%']]]+Tab_Process_TCs2527[[#This Row],[TC O_5_'[%']]]+Tab_Process_TCs2527[[#This Row],[TC_O_4_'[%']]]+Tab_Process_TCs2527[[#This Row],[TC_O_3_'[%']]]+Tab_Process_TCs2527[[#This Row],[TC_O_2_'[%']]]+Tab_Process_TCs2527[[#This Row],[TC_O_1_'[%']]]</f>
        <v>1</v>
      </c>
      <c r="BI140" s="50"/>
      <c r="BJ140" s="50"/>
      <c r="BK140" s="50"/>
      <c r="BL140" s="50"/>
      <c r="BM140" s="50"/>
    </row>
    <row r="141" spans="1:65" x14ac:dyDescent="0.25">
      <c r="A141" s="87" t="b">
        <v>0</v>
      </c>
      <c r="B141" s="48">
        <f t="shared" si="30"/>
        <v>140</v>
      </c>
      <c r="C141" s="107" t="e">
        <f>_xlfn.XLOOKUP($D141,Tab_Process_TCs[Name(EN)],Tab_Process_TCs[Process_ID],,0,)</f>
        <v>#N/A</v>
      </c>
      <c r="D141" s="50"/>
      <c r="E141" s="50" t="s">
        <v>55</v>
      </c>
      <c r="F141" s="48" t="e">
        <f>_xlfn.XLOOKUP($D141,Tab_Process_TCs[Name(EN)],Tab_Process_TCs[TC?],,0,)</f>
        <v>#N/A</v>
      </c>
      <c r="G141" s="48" t="e">
        <f>_xlfn.XLOOKUP($D141,Tab_Process_TCs[Name(EN)],Tab_Process_TCs[Dyn_TC?],,0,)</f>
        <v>#N/A</v>
      </c>
      <c r="H141" s="48" t="e">
        <f>_xlfn.XLOOKUP($E141,Tab_Def_Flows[Name(EN)],Tab_Def_Flows[Flow_ID],,0,1)</f>
        <v>#N/A</v>
      </c>
      <c r="I141" s="50" t="e">
        <f>IF(Tab_Process_TCs2527[[#This Row],[Name(EN)]]="N.A.","N.A.","TC"&amp;"_"&amp;RIGHT(H141,5))</f>
        <v>#N/A</v>
      </c>
      <c r="J141" s="50"/>
      <c r="K141" s="117"/>
      <c r="L141" s="50" t="e">
        <f>_xlfn.XLOOKUP($D141,Tab_Def_Processes[Name(EN)],Tab_Def_Processes[Stock?],,0,)</f>
        <v>#N/A</v>
      </c>
      <c r="M141" s="48"/>
      <c r="N141" s="57" t="e">
        <f>_xlfn.XLOOKUP($D141,Tab_Def_Processes[Name(EN)],Tab_Def_Processes[Input_Flow_I_1],,0,)</f>
        <v>#N/A</v>
      </c>
      <c r="O141" s="48" t="e">
        <f>_xlfn.XLOOKUP($D141,Tab_Def_Processes[Name(EN)],Tab_Def_Processes[Flow_ID_I_1],,0,)</f>
        <v>#N/A</v>
      </c>
      <c r="P141" s="247"/>
      <c r="Q141" s="71" t="e">
        <f>_xlfn.XLOOKUP($D141,Tab_Def_Processes[Name(EN)],Tab_Def_Processes[Input_Flow_I_2],,0,)</f>
        <v>#N/A</v>
      </c>
      <c r="R141" s="48" t="e">
        <f>_xlfn.XLOOKUP($D141,Tab_Def_Processes[Name(EN)],Tab_Def_Processes[Flow_ID_I_2],,0,)</f>
        <v>#N/A</v>
      </c>
      <c r="S141" s="247"/>
      <c r="T141" s="71" t="e">
        <f>_xlfn.XLOOKUP($D141,Tab_Def_Processes[Name(EN)],Tab_Def_Processes[Input_Flow_I_3],,0,)</f>
        <v>#N/A</v>
      </c>
      <c r="U141" s="48" t="e">
        <f>_xlfn.XLOOKUP($D141,Tab_Def_Processes[Name(EN)],Tab_Def_Processes[Flow_ID_I_3],,0,)</f>
        <v>#N/A</v>
      </c>
      <c r="V141" s="247"/>
      <c r="W141" s="71" t="e">
        <f>_xlfn.XLOOKUP($D141,Tab_Def_Processes[Name(EN)],Tab_Def_Processes[Input_Flow_I_4],,0,)</f>
        <v>#N/A</v>
      </c>
      <c r="X141" s="48" t="e">
        <f>_xlfn.XLOOKUP($D141,Tab_Def_Processes[Name(EN)],Tab_Def_Processes[Flow_ID_I_4],,0,)</f>
        <v>#N/A</v>
      </c>
      <c r="Y141" s="247"/>
      <c r="Z141" s="71" t="e">
        <f>_xlfn.XLOOKUP($D141,Tab_Def_Processes[Name(EN)],Tab_Def_Processes[Input_Flow_I_5],,0,)</f>
        <v>#N/A</v>
      </c>
      <c r="AA141" s="48" t="e">
        <f>_xlfn.XLOOKUP($D141,Tab_Def_Processes[Name(EN)],Tab_Def_Processes[Flow_ID_I_5],,0,)</f>
        <v>#N/A</v>
      </c>
      <c r="AB141" s="247"/>
      <c r="AC141" s="74">
        <f>Tab_Process_TCs2527[[#This Row],[Flow_TC_I_1_'[%']]]+Tab_Process_TCs2527[[#This Row],[Flow_TC_I_2_'[%']]]+Tab_Process_TCs2527[[#This Row],[Flow_TC_I_3_'[%']]]+Tab_Process_TCs2527[[#This Row],[Flow_TC_I_4_'[%']]]+Tab_Process_TCs2527[[#This Row],[Flow_TC_I_5_'[%']]]</f>
        <v>0</v>
      </c>
      <c r="AD141" s="57" t="e">
        <f>_xlfn.XLOOKUP($D141,Tab_Process_TCs[TC_ID],Tab_Process_TCs[Output_Flow_O_1],,0,)</f>
        <v>#N/A</v>
      </c>
      <c r="AE141" s="48" t="e">
        <f>_xlfn.XLOOKUP($D141,Tab_Process_TCs[TC_ID],Tab_Process_TCs[Flow_ID_O_1],,0,)</f>
        <v>#N/A</v>
      </c>
      <c r="AF141" s="100" t="e">
        <f>Tab_Process_TCs2527[[#This Row],[Flow_ID]]</f>
        <v>#N/A</v>
      </c>
      <c r="AG141" s="48" t="e">
        <f t="shared" si="31"/>
        <v>#N/A</v>
      </c>
      <c r="AH141" s="232">
        <v>0.2</v>
      </c>
      <c r="AI141" s="57" t="e">
        <f>_xlfn.XLOOKUP($D141,Tab_Process_TCs[TC_ID],Tab_Process_TCs[Output_Flow_O_2],,0,)</f>
        <v>#N/A</v>
      </c>
      <c r="AJ141" s="48" t="e">
        <f>_xlfn.XLOOKUP($D141,Tab_Process_TCs[TC_ID],Tab_Process_TCs[Flow_ID_O_2],,0,)</f>
        <v>#N/A</v>
      </c>
      <c r="AK141" s="100" t="e">
        <f>Tab_Process_TCs2527[[#This Row],[Flow_ID]]</f>
        <v>#N/A</v>
      </c>
      <c r="AL141" s="48" t="e">
        <f t="shared" si="32"/>
        <v>#N/A</v>
      </c>
      <c r="AM141" s="228">
        <v>0.8</v>
      </c>
      <c r="AN141" s="57" t="e">
        <f>_xlfn.XLOOKUP($D141,Tab_Process_TCs[TC_ID],Tab_Process_TCs[Output_Flow_O_3],,0,)</f>
        <v>#N/A</v>
      </c>
      <c r="AO141" s="48" t="e">
        <f>_xlfn.XLOOKUP($D141,Tab_Process_TCs[TC_ID],Tab_Process_TCs[Flow_ID_O_3],,0,)</f>
        <v>#N/A</v>
      </c>
      <c r="AP141" s="100" t="e">
        <f>Tab_Process_TCs2527[[#This Row],[Flow_ID]]</f>
        <v>#N/A</v>
      </c>
      <c r="AQ141" s="48" t="e">
        <f t="shared" si="33"/>
        <v>#N/A</v>
      </c>
      <c r="AR141" s="228"/>
      <c r="AS141" s="57" t="e">
        <f>_xlfn.XLOOKUP($D141,Tab_Process_TCs[TC_ID],#REF!,,0,)</f>
        <v>#REF!</v>
      </c>
      <c r="AT141" s="48" t="e">
        <f>_xlfn.XLOOKUP($D141,Tab_Process_TCs[TC_ID],#REF!,,0,)</f>
        <v>#REF!</v>
      </c>
      <c r="AU141" s="100" t="e">
        <f>Tab_Process_TCs2527[[#This Row],[Flow_ID]]</f>
        <v>#N/A</v>
      </c>
      <c r="AV141" s="100" t="e">
        <f t="shared" si="34"/>
        <v>#N/A</v>
      </c>
      <c r="AW141" s="228"/>
      <c r="AX141" s="57" t="e">
        <f>_xlfn.XLOOKUP($D141,Tab_Process_TCs[TC_ID],#REF!,,0,)</f>
        <v>#REF!</v>
      </c>
      <c r="AY141" s="48" t="e">
        <f>_xlfn.XLOOKUP($D141,Tab_Process_TCs[TC_ID],#REF!,,0,)</f>
        <v>#REF!</v>
      </c>
      <c r="AZ141" s="100" t="e">
        <f>Tab_Process_TCs2527[[#This Row],[Flow_ID]]</f>
        <v>#N/A</v>
      </c>
      <c r="BA141" s="100" t="e">
        <f t="shared" si="35"/>
        <v>#REF!</v>
      </c>
      <c r="BB141" s="228"/>
      <c r="BC141" s="48" t="e">
        <f>_xlfn.XLOOKUP($D141,Tab_Process_TCs[TC_ID],#REF!,,0,)</f>
        <v>#REF!</v>
      </c>
      <c r="BD141" s="48" t="e">
        <f>_xlfn.XLOOKUP($D141,Tab_Process_TCs[TC_ID],#REF!,,0,)</f>
        <v>#REF!</v>
      </c>
      <c r="BE141" s="100" t="e">
        <f>Tab_Process_TCs2527[[#This Row],[Flow_ID]]</f>
        <v>#N/A</v>
      </c>
      <c r="BF141" s="100" t="e">
        <f t="shared" si="36"/>
        <v>#REF!</v>
      </c>
      <c r="BG141" s="109"/>
      <c r="BH141" s="112">
        <f>Tab_Process_TCs2527[[#This Row],[TC O_6_'[%']]]+Tab_Process_TCs2527[[#This Row],[TC O_5_'[%']]]+Tab_Process_TCs2527[[#This Row],[TC_O_4_'[%']]]+Tab_Process_TCs2527[[#This Row],[TC_O_3_'[%']]]+Tab_Process_TCs2527[[#This Row],[TC_O_2_'[%']]]+Tab_Process_TCs2527[[#This Row],[TC_O_1_'[%']]]</f>
        <v>1</v>
      </c>
      <c r="BI141" s="50"/>
      <c r="BJ141" s="50"/>
      <c r="BK141" s="50"/>
      <c r="BL141" s="50"/>
      <c r="BM141" s="50"/>
    </row>
    <row r="142" spans="1:65" x14ac:dyDescent="0.25">
      <c r="A142" s="87" t="b">
        <v>0</v>
      </c>
      <c r="B142" s="48">
        <f t="shared" si="30"/>
        <v>141</v>
      </c>
      <c r="C142" s="107" t="e">
        <f>_xlfn.XLOOKUP($D142,Tab_Process_TCs[Name(EN)],Tab_Process_TCs[Process_ID],,0,)</f>
        <v>#N/A</v>
      </c>
      <c r="D142" s="50"/>
      <c r="E142" s="50" t="s">
        <v>55</v>
      </c>
      <c r="F142" s="48" t="e">
        <f>_xlfn.XLOOKUP($D142,Tab_Process_TCs[Name(EN)],Tab_Process_TCs[TC?],,0,)</f>
        <v>#N/A</v>
      </c>
      <c r="G142" s="48" t="e">
        <f>_xlfn.XLOOKUP($D142,Tab_Process_TCs[Name(EN)],Tab_Process_TCs[Dyn_TC?],,0,)</f>
        <v>#N/A</v>
      </c>
      <c r="H142" s="48" t="e">
        <f>_xlfn.XLOOKUP($E142,Tab_Def_Flows[Name(EN)],Tab_Def_Flows[Flow_ID],,0,1)</f>
        <v>#N/A</v>
      </c>
      <c r="I142" s="50" t="e">
        <f>IF(Tab_Process_TCs2527[[#This Row],[Name(EN)]]="N.A.","N.A.","TC"&amp;"_"&amp;RIGHT(H142,5))</f>
        <v>#N/A</v>
      </c>
      <c r="J142" s="50"/>
      <c r="K142" s="117"/>
      <c r="L142" s="50" t="e">
        <f>_xlfn.XLOOKUP($D142,Tab_Def_Processes[Name(EN)],Tab_Def_Processes[Stock?],,0,)</f>
        <v>#N/A</v>
      </c>
      <c r="M142" s="48"/>
      <c r="N142" s="57" t="e">
        <f>_xlfn.XLOOKUP($D142,Tab_Def_Processes[Name(EN)],Tab_Def_Processes[Input_Flow_I_1],,0,)</f>
        <v>#N/A</v>
      </c>
      <c r="O142" s="48" t="e">
        <f>_xlfn.XLOOKUP($D142,Tab_Def_Processes[Name(EN)],Tab_Def_Processes[Flow_ID_I_1],,0,)</f>
        <v>#N/A</v>
      </c>
      <c r="P142" s="247"/>
      <c r="Q142" s="71" t="e">
        <f>_xlfn.XLOOKUP($D142,Tab_Def_Processes[Name(EN)],Tab_Def_Processes[Input_Flow_I_2],,0,)</f>
        <v>#N/A</v>
      </c>
      <c r="R142" s="48" t="e">
        <f>_xlfn.XLOOKUP($D142,Tab_Def_Processes[Name(EN)],Tab_Def_Processes[Flow_ID_I_2],,0,)</f>
        <v>#N/A</v>
      </c>
      <c r="S142" s="247"/>
      <c r="T142" s="71" t="e">
        <f>_xlfn.XLOOKUP($D142,Tab_Def_Processes[Name(EN)],Tab_Def_Processes[Input_Flow_I_3],,0,)</f>
        <v>#N/A</v>
      </c>
      <c r="U142" s="48" t="e">
        <f>_xlfn.XLOOKUP($D142,Tab_Def_Processes[Name(EN)],Tab_Def_Processes[Flow_ID_I_3],,0,)</f>
        <v>#N/A</v>
      </c>
      <c r="V142" s="247"/>
      <c r="W142" s="71" t="e">
        <f>_xlfn.XLOOKUP($D142,Tab_Def_Processes[Name(EN)],Tab_Def_Processes[Input_Flow_I_4],,0,)</f>
        <v>#N/A</v>
      </c>
      <c r="X142" s="48" t="e">
        <f>_xlfn.XLOOKUP($D142,Tab_Def_Processes[Name(EN)],Tab_Def_Processes[Flow_ID_I_4],,0,)</f>
        <v>#N/A</v>
      </c>
      <c r="Y142" s="247"/>
      <c r="Z142" s="71" t="e">
        <f>_xlfn.XLOOKUP($D142,Tab_Def_Processes[Name(EN)],Tab_Def_Processes[Input_Flow_I_5],,0,)</f>
        <v>#N/A</v>
      </c>
      <c r="AA142" s="48" t="e">
        <f>_xlfn.XLOOKUP($D142,Tab_Def_Processes[Name(EN)],Tab_Def_Processes[Flow_ID_I_5],,0,)</f>
        <v>#N/A</v>
      </c>
      <c r="AB142" s="247"/>
      <c r="AC142" s="74">
        <f>Tab_Process_TCs2527[[#This Row],[Flow_TC_I_1_'[%']]]+Tab_Process_TCs2527[[#This Row],[Flow_TC_I_2_'[%']]]+Tab_Process_TCs2527[[#This Row],[Flow_TC_I_3_'[%']]]+Tab_Process_TCs2527[[#This Row],[Flow_TC_I_4_'[%']]]+Tab_Process_TCs2527[[#This Row],[Flow_TC_I_5_'[%']]]</f>
        <v>0</v>
      </c>
      <c r="AD142" s="57" t="e">
        <f>_xlfn.XLOOKUP($D142,Tab_Process_TCs[TC_ID],Tab_Process_TCs[Output_Flow_O_1],,0,)</f>
        <v>#N/A</v>
      </c>
      <c r="AE142" s="48" t="e">
        <f>_xlfn.XLOOKUP($D142,Tab_Process_TCs[TC_ID],Tab_Process_TCs[Flow_ID_O_1],,0,)</f>
        <v>#N/A</v>
      </c>
      <c r="AF142" s="100" t="e">
        <f>Tab_Process_TCs2527[[#This Row],[Flow_ID]]</f>
        <v>#N/A</v>
      </c>
      <c r="AG142" s="48" t="e">
        <f t="shared" si="31"/>
        <v>#N/A</v>
      </c>
      <c r="AH142" s="232">
        <v>0.2</v>
      </c>
      <c r="AI142" s="57" t="e">
        <f>_xlfn.XLOOKUP($D142,Tab_Process_TCs[TC_ID],Tab_Process_TCs[Output_Flow_O_2],,0,)</f>
        <v>#N/A</v>
      </c>
      <c r="AJ142" s="48" t="e">
        <f>_xlfn.XLOOKUP($D142,Tab_Process_TCs[TC_ID],Tab_Process_TCs[Flow_ID_O_2],,0,)</f>
        <v>#N/A</v>
      </c>
      <c r="AK142" s="100" t="e">
        <f>Tab_Process_TCs2527[[#This Row],[Flow_ID]]</f>
        <v>#N/A</v>
      </c>
      <c r="AL142" s="48" t="e">
        <f t="shared" si="32"/>
        <v>#N/A</v>
      </c>
      <c r="AM142" s="228">
        <v>0.8</v>
      </c>
      <c r="AN142" s="57" t="e">
        <f>_xlfn.XLOOKUP($D142,Tab_Process_TCs[TC_ID],Tab_Process_TCs[Output_Flow_O_3],,0,)</f>
        <v>#N/A</v>
      </c>
      <c r="AO142" s="48" t="e">
        <f>_xlfn.XLOOKUP($D142,Tab_Process_TCs[TC_ID],Tab_Process_TCs[Flow_ID_O_3],,0,)</f>
        <v>#N/A</v>
      </c>
      <c r="AP142" s="100" t="e">
        <f>Tab_Process_TCs2527[[#This Row],[Flow_ID]]</f>
        <v>#N/A</v>
      </c>
      <c r="AQ142" s="48" t="e">
        <f t="shared" si="33"/>
        <v>#N/A</v>
      </c>
      <c r="AR142" s="228"/>
      <c r="AS142" s="57" t="e">
        <f>_xlfn.XLOOKUP($D142,Tab_Process_TCs[TC_ID],#REF!,,0,)</f>
        <v>#REF!</v>
      </c>
      <c r="AT142" s="48" t="e">
        <f>_xlfn.XLOOKUP($D142,Tab_Process_TCs[TC_ID],#REF!,,0,)</f>
        <v>#REF!</v>
      </c>
      <c r="AU142" s="100" t="e">
        <f>Tab_Process_TCs2527[[#This Row],[Flow_ID]]</f>
        <v>#N/A</v>
      </c>
      <c r="AV142" s="100" t="e">
        <f t="shared" si="34"/>
        <v>#N/A</v>
      </c>
      <c r="AW142" s="228"/>
      <c r="AX142" s="57" t="e">
        <f>_xlfn.XLOOKUP($D142,Tab_Process_TCs[TC_ID],#REF!,,0,)</f>
        <v>#REF!</v>
      </c>
      <c r="AY142" s="48" t="e">
        <f>_xlfn.XLOOKUP($D142,Tab_Process_TCs[TC_ID],#REF!,,0,)</f>
        <v>#REF!</v>
      </c>
      <c r="AZ142" s="100" t="e">
        <f>Tab_Process_TCs2527[[#This Row],[Flow_ID]]</f>
        <v>#N/A</v>
      </c>
      <c r="BA142" s="100" t="e">
        <f t="shared" si="35"/>
        <v>#REF!</v>
      </c>
      <c r="BB142" s="228"/>
      <c r="BC142" s="48" t="e">
        <f>_xlfn.XLOOKUP($D142,Tab_Process_TCs[TC_ID],#REF!,,0,)</f>
        <v>#REF!</v>
      </c>
      <c r="BD142" s="48" t="e">
        <f>_xlfn.XLOOKUP($D142,Tab_Process_TCs[TC_ID],#REF!,,0,)</f>
        <v>#REF!</v>
      </c>
      <c r="BE142" s="100" t="e">
        <f>Tab_Process_TCs2527[[#This Row],[Flow_ID]]</f>
        <v>#N/A</v>
      </c>
      <c r="BF142" s="100" t="e">
        <f t="shared" si="36"/>
        <v>#REF!</v>
      </c>
      <c r="BG142" s="109"/>
      <c r="BH142" s="112">
        <f>Tab_Process_TCs2527[[#This Row],[TC O_6_'[%']]]+Tab_Process_TCs2527[[#This Row],[TC O_5_'[%']]]+Tab_Process_TCs2527[[#This Row],[TC_O_4_'[%']]]+Tab_Process_TCs2527[[#This Row],[TC_O_3_'[%']]]+Tab_Process_TCs2527[[#This Row],[TC_O_2_'[%']]]+Tab_Process_TCs2527[[#This Row],[TC_O_1_'[%']]]</f>
        <v>1</v>
      </c>
      <c r="BI142" s="50"/>
      <c r="BJ142" s="50"/>
      <c r="BK142" s="50"/>
      <c r="BL142" s="50"/>
      <c r="BM142" s="50"/>
    </row>
    <row r="143" spans="1:65" x14ac:dyDescent="0.25">
      <c r="A143" s="87" t="b">
        <v>0</v>
      </c>
      <c r="B143" s="48">
        <f t="shared" si="30"/>
        <v>142</v>
      </c>
      <c r="C143" s="107" t="e">
        <f>_xlfn.XLOOKUP($D143,Tab_Process_TCs[Name(EN)],Tab_Process_TCs[Process_ID],,0,)</f>
        <v>#N/A</v>
      </c>
      <c r="D143" s="50"/>
      <c r="E143" s="50" t="s">
        <v>55</v>
      </c>
      <c r="F143" s="48" t="e">
        <f>_xlfn.XLOOKUP($D143,Tab_Process_TCs[Name(EN)],Tab_Process_TCs[TC?],,0,)</f>
        <v>#N/A</v>
      </c>
      <c r="G143" s="48" t="e">
        <f>_xlfn.XLOOKUP($D143,Tab_Process_TCs[Name(EN)],Tab_Process_TCs[Dyn_TC?],,0,)</f>
        <v>#N/A</v>
      </c>
      <c r="H143" s="48" t="e">
        <f>_xlfn.XLOOKUP($E143,Tab_Def_Flows[Name(EN)],Tab_Def_Flows[Flow_ID],,0,1)</f>
        <v>#N/A</v>
      </c>
      <c r="I143" s="50" t="e">
        <f>IF(Tab_Process_TCs2527[[#This Row],[Name(EN)]]="N.A.","N.A.","TC"&amp;"_"&amp;RIGHT(H143,5))</f>
        <v>#N/A</v>
      </c>
      <c r="J143" s="50"/>
      <c r="K143" s="117"/>
      <c r="L143" s="50" t="e">
        <f>_xlfn.XLOOKUP($D143,Tab_Def_Processes[Name(EN)],Tab_Def_Processes[Stock?],,0,)</f>
        <v>#N/A</v>
      </c>
      <c r="M143" s="48"/>
      <c r="N143" s="57" t="e">
        <f>_xlfn.XLOOKUP($D143,Tab_Def_Processes[Name(EN)],Tab_Def_Processes[Input_Flow_I_1],,0,)</f>
        <v>#N/A</v>
      </c>
      <c r="O143" s="48" t="e">
        <f>_xlfn.XLOOKUP($D143,Tab_Def_Processes[Name(EN)],Tab_Def_Processes[Flow_ID_I_1],,0,)</f>
        <v>#N/A</v>
      </c>
      <c r="P143" s="247"/>
      <c r="Q143" s="71" t="e">
        <f>_xlfn.XLOOKUP($D143,Tab_Def_Processes[Name(EN)],Tab_Def_Processes[Input_Flow_I_2],,0,)</f>
        <v>#N/A</v>
      </c>
      <c r="R143" s="48" t="e">
        <f>_xlfn.XLOOKUP($D143,Tab_Def_Processes[Name(EN)],Tab_Def_Processes[Flow_ID_I_2],,0,)</f>
        <v>#N/A</v>
      </c>
      <c r="S143" s="247"/>
      <c r="T143" s="71" t="e">
        <f>_xlfn.XLOOKUP($D143,Tab_Def_Processes[Name(EN)],Tab_Def_Processes[Input_Flow_I_3],,0,)</f>
        <v>#N/A</v>
      </c>
      <c r="U143" s="48" t="e">
        <f>_xlfn.XLOOKUP($D143,Tab_Def_Processes[Name(EN)],Tab_Def_Processes[Flow_ID_I_3],,0,)</f>
        <v>#N/A</v>
      </c>
      <c r="V143" s="247"/>
      <c r="W143" s="71" t="e">
        <f>_xlfn.XLOOKUP($D143,Tab_Def_Processes[Name(EN)],Tab_Def_Processes[Input_Flow_I_4],,0,)</f>
        <v>#N/A</v>
      </c>
      <c r="X143" s="48" t="e">
        <f>_xlfn.XLOOKUP($D143,Tab_Def_Processes[Name(EN)],Tab_Def_Processes[Flow_ID_I_4],,0,)</f>
        <v>#N/A</v>
      </c>
      <c r="Y143" s="247"/>
      <c r="Z143" s="71" t="e">
        <f>_xlfn.XLOOKUP($D143,Tab_Def_Processes[Name(EN)],Tab_Def_Processes[Input_Flow_I_5],,0,)</f>
        <v>#N/A</v>
      </c>
      <c r="AA143" s="48" t="e">
        <f>_xlfn.XLOOKUP($D143,Tab_Def_Processes[Name(EN)],Tab_Def_Processes[Flow_ID_I_5],,0,)</f>
        <v>#N/A</v>
      </c>
      <c r="AB143" s="247"/>
      <c r="AC143" s="74">
        <f>Tab_Process_TCs2527[[#This Row],[Flow_TC_I_1_'[%']]]+Tab_Process_TCs2527[[#This Row],[Flow_TC_I_2_'[%']]]+Tab_Process_TCs2527[[#This Row],[Flow_TC_I_3_'[%']]]+Tab_Process_TCs2527[[#This Row],[Flow_TC_I_4_'[%']]]+Tab_Process_TCs2527[[#This Row],[Flow_TC_I_5_'[%']]]</f>
        <v>0</v>
      </c>
      <c r="AD143" s="57" t="e">
        <f>_xlfn.XLOOKUP($D143,Tab_Process_TCs[TC_ID],Tab_Process_TCs[Output_Flow_O_1],,0,)</f>
        <v>#N/A</v>
      </c>
      <c r="AE143" s="48" t="e">
        <f>_xlfn.XLOOKUP($D143,Tab_Process_TCs[TC_ID],Tab_Process_TCs[Flow_ID_O_1],,0,)</f>
        <v>#N/A</v>
      </c>
      <c r="AF143" s="100" t="e">
        <f>Tab_Process_TCs2527[[#This Row],[Flow_ID]]</f>
        <v>#N/A</v>
      </c>
      <c r="AG143" s="48" t="e">
        <f t="shared" si="31"/>
        <v>#N/A</v>
      </c>
      <c r="AH143" s="232">
        <v>0.2</v>
      </c>
      <c r="AI143" s="57" t="e">
        <f>_xlfn.XLOOKUP($D143,Tab_Process_TCs[TC_ID],Tab_Process_TCs[Output_Flow_O_2],,0,)</f>
        <v>#N/A</v>
      </c>
      <c r="AJ143" s="48" t="e">
        <f>_xlfn.XLOOKUP($D143,Tab_Process_TCs[TC_ID],Tab_Process_TCs[Flow_ID_O_2],,0,)</f>
        <v>#N/A</v>
      </c>
      <c r="AK143" s="100" t="e">
        <f>Tab_Process_TCs2527[[#This Row],[Flow_ID]]</f>
        <v>#N/A</v>
      </c>
      <c r="AL143" s="48" t="e">
        <f t="shared" si="32"/>
        <v>#N/A</v>
      </c>
      <c r="AM143" s="228">
        <v>0.8</v>
      </c>
      <c r="AN143" s="57" t="e">
        <f>_xlfn.XLOOKUP($D143,Tab_Process_TCs[TC_ID],Tab_Process_TCs[Output_Flow_O_3],,0,)</f>
        <v>#N/A</v>
      </c>
      <c r="AO143" s="48" t="e">
        <f>_xlfn.XLOOKUP($D143,Tab_Process_TCs[TC_ID],Tab_Process_TCs[Flow_ID_O_3],,0,)</f>
        <v>#N/A</v>
      </c>
      <c r="AP143" s="100" t="e">
        <f>Tab_Process_TCs2527[[#This Row],[Flow_ID]]</f>
        <v>#N/A</v>
      </c>
      <c r="AQ143" s="48" t="e">
        <f t="shared" si="33"/>
        <v>#N/A</v>
      </c>
      <c r="AR143" s="228"/>
      <c r="AS143" s="57" t="e">
        <f>_xlfn.XLOOKUP($D143,Tab_Process_TCs[TC_ID],#REF!,,0,)</f>
        <v>#REF!</v>
      </c>
      <c r="AT143" s="48" t="e">
        <f>_xlfn.XLOOKUP($D143,Tab_Process_TCs[TC_ID],#REF!,,0,)</f>
        <v>#REF!</v>
      </c>
      <c r="AU143" s="100" t="e">
        <f>Tab_Process_TCs2527[[#This Row],[Flow_ID]]</f>
        <v>#N/A</v>
      </c>
      <c r="AV143" s="100" t="e">
        <f t="shared" si="34"/>
        <v>#N/A</v>
      </c>
      <c r="AW143" s="228"/>
      <c r="AX143" s="57" t="e">
        <f>_xlfn.XLOOKUP($D143,Tab_Process_TCs[TC_ID],#REF!,,0,)</f>
        <v>#REF!</v>
      </c>
      <c r="AY143" s="48" t="e">
        <f>_xlfn.XLOOKUP($D143,Tab_Process_TCs[TC_ID],#REF!,,0,)</f>
        <v>#REF!</v>
      </c>
      <c r="AZ143" s="100" t="e">
        <f>Tab_Process_TCs2527[[#This Row],[Flow_ID]]</f>
        <v>#N/A</v>
      </c>
      <c r="BA143" s="100" t="e">
        <f t="shared" si="35"/>
        <v>#REF!</v>
      </c>
      <c r="BB143" s="228"/>
      <c r="BC143" s="48" t="e">
        <f>_xlfn.XLOOKUP($D143,Tab_Process_TCs[TC_ID],#REF!,,0,)</f>
        <v>#REF!</v>
      </c>
      <c r="BD143" s="48" t="e">
        <f>_xlfn.XLOOKUP($D143,Tab_Process_TCs[TC_ID],#REF!,,0,)</f>
        <v>#REF!</v>
      </c>
      <c r="BE143" s="100" t="e">
        <f>Tab_Process_TCs2527[[#This Row],[Flow_ID]]</f>
        <v>#N/A</v>
      </c>
      <c r="BF143" s="100" t="e">
        <f t="shared" si="36"/>
        <v>#REF!</v>
      </c>
      <c r="BG143" s="109"/>
      <c r="BH143" s="112">
        <f>Tab_Process_TCs2527[[#This Row],[TC O_6_'[%']]]+Tab_Process_TCs2527[[#This Row],[TC O_5_'[%']]]+Tab_Process_TCs2527[[#This Row],[TC_O_4_'[%']]]+Tab_Process_TCs2527[[#This Row],[TC_O_3_'[%']]]+Tab_Process_TCs2527[[#This Row],[TC_O_2_'[%']]]+Tab_Process_TCs2527[[#This Row],[TC_O_1_'[%']]]</f>
        <v>1</v>
      </c>
      <c r="BI143" s="50"/>
      <c r="BJ143" s="50"/>
      <c r="BK143" s="50"/>
      <c r="BL143" s="50"/>
      <c r="BM143" s="50"/>
    </row>
    <row r="144" spans="1:65" x14ac:dyDescent="0.25">
      <c r="A144" s="87" t="b">
        <v>0</v>
      </c>
      <c r="B144" s="48">
        <f t="shared" si="30"/>
        <v>143</v>
      </c>
      <c r="C144" s="107" t="e">
        <f>_xlfn.XLOOKUP($D144,Tab_Process_TCs[Name(EN)],Tab_Process_TCs[Process_ID],,0,)</f>
        <v>#N/A</v>
      </c>
      <c r="D144" s="50"/>
      <c r="E144" s="50" t="s">
        <v>55</v>
      </c>
      <c r="F144" s="48" t="e">
        <f>_xlfn.XLOOKUP($D144,Tab_Process_TCs[Name(EN)],Tab_Process_TCs[TC?],,0,)</f>
        <v>#N/A</v>
      </c>
      <c r="G144" s="48" t="e">
        <f>_xlfn.XLOOKUP($D144,Tab_Process_TCs[Name(EN)],Tab_Process_TCs[Dyn_TC?],,0,)</f>
        <v>#N/A</v>
      </c>
      <c r="H144" s="48" t="e">
        <f>_xlfn.XLOOKUP($E144,Tab_Def_Flows[Name(EN)],Tab_Def_Flows[Flow_ID],,0,1)</f>
        <v>#N/A</v>
      </c>
      <c r="I144" s="50" t="e">
        <f>IF(Tab_Process_TCs2527[[#This Row],[Name(EN)]]="N.A.","N.A.","TC"&amp;"_"&amp;RIGHT(H144,5))</f>
        <v>#N/A</v>
      </c>
      <c r="J144" s="50"/>
      <c r="K144" s="117"/>
      <c r="L144" s="50" t="e">
        <f>_xlfn.XLOOKUP($D144,Tab_Def_Processes[Name(EN)],Tab_Def_Processes[Stock?],,0,)</f>
        <v>#N/A</v>
      </c>
      <c r="M144" s="48"/>
      <c r="N144" s="57" t="e">
        <f>_xlfn.XLOOKUP($D144,Tab_Def_Processes[Name(EN)],Tab_Def_Processes[Input_Flow_I_1],,0,)</f>
        <v>#N/A</v>
      </c>
      <c r="O144" s="48" t="e">
        <f>_xlfn.XLOOKUP($D144,Tab_Def_Processes[Name(EN)],Tab_Def_Processes[Flow_ID_I_1],,0,)</f>
        <v>#N/A</v>
      </c>
      <c r="P144" s="247"/>
      <c r="Q144" s="71" t="e">
        <f>_xlfn.XLOOKUP($D144,Tab_Def_Processes[Name(EN)],Tab_Def_Processes[Input_Flow_I_2],,0,)</f>
        <v>#N/A</v>
      </c>
      <c r="R144" s="48" t="e">
        <f>_xlfn.XLOOKUP($D144,Tab_Def_Processes[Name(EN)],Tab_Def_Processes[Flow_ID_I_2],,0,)</f>
        <v>#N/A</v>
      </c>
      <c r="S144" s="247"/>
      <c r="T144" s="71" t="e">
        <f>_xlfn.XLOOKUP($D144,Tab_Def_Processes[Name(EN)],Tab_Def_Processes[Input_Flow_I_3],,0,)</f>
        <v>#N/A</v>
      </c>
      <c r="U144" s="48" t="e">
        <f>_xlfn.XLOOKUP($D144,Tab_Def_Processes[Name(EN)],Tab_Def_Processes[Flow_ID_I_3],,0,)</f>
        <v>#N/A</v>
      </c>
      <c r="V144" s="247"/>
      <c r="W144" s="71" t="e">
        <f>_xlfn.XLOOKUP($D144,Tab_Def_Processes[Name(EN)],Tab_Def_Processes[Input_Flow_I_4],,0,)</f>
        <v>#N/A</v>
      </c>
      <c r="X144" s="48" t="e">
        <f>_xlfn.XLOOKUP($D144,Tab_Def_Processes[Name(EN)],Tab_Def_Processes[Flow_ID_I_4],,0,)</f>
        <v>#N/A</v>
      </c>
      <c r="Y144" s="247"/>
      <c r="Z144" s="71" t="e">
        <f>_xlfn.XLOOKUP($D144,Tab_Def_Processes[Name(EN)],Tab_Def_Processes[Input_Flow_I_5],,0,)</f>
        <v>#N/A</v>
      </c>
      <c r="AA144" s="48" t="e">
        <f>_xlfn.XLOOKUP($D144,Tab_Def_Processes[Name(EN)],Tab_Def_Processes[Flow_ID_I_5],,0,)</f>
        <v>#N/A</v>
      </c>
      <c r="AB144" s="247"/>
      <c r="AC144" s="74">
        <f>Tab_Process_TCs2527[[#This Row],[Flow_TC_I_1_'[%']]]+Tab_Process_TCs2527[[#This Row],[Flow_TC_I_2_'[%']]]+Tab_Process_TCs2527[[#This Row],[Flow_TC_I_3_'[%']]]+Tab_Process_TCs2527[[#This Row],[Flow_TC_I_4_'[%']]]+Tab_Process_TCs2527[[#This Row],[Flow_TC_I_5_'[%']]]</f>
        <v>0</v>
      </c>
      <c r="AD144" s="57" t="e">
        <f>_xlfn.XLOOKUP($D144,Tab_Process_TCs[TC_ID],Tab_Process_TCs[Output_Flow_O_1],,0,)</f>
        <v>#N/A</v>
      </c>
      <c r="AE144" s="48" t="e">
        <f>_xlfn.XLOOKUP($D144,Tab_Process_TCs[TC_ID],Tab_Process_TCs[Flow_ID_O_1],,0,)</f>
        <v>#N/A</v>
      </c>
      <c r="AF144" s="100" t="e">
        <f>Tab_Process_TCs2527[[#This Row],[Flow_ID]]</f>
        <v>#N/A</v>
      </c>
      <c r="AG144" s="48" t="e">
        <f t="shared" si="31"/>
        <v>#N/A</v>
      </c>
      <c r="AH144" s="232">
        <v>0.2</v>
      </c>
      <c r="AI144" s="57" t="e">
        <f>_xlfn.XLOOKUP($D144,Tab_Process_TCs[TC_ID],Tab_Process_TCs[Output_Flow_O_2],,0,)</f>
        <v>#N/A</v>
      </c>
      <c r="AJ144" s="48" t="e">
        <f>_xlfn.XLOOKUP($D144,Tab_Process_TCs[TC_ID],Tab_Process_TCs[Flow_ID_O_2],,0,)</f>
        <v>#N/A</v>
      </c>
      <c r="AK144" s="100" t="e">
        <f>Tab_Process_TCs2527[[#This Row],[Flow_ID]]</f>
        <v>#N/A</v>
      </c>
      <c r="AL144" s="48" t="e">
        <f t="shared" si="32"/>
        <v>#N/A</v>
      </c>
      <c r="AM144" s="228">
        <v>0.8</v>
      </c>
      <c r="AN144" s="57" t="e">
        <f>_xlfn.XLOOKUP($D144,Tab_Process_TCs[TC_ID],Tab_Process_TCs[Output_Flow_O_3],,0,)</f>
        <v>#N/A</v>
      </c>
      <c r="AO144" s="48" t="e">
        <f>_xlfn.XLOOKUP($D144,Tab_Process_TCs[TC_ID],Tab_Process_TCs[Flow_ID_O_3],,0,)</f>
        <v>#N/A</v>
      </c>
      <c r="AP144" s="100" t="e">
        <f>Tab_Process_TCs2527[[#This Row],[Flow_ID]]</f>
        <v>#N/A</v>
      </c>
      <c r="AQ144" s="48" t="e">
        <f t="shared" si="33"/>
        <v>#N/A</v>
      </c>
      <c r="AR144" s="228"/>
      <c r="AS144" s="57" t="e">
        <f>_xlfn.XLOOKUP($D144,Tab_Process_TCs[TC_ID],#REF!,,0,)</f>
        <v>#REF!</v>
      </c>
      <c r="AT144" s="48" t="e">
        <f>_xlfn.XLOOKUP($D144,Tab_Process_TCs[TC_ID],#REF!,,0,)</f>
        <v>#REF!</v>
      </c>
      <c r="AU144" s="100" t="e">
        <f>Tab_Process_TCs2527[[#This Row],[Flow_ID]]</f>
        <v>#N/A</v>
      </c>
      <c r="AV144" s="100" t="e">
        <f t="shared" si="34"/>
        <v>#N/A</v>
      </c>
      <c r="AW144" s="228"/>
      <c r="AX144" s="57" t="e">
        <f>_xlfn.XLOOKUP($D144,Tab_Process_TCs[TC_ID],#REF!,,0,)</f>
        <v>#REF!</v>
      </c>
      <c r="AY144" s="48" t="e">
        <f>_xlfn.XLOOKUP($D144,Tab_Process_TCs[TC_ID],#REF!,,0,)</f>
        <v>#REF!</v>
      </c>
      <c r="AZ144" s="100" t="e">
        <f>Tab_Process_TCs2527[[#This Row],[Flow_ID]]</f>
        <v>#N/A</v>
      </c>
      <c r="BA144" s="100" t="e">
        <f t="shared" si="35"/>
        <v>#REF!</v>
      </c>
      <c r="BB144" s="228"/>
      <c r="BC144" s="48" t="e">
        <f>_xlfn.XLOOKUP($D144,Tab_Process_TCs[TC_ID],#REF!,,0,)</f>
        <v>#REF!</v>
      </c>
      <c r="BD144" s="48" t="e">
        <f>_xlfn.XLOOKUP($D144,Tab_Process_TCs[TC_ID],#REF!,,0,)</f>
        <v>#REF!</v>
      </c>
      <c r="BE144" s="100" t="e">
        <f>Tab_Process_TCs2527[[#This Row],[Flow_ID]]</f>
        <v>#N/A</v>
      </c>
      <c r="BF144" s="100" t="e">
        <f t="shared" si="36"/>
        <v>#REF!</v>
      </c>
      <c r="BG144" s="109"/>
      <c r="BH144" s="112">
        <f>Tab_Process_TCs2527[[#This Row],[TC O_6_'[%']]]+Tab_Process_TCs2527[[#This Row],[TC O_5_'[%']]]+Tab_Process_TCs2527[[#This Row],[TC_O_4_'[%']]]+Tab_Process_TCs2527[[#This Row],[TC_O_3_'[%']]]+Tab_Process_TCs2527[[#This Row],[TC_O_2_'[%']]]+Tab_Process_TCs2527[[#This Row],[TC_O_1_'[%']]]</f>
        <v>1</v>
      </c>
      <c r="BI144" s="50"/>
      <c r="BJ144" s="50"/>
      <c r="BK144" s="50"/>
      <c r="BL144" s="50"/>
      <c r="BM144" s="50"/>
    </row>
    <row r="145" spans="1:65" x14ac:dyDescent="0.25">
      <c r="A145" s="87" t="b">
        <v>0</v>
      </c>
      <c r="B145" s="48">
        <f t="shared" si="30"/>
        <v>144</v>
      </c>
      <c r="C145" s="107" t="e">
        <f>_xlfn.XLOOKUP($D145,Tab_Process_TCs[Name(EN)],Tab_Process_TCs[Process_ID],,0,)</f>
        <v>#N/A</v>
      </c>
      <c r="D145" s="50"/>
      <c r="E145" s="50" t="s">
        <v>55</v>
      </c>
      <c r="F145" s="48" t="e">
        <f>_xlfn.XLOOKUP($D145,Tab_Process_TCs[Name(EN)],Tab_Process_TCs[TC?],,0,)</f>
        <v>#N/A</v>
      </c>
      <c r="G145" s="48" t="e">
        <f>_xlfn.XLOOKUP($D145,Tab_Process_TCs[Name(EN)],Tab_Process_TCs[Dyn_TC?],,0,)</f>
        <v>#N/A</v>
      </c>
      <c r="H145" s="48" t="e">
        <f>_xlfn.XLOOKUP($E145,Tab_Def_Flows[Name(EN)],Tab_Def_Flows[Flow_ID],,0,1)</f>
        <v>#N/A</v>
      </c>
      <c r="I145" s="50" t="e">
        <f>IF(Tab_Process_TCs2527[[#This Row],[Name(EN)]]="N.A.","N.A.","TC"&amp;"_"&amp;RIGHT(H145,5))</f>
        <v>#N/A</v>
      </c>
      <c r="J145" s="50"/>
      <c r="K145" s="117"/>
      <c r="L145" s="50" t="e">
        <f>_xlfn.XLOOKUP($D145,Tab_Def_Processes[Name(EN)],Tab_Def_Processes[Stock?],,0,)</f>
        <v>#N/A</v>
      </c>
      <c r="M145" s="48"/>
      <c r="N145" s="57" t="e">
        <f>_xlfn.XLOOKUP($D145,Tab_Def_Processes[Name(EN)],Tab_Def_Processes[Input_Flow_I_1],,0,)</f>
        <v>#N/A</v>
      </c>
      <c r="O145" s="48" t="e">
        <f>_xlfn.XLOOKUP($D145,Tab_Def_Processes[Name(EN)],Tab_Def_Processes[Flow_ID_I_1],,0,)</f>
        <v>#N/A</v>
      </c>
      <c r="P145" s="247"/>
      <c r="Q145" s="71" t="e">
        <f>_xlfn.XLOOKUP($D145,Tab_Def_Processes[Name(EN)],Tab_Def_Processes[Input_Flow_I_2],,0,)</f>
        <v>#N/A</v>
      </c>
      <c r="R145" s="48" t="e">
        <f>_xlfn.XLOOKUP($D145,Tab_Def_Processes[Name(EN)],Tab_Def_Processes[Flow_ID_I_2],,0,)</f>
        <v>#N/A</v>
      </c>
      <c r="S145" s="247"/>
      <c r="T145" s="71" t="e">
        <f>_xlfn.XLOOKUP($D145,Tab_Def_Processes[Name(EN)],Tab_Def_Processes[Input_Flow_I_3],,0,)</f>
        <v>#N/A</v>
      </c>
      <c r="U145" s="48" t="e">
        <f>_xlfn.XLOOKUP($D145,Tab_Def_Processes[Name(EN)],Tab_Def_Processes[Flow_ID_I_3],,0,)</f>
        <v>#N/A</v>
      </c>
      <c r="V145" s="247"/>
      <c r="W145" s="71" t="e">
        <f>_xlfn.XLOOKUP($D145,Tab_Def_Processes[Name(EN)],Tab_Def_Processes[Input_Flow_I_4],,0,)</f>
        <v>#N/A</v>
      </c>
      <c r="X145" s="48" t="e">
        <f>_xlfn.XLOOKUP($D145,Tab_Def_Processes[Name(EN)],Tab_Def_Processes[Flow_ID_I_4],,0,)</f>
        <v>#N/A</v>
      </c>
      <c r="Y145" s="247"/>
      <c r="Z145" s="71" t="e">
        <f>_xlfn.XLOOKUP($D145,Tab_Def_Processes[Name(EN)],Tab_Def_Processes[Input_Flow_I_5],,0,)</f>
        <v>#N/A</v>
      </c>
      <c r="AA145" s="48" t="e">
        <f>_xlfn.XLOOKUP($D145,Tab_Def_Processes[Name(EN)],Tab_Def_Processes[Flow_ID_I_5],,0,)</f>
        <v>#N/A</v>
      </c>
      <c r="AB145" s="247"/>
      <c r="AC145" s="74">
        <f>Tab_Process_TCs2527[[#This Row],[Flow_TC_I_1_'[%']]]+Tab_Process_TCs2527[[#This Row],[Flow_TC_I_2_'[%']]]+Tab_Process_TCs2527[[#This Row],[Flow_TC_I_3_'[%']]]+Tab_Process_TCs2527[[#This Row],[Flow_TC_I_4_'[%']]]+Tab_Process_TCs2527[[#This Row],[Flow_TC_I_5_'[%']]]</f>
        <v>0</v>
      </c>
      <c r="AD145" s="57" t="e">
        <f>_xlfn.XLOOKUP($D145,Tab_Process_TCs[TC_ID],Tab_Process_TCs[Output_Flow_O_1],,0,)</f>
        <v>#N/A</v>
      </c>
      <c r="AE145" s="48" t="e">
        <f>_xlfn.XLOOKUP($D145,Tab_Process_TCs[TC_ID],Tab_Process_TCs[Flow_ID_O_1],,0,)</f>
        <v>#N/A</v>
      </c>
      <c r="AF145" s="100" t="e">
        <f>Tab_Process_TCs2527[[#This Row],[Flow_ID]]</f>
        <v>#N/A</v>
      </c>
      <c r="AG145" s="48" t="e">
        <f t="shared" si="31"/>
        <v>#N/A</v>
      </c>
      <c r="AH145" s="232">
        <v>0.2</v>
      </c>
      <c r="AI145" s="57" t="e">
        <f>_xlfn.XLOOKUP($D145,Tab_Process_TCs[TC_ID],Tab_Process_TCs[Output_Flow_O_2],,0,)</f>
        <v>#N/A</v>
      </c>
      <c r="AJ145" s="48" t="e">
        <f>_xlfn.XLOOKUP($D145,Tab_Process_TCs[TC_ID],Tab_Process_TCs[Flow_ID_O_2],,0,)</f>
        <v>#N/A</v>
      </c>
      <c r="AK145" s="100" t="e">
        <f>Tab_Process_TCs2527[[#This Row],[Flow_ID]]</f>
        <v>#N/A</v>
      </c>
      <c r="AL145" s="48" t="e">
        <f t="shared" si="32"/>
        <v>#N/A</v>
      </c>
      <c r="AM145" s="228">
        <v>0.8</v>
      </c>
      <c r="AN145" s="57" t="e">
        <f>_xlfn.XLOOKUP($D145,Tab_Process_TCs[TC_ID],Tab_Process_TCs[Output_Flow_O_3],,0,)</f>
        <v>#N/A</v>
      </c>
      <c r="AO145" s="48" t="e">
        <f>_xlfn.XLOOKUP($D145,Tab_Process_TCs[TC_ID],Tab_Process_TCs[Flow_ID_O_3],,0,)</f>
        <v>#N/A</v>
      </c>
      <c r="AP145" s="100" t="e">
        <f>Tab_Process_TCs2527[[#This Row],[Flow_ID]]</f>
        <v>#N/A</v>
      </c>
      <c r="AQ145" s="48" t="e">
        <f t="shared" si="33"/>
        <v>#N/A</v>
      </c>
      <c r="AR145" s="228"/>
      <c r="AS145" s="57" t="e">
        <f>_xlfn.XLOOKUP($D145,Tab_Process_TCs[TC_ID],#REF!,,0,)</f>
        <v>#REF!</v>
      </c>
      <c r="AT145" s="48" t="e">
        <f>_xlfn.XLOOKUP($D145,Tab_Process_TCs[TC_ID],#REF!,,0,)</f>
        <v>#REF!</v>
      </c>
      <c r="AU145" s="100" t="e">
        <f>Tab_Process_TCs2527[[#This Row],[Flow_ID]]</f>
        <v>#N/A</v>
      </c>
      <c r="AV145" s="100" t="e">
        <f t="shared" si="34"/>
        <v>#N/A</v>
      </c>
      <c r="AW145" s="228"/>
      <c r="AX145" s="57" t="e">
        <f>_xlfn.XLOOKUP($D145,Tab_Process_TCs[TC_ID],#REF!,,0,)</f>
        <v>#REF!</v>
      </c>
      <c r="AY145" s="48" t="e">
        <f>_xlfn.XLOOKUP($D145,Tab_Process_TCs[TC_ID],#REF!,,0,)</f>
        <v>#REF!</v>
      </c>
      <c r="AZ145" s="100" t="e">
        <f>Tab_Process_TCs2527[[#This Row],[Flow_ID]]</f>
        <v>#N/A</v>
      </c>
      <c r="BA145" s="100" t="e">
        <f t="shared" si="35"/>
        <v>#REF!</v>
      </c>
      <c r="BB145" s="228"/>
      <c r="BC145" s="48" t="e">
        <f>_xlfn.XLOOKUP($D145,Tab_Process_TCs[TC_ID],#REF!,,0,)</f>
        <v>#REF!</v>
      </c>
      <c r="BD145" s="48" t="e">
        <f>_xlfn.XLOOKUP($D145,Tab_Process_TCs[TC_ID],#REF!,,0,)</f>
        <v>#REF!</v>
      </c>
      <c r="BE145" s="100" t="e">
        <f>Tab_Process_TCs2527[[#This Row],[Flow_ID]]</f>
        <v>#N/A</v>
      </c>
      <c r="BF145" s="100" t="e">
        <f t="shared" si="36"/>
        <v>#REF!</v>
      </c>
      <c r="BG145" s="109"/>
      <c r="BH145" s="112">
        <f>Tab_Process_TCs2527[[#This Row],[TC O_6_'[%']]]+Tab_Process_TCs2527[[#This Row],[TC O_5_'[%']]]+Tab_Process_TCs2527[[#This Row],[TC_O_4_'[%']]]+Tab_Process_TCs2527[[#This Row],[TC_O_3_'[%']]]+Tab_Process_TCs2527[[#This Row],[TC_O_2_'[%']]]+Tab_Process_TCs2527[[#This Row],[TC_O_1_'[%']]]</f>
        <v>1</v>
      </c>
      <c r="BI145" s="50"/>
      <c r="BJ145" s="50"/>
      <c r="BK145" s="50"/>
      <c r="BL145" s="50"/>
      <c r="BM145" s="50"/>
    </row>
    <row r="146" spans="1:65" x14ac:dyDescent="0.25">
      <c r="A146" s="87" t="b">
        <v>0</v>
      </c>
      <c r="B146" s="48">
        <f t="shared" si="30"/>
        <v>145</v>
      </c>
      <c r="C146" s="107" t="e">
        <f>_xlfn.XLOOKUP($D146,Tab_Process_TCs[Name(EN)],Tab_Process_TCs[Process_ID],,0,)</f>
        <v>#N/A</v>
      </c>
      <c r="D146" s="50"/>
      <c r="E146" s="50" t="s">
        <v>55</v>
      </c>
      <c r="F146" s="48" t="e">
        <f>_xlfn.XLOOKUP($D146,Tab_Process_TCs[Name(EN)],Tab_Process_TCs[TC?],,0,)</f>
        <v>#N/A</v>
      </c>
      <c r="G146" s="48" t="e">
        <f>_xlfn.XLOOKUP($D146,Tab_Process_TCs[Name(EN)],Tab_Process_TCs[Dyn_TC?],,0,)</f>
        <v>#N/A</v>
      </c>
      <c r="H146" s="48" t="e">
        <f>_xlfn.XLOOKUP($E146,Tab_Def_Flows[Name(EN)],Tab_Def_Flows[Flow_ID],,0,1)</f>
        <v>#N/A</v>
      </c>
      <c r="I146" s="50" t="e">
        <f>IF(Tab_Process_TCs2527[[#This Row],[Name(EN)]]="N.A.","N.A.","TC"&amp;"_"&amp;RIGHT(H146,5))</f>
        <v>#N/A</v>
      </c>
      <c r="J146" s="50"/>
      <c r="K146" s="249"/>
      <c r="L146" s="50" t="e">
        <f>_xlfn.XLOOKUP($D146,Tab_Def_Processes[Name(EN)],Tab_Def_Processes[Stock?],,0,)</f>
        <v>#N/A</v>
      </c>
      <c r="M146" s="48"/>
      <c r="N146" s="57" t="e">
        <f>_xlfn.XLOOKUP($D146,Tab_Def_Processes[Name(EN)],Tab_Def_Processes[Input_Flow_I_1],,0,)</f>
        <v>#N/A</v>
      </c>
      <c r="O146" s="48" t="e">
        <f>_xlfn.XLOOKUP($D146,Tab_Def_Processes[Name(EN)],Tab_Def_Processes[Flow_ID_I_1],,0,)</f>
        <v>#N/A</v>
      </c>
      <c r="P146" s="247"/>
      <c r="Q146" s="71" t="e">
        <f>_xlfn.XLOOKUP($D146,Tab_Def_Processes[Name(EN)],Tab_Def_Processes[Input_Flow_I_2],,0,)</f>
        <v>#N/A</v>
      </c>
      <c r="R146" s="48" t="e">
        <f>_xlfn.XLOOKUP($D146,Tab_Def_Processes[Name(EN)],Tab_Def_Processes[Flow_ID_I_2],,0,)</f>
        <v>#N/A</v>
      </c>
      <c r="S146" s="247"/>
      <c r="T146" s="71" t="e">
        <f>_xlfn.XLOOKUP($D146,Tab_Def_Processes[Name(EN)],Tab_Def_Processes[Input_Flow_I_3],,0,)</f>
        <v>#N/A</v>
      </c>
      <c r="U146" s="48" t="e">
        <f>_xlfn.XLOOKUP($D146,Tab_Def_Processes[Name(EN)],Tab_Def_Processes[Flow_ID_I_3],,0,)</f>
        <v>#N/A</v>
      </c>
      <c r="V146" s="247"/>
      <c r="W146" s="71" t="e">
        <f>_xlfn.XLOOKUP($D146,Tab_Def_Processes[Name(EN)],Tab_Def_Processes[Input_Flow_I_4],,0,)</f>
        <v>#N/A</v>
      </c>
      <c r="X146" s="48" t="e">
        <f>_xlfn.XLOOKUP($D146,Tab_Def_Processes[Name(EN)],Tab_Def_Processes[Flow_ID_I_4],,0,)</f>
        <v>#N/A</v>
      </c>
      <c r="Y146" s="247"/>
      <c r="Z146" s="71" t="e">
        <f>_xlfn.XLOOKUP($D146,Tab_Def_Processes[Name(EN)],Tab_Def_Processes[Input_Flow_I_5],,0,)</f>
        <v>#N/A</v>
      </c>
      <c r="AA146" s="48" t="e">
        <f>_xlfn.XLOOKUP($D146,Tab_Def_Processes[Name(EN)],Tab_Def_Processes[Flow_ID_I_5],,0,)</f>
        <v>#N/A</v>
      </c>
      <c r="AB146" s="247"/>
      <c r="AC146" s="74">
        <f>Tab_Process_TCs2527[[#This Row],[Flow_TC_I_1_'[%']]]+Tab_Process_TCs2527[[#This Row],[Flow_TC_I_2_'[%']]]+Tab_Process_TCs2527[[#This Row],[Flow_TC_I_3_'[%']]]+Tab_Process_TCs2527[[#This Row],[Flow_TC_I_4_'[%']]]+Tab_Process_TCs2527[[#This Row],[Flow_TC_I_5_'[%']]]</f>
        <v>0</v>
      </c>
      <c r="AD146" s="57" t="e">
        <f>_xlfn.XLOOKUP($D146,Tab_Process_TCs[TC_ID],Tab_Process_TCs[Output_Flow_O_1],,0,)</f>
        <v>#N/A</v>
      </c>
      <c r="AE146" s="48" t="e">
        <f>_xlfn.XLOOKUP($D146,Tab_Process_TCs[TC_ID],Tab_Process_TCs[Flow_ID_O_1],,0,)</f>
        <v>#N/A</v>
      </c>
      <c r="AF146" s="100" t="e">
        <f>Tab_Process_TCs2527[[#This Row],[Flow_ID]]</f>
        <v>#N/A</v>
      </c>
      <c r="AG146" s="48" t="e">
        <f t="shared" si="31"/>
        <v>#N/A</v>
      </c>
      <c r="AH146" s="232">
        <v>0.2</v>
      </c>
      <c r="AI146" s="57" t="e">
        <f>_xlfn.XLOOKUP($D146,Tab_Process_TCs[TC_ID],Tab_Process_TCs[Output_Flow_O_2],,0,)</f>
        <v>#N/A</v>
      </c>
      <c r="AJ146" s="48" t="e">
        <f>_xlfn.XLOOKUP($D146,Tab_Process_TCs[TC_ID],Tab_Process_TCs[Flow_ID_O_2],,0,)</f>
        <v>#N/A</v>
      </c>
      <c r="AK146" s="100" t="e">
        <f>Tab_Process_TCs2527[[#This Row],[Flow_ID]]</f>
        <v>#N/A</v>
      </c>
      <c r="AL146" s="48" t="e">
        <f t="shared" si="32"/>
        <v>#N/A</v>
      </c>
      <c r="AM146" s="228">
        <v>0.8</v>
      </c>
      <c r="AN146" s="57" t="e">
        <f>_xlfn.XLOOKUP($D146,Tab_Process_TCs[TC_ID],Tab_Process_TCs[Output_Flow_O_3],,0,)</f>
        <v>#N/A</v>
      </c>
      <c r="AO146" s="48" t="e">
        <f>_xlfn.XLOOKUP($D146,Tab_Process_TCs[TC_ID],Tab_Process_TCs[Flow_ID_O_3],,0,)</f>
        <v>#N/A</v>
      </c>
      <c r="AP146" s="100" t="e">
        <f>Tab_Process_TCs2527[[#This Row],[Flow_ID]]</f>
        <v>#N/A</v>
      </c>
      <c r="AQ146" s="48" t="e">
        <f t="shared" si="33"/>
        <v>#N/A</v>
      </c>
      <c r="AR146" s="228"/>
      <c r="AS146" s="57" t="e">
        <f>_xlfn.XLOOKUP($D146,Tab_Process_TCs[TC_ID],#REF!,,0,)</f>
        <v>#REF!</v>
      </c>
      <c r="AT146" s="48" t="e">
        <f>_xlfn.XLOOKUP($D146,Tab_Process_TCs[TC_ID],#REF!,,0,)</f>
        <v>#REF!</v>
      </c>
      <c r="AU146" s="100" t="e">
        <f>Tab_Process_TCs2527[[#This Row],[Flow_ID]]</f>
        <v>#N/A</v>
      </c>
      <c r="AV146" s="100" t="e">
        <f t="shared" si="34"/>
        <v>#N/A</v>
      </c>
      <c r="AW146" s="228"/>
      <c r="AX146" s="57" t="e">
        <f>_xlfn.XLOOKUP($D146,Tab_Process_TCs[TC_ID],#REF!,,0,)</f>
        <v>#REF!</v>
      </c>
      <c r="AY146" s="48" t="e">
        <f>_xlfn.XLOOKUP($D146,Tab_Process_TCs[TC_ID],#REF!,,0,)</f>
        <v>#REF!</v>
      </c>
      <c r="AZ146" s="100" t="e">
        <f>Tab_Process_TCs2527[[#This Row],[Flow_ID]]</f>
        <v>#N/A</v>
      </c>
      <c r="BA146" s="100" t="e">
        <f t="shared" si="35"/>
        <v>#REF!</v>
      </c>
      <c r="BB146" s="228"/>
      <c r="BC146" s="48" t="e">
        <f>_xlfn.XLOOKUP($D146,Tab_Process_TCs[TC_ID],#REF!,,0,)</f>
        <v>#REF!</v>
      </c>
      <c r="BD146" s="48" t="e">
        <f>_xlfn.XLOOKUP($D146,Tab_Process_TCs[TC_ID],#REF!,,0,)</f>
        <v>#REF!</v>
      </c>
      <c r="BE146" s="100" t="e">
        <f>Tab_Process_TCs2527[[#This Row],[Flow_ID]]</f>
        <v>#N/A</v>
      </c>
      <c r="BF146" s="100" t="e">
        <f t="shared" si="36"/>
        <v>#REF!</v>
      </c>
      <c r="BG146" s="109"/>
      <c r="BH146" s="112">
        <f>Tab_Process_TCs2527[[#This Row],[TC O_6_'[%']]]+Tab_Process_TCs2527[[#This Row],[TC O_5_'[%']]]+Tab_Process_TCs2527[[#This Row],[TC_O_4_'[%']]]+Tab_Process_TCs2527[[#This Row],[TC_O_3_'[%']]]+Tab_Process_TCs2527[[#This Row],[TC_O_2_'[%']]]+Tab_Process_TCs2527[[#This Row],[TC_O_1_'[%']]]</f>
        <v>1</v>
      </c>
      <c r="BI146" s="50"/>
      <c r="BJ146" s="50"/>
      <c r="BK146" s="50"/>
      <c r="BL146" s="50"/>
      <c r="BM146" s="50"/>
    </row>
    <row r="147" spans="1:65" x14ac:dyDescent="0.25">
      <c r="A147" s="87" t="b">
        <v>0</v>
      </c>
      <c r="B147" s="48">
        <f t="shared" si="30"/>
        <v>146</v>
      </c>
      <c r="C147" s="107" t="e">
        <f>_xlfn.XLOOKUP($D147,Tab_Process_TCs[Name(EN)],Tab_Process_TCs[Process_ID],,0,)</f>
        <v>#N/A</v>
      </c>
      <c r="D147" s="50"/>
      <c r="E147" s="50" t="s">
        <v>55</v>
      </c>
      <c r="F147" s="48" t="e">
        <f>_xlfn.XLOOKUP($D147,Tab_Process_TCs[Name(EN)],Tab_Process_TCs[TC?],,0,)</f>
        <v>#N/A</v>
      </c>
      <c r="G147" s="48" t="e">
        <f>_xlfn.XLOOKUP($D147,Tab_Process_TCs[Name(EN)],Tab_Process_TCs[Dyn_TC?],,0,)</f>
        <v>#N/A</v>
      </c>
      <c r="H147" s="48" t="e">
        <f>_xlfn.XLOOKUP($E147,Tab_Def_Flows[Name(EN)],Tab_Def_Flows[Flow_ID],,0,1)</f>
        <v>#N/A</v>
      </c>
      <c r="I147" s="50" t="e">
        <f>IF(Tab_Process_TCs2527[[#This Row],[Name(EN)]]="N.A.","N.A.","TC"&amp;"_"&amp;RIGHT(H147,5))</f>
        <v>#N/A</v>
      </c>
      <c r="J147" s="50"/>
      <c r="K147" s="249"/>
      <c r="L147" s="50" t="e">
        <f>_xlfn.XLOOKUP($D147,Tab_Def_Processes[Name(EN)],Tab_Def_Processes[Stock?],,0,)</f>
        <v>#N/A</v>
      </c>
      <c r="M147" s="48"/>
      <c r="N147" s="57" t="e">
        <f>_xlfn.XLOOKUP($D147,Tab_Def_Processes[Name(EN)],Tab_Def_Processes[Input_Flow_I_1],,0,)</f>
        <v>#N/A</v>
      </c>
      <c r="O147" s="48" t="e">
        <f>_xlfn.XLOOKUP($D147,Tab_Def_Processes[Name(EN)],Tab_Def_Processes[Flow_ID_I_1],,0,)</f>
        <v>#N/A</v>
      </c>
      <c r="P147" s="247"/>
      <c r="Q147" s="71" t="e">
        <f>_xlfn.XLOOKUP($D147,Tab_Def_Processes[Name(EN)],Tab_Def_Processes[Input_Flow_I_2],,0,)</f>
        <v>#N/A</v>
      </c>
      <c r="R147" s="48" t="e">
        <f>_xlfn.XLOOKUP($D147,Tab_Def_Processes[Name(EN)],Tab_Def_Processes[Flow_ID_I_2],,0,)</f>
        <v>#N/A</v>
      </c>
      <c r="S147" s="247"/>
      <c r="T147" s="71" t="e">
        <f>_xlfn.XLOOKUP($D147,Tab_Def_Processes[Name(EN)],Tab_Def_Processes[Input_Flow_I_3],,0,)</f>
        <v>#N/A</v>
      </c>
      <c r="U147" s="48" t="e">
        <f>_xlfn.XLOOKUP($D147,Tab_Def_Processes[Name(EN)],Tab_Def_Processes[Flow_ID_I_3],,0,)</f>
        <v>#N/A</v>
      </c>
      <c r="V147" s="247"/>
      <c r="W147" s="71" t="e">
        <f>_xlfn.XLOOKUP($D147,Tab_Def_Processes[Name(EN)],Tab_Def_Processes[Input_Flow_I_4],,0,)</f>
        <v>#N/A</v>
      </c>
      <c r="X147" s="48" t="e">
        <f>_xlfn.XLOOKUP($D147,Tab_Def_Processes[Name(EN)],Tab_Def_Processes[Flow_ID_I_4],,0,)</f>
        <v>#N/A</v>
      </c>
      <c r="Y147" s="247"/>
      <c r="Z147" s="71" t="e">
        <f>_xlfn.XLOOKUP($D147,Tab_Def_Processes[Name(EN)],Tab_Def_Processes[Input_Flow_I_5],,0,)</f>
        <v>#N/A</v>
      </c>
      <c r="AA147" s="48" t="e">
        <f>_xlfn.XLOOKUP($D147,Tab_Def_Processes[Name(EN)],Tab_Def_Processes[Flow_ID_I_5],,0,)</f>
        <v>#N/A</v>
      </c>
      <c r="AB147" s="247"/>
      <c r="AC147" s="74">
        <f>Tab_Process_TCs2527[[#This Row],[Flow_TC_I_1_'[%']]]+Tab_Process_TCs2527[[#This Row],[Flow_TC_I_2_'[%']]]+Tab_Process_TCs2527[[#This Row],[Flow_TC_I_3_'[%']]]+Tab_Process_TCs2527[[#This Row],[Flow_TC_I_4_'[%']]]+Tab_Process_TCs2527[[#This Row],[Flow_TC_I_5_'[%']]]</f>
        <v>0</v>
      </c>
      <c r="AD147" s="57" t="e">
        <f>_xlfn.XLOOKUP($D147,Tab_Process_TCs[TC_ID],Tab_Process_TCs[Output_Flow_O_1],,0,)</f>
        <v>#N/A</v>
      </c>
      <c r="AE147" s="48" t="e">
        <f>_xlfn.XLOOKUP($D147,Tab_Process_TCs[TC_ID],Tab_Process_TCs[Flow_ID_O_1],,0,)</f>
        <v>#N/A</v>
      </c>
      <c r="AF147" s="100" t="e">
        <f>Tab_Process_TCs2527[[#This Row],[Flow_ID]]</f>
        <v>#N/A</v>
      </c>
      <c r="AG147" s="48" t="e">
        <f t="shared" si="31"/>
        <v>#N/A</v>
      </c>
      <c r="AH147" s="232">
        <v>0.2</v>
      </c>
      <c r="AI147" s="57" t="e">
        <f>_xlfn.XLOOKUP($D147,Tab_Process_TCs[TC_ID],Tab_Process_TCs[Output_Flow_O_2],,0,)</f>
        <v>#N/A</v>
      </c>
      <c r="AJ147" s="48" t="e">
        <f>_xlfn.XLOOKUP($D147,Tab_Process_TCs[TC_ID],Tab_Process_TCs[Flow_ID_O_2],,0,)</f>
        <v>#N/A</v>
      </c>
      <c r="AK147" s="100" t="e">
        <f>Tab_Process_TCs2527[[#This Row],[Flow_ID]]</f>
        <v>#N/A</v>
      </c>
      <c r="AL147" s="48" t="e">
        <f t="shared" si="32"/>
        <v>#N/A</v>
      </c>
      <c r="AM147" s="228">
        <v>0.8</v>
      </c>
      <c r="AN147" s="57" t="e">
        <f>_xlfn.XLOOKUP($D147,Tab_Process_TCs[TC_ID],Tab_Process_TCs[Output_Flow_O_3],,0,)</f>
        <v>#N/A</v>
      </c>
      <c r="AO147" s="48" t="e">
        <f>_xlfn.XLOOKUP($D147,Tab_Process_TCs[TC_ID],Tab_Process_TCs[Flow_ID_O_3],,0,)</f>
        <v>#N/A</v>
      </c>
      <c r="AP147" s="100" t="e">
        <f>Tab_Process_TCs2527[[#This Row],[Flow_ID]]</f>
        <v>#N/A</v>
      </c>
      <c r="AQ147" s="48" t="e">
        <f t="shared" si="33"/>
        <v>#N/A</v>
      </c>
      <c r="AR147" s="228"/>
      <c r="AS147" s="57" t="e">
        <f>_xlfn.XLOOKUP($D147,Tab_Process_TCs[TC_ID],#REF!,,0,)</f>
        <v>#REF!</v>
      </c>
      <c r="AT147" s="48" t="e">
        <f>_xlfn.XLOOKUP($D147,Tab_Process_TCs[TC_ID],#REF!,,0,)</f>
        <v>#REF!</v>
      </c>
      <c r="AU147" s="100" t="e">
        <f>Tab_Process_TCs2527[[#This Row],[Flow_ID]]</f>
        <v>#N/A</v>
      </c>
      <c r="AV147" s="100" t="e">
        <f t="shared" si="34"/>
        <v>#N/A</v>
      </c>
      <c r="AW147" s="228"/>
      <c r="AX147" s="57" t="e">
        <f>_xlfn.XLOOKUP($D147,Tab_Process_TCs[TC_ID],#REF!,,0,)</f>
        <v>#REF!</v>
      </c>
      <c r="AY147" s="48" t="e">
        <f>_xlfn.XLOOKUP($D147,Tab_Process_TCs[TC_ID],#REF!,,0,)</f>
        <v>#REF!</v>
      </c>
      <c r="AZ147" s="100" t="e">
        <f>Tab_Process_TCs2527[[#This Row],[Flow_ID]]</f>
        <v>#N/A</v>
      </c>
      <c r="BA147" s="100" t="e">
        <f t="shared" si="35"/>
        <v>#REF!</v>
      </c>
      <c r="BB147" s="228"/>
      <c r="BC147" s="48" t="e">
        <f>_xlfn.XLOOKUP($D147,Tab_Process_TCs[TC_ID],#REF!,,0,)</f>
        <v>#REF!</v>
      </c>
      <c r="BD147" s="48" t="e">
        <f>_xlfn.XLOOKUP($D147,Tab_Process_TCs[TC_ID],#REF!,,0,)</f>
        <v>#REF!</v>
      </c>
      <c r="BE147" s="100" t="e">
        <f>Tab_Process_TCs2527[[#This Row],[Flow_ID]]</f>
        <v>#N/A</v>
      </c>
      <c r="BF147" s="100" t="e">
        <f t="shared" si="36"/>
        <v>#REF!</v>
      </c>
      <c r="BG147" s="109"/>
      <c r="BH147" s="112">
        <f>Tab_Process_TCs2527[[#This Row],[TC O_6_'[%']]]+Tab_Process_TCs2527[[#This Row],[TC O_5_'[%']]]+Tab_Process_TCs2527[[#This Row],[TC_O_4_'[%']]]+Tab_Process_TCs2527[[#This Row],[TC_O_3_'[%']]]+Tab_Process_TCs2527[[#This Row],[TC_O_2_'[%']]]+Tab_Process_TCs2527[[#This Row],[TC_O_1_'[%']]]</f>
        <v>1</v>
      </c>
      <c r="BI147" s="50"/>
      <c r="BJ147" s="50"/>
      <c r="BK147" s="50"/>
      <c r="BL147" s="50"/>
      <c r="BM147" s="50"/>
    </row>
    <row r="148" spans="1:65" x14ac:dyDescent="0.25">
      <c r="A148" s="87" t="b">
        <v>0</v>
      </c>
      <c r="B148" s="48">
        <f t="shared" si="30"/>
        <v>147</v>
      </c>
      <c r="C148" s="107" t="e">
        <f>_xlfn.XLOOKUP($D148,Tab_Process_TCs[Name(EN)],Tab_Process_TCs[Process_ID],,0,)</f>
        <v>#N/A</v>
      </c>
      <c r="D148" s="50"/>
      <c r="E148" s="50" t="s">
        <v>55</v>
      </c>
      <c r="F148" s="48" t="e">
        <f>_xlfn.XLOOKUP($D148,Tab_Process_TCs[Name(EN)],Tab_Process_TCs[TC?],,0,)</f>
        <v>#N/A</v>
      </c>
      <c r="G148" s="48" t="e">
        <f>_xlfn.XLOOKUP($D148,Tab_Process_TCs[Name(EN)],Tab_Process_TCs[Dyn_TC?],,0,)</f>
        <v>#N/A</v>
      </c>
      <c r="H148" s="48" t="e">
        <f>_xlfn.XLOOKUP($E148,Tab_Def_Flows[Name(EN)],Tab_Def_Flows[Flow_ID],,0,1)</f>
        <v>#N/A</v>
      </c>
      <c r="I148" s="50" t="e">
        <f>IF(Tab_Process_TCs2527[[#This Row],[Name(EN)]]="N.A.","N.A.","TC"&amp;"_"&amp;RIGHT(H148,5))</f>
        <v>#N/A</v>
      </c>
      <c r="J148" s="50"/>
      <c r="K148" s="249"/>
      <c r="L148" s="50" t="e">
        <f>_xlfn.XLOOKUP($D148,Tab_Def_Processes[Name(EN)],Tab_Def_Processes[Stock?],,0,)</f>
        <v>#N/A</v>
      </c>
      <c r="M148" s="48"/>
      <c r="N148" s="57" t="e">
        <f>_xlfn.XLOOKUP($D148,Tab_Def_Processes[Name(EN)],Tab_Def_Processes[Input_Flow_I_1],,0,)</f>
        <v>#N/A</v>
      </c>
      <c r="O148" s="48" t="e">
        <f>_xlfn.XLOOKUP($D148,Tab_Def_Processes[Name(EN)],Tab_Def_Processes[Flow_ID_I_1],,0,)</f>
        <v>#N/A</v>
      </c>
      <c r="P148" s="247"/>
      <c r="Q148" s="71" t="e">
        <f>_xlfn.XLOOKUP($D148,Tab_Def_Processes[Name(EN)],Tab_Def_Processes[Input_Flow_I_2],,0,)</f>
        <v>#N/A</v>
      </c>
      <c r="R148" s="48" t="e">
        <f>_xlfn.XLOOKUP($D148,Tab_Def_Processes[Name(EN)],Tab_Def_Processes[Flow_ID_I_2],,0,)</f>
        <v>#N/A</v>
      </c>
      <c r="S148" s="247"/>
      <c r="T148" s="71" t="e">
        <f>_xlfn.XLOOKUP($D148,Tab_Def_Processes[Name(EN)],Tab_Def_Processes[Input_Flow_I_3],,0,)</f>
        <v>#N/A</v>
      </c>
      <c r="U148" s="48" t="e">
        <f>_xlfn.XLOOKUP($D148,Tab_Def_Processes[Name(EN)],Tab_Def_Processes[Flow_ID_I_3],,0,)</f>
        <v>#N/A</v>
      </c>
      <c r="V148" s="247"/>
      <c r="W148" s="71" t="e">
        <f>_xlfn.XLOOKUP($D148,Tab_Def_Processes[Name(EN)],Tab_Def_Processes[Input_Flow_I_4],,0,)</f>
        <v>#N/A</v>
      </c>
      <c r="X148" s="48" t="e">
        <f>_xlfn.XLOOKUP($D148,Tab_Def_Processes[Name(EN)],Tab_Def_Processes[Flow_ID_I_4],,0,)</f>
        <v>#N/A</v>
      </c>
      <c r="Y148" s="247"/>
      <c r="Z148" s="71" t="e">
        <f>_xlfn.XLOOKUP($D148,Tab_Def_Processes[Name(EN)],Tab_Def_Processes[Input_Flow_I_5],,0,)</f>
        <v>#N/A</v>
      </c>
      <c r="AA148" s="48" t="e">
        <f>_xlfn.XLOOKUP($D148,Tab_Def_Processes[Name(EN)],Tab_Def_Processes[Flow_ID_I_5],,0,)</f>
        <v>#N/A</v>
      </c>
      <c r="AB148" s="247"/>
      <c r="AC148" s="74">
        <f>Tab_Process_TCs2527[[#This Row],[Flow_TC_I_1_'[%']]]+Tab_Process_TCs2527[[#This Row],[Flow_TC_I_2_'[%']]]+Tab_Process_TCs2527[[#This Row],[Flow_TC_I_3_'[%']]]+Tab_Process_TCs2527[[#This Row],[Flow_TC_I_4_'[%']]]+Tab_Process_TCs2527[[#This Row],[Flow_TC_I_5_'[%']]]</f>
        <v>0</v>
      </c>
      <c r="AD148" s="57" t="e">
        <f>_xlfn.XLOOKUP($D148,Tab_Process_TCs[TC_ID],Tab_Process_TCs[Output_Flow_O_1],,0,)</f>
        <v>#N/A</v>
      </c>
      <c r="AE148" s="48" t="e">
        <f>_xlfn.XLOOKUP($D148,Tab_Process_TCs[TC_ID],Tab_Process_TCs[Flow_ID_O_1],,0,)</f>
        <v>#N/A</v>
      </c>
      <c r="AF148" s="100" t="e">
        <f>Tab_Process_TCs2527[[#This Row],[Flow_ID]]</f>
        <v>#N/A</v>
      </c>
      <c r="AG148" s="48" t="e">
        <f t="shared" si="31"/>
        <v>#N/A</v>
      </c>
      <c r="AH148" s="232">
        <v>0.2</v>
      </c>
      <c r="AI148" s="57" t="e">
        <f>_xlfn.XLOOKUP($D148,Tab_Process_TCs[TC_ID],Tab_Process_TCs[Output_Flow_O_2],,0,)</f>
        <v>#N/A</v>
      </c>
      <c r="AJ148" s="48" t="e">
        <f>_xlfn.XLOOKUP($D148,Tab_Process_TCs[TC_ID],Tab_Process_TCs[Flow_ID_O_2],,0,)</f>
        <v>#N/A</v>
      </c>
      <c r="AK148" s="100" t="e">
        <f>Tab_Process_TCs2527[[#This Row],[Flow_ID]]</f>
        <v>#N/A</v>
      </c>
      <c r="AL148" s="48" t="e">
        <f t="shared" si="32"/>
        <v>#N/A</v>
      </c>
      <c r="AM148" s="228">
        <v>0.8</v>
      </c>
      <c r="AN148" s="57" t="e">
        <f>_xlfn.XLOOKUP($D148,Tab_Process_TCs[TC_ID],Tab_Process_TCs[Output_Flow_O_3],,0,)</f>
        <v>#N/A</v>
      </c>
      <c r="AO148" s="48" t="e">
        <f>_xlfn.XLOOKUP($D148,Tab_Process_TCs[TC_ID],Tab_Process_TCs[Flow_ID_O_3],,0,)</f>
        <v>#N/A</v>
      </c>
      <c r="AP148" s="100" t="e">
        <f>Tab_Process_TCs2527[[#This Row],[Flow_ID]]</f>
        <v>#N/A</v>
      </c>
      <c r="AQ148" s="48" t="e">
        <f t="shared" si="33"/>
        <v>#N/A</v>
      </c>
      <c r="AR148" s="228"/>
      <c r="AS148" s="57" t="e">
        <f>_xlfn.XLOOKUP($D148,Tab_Process_TCs[TC_ID],#REF!,,0,)</f>
        <v>#REF!</v>
      </c>
      <c r="AT148" s="48" t="e">
        <f>_xlfn.XLOOKUP($D148,Tab_Process_TCs[TC_ID],#REF!,,0,)</f>
        <v>#REF!</v>
      </c>
      <c r="AU148" s="100" t="e">
        <f>Tab_Process_TCs2527[[#This Row],[Flow_ID]]</f>
        <v>#N/A</v>
      </c>
      <c r="AV148" s="100" t="e">
        <f t="shared" si="34"/>
        <v>#N/A</v>
      </c>
      <c r="AW148" s="228"/>
      <c r="AX148" s="57" t="e">
        <f>_xlfn.XLOOKUP($D148,Tab_Process_TCs[TC_ID],#REF!,,0,)</f>
        <v>#REF!</v>
      </c>
      <c r="AY148" s="48" t="e">
        <f>_xlfn.XLOOKUP($D148,Tab_Process_TCs[TC_ID],#REF!,,0,)</f>
        <v>#REF!</v>
      </c>
      <c r="AZ148" s="100" t="e">
        <f>Tab_Process_TCs2527[[#This Row],[Flow_ID]]</f>
        <v>#N/A</v>
      </c>
      <c r="BA148" s="100" t="e">
        <f t="shared" si="35"/>
        <v>#REF!</v>
      </c>
      <c r="BB148" s="228"/>
      <c r="BC148" s="48" t="e">
        <f>_xlfn.XLOOKUP($D148,Tab_Process_TCs[TC_ID],#REF!,,0,)</f>
        <v>#REF!</v>
      </c>
      <c r="BD148" s="48" t="e">
        <f>_xlfn.XLOOKUP($D148,Tab_Process_TCs[TC_ID],#REF!,,0,)</f>
        <v>#REF!</v>
      </c>
      <c r="BE148" s="100" t="e">
        <f>Tab_Process_TCs2527[[#This Row],[Flow_ID]]</f>
        <v>#N/A</v>
      </c>
      <c r="BF148" s="100" t="e">
        <f t="shared" si="36"/>
        <v>#REF!</v>
      </c>
      <c r="BG148" s="109"/>
      <c r="BH148" s="112">
        <f>Tab_Process_TCs2527[[#This Row],[TC O_6_'[%']]]+Tab_Process_TCs2527[[#This Row],[TC O_5_'[%']]]+Tab_Process_TCs2527[[#This Row],[TC_O_4_'[%']]]+Tab_Process_TCs2527[[#This Row],[TC_O_3_'[%']]]+Tab_Process_TCs2527[[#This Row],[TC_O_2_'[%']]]+Tab_Process_TCs2527[[#This Row],[TC_O_1_'[%']]]</f>
        <v>1</v>
      </c>
      <c r="BI148" s="50"/>
      <c r="BJ148" s="50"/>
      <c r="BK148" s="50"/>
      <c r="BL148" s="50"/>
      <c r="BM148" s="50"/>
    </row>
    <row r="149" spans="1:65" x14ac:dyDescent="0.25">
      <c r="A149" s="87" t="b">
        <v>0</v>
      </c>
      <c r="B149" s="48">
        <f t="shared" si="30"/>
        <v>148</v>
      </c>
      <c r="C149" s="107" t="e">
        <f>_xlfn.XLOOKUP($D149,Tab_Process_TCs[Name(EN)],Tab_Process_TCs[Process_ID],,0,)</f>
        <v>#N/A</v>
      </c>
      <c r="D149" s="50"/>
      <c r="E149" s="50" t="s">
        <v>55</v>
      </c>
      <c r="F149" s="48" t="e">
        <f>_xlfn.XLOOKUP($D149,Tab_Process_TCs[Name(EN)],Tab_Process_TCs[TC?],,0,)</f>
        <v>#N/A</v>
      </c>
      <c r="G149" s="48" t="e">
        <f>_xlfn.XLOOKUP($D149,Tab_Process_TCs[Name(EN)],Tab_Process_TCs[Dyn_TC?],,0,)</f>
        <v>#N/A</v>
      </c>
      <c r="H149" s="48" t="e">
        <f>_xlfn.XLOOKUP($E149,Tab_Def_Flows[Name(EN)],Tab_Def_Flows[Flow_ID],,0,1)</f>
        <v>#N/A</v>
      </c>
      <c r="I149" s="50" t="e">
        <f>IF(Tab_Process_TCs2527[[#This Row],[Name(EN)]]="N.A.","N.A.","TC"&amp;"_"&amp;RIGHT(H149,5))</f>
        <v>#N/A</v>
      </c>
      <c r="J149" s="50"/>
      <c r="K149" s="117"/>
      <c r="L149" s="50" t="e">
        <f>_xlfn.XLOOKUP($D149,Tab_Def_Processes[Name(EN)],Tab_Def_Processes[Stock?],,0,)</f>
        <v>#N/A</v>
      </c>
      <c r="M149" s="48"/>
      <c r="N149" s="57" t="e">
        <f>_xlfn.XLOOKUP($D149,Tab_Def_Processes[Name(EN)],Tab_Def_Processes[Input_Flow_I_1],,0,)</f>
        <v>#N/A</v>
      </c>
      <c r="O149" s="48" t="e">
        <f>_xlfn.XLOOKUP($D149,Tab_Def_Processes[Name(EN)],Tab_Def_Processes[Flow_ID_I_1],,0,)</f>
        <v>#N/A</v>
      </c>
      <c r="P149" s="247"/>
      <c r="Q149" s="71" t="e">
        <f>_xlfn.XLOOKUP($D149,Tab_Def_Processes[Name(EN)],Tab_Def_Processes[Input_Flow_I_2],,0,)</f>
        <v>#N/A</v>
      </c>
      <c r="R149" s="48" t="e">
        <f>_xlfn.XLOOKUP($D149,Tab_Def_Processes[Name(EN)],Tab_Def_Processes[Flow_ID_I_2],,0,)</f>
        <v>#N/A</v>
      </c>
      <c r="S149" s="247"/>
      <c r="T149" s="71" t="e">
        <f>_xlfn.XLOOKUP($D149,Tab_Def_Processes[Name(EN)],Tab_Def_Processes[Input_Flow_I_3],,0,)</f>
        <v>#N/A</v>
      </c>
      <c r="U149" s="48" t="e">
        <f>_xlfn.XLOOKUP($D149,Tab_Def_Processes[Name(EN)],Tab_Def_Processes[Flow_ID_I_3],,0,)</f>
        <v>#N/A</v>
      </c>
      <c r="V149" s="247"/>
      <c r="W149" s="71" t="e">
        <f>_xlfn.XLOOKUP($D149,Tab_Def_Processes[Name(EN)],Tab_Def_Processes[Input_Flow_I_4],,0,)</f>
        <v>#N/A</v>
      </c>
      <c r="X149" s="48" t="e">
        <f>_xlfn.XLOOKUP($D149,Tab_Def_Processes[Name(EN)],Tab_Def_Processes[Flow_ID_I_4],,0,)</f>
        <v>#N/A</v>
      </c>
      <c r="Y149" s="247"/>
      <c r="Z149" s="71" t="e">
        <f>_xlfn.XLOOKUP($D149,Tab_Def_Processes[Name(EN)],Tab_Def_Processes[Input_Flow_I_5],,0,)</f>
        <v>#N/A</v>
      </c>
      <c r="AA149" s="48" t="e">
        <f>_xlfn.XLOOKUP($D149,Tab_Def_Processes[Name(EN)],Tab_Def_Processes[Flow_ID_I_5],,0,)</f>
        <v>#N/A</v>
      </c>
      <c r="AB149" s="247"/>
      <c r="AC149" s="74">
        <f>Tab_Process_TCs2527[[#This Row],[Flow_TC_I_1_'[%']]]+Tab_Process_TCs2527[[#This Row],[Flow_TC_I_2_'[%']]]+Tab_Process_TCs2527[[#This Row],[Flow_TC_I_3_'[%']]]+Tab_Process_TCs2527[[#This Row],[Flow_TC_I_4_'[%']]]+Tab_Process_TCs2527[[#This Row],[Flow_TC_I_5_'[%']]]</f>
        <v>0</v>
      </c>
      <c r="AD149" s="57" t="e">
        <f>_xlfn.XLOOKUP($D149,Tab_Process_TCs[TC_ID],Tab_Process_TCs[Output_Flow_O_1],,0,)</f>
        <v>#N/A</v>
      </c>
      <c r="AE149" s="48" t="e">
        <f>_xlfn.XLOOKUP($D149,Tab_Process_TCs[TC_ID],Tab_Process_TCs[Flow_ID_O_1],,0,)</f>
        <v>#N/A</v>
      </c>
      <c r="AF149" s="100" t="e">
        <f>Tab_Process_TCs2527[[#This Row],[Flow_ID]]</f>
        <v>#N/A</v>
      </c>
      <c r="AG149" s="48" t="e">
        <f t="shared" si="31"/>
        <v>#N/A</v>
      </c>
      <c r="AH149" s="232">
        <v>0.2</v>
      </c>
      <c r="AI149" s="57" t="e">
        <f>_xlfn.XLOOKUP($D149,Tab_Process_TCs[TC_ID],Tab_Process_TCs[Output_Flow_O_2],,0,)</f>
        <v>#N/A</v>
      </c>
      <c r="AJ149" s="48" t="e">
        <f>_xlfn.XLOOKUP($D149,Tab_Process_TCs[TC_ID],Tab_Process_TCs[Flow_ID_O_2],,0,)</f>
        <v>#N/A</v>
      </c>
      <c r="AK149" s="100" t="e">
        <f>Tab_Process_TCs2527[[#This Row],[Flow_ID]]</f>
        <v>#N/A</v>
      </c>
      <c r="AL149" s="48" t="e">
        <f t="shared" si="32"/>
        <v>#N/A</v>
      </c>
      <c r="AM149" s="228">
        <v>0.8</v>
      </c>
      <c r="AN149" s="57" t="e">
        <f>_xlfn.XLOOKUP($D149,Tab_Process_TCs[TC_ID],Tab_Process_TCs[Output_Flow_O_3],,0,)</f>
        <v>#N/A</v>
      </c>
      <c r="AO149" s="48" t="e">
        <f>_xlfn.XLOOKUP($D149,Tab_Process_TCs[TC_ID],Tab_Process_TCs[Flow_ID_O_3],,0,)</f>
        <v>#N/A</v>
      </c>
      <c r="AP149" s="100" t="e">
        <f>Tab_Process_TCs2527[[#This Row],[Flow_ID]]</f>
        <v>#N/A</v>
      </c>
      <c r="AQ149" s="48" t="e">
        <f t="shared" si="33"/>
        <v>#N/A</v>
      </c>
      <c r="AR149" s="228"/>
      <c r="AS149" s="57" t="e">
        <f>_xlfn.XLOOKUP($D149,Tab_Process_TCs[TC_ID],#REF!,,0,)</f>
        <v>#REF!</v>
      </c>
      <c r="AT149" s="48" t="e">
        <f>_xlfn.XLOOKUP($D149,Tab_Process_TCs[TC_ID],#REF!,,0,)</f>
        <v>#REF!</v>
      </c>
      <c r="AU149" s="100" t="e">
        <f>Tab_Process_TCs2527[[#This Row],[Flow_ID]]</f>
        <v>#N/A</v>
      </c>
      <c r="AV149" s="100" t="e">
        <f t="shared" si="34"/>
        <v>#N/A</v>
      </c>
      <c r="AW149" s="228"/>
      <c r="AX149" s="57" t="e">
        <f>_xlfn.XLOOKUP($D149,Tab_Process_TCs[TC_ID],#REF!,,0,)</f>
        <v>#REF!</v>
      </c>
      <c r="AY149" s="48" t="e">
        <f>_xlfn.XLOOKUP($D149,Tab_Process_TCs[TC_ID],#REF!,,0,)</f>
        <v>#REF!</v>
      </c>
      <c r="AZ149" s="100" t="e">
        <f>Tab_Process_TCs2527[[#This Row],[Flow_ID]]</f>
        <v>#N/A</v>
      </c>
      <c r="BA149" s="100" t="e">
        <f t="shared" si="35"/>
        <v>#REF!</v>
      </c>
      <c r="BB149" s="228"/>
      <c r="BC149" s="48" t="e">
        <f>_xlfn.XLOOKUP($D149,Tab_Process_TCs[TC_ID],#REF!,,0,)</f>
        <v>#REF!</v>
      </c>
      <c r="BD149" s="48" t="e">
        <f>_xlfn.XLOOKUP($D149,Tab_Process_TCs[TC_ID],#REF!,,0,)</f>
        <v>#REF!</v>
      </c>
      <c r="BE149" s="100" t="e">
        <f>Tab_Process_TCs2527[[#This Row],[Flow_ID]]</f>
        <v>#N/A</v>
      </c>
      <c r="BF149" s="100" t="e">
        <f t="shared" si="36"/>
        <v>#REF!</v>
      </c>
      <c r="BG149" s="109"/>
      <c r="BH149" s="112">
        <f>Tab_Process_TCs2527[[#This Row],[TC O_6_'[%']]]+Tab_Process_TCs2527[[#This Row],[TC O_5_'[%']]]+Tab_Process_TCs2527[[#This Row],[TC_O_4_'[%']]]+Tab_Process_TCs2527[[#This Row],[TC_O_3_'[%']]]+Tab_Process_TCs2527[[#This Row],[TC_O_2_'[%']]]+Tab_Process_TCs2527[[#This Row],[TC_O_1_'[%']]]</f>
        <v>1</v>
      </c>
      <c r="BI149" s="50"/>
      <c r="BJ149" s="50"/>
      <c r="BK149" s="50"/>
      <c r="BL149" s="50"/>
      <c r="BM149" s="50"/>
    </row>
    <row r="150" spans="1:65" x14ac:dyDescent="0.25">
      <c r="A150" s="87" t="b">
        <v>0</v>
      </c>
      <c r="B150" s="48">
        <f t="shared" si="30"/>
        <v>149</v>
      </c>
      <c r="C150" s="107" t="e">
        <f>_xlfn.XLOOKUP($D150,Tab_Process_TCs[Name(EN)],Tab_Process_TCs[Process_ID],,0,)</f>
        <v>#N/A</v>
      </c>
      <c r="D150" s="50"/>
      <c r="E150" s="50" t="s">
        <v>55</v>
      </c>
      <c r="F150" s="48" t="e">
        <f>_xlfn.XLOOKUP($D150,Tab_Process_TCs[Name(EN)],Tab_Process_TCs[TC?],,0,)</f>
        <v>#N/A</v>
      </c>
      <c r="G150" s="48" t="e">
        <f>_xlfn.XLOOKUP($D150,Tab_Process_TCs[Name(EN)],Tab_Process_TCs[Dyn_TC?],,0,)</f>
        <v>#N/A</v>
      </c>
      <c r="H150" s="48" t="e">
        <f>_xlfn.XLOOKUP($E150,Tab_Def_Flows[Name(EN)],Tab_Def_Flows[Flow_ID],,0,1)</f>
        <v>#N/A</v>
      </c>
      <c r="I150" s="50" t="e">
        <f>IF(Tab_Process_TCs2527[[#This Row],[Name(EN)]]="N.A.","N.A.","TC"&amp;"_"&amp;RIGHT(H150,5))</f>
        <v>#N/A</v>
      </c>
      <c r="J150" s="50"/>
      <c r="K150" s="117"/>
      <c r="L150" s="50" t="e">
        <f>_xlfn.XLOOKUP($D150,Tab_Def_Processes[Name(EN)],Tab_Def_Processes[Stock?],,0,)</f>
        <v>#N/A</v>
      </c>
      <c r="M150" s="48"/>
      <c r="N150" s="57" t="e">
        <f>_xlfn.XLOOKUP($D150,Tab_Def_Processes[Name(EN)],Tab_Def_Processes[Input_Flow_I_1],,0,)</f>
        <v>#N/A</v>
      </c>
      <c r="O150" s="48" t="e">
        <f>_xlfn.XLOOKUP($D150,Tab_Def_Processes[Name(EN)],Tab_Def_Processes[Flow_ID_I_1],,0,)</f>
        <v>#N/A</v>
      </c>
      <c r="P150" s="247"/>
      <c r="Q150" s="71" t="e">
        <f>_xlfn.XLOOKUP($D150,Tab_Def_Processes[Name(EN)],Tab_Def_Processes[Input_Flow_I_2],,0,)</f>
        <v>#N/A</v>
      </c>
      <c r="R150" s="48" t="e">
        <f>_xlfn.XLOOKUP($D150,Tab_Def_Processes[Name(EN)],Tab_Def_Processes[Flow_ID_I_2],,0,)</f>
        <v>#N/A</v>
      </c>
      <c r="S150" s="247"/>
      <c r="T150" s="71" t="e">
        <f>_xlfn.XLOOKUP($D150,Tab_Def_Processes[Name(EN)],Tab_Def_Processes[Input_Flow_I_3],,0,)</f>
        <v>#N/A</v>
      </c>
      <c r="U150" s="48" t="e">
        <f>_xlfn.XLOOKUP($D150,Tab_Def_Processes[Name(EN)],Tab_Def_Processes[Flow_ID_I_3],,0,)</f>
        <v>#N/A</v>
      </c>
      <c r="V150" s="247"/>
      <c r="W150" s="71" t="e">
        <f>_xlfn.XLOOKUP($D150,Tab_Def_Processes[Name(EN)],Tab_Def_Processes[Input_Flow_I_4],,0,)</f>
        <v>#N/A</v>
      </c>
      <c r="X150" s="48" t="e">
        <f>_xlfn.XLOOKUP($D150,Tab_Def_Processes[Name(EN)],Tab_Def_Processes[Flow_ID_I_4],,0,)</f>
        <v>#N/A</v>
      </c>
      <c r="Y150" s="247"/>
      <c r="Z150" s="71" t="e">
        <f>_xlfn.XLOOKUP($D150,Tab_Def_Processes[Name(EN)],Tab_Def_Processes[Input_Flow_I_5],,0,)</f>
        <v>#N/A</v>
      </c>
      <c r="AA150" s="48" t="e">
        <f>_xlfn.XLOOKUP($D150,Tab_Def_Processes[Name(EN)],Tab_Def_Processes[Flow_ID_I_5],,0,)</f>
        <v>#N/A</v>
      </c>
      <c r="AB150" s="247"/>
      <c r="AC150" s="74">
        <f>Tab_Process_TCs2527[[#This Row],[Flow_TC_I_1_'[%']]]+Tab_Process_TCs2527[[#This Row],[Flow_TC_I_2_'[%']]]+Tab_Process_TCs2527[[#This Row],[Flow_TC_I_3_'[%']]]+Tab_Process_TCs2527[[#This Row],[Flow_TC_I_4_'[%']]]+Tab_Process_TCs2527[[#This Row],[Flow_TC_I_5_'[%']]]</f>
        <v>0</v>
      </c>
      <c r="AD150" s="57" t="e">
        <f>_xlfn.XLOOKUP($D150,Tab_Process_TCs[TC_ID],Tab_Process_TCs[Output_Flow_O_1],,0,)</f>
        <v>#N/A</v>
      </c>
      <c r="AE150" s="48" t="e">
        <f>_xlfn.XLOOKUP($D150,Tab_Process_TCs[TC_ID],Tab_Process_TCs[Flow_ID_O_1],,0,)</f>
        <v>#N/A</v>
      </c>
      <c r="AF150" s="100" t="e">
        <f>Tab_Process_TCs2527[[#This Row],[Flow_ID]]</f>
        <v>#N/A</v>
      </c>
      <c r="AG150" s="48" t="e">
        <f t="shared" si="31"/>
        <v>#N/A</v>
      </c>
      <c r="AH150" s="232">
        <v>0.2</v>
      </c>
      <c r="AI150" s="57" t="e">
        <f>_xlfn.XLOOKUP($D150,Tab_Process_TCs[TC_ID],Tab_Process_TCs[Output_Flow_O_2],,0,)</f>
        <v>#N/A</v>
      </c>
      <c r="AJ150" s="48" t="e">
        <f>_xlfn.XLOOKUP($D150,Tab_Process_TCs[TC_ID],Tab_Process_TCs[Flow_ID_O_2],,0,)</f>
        <v>#N/A</v>
      </c>
      <c r="AK150" s="100" t="e">
        <f>Tab_Process_TCs2527[[#This Row],[Flow_ID]]</f>
        <v>#N/A</v>
      </c>
      <c r="AL150" s="48" t="e">
        <f t="shared" si="32"/>
        <v>#N/A</v>
      </c>
      <c r="AM150" s="228">
        <v>0.8</v>
      </c>
      <c r="AN150" s="57" t="e">
        <f>_xlfn.XLOOKUP($D150,Tab_Process_TCs[TC_ID],Tab_Process_TCs[Output_Flow_O_3],,0,)</f>
        <v>#N/A</v>
      </c>
      <c r="AO150" s="48" t="e">
        <f>_xlfn.XLOOKUP($D150,Tab_Process_TCs[TC_ID],Tab_Process_TCs[Flow_ID_O_3],,0,)</f>
        <v>#N/A</v>
      </c>
      <c r="AP150" s="100" t="e">
        <f>Tab_Process_TCs2527[[#This Row],[Flow_ID]]</f>
        <v>#N/A</v>
      </c>
      <c r="AQ150" s="48" t="e">
        <f t="shared" si="33"/>
        <v>#N/A</v>
      </c>
      <c r="AR150" s="228"/>
      <c r="AS150" s="57" t="e">
        <f>_xlfn.XLOOKUP($D150,Tab_Process_TCs[TC_ID],#REF!,,0,)</f>
        <v>#REF!</v>
      </c>
      <c r="AT150" s="48" t="e">
        <f>_xlfn.XLOOKUP($D150,Tab_Process_TCs[TC_ID],#REF!,,0,)</f>
        <v>#REF!</v>
      </c>
      <c r="AU150" s="100" t="e">
        <f>Tab_Process_TCs2527[[#This Row],[Flow_ID]]</f>
        <v>#N/A</v>
      </c>
      <c r="AV150" s="100" t="e">
        <f t="shared" si="34"/>
        <v>#N/A</v>
      </c>
      <c r="AW150" s="228"/>
      <c r="AX150" s="57" t="e">
        <f>_xlfn.XLOOKUP($D150,Tab_Process_TCs[TC_ID],#REF!,,0,)</f>
        <v>#REF!</v>
      </c>
      <c r="AY150" s="48" t="e">
        <f>_xlfn.XLOOKUP($D150,Tab_Process_TCs[TC_ID],#REF!,,0,)</f>
        <v>#REF!</v>
      </c>
      <c r="AZ150" s="100" t="e">
        <f>Tab_Process_TCs2527[[#This Row],[Flow_ID]]</f>
        <v>#N/A</v>
      </c>
      <c r="BA150" s="100" t="e">
        <f t="shared" si="35"/>
        <v>#REF!</v>
      </c>
      <c r="BB150" s="228"/>
      <c r="BC150" s="48" t="e">
        <f>_xlfn.XLOOKUP($D150,Tab_Process_TCs[TC_ID],#REF!,,0,)</f>
        <v>#REF!</v>
      </c>
      <c r="BD150" s="48" t="e">
        <f>_xlfn.XLOOKUP($D150,Tab_Process_TCs[TC_ID],#REF!,,0,)</f>
        <v>#REF!</v>
      </c>
      <c r="BE150" s="100" t="e">
        <f>Tab_Process_TCs2527[[#This Row],[Flow_ID]]</f>
        <v>#N/A</v>
      </c>
      <c r="BF150" s="100" t="e">
        <f t="shared" si="36"/>
        <v>#REF!</v>
      </c>
      <c r="BG150" s="109"/>
      <c r="BH150" s="112">
        <f>Tab_Process_TCs2527[[#This Row],[TC O_6_'[%']]]+Tab_Process_TCs2527[[#This Row],[TC O_5_'[%']]]+Tab_Process_TCs2527[[#This Row],[TC_O_4_'[%']]]+Tab_Process_TCs2527[[#This Row],[TC_O_3_'[%']]]+Tab_Process_TCs2527[[#This Row],[TC_O_2_'[%']]]+Tab_Process_TCs2527[[#This Row],[TC_O_1_'[%']]]</f>
        <v>1</v>
      </c>
      <c r="BI150" s="50"/>
      <c r="BJ150" s="50"/>
      <c r="BK150" s="50"/>
      <c r="BL150" s="50"/>
      <c r="BM150" s="50"/>
    </row>
    <row r="151" spans="1:65" ht="15.75" thickBot="1" x14ac:dyDescent="0.3">
      <c r="A151" s="87" t="b">
        <v>0</v>
      </c>
      <c r="B151" s="48">
        <f t="shared" si="30"/>
        <v>150</v>
      </c>
      <c r="C151" s="107" t="e">
        <f>_xlfn.XLOOKUP($D151,Tab_Process_TCs[Name(EN)],Tab_Process_TCs[Process_ID],,0,)</f>
        <v>#N/A</v>
      </c>
      <c r="D151" s="50"/>
      <c r="E151" s="50" t="s">
        <v>55</v>
      </c>
      <c r="F151" s="48" t="e">
        <f>_xlfn.XLOOKUP($D151,Tab_Process_TCs[Name(EN)],Tab_Process_TCs[TC?],,0,)</f>
        <v>#N/A</v>
      </c>
      <c r="G151" s="48" t="e">
        <f>_xlfn.XLOOKUP($D151,Tab_Process_TCs[Name(EN)],Tab_Process_TCs[Dyn_TC?],,0,)</f>
        <v>#N/A</v>
      </c>
      <c r="H151" s="48" t="e">
        <f>_xlfn.XLOOKUP($E151,Tab_Def_Flows[Name(EN)],Tab_Def_Flows[Flow_ID],,0,1)</f>
        <v>#N/A</v>
      </c>
      <c r="I151" s="50" t="e">
        <f>IF(Tab_Process_TCs2527[[#This Row],[Name(EN)]]="N.A.","N.A.","TC"&amp;"_"&amp;RIGHT(H151,5))</f>
        <v>#N/A</v>
      </c>
      <c r="J151" s="50"/>
      <c r="K151" s="249"/>
      <c r="L151" s="50" t="e">
        <f>_xlfn.XLOOKUP($D151,Tab_Def_Processes[Name(EN)],Tab_Def_Processes[Stock?],,0,)</f>
        <v>#N/A</v>
      </c>
      <c r="M151" s="48"/>
      <c r="N151" s="57" t="e">
        <f>_xlfn.XLOOKUP($D151,Tab_Def_Processes[Name(EN)],Tab_Def_Processes[Input_Flow_I_1],,0,)</f>
        <v>#N/A</v>
      </c>
      <c r="O151" s="48" t="e">
        <f>_xlfn.XLOOKUP($D151,Tab_Def_Processes[Name(EN)],Tab_Def_Processes[Flow_ID_I_1],,0,)</f>
        <v>#N/A</v>
      </c>
      <c r="P151" s="247"/>
      <c r="Q151" s="71" t="e">
        <f>_xlfn.XLOOKUP($D151,Tab_Def_Processes[Name(EN)],Tab_Def_Processes[Input_Flow_I_2],,0,)</f>
        <v>#N/A</v>
      </c>
      <c r="R151" s="48" t="e">
        <f>_xlfn.XLOOKUP($D151,Tab_Def_Processes[Name(EN)],Tab_Def_Processes[Flow_ID_I_2],,0,)</f>
        <v>#N/A</v>
      </c>
      <c r="S151" s="247"/>
      <c r="T151" s="71" t="e">
        <f>_xlfn.XLOOKUP($D151,Tab_Def_Processes[Name(EN)],Tab_Def_Processes[Input_Flow_I_3],,0,)</f>
        <v>#N/A</v>
      </c>
      <c r="U151" s="48" t="e">
        <f>_xlfn.XLOOKUP($D151,Tab_Def_Processes[Name(EN)],Tab_Def_Processes[Flow_ID_I_3],,0,)</f>
        <v>#N/A</v>
      </c>
      <c r="V151" s="247"/>
      <c r="W151" s="71" t="e">
        <f>_xlfn.XLOOKUP($D151,Tab_Def_Processes[Name(EN)],Tab_Def_Processes[Input_Flow_I_4],,0,)</f>
        <v>#N/A</v>
      </c>
      <c r="X151" s="48" t="e">
        <f>_xlfn.XLOOKUP($D151,Tab_Def_Processes[Name(EN)],Tab_Def_Processes[Flow_ID_I_4],,0,)</f>
        <v>#N/A</v>
      </c>
      <c r="Y151" s="247"/>
      <c r="Z151" s="71" t="e">
        <f>_xlfn.XLOOKUP($D151,Tab_Def_Processes[Name(EN)],Tab_Def_Processes[Input_Flow_I_5],,0,)</f>
        <v>#N/A</v>
      </c>
      <c r="AA151" s="48" t="e">
        <f>_xlfn.XLOOKUP($D151,Tab_Def_Processes[Name(EN)],Tab_Def_Processes[Flow_ID_I_5],,0,)</f>
        <v>#N/A</v>
      </c>
      <c r="AB151" s="247"/>
      <c r="AC151" s="74">
        <f>Tab_Process_TCs2527[[#This Row],[Flow_TC_I_1_'[%']]]+Tab_Process_TCs2527[[#This Row],[Flow_TC_I_2_'[%']]]+Tab_Process_TCs2527[[#This Row],[Flow_TC_I_3_'[%']]]+Tab_Process_TCs2527[[#This Row],[Flow_TC_I_4_'[%']]]+Tab_Process_TCs2527[[#This Row],[Flow_TC_I_5_'[%']]]</f>
        <v>0</v>
      </c>
      <c r="AD151" s="59" t="e">
        <f>_xlfn.XLOOKUP($D151,Tab_Process_TCs[TC_ID],Tab_Process_TCs[Output_Flow_O_1],,0,)</f>
        <v>#N/A</v>
      </c>
      <c r="AE151" s="60" t="e">
        <f>_xlfn.XLOOKUP($D151,Tab_Process_TCs[TC_ID],Tab_Process_TCs[Flow_ID_O_1],,0,)</f>
        <v>#N/A</v>
      </c>
      <c r="AF151" s="100" t="e">
        <f>Tab_Process_TCs2527[[#This Row],[Flow_ID]]</f>
        <v>#N/A</v>
      </c>
      <c r="AG151" s="60" t="e">
        <f t="shared" si="31"/>
        <v>#N/A</v>
      </c>
      <c r="AH151" s="235">
        <v>0.2</v>
      </c>
      <c r="AI151" s="59" t="e">
        <f>_xlfn.XLOOKUP($D151,Tab_Process_TCs[TC_ID],Tab_Process_TCs[Output_Flow_O_2],,0,)</f>
        <v>#N/A</v>
      </c>
      <c r="AJ151" s="60" t="e">
        <f>_xlfn.XLOOKUP($D151,Tab_Process_TCs[TC_ID],Tab_Process_TCs[Flow_ID_O_2],,0,)</f>
        <v>#N/A</v>
      </c>
      <c r="AK151" s="100" t="e">
        <f>Tab_Process_TCs2527[[#This Row],[Flow_ID]]</f>
        <v>#N/A</v>
      </c>
      <c r="AL151" s="60" t="e">
        <f t="shared" si="32"/>
        <v>#N/A</v>
      </c>
      <c r="AM151" s="236">
        <v>0.8</v>
      </c>
      <c r="AN151" s="59" t="e">
        <f>_xlfn.XLOOKUP($D151,Tab_Process_TCs[TC_ID],Tab_Process_TCs[Output_Flow_O_3],,0,)</f>
        <v>#N/A</v>
      </c>
      <c r="AO151" s="60" t="e">
        <f>_xlfn.XLOOKUP($D151,Tab_Process_TCs[TC_ID],Tab_Process_TCs[Flow_ID_O_3],,0,)</f>
        <v>#N/A</v>
      </c>
      <c r="AP151" s="100" t="e">
        <f>Tab_Process_TCs2527[[#This Row],[Flow_ID]]</f>
        <v>#N/A</v>
      </c>
      <c r="AQ151" s="60" t="e">
        <f t="shared" si="33"/>
        <v>#N/A</v>
      </c>
      <c r="AR151" s="236"/>
      <c r="AS151" s="59" t="e">
        <f>_xlfn.XLOOKUP($D151,Tab_Process_TCs[TC_ID],#REF!,,0,)</f>
        <v>#REF!</v>
      </c>
      <c r="AT151" s="60" t="e">
        <f>_xlfn.XLOOKUP($D151,Tab_Process_TCs[TC_ID],#REF!,,0,)</f>
        <v>#REF!</v>
      </c>
      <c r="AU151" s="100" t="e">
        <f>Tab_Process_TCs2527[[#This Row],[Flow_ID]]</f>
        <v>#N/A</v>
      </c>
      <c r="AV151" s="100" t="e">
        <f t="shared" si="34"/>
        <v>#N/A</v>
      </c>
      <c r="AW151" s="236"/>
      <c r="AX151" s="59" t="e">
        <f>_xlfn.XLOOKUP($D151,Tab_Process_TCs[TC_ID],#REF!,,0,)</f>
        <v>#REF!</v>
      </c>
      <c r="AY151" s="60" t="e">
        <f>_xlfn.XLOOKUP($D151,Tab_Process_TCs[TC_ID],#REF!,,0,)</f>
        <v>#REF!</v>
      </c>
      <c r="AZ151" s="100" t="e">
        <f>Tab_Process_TCs2527[[#This Row],[Flow_ID]]</f>
        <v>#N/A</v>
      </c>
      <c r="BA151" s="100" t="e">
        <f t="shared" si="35"/>
        <v>#REF!</v>
      </c>
      <c r="BB151" s="236"/>
      <c r="BC151" s="48" t="e">
        <f>_xlfn.XLOOKUP($D151,Tab_Process_TCs[TC_ID],#REF!,,0,)</f>
        <v>#REF!</v>
      </c>
      <c r="BD151" s="48" t="e">
        <f>_xlfn.XLOOKUP($D151,Tab_Process_TCs[TC_ID],#REF!,,0,)</f>
        <v>#REF!</v>
      </c>
      <c r="BE151" s="100" t="e">
        <f>Tab_Process_TCs2527[[#This Row],[Flow_ID]]</f>
        <v>#N/A</v>
      </c>
      <c r="BF151" s="100" t="e">
        <f t="shared" si="36"/>
        <v>#REF!</v>
      </c>
      <c r="BG151" s="109"/>
      <c r="BH151" s="112">
        <f>Tab_Process_TCs2527[[#This Row],[TC O_6_'[%']]]+Tab_Process_TCs2527[[#This Row],[TC O_5_'[%']]]+Tab_Process_TCs2527[[#This Row],[TC_O_4_'[%']]]+Tab_Process_TCs2527[[#This Row],[TC_O_3_'[%']]]+Tab_Process_TCs2527[[#This Row],[TC_O_2_'[%']]]+Tab_Process_TCs2527[[#This Row],[TC_O_1_'[%']]]</f>
        <v>1</v>
      </c>
      <c r="BI151" s="50"/>
      <c r="BJ151" s="50"/>
      <c r="BK151" s="50"/>
      <c r="BL151" s="50"/>
      <c r="BM151" s="50"/>
    </row>
  </sheetData>
  <phoneticPr fontId="3" type="noConversion"/>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I152:BI1048576 BH1:BH151">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9CEE14C6-3DF5-4113-8F14-B3CFD1104D19}">
          <x14:formula1>
            <xm:f>Intro!$T$6:$T$46</xm:f>
          </x14:formula1>
          <xm:sqref>M2:M151</xm:sqref>
        </x14:dataValidation>
        <x14:dataValidation type="list" allowBlank="1" showInputMessage="1" showErrorMessage="1" xr:uid="{ECCCB0BA-60EF-4ADA-8E59-41B74CA55900}">
          <x14:formula1>
            <xm:f>'2_1_Definition_Processes'!$D$2:$D$10</xm:f>
          </x14:formula1>
          <xm:sqref>E152:I1048576</xm:sqref>
        </x14:dataValidation>
        <x14:dataValidation type="list" allowBlank="1" showInputMessage="1" showErrorMessage="1" xr:uid="{E70A1220-F6BB-4B6C-91C7-5FE358B027E5}">
          <x14:formula1>
            <xm:f>'1_1_Definition_Flows'!$D$2:$D$15</xm:f>
          </x14:formula1>
          <xm:sqref>E2:E151</xm:sqref>
        </x14:dataValidation>
        <x14:dataValidation type="list" allowBlank="1" showInputMessage="1" showErrorMessage="1" xr:uid="{F4EFD03A-BDB8-4DE7-AC41-A9180EB54B38}">
          <x14:formula1>
            <xm:f>'2_3_Process_TCs'!$E$2:$E$3</xm:f>
          </x14:formula1>
          <xm:sqref>D2:D151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R35" sqref="R35"/>
    </sheetView>
  </sheetViews>
  <sheetFormatPr defaultColWidth="9.140625"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ColWidth="9.140625"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2" customWidth="1"/>
  </cols>
  <sheetData>
    <row r="1" spans="1:13" ht="48" thickBot="1" x14ac:dyDescent="0.3">
      <c r="A1" s="211" t="s">
        <v>174</v>
      </c>
      <c r="B1" s="264" t="str">
        <f>'2_1_Definition_Processes'!D2</f>
        <v>Biosphere</v>
      </c>
      <c r="C1" s="264"/>
      <c r="D1" s="264"/>
      <c r="E1" s="264"/>
      <c r="F1" s="264"/>
      <c r="G1" s="264"/>
      <c r="H1" s="264"/>
      <c r="I1" s="211" t="s">
        <v>175</v>
      </c>
      <c r="J1" s="265" t="s">
        <v>176</v>
      </c>
      <c r="K1" s="265"/>
      <c r="L1" s="265"/>
      <c r="M1" s="265"/>
    </row>
    <row r="2" spans="1:13" ht="16.5" thickBot="1" x14ac:dyDescent="0.3">
      <c r="A2" s="266" t="s">
        <v>177</v>
      </c>
      <c r="B2" s="267"/>
      <c r="C2" s="267"/>
      <c r="D2" s="267"/>
      <c r="E2" s="267"/>
      <c r="F2" s="267"/>
      <c r="G2" s="267"/>
      <c r="H2" s="267"/>
      <c r="I2" s="267"/>
      <c r="J2" s="267"/>
      <c r="K2" s="267"/>
      <c r="L2" s="267"/>
      <c r="M2" s="268"/>
    </row>
    <row r="3" spans="1:13" ht="126.75" customHeight="1" thickBot="1" x14ac:dyDescent="0.3">
      <c r="A3" s="269"/>
      <c r="B3" s="270"/>
      <c r="C3" s="270"/>
      <c r="D3" s="270"/>
      <c r="E3" s="270"/>
      <c r="F3" s="270"/>
      <c r="G3" s="270"/>
      <c r="H3" s="270"/>
      <c r="I3" s="270"/>
      <c r="J3" s="270"/>
      <c r="K3" s="270"/>
      <c r="L3" s="270"/>
      <c r="M3" s="271"/>
    </row>
    <row r="4" spans="1:13" ht="31.5" customHeight="1" x14ac:dyDescent="0.25">
      <c r="A4" s="210" t="s">
        <v>178</v>
      </c>
      <c r="B4" s="272"/>
      <c r="C4" s="273"/>
      <c r="D4" s="274"/>
      <c r="E4" s="275" t="s">
        <v>179</v>
      </c>
      <c r="F4" s="276"/>
      <c r="G4" s="215"/>
      <c r="H4" s="215"/>
      <c r="I4" s="209"/>
      <c r="J4" s="209"/>
      <c r="K4" s="209"/>
      <c r="L4" s="209"/>
      <c r="M4" s="209"/>
    </row>
    <row r="5" spans="1:13" ht="16.5" customHeight="1" x14ac:dyDescent="0.25">
      <c r="A5" s="212" t="s">
        <v>180</v>
      </c>
      <c r="B5" s="280" t="str">
        <f>_xlfn.XLOOKUP(J1,Tab_Def_Processes[Process_ID],Tab_Def_Processes[Input_Flow_I_1],"No_flow.",0,1)</f>
        <v>No_flow.</v>
      </c>
      <c r="C5" s="280"/>
      <c r="D5" s="281"/>
      <c r="E5" s="212" t="s">
        <v>180</v>
      </c>
      <c r="F5" s="282" t="str">
        <f>_xlfn.XLOOKUP(J1,Tab_Def_Processes[Process_ID],Tab_Def_Processes[Output_Flow_O_1],"No_flow.",0,1)</f>
        <v>No_flow.</v>
      </c>
      <c r="G5" s="282"/>
      <c r="H5" s="283"/>
      <c r="I5" s="213"/>
      <c r="J5" s="208"/>
      <c r="K5" s="208"/>
      <c r="L5" s="208"/>
      <c r="M5" s="205"/>
    </row>
    <row r="6" spans="1:13" ht="16.5" customHeight="1" x14ac:dyDescent="0.25">
      <c r="A6" s="212" t="s">
        <v>181</v>
      </c>
      <c r="B6" s="282" t="str">
        <f>_xlfn.XLOOKUP(J1,Tab_Def_Processes[Process_ID],Tab_Def_Processes[Input_Flow_I_2],"No_flow.",0,1)</f>
        <v>No_flow.</v>
      </c>
      <c r="C6" s="282"/>
      <c r="D6" s="283"/>
      <c r="E6" s="212" t="s">
        <v>181</v>
      </c>
      <c r="F6" s="282" t="str">
        <f>_xlfn.XLOOKUP(J1,Tab_Def_Processes[Process_ID],Tab_Def_Processes[Output_Flow_O_2],"No_flow.",0,1)</f>
        <v>No_flow.</v>
      </c>
      <c r="G6" s="282"/>
      <c r="H6" s="283"/>
      <c r="I6" s="213"/>
      <c r="J6" s="208"/>
      <c r="K6" s="208"/>
      <c r="L6" s="208"/>
      <c r="M6" s="205"/>
    </row>
    <row r="7" spans="1:13" ht="16.5" customHeight="1" x14ac:dyDescent="0.25">
      <c r="A7" s="207" t="s">
        <v>182</v>
      </c>
      <c r="B7" s="282" t="str">
        <f>_xlfn.XLOOKUP(J1,Tab_Def_Processes[Process_ID],Tab_Def_Processes[Input_Flow_I_3],"No_flow.",0,1)</f>
        <v>No_flow.</v>
      </c>
      <c r="C7" s="282"/>
      <c r="D7" s="283"/>
      <c r="E7" s="207" t="s">
        <v>182</v>
      </c>
      <c r="F7" s="282" t="str">
        <f>_xlfn.XLOOKUP(J1,Tab_Def_Processes[Process_ID],Tab_Def_Processes[Output_Flow_O_3],"No_flow.",0,1)</f>
        <v>No_flow.</v>
      </c>
      <c r="G7" s="282"/>
      <c r="H7" s="283"/>
      <c r="I7" s="214"/>
      <c r="J7" s="206"/>
      <c r="K7" s="206"/>
      <c r="L7" s="206"/>
      <c r="M7" s="205"/>
    </row>
    <row r="8" spans="1:13" ht="16.5" customHeight="1" x14ac:dyDescent="0.25">
      <c r="A8" s="207" t="s">
        <v>183</v>
      </c>
      <c r="B8" s="282" t="str">
        <f>_xlfn.XLOOKUP(J1,Tab_Def_Processes[Process_ID],Tab_Def_Processes[Input_Flow_I_4],"No_flow.",0,1)</f>
        <v>No_flow.</v>
      </c>
      <c r="C8" s="282"/>
      <c r="D8" s="283"/>
      <c r="E8" s="207" t="s">
        <v>183</v>
      </c>
      <c r="F8" s="282" t="e">
        <f>_xlfn.XLOOKUP(J1,Tab_Def_Processes[Process_ID],#REF!,"No_flow.",0,1)</f>
        <v>#REF!</v>
      </c>
      <c r="G8" s="282"/>
      <c r="H8" s="283"/>
      <c r="I8" s="214"/>
      <c r="J8" s="206"/>
      <c r="K8" s="206"/>
      <c r="L8" s="206"/>
      <c r="M8" s="205"/>
    </row>
    <row r="9" spans="1:13" ht="16.5" customHeight="1" x14ac:dyDescent="0.25">
      <c r="A9" s="207" t="s">
        <v>184</v>
      </c>
      <c r="B9" s="282" t="str">
        <f>_xlfn.XLOOKUP(J1,Tab_Def_Processes[Process_ID],Tab_Def_Processes[Input_Flow_I_5],"No_flow.",0,1)</f>
        <v>No_flow.</v>
      </c>
      <c r="C9" s="282"/>
      <c r="D9" s="283"/>
      <c r="E9" s="207" t="s">
        <v>184</v>
      </c>
      <c r="F9" s="282" t="e">
        <f>_xlfn.XLOOKUP(J1,Tab_Def_Processes[Process_ID],#REF!,"No_flow.",0,1)</f>
        <v>#REF!</v>
      </c>
      <c r="G9" s="282"/>
      <c r="H9" s="283"/>
      <c r="I9" s="214"/>
      <c r="J9" s="206"/>
      <c r="K9" s="206"/>
      <c r="L9" s="206"/>
      <c r="M9" s="205"/>
    </row>
    <row r="10" spans="1:13" ht="16.5" customHeight="1" thickBot="1" x14ac:dyDescent="0.3">
      <c r="A10" s="216" t="s">
        <v>185</v>
      </c>
      <c r="B10" s="284"/>
      <c r="C10" s="284"/>
      <c r="D10" s="285"/>
      <c r="E10" s="216" t="s">
        <v>185</v>
      </c>
      <c r="F10" s="284"/>
      <c r="G10" s="284"/>
      <c r="H10" s="285"/>
      <c r="I10" s="214"/>
      <c r="J10" s="206"/>
      <c r="K10" s="206"/>
      <c r="L10" s="206"/>
      <c r="M10" s="205"/>
    </row>
    <row r="11" spans="1:13" ht="16.5" thickBot="1" x14ac:dyDescent="0.3">
      <c r="A11" s="266" t="s">
        <v>186</v>
      </c>
      <c r="B11" s="267"/>
      <c r="C11" s="267"/>
      <c r="D11" s="267"/>
      <c r="E11" s="267"/>
      <c r="F11" s="267"/>
      <c r="G11" s="267"/>
      <c r="H11" s="267"/>
      <c r="I11" s="267"/>
      <c r="J11" s="267"/>
      <c r="K11" s="267"/>
      <c r="L11" s="267"/>
      <c r="M11" s="268"/>
    </row>
    <row r="12" spans="1:13" ht="33" customHeight="1" thickBot="1" x14ac:dyDescent="0.3">
      <c r="A12" s="250">
        <v>1000</v>
      </c>
      <c r="B12" s="251" t="s">
        <v>187</v>
      </c>
      <c r="C12" s="204"/>
      <c r="D12" s="204"/>
      <c r="E12" s="204"/>
      <c r="F12" s="204"/>
      <c r="G12" s="204"/>
      <c r="H12" s="204"/>
      <c r="I12" s="204"/>
      <c r="J12" s="204"/>
      <c r="K12" s="204"/>
      <c r="L12" s="204"/>
      <c r="M12" s="203"/>
    </row>
    <row r="13" spans="1:13" ht="16.5" thickBot="1" x14ac:dyDescent="0.3">
      <c r="A13" s="277" t="s">
        <v>188</v>
      </c>
      <c r="B13" s="278"/>
      <c r="C13" s="278"/>
      <c r="D13" s="278"/>
      <c r="E13" s="278"/>
      <c r="F13" s="278"/>
      <c r="G13" s="278"/>
      <c r="H13" s="278"/>
      <c r="I13" s="278"/>
      <c r="J13" s="278"/>
      <c r="K13" s="278"/>
      <c r="L13" s="278"/>
      <c r="M13" s="279"/>
    </row>
    <row r="14" spans="1:13" ht="16.5" thickBot="1" x14ac:dyDescent="0.3">
      <c r="A14" s="164" t="s">
        <v>189</v>
      </c>
      <c r="B14" s="286" t="s">
        <v>190</v>
      </c>
      <c r="C14" s="287"/>
      <c r="D14" s="288"/>
      <c r="E14" s="289" t="s">
        <v>191</v>
      </c>
      <c r="F14" s="290"/>
      <c r="G14" s="290"/>
      <c r="H14" s="291"/>
      <c r="I14" s="292" t="s">
        <v>192</v>
      </c>
      <c r="J14" s="293"/>
      <c r="K14" s="293"/>
      <c r="L14" s="293"/>
      <c r="M14" s="294"/>
    </row>
    <row r="15" spans="1:13" ht="63.75" thickBot="1" x14ac:dyDescent="0.3">
      <c r="A15" s="125"/>
      <c r="B15" s="138" t="s">
        <v>193</v>
      </c>
      <c r="C15" s="191" t="s">
        <v>194</v>
      </c>
      <c r="D15" s="190" t="s">
        <v>195</v>
      </c>
      <c r="E15" s="189" t="s">
        <v>196</v>
      </c>
      <c r="F15" s="137" t="s">
        <v>197</v>
      </c>
      <c r="G15" s="137" t="s">
        <v>198</v>
      </c>
      <c r="H15" s="188" t="s">
        <v>195</v>
      </c>
      <c r="I15" s="187" t="s">
        <v>199</v>
      </c>
      <c r="J15" s="136" t="s">
        <v>200</v>
      </c>
      <c r="K15" s="136" t="s">
        <v>201</v>
      </c>
      <c r="L15" s="136" t="s">
        <v>195</v>
      </c>
      <c r="M15" s="186"/>
    </row>
    <row r="16" spans="1:13" ht="23.25" customHeight="1" x14ac:dyDescent="0.25">
      <c r="A16" s="158" t="str">
        <f t="shared" ref="A16:A21" si="0">B5</f>
        <v>No_flow.</v>
      </c>
      <c r="B16" s="134">
        <v>1000</v>
      </c>
      <c r="C16" s="185">
        <f t="shared" ref="C16:C21" si="1">B16/$B$22</f>
        <v>0.33333333333333331</v>
      </c>
      <c r="D16" s="184" t="s">
        <v>202</v>
      </c>
      <c r="E16" s="183">
        <v>0.5</v>
      </c>
      <c r="F16" s="133">
        <f t="shared" ref="F16:F21" si="2">E16*B16</f>
        <v>500</v>
      </c>
      <c r="G16" s="182">
        <f t="shared" ref="G16:G21" si="3">F16/$F$22</f>
        <v>0.33333333333333331</v>
      </c>
      <c r="H16" s="181" t="s">
        <v>202</v>
      </c>
      <c r="I16" s="180">
        <f>1-E16</f>
        <v>0.5</v>
      </c>
      <c r="J16" s="132">
        <f t="shared" ref="J16:J21" si="4">I16*B16</f>
        <v>500</v>
      </c>
      <c r="K16" s="200">
        <f t="shared" ref="K16:K21" si="5">J16/$J$22</f>
        <v>0.33333333333333331</v>
      </c>
      <c r="L16" s="177" t="s">
        <v>202</v>
      </c>
      <c r="M16" s="177"/>
    </row>
    <row r="17" spans="1:13" ht="23.25" customHeight="1" x14ac:dyDescent="0.25">
      <c r="A17" s="158" t="str">
        <f t="shared" si="0"/>
        <v>No_flow.</v>
      </c>
      <c r="B17" s="134">
        <v>1000</v>
      </c>
      <c r="C17" s="185">
        <f t="shared" si="1"/>
        <v>0.33333333333333331</v>
      </c>
      <c r="D17" s="184" t="s">
        <v>202</v>
      </c>
      <c r="E17" s="183">
        <v>0.5</v>
      </c>
      <c r="F17" s="133">
        <f t="shared" si="2"/>
        <v>500</v>
      </c>
      <c r="G17" s="182">
        <f t="shared" si="3"/>
        <v>0.33333333333333331</v>
      </c>
      <c r="H17" s="181" t="s">
        <v>202</v>
      </c>
      <c r="I17" s="180">
        <f>1-E17</f>
        <v>0.5</v>
      </c>
      <c r="J17" s="132">
        <f t="shared" si="4"/>
        <v>500</v>
      </c>
      <c r="K17" s="200">
        <f t="shared" si="5"/>
        <v>0.33333333333333331</v>
      </c>
      <c r="L17" s="177" t="s">
        <v>202</v>
      </c>
      <c r="M17" s="177"/>
    </row>
    <row r="18" spans="1:13" ht="23.25" customHeight="1" x14ac:dyDescent="0.25">
      <c r="A18" s="158" t="str">
        <f t="shared" si="0"/>
        <v>No_flow.</v>
      </c>
      <c r="B18" s="134">
        <v>1000</v>
      </c>
      <c r="C18" s="185">
        <f t="shared" si="1"/>
        <v>0.33333333333333331</v>
      </c>
      <c r="D18" s="184"/>
      <c r="E18" s="183">
        <v>0.5</v>
      </c>
      <c r="F18" s="133">
        <f t="shared" si="2"/>
        <v>500</v>
      </c>
      <c r="G18" s="182">
        <f t="shared" si="3"/>
        <v>0.33333333333333331</v>
      </c>
      <c r="H18" s="181"/>
      <c r="I18" s="180">
        <f>1-E18</f>
        <v>0.5</v>
      </c>
      <c r="J18" s="132">
        <f t="shared" si="4"/>
        <v>500</v>
      </c>
      <c r="K18" s="200">
        <f t="shared" si="5"/>
        <v>0.33333333333333331</v>
      </c>
      <c r="L18" s="178"/>
      <c r="M18" s="177"/>
    </row>
    <row r="19" spans="1:13" ht="23.25" customHeight="1" x14ac:dyDescent="0.25">
      <c r="A19" s="158" t="str">
        <f t="shared" si="0"/>
        <v>No_flow.</v>
      </c>
      <c r="B19" s="134"/>
      <c r="C19" s="185">
        <f t="shared" si="1"/>
        <v>0</v>
      </c>
      <c r="D19" s="184"/>
      <c r="E19" s="183"/>
      <c r="F19" s="133">
        <f t="shared" si="2"/>
        <v>0</v>
      </c>
      <c r="G19" s="182">
        <f t="shared" si="3"/>
        <v>0</v>
      </c>
      <c r="H19" s="202"/>
      <c r="I19" s="201"/>
      <c r="J19" s="132">
        <f t="shared" si="4"/>
        <v>0</v>
      </c>
      <c r="K19" s="200">
        <f t="shared" si="5"/>
        <v>0</v>
      </c>
      <c r="L19" s="178"/>
      <c r="M19" s="177"/>
    </row>
    <row r="20" spans="1:13" ht="23.25" customHeight="1" x14ac:dyDescent="0.25">
      <c r="A20" s="158" t="str">
        <f t="shared" si="0"/>
        <v>No_flow.</v>
      </c>
      <c r="B20" s="134"/>
      <c r="C20" s="185">
        <f t="shared" si="1"/>
        <v>0</v>
      </c>
      <c r="D20" s="184"/>
      <c r="E20" s="183"/>
      <c r="F20" s="133">
        <f t="shared" si="2"/>
        <v>0</v>
      </c>
      <c r="G20" s="182">
        <f t="shared" si="3"/>
        <v>0</v>
      </c>
      <c r="H20" s="202"/>
      <c r="I20" s="201"/>
      <c r="J20" s="132">
        <f t="shared" si="4"/>
        <v>0</v>
      </c>
      <c r="K20" s="200">
        <f t="shared" si="5"/>
        <v>0</v>
      </c>
      <c r="L20" s="178"/>
      <c r="M20" s="177"/>
    </row>
    <row r="21" spans="1:13" ht="23.25" customHeight="1" thickBot="1" x14ac:dyDescent="0.3">
      <c r="A21" s="158">
        <f t="shared" si="0"/>
        <v>0</v>
      </c>
      <c r="B21" s="134"/>
      <c r="C21" s="185">
        <f t="shared" si="1"/>
        <v>0</v>
      </c>
      <c r="D21" s="184"/>
      <c r="E21" s="183"/>
      <c r="F21" s="133">
        <f t="shared" si="2"/>
        <v>0</v>
      </c>
      <c r="G21" s="182">
        <f t="shared" si="3"/>
        <v>0</v>
      </c>
      <c r="H21" s="202"/>
      <c r="I21" s="201"/>
      <c r="J21" s="132">
        <f t="shared" si="4"/>
        <v>0</v>
      </c>
      <c r="K21" s="200">
        <f t="shared" si="5"/>
        <v>0</v>
      </c>
      <c r="L21" s="178"/>
      <c r="M21" s="177"/>
    </row>
    <row r="22" spans="1:13" ht="16.5" thickBot="1" x14ac:dyDescent="0.3">
      <c r="A22" s="148" t="s">
        <v>203</v>
      </c>
      <c r="B22" s="176">
        <f>SUM(B16:B19)</f>
        <v>3000</v>
      </c>
      <c r="C22" s="199">
        <f>C16+C17+C18</f>
        <v>1</v>
      </c>
      <c r="D22" s="174"/>
      <c r="E22" s="173">
        <f>F22/B22</f>
        <v>0.5</v>
      </c>
      <c r="F22" s="172">
        <f>SUM(F16:F19)</f>
        <v>1500</v>
      </c>
      <c r="G22" s="198">
        <f>SUM(G16:G19)</f>
        <v>1</v>
      </c>
      <c r="H22" s="170"/>
      <c r="I22" s="169">
        <f>J22/B22</f>
        <v>0.5</v>
      </c>
      <c r="J22" s="168">
        <f>J16+J17+J18</f>
        <v>1500</v>
      </c>
      <c r="K22" s="197">
        <f>SUM(K16:K19)</f>
        <v>1</v>
      </c>
      <c r="L22" s="166"/>
      <c r="M22" s="165"/>
    </row>
    <row r="23" spans="1:13" ht="16.5" customHeight="1" thickBot="1" x14ac:dyDescent="0.3">
      <c r="A23" s="226" t="s">
        <v>189</v>
      </c>
      <c r="B23" s="307" t="s">
        <v>204</v>
      </c>
      <c r="C23" s="308"/>
      <c r="D23" s="308"/>
      <c r="E23" s="308"/>
      <c r="F23" s="308"/>
      <c r="G23" s="308"/>
      <c r="H23" s="309"/>
      <c r="I23" s="310" t="s">
        <v>205</v>
      </c>
      <c r="J23" s="311"/>
      <c r="K23" s="311"/>
      <c r="L23" s="311"/>
      <c r="M23" s="312"/>
    </row>
    <row r="24" spans="1:13" ht="63.75" thickBot="1" x14ac:dyDescent="0.3">
      <c r="A24" s="16"/>
      <c r="B24" s="163" t="s">
        <v>206</v>
      </c>
      <c r="C24" s="162" t="s">
        <v>207</v>
      </c>
      <c r="D24" s="162" t="s">
        <v>208</v>
      </c>
      <c r="E24" s="162" t="s">
        <v>209</v>
      </c>
      <c r="F24" s="163" t="s">
        <v>210</v>
      </c>
      <c r="G24" s="162" t="s">
        <v>211</v>
      </c>
      <c r="H24" s="225" t="s">
        <v>212</v>
      </c>
      <c r="I24" s="161" t="s">
        <v>213</v>
      </c>
      <c r="J24" s="160" t="s">
        <v>214</v>
      </c>
      <c r="K24" s="160" t="s">
        <v>215</v>
      </c>
      <c r="L24" s="160" t="s">
        <v>216</v>
      </c>
      <c r="M24" s="159" t="s">
        <v>217</v>
      </c>
    </row>
    <row r="25" spans="1:13" ht="27" customHeight="1" x14ac:dyDescent="0.25">
      <c r="A25" s="158" t="str">
        <f t="shared" ref="A25:A30" si="6">B5</f>
        <v>No_flow.</v>
      </c>
      <c r="B25" s="157">
        <v>0.5</v>
      </c>
      <c r="C25" s="155">
        <f t="shared" ref="C25:C30" si="7">F16*B25</f>
        <v>250</v>
      </c>
      <c r="D25" s="156">
        <f t="shared" ref="D25:D30" si="8">C25/$C$31</f>
        <v>0.33333333333333331</v>
      </c>
      <c r="E25" s="155" t="s">
        <v>202</v>
      </c>
      <c r="F25" s="154">
        <f t="shared" ref="F25:F30" si="9">B25*E16</f>
        <v>0.25</v>
      </c>
      <c r="G25" s="153">
        <f t="shared" ref="G25:G30" si="10">B25*E16*B16</f>
        <v>250</v>
      </c>
      <c r="H25" s="152">
        <f t="shared" ref="H25:H30" si="11">G25/$G$31</f>
        <v>0.33333333333333331</v>
      </c>
      <c r="I25" s="196">
        <f t="shared" ref="I25:I30" si="12">$A$12*C16</f>
        <v>333.33333333333331</v>
      </c>
      <c r="J25" s="195">
        <f t="shared" ref="J25:J30" si="13">I25*E16</f>
        <v>166.66666666666666</v>
      </c>
      <c r="K25" s="195">
        <f t="shared" ref="K25:K30" si="14">I25*I16</f>
        <v>166.66666666666666</v>
      </c>
      <c r="L25" s="195">
        <f t="shared" ref="L25:L30" si="15">SUM(J25:K25)</f>
        <v>333.33333333333331</v>
      </c>
      <c r="M25" s="194">
        <f t="shared" ref="M25:M30" si="16">I25*F25</f>
        <v>83.333333333333329</v>
      </c>
    </row>
    <row r="26" spans="1:13" ht="15.75" x14ac:dyDescent="0.25">
      <c r="A26" s="158" t="str">
        <f t="shared" si="6"/>
        <v>No_flow.</v>
      </c>
      <c r="B26" s="157">
        <v>0.5</v>
      </c>
      <c r="C26" s="155">
        <f t="shared" si="7"/>
        <v>250</v>
      </c>
      <c r="D26" s="156">
        <f t="shared" si="8"/>
        <v>0.33333333333333331</v>
      </c>
      <c r="E26" s="155" t="s">
        <v>202</v>
      </c>
      <c r="F26" s="154">
        <f t="shared" si="9"/>
        <v>0.25</v>
      </c>
      <c r="G26" s="153">
        <f t="shared" si="10"/>
        <v>250</v>
      </c>
      <c r="H26" s="152">
        <f t="shared" si="11"/>
        <v>0.33333333333333331</v>
      </c>
      <c r="I26" s="196">
        <f t="shared" si="12"/>
        <v>333.33333333333331</v>
      </c>
      <c r="J26" s="195">
        <f t="shared" si="13"/>
        <v>166.66666666666666</v>
      </c>
      <c r="K26" s="195">
        <f t="shared" si="14"/>
        <v>166.66666666666666</v>
      </c>
      <c r="L26" s="195">
        <f t="shared" si="15"/>
        <v>333.33333333333331</v>
      </c>
      <c r="M26" s="194">
        <f t="shared" si="16"/>
        <v>83.333333333333329</v>
      </c>
    </row>
    <row r="27" spans="1:13" ht="15.75" x14ac:dyDescent="0.25">
      <c r="A27" s="158" t="str">
        <f t="shared" si="6"/>
        <v>No_flow.</v>
      </c>
      <c r="B27" s="157">
        <v>0.5</v>
      </c>
      <c r="C27" s="155">
        <f t="shared" si="7"/>
        <v>250</v>
      </c>
      <c r="D27" s="156">
        <f t="shared" si="8"/>
        <v>0.33333333333333331</v>
      </c>
      <c r="E27" s="155"/>
      <c r="F27" s="154">
        <f t="shared" si="9"/>
        <v>0.25</v>
      </c>
      <c r="G27" s="153">
        <f t="shared" si="10"/>
        <v>250</v>
      </c>
      <c r="H27" s="152">
        <f t="shared" si="11"/>
        <v>0.33333333333333331</v>
      </c>
      <c r="I27" s="196">
        <f t="shared" si="12"/>
        <v>333.33333333333331</v>
      </c>
      <c r="J27" s="195">
        <f t="shared" si="13"/>
        <v>166.66666666666666</v>
      </c>
      <c r="K27" s="195">
        <f t="shared" si="14"/>
        <v>166.66666666666666</v>
      </c>
      <c r="L27" s="195">
        <f t="shared" si="15"/>
        <v>333.33333333333331</v>
      </c>
      <c r="M27" s="194">
        <f t="shared" si="16"/>
        <v>83.333333333333329</v>
      </c>
    </row>
    <row r="28" spans="1:13" ht="15.75" x14ac:dyDescent="0.25">
      <c r="A28" s="158" t="str">
        <f t="shared" si="6"/>
        <v>No_flow.</v>
      </c>
      <c r="B28" s="157">
        <v>0</v>
      </c>
      <c r="C28" s="155">
        <f t="shared" si="7"/>
        <v>0</v>
      </c>
      <c r="D28" s="156">
        <f t="shared" si="8"/>
        <v>0</v>
      </c>
      <c r="E28" s="155"/>
      <c r="F28" s="154">
        <f t="shared" si="9"/>
        <v>0</v>
      </c>
      <c r="G28" s="153">
        <f t="shared" si="10"/>
        <v>0</v>
      </c>
      <c r="H28" s="152">
        <f t="shared" si="11"/>
        <v>0</v>
      </c>
      <c r="I28" s="196">
        <f t="shared" si="12"/>
        <v>0</v>
      </c>
      <c r="J28" s="195">
        <f t="shared" si="13"/>
        <v>0</v>
      </c>
      <c r="K28" s="195">
        <f t="shared" si="14"/>
        <v>0</v>
      </c>
      <c r="L28" s="195">
        <f t="shared" si="15"/>
        <v>0</v>
      </c>
      <c r="M28" s="194">
        <f t="shared" si="16"/>
        <v>0</v>
      </c>
    </row>
    <row r="29" spans="1:13" ht="15.75" x14ac:dyDescent="0.25">
      <c r="A29" s="158" t="str">
        <f t="shared" si="6"/>
        <v>No_flow.</v>
      </c>
      <c r="B29" s="157">
        <v>0</v>
      </c>
      <c r="C29" s="155">
        <f t="shared" si="7"/>
        <v>0</v>
      </c>
      <c r="D29" s="156">
        <f t="shared" si="8"/>
        <v>0</v>
      </c>
      <c r="E29" s="155"/>
      <c r="F29" s="154">
        <f t="shared" si="9"/>
        <v>0</v>
      </c>
      <c r="G29" s="153">
        <f t="shared" si="10"/>
        <v>0</v>
      </c>
      <c r="H29" s="152">
        <f t="shared" si="11"/>
        <v>0</v>
      </c>
      <c r="I29" s="196">
        <f t="shared" si="12"/>
        <v>0</v>
      </c>
      <c r="J29" s="195">
        <f t="shared" si="13"/>
        <v>0</v>
      </c>
      <c r="K29" s="195">
        <f t="shared" si="14"/>
        <v>0</v>
      </c>
      <c r="L29" s="195">
        <f t="shared" si="15"/>
        <v>0</v>
      </c>
      <c r="M29" s="194">
        <f t="shared" si="16"/>
        <v>0</v>
      </c>
    </row>
    <row r="30" spans="1:13" ht="16.5" thickBot="1" x14ac:dyDescent="0.3">
      <c r="A30" s="158">
        <f t="shared" si="6"/>
        <v>0</v>
      </c>
      <c r="B30" s="157">
        <v>0</v>
      </c>
      <c r="C30" s="155">
        <f t="shared" si="7"/>
        <v>0</v>
      </c>
      <c r="D30" s="156">
        <f t="shared" si="8"/>
        <v>0</v>
      </c>
      <c r="E30" s="155"/>
      <c r="F30" s="154">
        <f t="shared" si="9"/>
        <v>0</v>
      </c>
      <c r="G30" s="153">
        <f t="shared" si="10"/>
        <v>0</v>
      </c>
      <c r="H30" s="152">
        <f t="shared" si="11"/>
        <v>0</v>
      </c>
      <c r="I30" s="196">
        <f t="shared" si="12"/>
        <v>0</v>
      </c>
      <c r="J30" s="195">
        <f t="shared" si="13"/>
        <v>0</v>
      </c>
      <c r="K30" s="195">
        <f t="shared" si="14"/>
        <v>0</v>
      </c>
      <c r="L30" s="195">
        <f t="shared" si="15"/>
        <v>0</v>
      </c>
      <c r="M30" s="194">
        <f t="shared" si="16"/>
        <v>0</v>
      </c>
    </row>
    <row r="31" spans="1:13" ht="16.5" thickBot="1" x14ac:dyDescent="0.3">
      <c r="A31" s="148" t="s">
        <v>203</v>
      </c>
      <c r="B31" s="147">
        <f>C31/F22</f>
        <v>0.5</v>
      </c>
      <c r="C31" s="145">
        <f>SUM(C25:C30)</f>
        <v>750</v>
      </c>
      <c r="D31" s="193">
        <f>SUM(D24:D30)</f>
        <v>1</v>
      </c>
      <c r="E31" s="145"/>
      <c r="F31" s="192">
        <f>G31/B22</f>
        <v>0.25</v>
      </c>
      <c r="G31" s="143">
        <f t="shared" ref="G31:M31" si="17">SUM(G25:G30)</f>
        <v>750</v>
      </c>
      <c r="H31" s="142">
        <f t="shared" si="17"/>
        <v>1</v>
      </c>
      <c r="I31" s="141">
        <f t="shared" si="17"/>
        <v>1000</v>
      </c>
      <c r="J31" s="140">
        <f t="shared" si="17"/>
        <v>500</v>
      </c>
      <c r="K31" s="140">
        <f t="shared" si="17"/>
        <v>500</v>
      </c>
      <c r="L31" s="140">
        <f t="shared" si="17"/>
        <v>1000</v>
      </c>
      <c r="M31" s="139">
        <f t="shared" si="17"/>
        <v>250</v>
      </c>
    </row>
    <row r="32" spans="1:13" ht="16.5" thickBot="1" x14ac:dyDescent="0.3">
      <c r="A32" s="295" t="s">
        <v>218</v>
      </c>
      <c r="B32" s="296"/>
      <c r="C32" s="296"/>
      <c r="D32" s="296"/>
      <c r="E32" s="296"/>
      <c r="F32" s="296"/>
      <c r="G32" s="296"/>
      <c r="H32" s="296"/>
      <c r="I32" s="296"/>
      <c r="J32" s="296"/>
      <c r="K32" s="296"/>
      <c r="L32" s="296"/>
      <c r="M32" s="297"/>
    </row>
    <row r="33" spans="1:13" ht="16.5" customHeight="1" thickBot="1" x14ac:dyDescent="0.3">
      <c r="A33" s="164" t="s">
        <v>189</v>
      </c>
      <c r="B33" s="298" t="s">
        <v>190</v>
      </c>
      <c r="C33" s="299"/>
      <c r="D33" s="300"/>
      <c r="E33" s="301" t="s">
        <v>191</v>
      </c>
      <c r="F33" s="302"/>
      <c r="G33" s="302"/>
      <c r="H33" s="303"/>
      <c r="I33" s="304" t="s">
        <v>192</v>
      </c>
      <c r="J33" s="305"/>
      <c r="K33" s="305"/>
      <c r="L33" s="305"/>
      <c r="M33" s="306"/>
    </row>
    <row r="34" spans="1:13" ht="62.25" customHeight="1" thickBot="1" x14ac:dyDescent="0.3">
      <c r="A34" s="125"/>
      <c r="B34" s="138" t="s">
        <v>193</v>
      </c>
      <c r="C34" s="191" t="s">
        <v>194</v>
      </c>
      <c r="D34" s="190" t="s">
        <v>195</v>
      </c>
      <c r="E34" s="189" t="s">
        <v>196</v>
      </c>
      <c r="F34" s="137" t="s">
        <v>197</v>
      </c>
      <c r="G34" s="137" t="s">
        <v>198</v>
      </c>
      <c r="H34" s="188" t="s">
        <v>195</v>
      </c>
      <c r="I34" s="187" t="s">
        <v>199</v>
      </c>
      <c r="J34" s="136" t="s">
        <v>200</v>
      </c>
      <c r="K34" s="136" t="s">
        <v>201</v>
      </c>
      <c r="L34" s="136" t="s">
        <v>195</v>
      </c>
      <c r="M34" s="186"/>
    </row>
    <row r="35" spans="1:13" ht="15.75" x14ac:dyDescent="0.25">
      <c r="A35" s="158" t="str">
        <f t="shared" ref="A35:A40" si="18">F5</f>
        <v>No_flow.</v>
      </c>
      <c r="B35" s="134">
        <v>1000</v>
      </c>
      <c r="C35" s="185">
        <f t="shared" ref="C35:C40" si="19">B35/$B$41</f>
        <v>0.33333333333333331</v>
      </c>
      <c r="D35" s="184" t="s">
        <v>202</v>
      </c>
      <c r="E35" s="183">
        <v>0.72</v>
      </c>
      <c r="F35" s="133">
        <f t="shared" ref="F35:F40" si="20">E35*B35</f>
        <v>720</v>
      </c>
      <c r="G35" s="182">
        <f t="shared" ref="G35:G40" si="21">F35/$F$41</f>
        <v>0.52941176470588236</v>
      </c>
      <c r="H35" s="181" t="s">
        <v>202</v>
      </c>
      <c r="I35" s="180">
        <f>1-E35</f>
        <v>0.28000000000000003</v>
      </c>
      <c r="J35" s="132">
        <f t="shared" ref="J35:J40" si="22">I35*B35</f>
        <v>280</v>
      </c>
      <c r="K35" s="179">
        <f>J35/$J$41</f>
        <v>0.17073170731707318</v>
      </c>
      <c r="L35" s="178" t="s">
        <v>202</v>
      </c>
      <c r="M35" s="177"/>
    </row>
    <row r="36" spans="1:13" ht="15.75" x14ac:dyDescent="0.25">
      <c r="A36" s="158" t="str">
        <f t="shared" si="18"/>
        <v>No_flow.</v>
      </c>
      <c r="B36" s="134">
        <v>800</v>
      </c>
      <c r="C36" s="185">
        <f t="shared" si="19"/>
        <v>0.26666666666666666</v>
      </c>
      <c r="D36" s="184" t="s">
        <v>202</v>
      </c>
      <c r="E36" s="183">
        <v>0.2</v>
      </c>
      <c r="F36" s="133">
        <f t="shared" si="20"/>
        <v>160</v>
      </c>
      <c r="G36" s="182">
        <f t="shared" si="21"/>
        <v>0.11764705882352941</v>
      </c>
      <c r="H36" s="181" t="s">
        <v>202</v>
      </c>
      <c r="I36" s="180">
        <f>1-E36</f>
        <v>0.8</v>
      </c>
      <c r="J36" s="132">
        <f t="shared" si="22"/>
        <v>640</v>
      </c>
      <c r="K36" s="179">
        <f>J36/$J$41</f>
        <v>0.3902439024390244</v>
      </c>
      <c r="L36" s="178" t="s">
        <v>202</v>
      </c>
      <c r="M36" s="177"/>
    </row>
    <row r="37" spans="1:13" ht="15.75" x14ac:dyDescent="0.25">
      <c r="A37" s="158" t="str">
        <f t="shared" si="18"/>
        <v>No_flow.</v>
      </c>
      <c r="B37" s="134">
        <v>1200</v>
      </c>
      <c r="C37" s="185">
        <f t="shared" si="19"/>
        <v>0.4</v>
      </c>
      <c r="D37" s="184"/>
      <c r="E37" s="183">
        <v>0.4</v>
      </c>
      <c r="F37" s="133">
        <f t="shared" si="20"/>
        <v>480</v>
      </c>
      <c r="G37" s="182">
        <f t="shared" si="21"/>
        <v>0.35294117647058826</v>
      </c>
      <c r="H37" s="181"/>
      <c r="I37" s="180">
        <f>1-E37</f>
        <v>0.6</v>
      </c>
      <c r="J37" s="132">
        <f t="shared" si="22"/>
        <v>720</v>
      </c>
      <c r="K37" s="179">
        <f>J37/$J$41</f>
        <v>0.43902439024390244</v>
      </c>
      <c r="L37" s="178"/>
      <c r="M37" s="177"/>
    </row>
    <row r="38" spans="1:13" ht="15.75" x14ac:dyDescent="0.25">
      <c r="A38" s="158" t="e">
        <f t="shared" si="18"/>
        <v>#REF!</v>
      </c>
      <c r="B38" s="134"/>
      <c r="C38" s="185">
        <f t="shared" si="19"/>
        <v>0</v>
      </c>
      <c r="D38" s="184"/>
      <c r="E38" s="183"/>
      <c r="F38" s="133">
        <f t="shared" si="20"/>
        <v>0</v>
      </c>
      <c r="G38" s="182">
        <f t="shared" si="21"/>
        <v>0</v>
      </c>
      <c r="H38" s="181"/>
      <c r="I38" s="180"/>
      <c r="J38" s="132">
        <f t="shared" si="22"/>
        <v>0</v>
      </c>
      <c r="K38" s="179">
        <f>J38/$J$41</f>
        <v>0</v>
      </c>
      <c r="L38" s="178"/>
      <c r="M38" s="177"/>
    </row>
    <row r="39" spans="1:13" ht="15.75" x14ac:dyDescent="0.25">
      <c r="A39" s="158" t="e">
        <f t="shared" si="18"/>
        <v>#REF!</v>
      </c>
      <c r="B39" s="134"/>
      <c r="C39" s="185">
        <f t="shared" si="19"/>
        <v>0</v>
      </c>
      <c r="D39" s="184"/>
      <c r="E39" s="183"/>
      <c r="F39" s="133">
        <f t="shared" si="20"/>
        <v>0</v>
      </c>
      <c r="G39" s="182">
        <f t="shared" si="21"/>
        <v>0</v>
      </c>
      <c r="H39" s="181"/>
      <c r="I39" s="180"/>
      <c r="J39" s="132">
        <f t="shared" si="22"/>
        <v>0</v>
      </c>
      <c r="K39" s="179">
        <f>J39/$J$41</f>
        <v>0</v>
      </c>
      <c r="L39" s="178"/>
      <c r="M39" s="177"/>
    </row>
    <row r="40" spans="1:13" ht="16.5" thickBot="1" x14ac:dyDescent="0.3">
      <c r="A40" s="158">
        <f t="shared" si="18"/>
        <v>0</v>
      </c>
      <c r="B40" s="134"/>
      <c r="C40" s="185">
        <f t="shared" si="19"/>
        <v>0</v>
      </c>
      <c r="D40" s="184"/>
      <c r="E40" s="183"/>
      <c r="F40" s="133">
        <f t="shared" si="20"/>
        <v>0</v>
      </c>
      <c r="G40" s="182">
        <f t="shared" si="21"/>
        <v>0</v>
      </c>
      <c r="H40" s="181"/>
      <c r="I40" s="180"/>
      <c r="J40" s="132">
        <f t="shared" si="22"/>
        <v>0</v>
      </c>
      <c r="K40" s="179">
        <f>J40/$J$22</f>
        <v>0</v>
      </c>
      <c r="L40" s="178"/>
      <c r="M40" s="177"/>
    </row>
    <row r="41" spans="1:13" ht="16.5" thickBot="1" x14ac:dyDescent="0.3">
      <c r="A41" s="148" t="s">
        <v>203</v>
      </c>
      <c r="B41" s="176">
        <f>SUM(B35:B40)</f>
        <v>3000</v>
      </c>
      <c r="C41" s="175">
        <f>SUM(C35:C40)</f>
        <v>1</v>
      </c>
      <c r="D41" s="174"/>
      <c r="E41" s="173">
        <f>F41/B41</f>
        <v>0.45333333333333331</v>
      </c>
      <c r="F41" s="172">
        <f>SUM(F35:F40)</f>
        <v>1360</v>
      </c>
      <c r="G41" s="171">
        <f>SUM(G35:G40)</f>
        <v>1</v>
      </c>
      <c r="H41" s="170"/>
      <c r="I41" s="169">
        <f>J41/B41</f>
        <v>0.54666666666666663</v>
      </c>
      <c r="J41" s="168">
        <f>SUM(J35:J40)</f>
        <v>1640</v>
      </c>
      <c r="K41" s="167">
        <f>SUM(K35:K40)</f>
        <v>1</v>
      </c>
      <c r="L41" s="166"/>
      <c r="M41" s="165"/>
    </row>
    <row r="42" spans="1:13" ht="16.5" customHeight="1" thickBot="1" x14ac:dyDescent="0.3">
      <c r="A42" s="226" t="s">
        <v>189</v>
      </c>
      <c r="B42" s="307" t="s">
        <v>204</v>
      </c>
      <c r="C42" s="308"/>
      <c r="D42" s="308"/>
      <c r="E42" s="308"/>
      <c r="F42" s="308"/>
      <c r="G42" s="308"/>
      <c r="H42" s="309"/>
      <c r="I42" s="310" t="s">
        <v>205</v>
      </c>
      <c r="J42" s="311"/>
      <c r="K42" s="311"/>
      <c r="L42" s="311"/>
      <c r="M42" s="312"/>
    </row>
    <row r="43" spans="1:13" ht="63.75" thickBot="1" x14ac:dyDescent="0.3">
      <c r="A43" s="16"/>
      <c r="B43" s="163" t="s">
        <v>206</v>
      </c>
      <c r="C43" s="162" t="s">
        <v>207</v>
      </c>
      <c r="D43" s="162" t="s">
        <v>208</v>
      </c>
      <c r="E43" s="162" t="s">
        <v>209</v>
      </c>
      <c r="F43" s="163" t="s">
        <v>210</v>
      </c>
      <c r="G43" s="162" t="s">
        <v>211</v>
      </c>
      <c r="H43" s="225" t="s">
        <v>212</v>
      </c>
      <c r="I43" s="161" t="s">
        <v>213</v>
      </c>
      <c r="J43" s="160" t="s">
        <v>214</v>
      </c>
      <c r="K43" s="160" t="s">
        <v>215</v>
      </c>
      <c r="L43" s="160" t="s">
        <v>216</v>
      </c>
      <c r="M43" s="159" t="s">
        <v>217</v>
      </c>
    </row>
    <row r="44" spans="1:13" ht="15.75" x14ac:dyDescent="0.25">
      <c r="A44" s="158" t="str">
        <f t="shared" ref="A44:A49" si="23">A35</f>
        <v>No_flow.</v>
      </c>
      <c r="B44" s="157">
        <v>0.57999999999999996</v>
      </c>
      <c r="C44" s="155">
        <f t="shared" ref="C44:C49" si="24">F35*B44</f>
        <v>417.59999999999997</v>
      </c>
      <c r="D44" s="156">
        <f t="shared" ref="D44:D49" si="25">C44/$C$50</f>
        <v>0.57236842105263164</v>
      </c>
      <c r="E44" s="155" t="s">
        <v>202</v>
      </c>
      <c r="F44" s="154">
        <f t="shared" ref="F44:F49" si="26">B44*E35</f>
        <v>0.41759999999999997</v>
      </c>
      <c r="G44" s="153">
        <f t="shared" ref="G44:G49" si="27">B44*E35*B35</f>
        <v>417.59999999999997</v>
      </c>
      <c r="H44" s="152">
        <f t="shared" ref="H44:H49" si="28">G44/$G$50</f>
        <v>0.57236842105263153</v>
      </c>
      <c r="I44" s="151">
        <f t="shared" ref="I44:I49" si="29">$A$12*B58</f>
        <v>333.33333333333331</v>
      </c>
      <c r="J44" s="150">
        <f t="shared" ref="J44:J49" si="30">I44*E35</f>
        <v>239.99999999999997</v>
      </c>
      <c r="K44" s="150">
        <f t="shared" ref="K44:K49" si="31">I44*I35</f>
        <v>93.333333333333343</v>
      </c>
      <c r="L44" s="150">
        <f t="shared" ref="L44:L49" si="32">SUM(J44:K44)</f>
        <v>333.33333333333331</v>
      </c>
      <c r="M44" s="149">
        <f t="shared" ref="M44:M49" si="33">I44*F44</f>
        <v>139.19999999999999</v>
      </c>
    </row>
    <row r="45" spans="1:13" ht="15.75" x14ac:dyDescent="0.25">
      <c r="A45" s="158" t="str">
        <f t="shared" si="23"/>
        <v>No_flow.</v>
      </c>
      <c r="B45" s="157">
        <v>0.51</v>
      </c>
      <c r="C45" s="155">
        <f t="shared" si="24"/>
        <v>81.599999999999994</v>
      </c>
      <c r="D45" s="156">
        <f t="shared" si="25"/>
        <v>0.1118421052631579</v>
      </c>
      <c r="E45" s="155" t="s">
        <v>202</v>
      </c>
      <c r="F45" s="154">
        <f t="shared" si="26"/>
        <v>0.10200000000000001</v>
      </c>
      <c r="G45" s="153">
        <f t="shared" si="27"/>
        <v>81.600000000000009</v>
      </c>
      <c r="H45" s="152">
        <f t="shared" si="28"/>
        <v>0.11184210526315791</v>
      </c>
      <c r="I45" s="151">
        <f t="shared" si="29"/>
        <v>266.66666666666669</v>
      </c>
      <c r="J45" s="150">
        <f t="shared" si="30"/>
        <v>53.333333333333343</v>
      </c>
      <c r="K45" s="150">
        <f t="shared" si="31"/>
        <v>213.33333333333337</v>
      </c>
      <c r="L45" s="150">
        <f t="shared" si="32"/>
        <v>266.66666666666674</v>
      </c>
      <c r="M45" s="149">
        <f t="shared" si="33"/>
        <v>27.200000000000003</v>
      </c>
    </row>
    <row r="46" spans="1:13" ht="15.75" x14ac:dyDescent="0.25">
      <c r="A46" s="158" t="str">
        <f t="shared" si="23"/>
        <v>No_flow.</v>
      </c>
      <c r="B46" s="157">
        <v>0.48</v>
      </c>
      <c r="C46" s="155">
        <f t="shared" si="24"/>
        <v>230.39999999999998</v>
      </c>
      <c r="D46" s="156">
        <f t="shared" si="25"/>
        <v>0.31578947368421051</v>
      </c>
      <c r="E46" s="155" t="s">
        <v>202</v>
      </c>
      <c r="F46" s="154">
        <f t="shared" si="26"/>
        <v>0.192</v>
      </c>
      <c r="G46" s="153">
        <f t="shared" si="27"/>
        <v>230.4</v>
      </c>
      <c r="H46" s="152">
        <f t="shared" si="28"/>
        <v>0.31578947368421051</v>
      </c>
      <c r="I46" s="151">
        <f t="shared" si="29"/>
        <v>400</v>
      </c>
      <c r="J46" s="150">
        <f t="shared" si="30"/>
        <v>160</v>
      </c>
      <c r="K46" s="150">
        <f t="shared" si="31"/>
        <v>240</v>
      </c>
      <c r="L46" s="150">
        <f t="shared" si="32"/>
        <v>400</v>
      </c>
      <c r="M46" s="149">
        <f t="shared" si="33"/>
        <v>76.8</v>
      </c>
    </row>
    <row r="47" spans="1:13" ht="15.75" x14ac:dyDescent="0.25">
      <c r="A47" s="158" t="e">
        <f t="shared" si="23"/>
        <v>#REF!</v>
      </c>
      <c r="B47" s="157"/>
      <c r="C47" s="155">
        <f t="shared" si="24"/>
        <v>0</v>
      </c>
      <c r="D47" s="156">
        <f t="shared" si="25"/>
        <v>0</v>
      </c>
      <c r="E47" s="155"/>
      <c r="F47" s="154">
        <f t="shared" si="26"/>
        <v>0</v>
      </c>
      <c r="G47" s="153">
        <f t="shared" si="27"/>
        <v>0</v>
      </c>
      <c r="H47" s="152">
        <f t="shared" si="28"/>
        <v>0</v>
      </c>
      <c r="I47" s="151">
        <f t="shared" si="29"/>
        <v>0</v>
      </c>
      <c r="J47" s="150">
        <f t="shared" si="30"/>
        <v>0</v>
      </c>
      <c r="K47" s="150">
        <f t="shared" si="31"/>
        <v>0</v>
      </c>
      <c r="L47" s="150">
        <f t="shared" si="32"/>
        <v>0</v>
      </c>
      <c r="M47" s="149">
        <f t="shared" si="33"/>
        <v>0</v>
      </c>
    </row>
    <row r="48" spans="1:13" ht="15.75" x14ac:dyDescent="0.25">
      <c r="A48" s="158" t="e">
        <f t="shared" si="23"/>
        <v>#REF!</v>
      </c>
      <c r="B48" s="157"/>
      <c r="C48" s="155">
        <f t="shared" si="24"/>
        <v>0</v>
      </c>
      <c r="D48" s="156">
        <f t="shared" si="25"/>
        <v>0</v>
      </c>
      <c r="E48" s="155"/>
      <c r="F48" s="154">
        <f t="shared" si="26"/>
        <v>0</v>
      </c>
      <c r="G48" s="153">
        <f t="shared" si="27"/>
        <v>0</v>
      </c>
      <c r="H48" s="152">
        <f t="shared" si="28"/>
        <v>0</v>
      </c>
      <c r="I48" s="151">
        <f t="shared" si="29"/>
        <v>0</v>
      </c>
      <c r="J48" s="150">
        <f t="shared" si="30"/>
        <v>0</v>
      </c>
      <c r="K48" s="150">
        <f t="shared" si="31"/>
        <v>0</v>
      </c>
      <c r="L48" s="150">
        <f t="shared" si="32"/>
        <v>0</v>
      </c>
      <c r="M48" s="149">
        <f t="shared" si="33"/>
        <v>0</v>
      </c>
    </row>
    <row r="49" spans="1:13" ht="16.5" thickBot="1" x14ac:dyDescent="0.3">
      <c r="A49" s="158">
        <f t="shared" si="23"/>
        <v>0</v>
      </c>
      <c r="B49" s="157"/>
      <c r="C49" s="155">
        <f t="shared" si="24"/>
        <v>0</v>
      </c>
      <c r="D49" s="156">
        <f t="shared" si="25"/>
        <v>0</v>
      </c>
      <c r="E49" s="155"/>
      <c r="F49" s="154">
        <f t="shared" si="26"/>
        <v>0</v>
      </c>
      <c r="G49" s="153">
        <f t="shared" si="27"/>
        <v>0</v>
      </c>
      <c r="H49" s="152">
        <f t="shared" si="28"/>
        <v>0</v>
      </c>
      <c r="I49" s="151">
        <f t="shared" si="29"/>
        <v>0</v>
      </c>
      <c r="J49" s="150">
        <f t="shared" si="30"/>
        <v>0</v>
      </c>
      <c r="K49" s="150">
        <f t="shared" si="31"/>
        <v>0</v>
      </c>
      <c r="L49" s="150">
        <f t="shared" si="32"/>
        <v>0</v>
      </c>
      <c r="M49" s="149">
        <f t="shared" si="33"/>
        <v>0</v>
      </c>
    </row>
    <row r="50" spans="1:13" ht="16.5" thickBot="1" x14ac:dyDescent="0.3">
      <c r="A50" s="148" t="s">
        <v>203</v>
      </c>
      <c r="B50" s="147">
        <f>C50/F41</f>
        <v>0.53647058823529403</v>
      </c>
      <c r="C50" s="145">
        <f>SUM(C44:C49)</f>
        <v>729.59999999999991</v>
      </c>
      <c r="D50" s="146">
        <f>SUM(D44:D49)</f>
        <v>1</v>
      </c>
      <c r="E50" s="145"/>
      <c r="F50" s="144">
        <f>G50/B41</f>
        <v>0.2432</v>
      </c>
      <c r="G50" s="143">
        <f t="shared" ref="G50:M50" si="34">SUM(G44:G49)</f>
        <v>729.6</v>
      </c>
      <c r="H50" s="142">
        <f t="shared" si="34"/>
        <v>0.99999999999999989</v>
      </c>
      <c r="I50" s="141">
        <f t="shared" si="34"/>
        <v>1000</v>
      </c>
      <c r="J50" s="140">
        <f t="shared" si="34"/>
        <v>453.33333333333331</v>
      </c>
      <c r="K50" s="140">
        <f t="shared" si="34"/>
        <v>546.66666666666674</v>
      </c>
      <c r="L50" s="140">
        <f t="shared" si="34"/>
        <v>1000</v>
      </c>
      <c r="M50" s="139">
        <f t="shared" si="34"/>
        <v>243.2</v>
      </c>
    </row>
    <row r="51" spans="1:13" ht="15.75" thickBot="1" x14ac:dyDescent="0.3">
      <c r="A51" s="313" t="s">
        <v>219</v>
      </c>
      <c r="B51" s="314"/>
      <c r="C51" s="314"/>
      <c r="D51" s="314"/>
      <c r="E51" s="315"/>
      <c r="F51" s="316" t="s">
        <v>220</v>
      </c>
      <c r="G51" s="317"/>
      <c r="H51" s="317"/>
      <c r="I51" s="317"/>
      <c r="J51" s="317"/>
      <c r="K51" s="317"/>
      <c r="L51" s="317"/>
      <c r="M51" s="318"/>
    </row>
    <row r="52" spans="1:13" ht="16.5" thickBot="1" x14ac:dyDescent="0.3">
      <c r="A52" s="11" t="s">
        <v>221</v>
      </c>
      <c r="B52" s="138" t="s">
        <v>222</v>
      </c>
      <c r="C52" s="137" t="s">
        <v>37</v>
      </c>
      <c r="D52" s="136" t="s">
        <v>35</v>
      </c>
      <c r="E52" s="135" t="s">
        <v>223</v>
      </c>
      <c r="F52" s="263"/>
      <c r="G52" s="263"/>
      <c r="H52" s="263"/>
      <c r="I52" s="263"/>
      <c r="J52" s="263"/>
      <c r="K52" s="263"/>
      <c r="L52" s="263"/>
      <c r="M52" s="319"/>
    </row>
    <row r="53" spans="1:13" ht="15.75" x14ac:dyDescent="0.25">
      <c r="A53" s="14" t="s">
        <v>133</v>
      </c>
      <c r="B53" s="134">
        <f>B22</f>
        <v>3000</v>
      </c>
      <c r="C53" s="133">
        <f>F22</f>
        <v>1500</v>
      </c>
      <c r="D53" s="132">
        <f>J22</f>
        <v>1500</v>
      </c>
      <c r="E53" s="131">
        <f>C31</f>
        <v>750</v>
      </c>
      <c r="F53" s="263"/>
      <c r="G53" s="263"/>
      <c r="H53" s="263"/>
      <c r="I53" s="263"/>
      <c r="J53" s="263"/>
      <c r="K53" s="263"/>
      <c r="L53" s="263"/>
      <c r="M53" s="319"/>
    </row>
    <row r="54" spans="1:13" ht="16.5" thickBot="1" x14ac:dyDescent="0.3">
      <c r="A54" s="14" t="s">
        <v>224</v>
      </c>
      <c r="B54" s="134">
        <f>B41</f>
        <v>3000</v>
      </c>
      <c r="C54" s="133">
        <f>F41</f>
        <v>1360</v>
      </c>
      <c r="D54" s="132">
        <f>J41</f>
        <v>1640</v>
      </c>
      <c r="E54" s="131">
        <f>C50</f>
        <v>729.59999999999991</v>
      </c>
      <c r="F54" s="263"/>
      <c r="G54" s="263"/>
      <c r="H54" s="263"/>
      <c r="I54" s="263"/>
      <c r="J54" s="263"/>
      <c r="K54" s="263"/>
      <c r="L54" s="263"/>
      <c r="M54" s="319"/>
    </row>
    <row r="55" spans="1:13" ht="15.75" x14ac:dyDescent="0.25">
      <c r="A55" s="11" t="s">
        <v>225</v>
      </c>
      <c r="B55" s="221">
        <f>B53-B54</f>
        <v>0</v>
      </c>
      <c r="C55" s="222">
        <f>C53-C54</f>
        <v>140</v>
      </c>
      <c r="D55" s="223">
        <f>D53-D54</f>
        <v>-140</v>
      </c>
      <c r="E55" s="224">
        <f>E53-E54</f>
        <v>20.400000000000091</v>
      </c>
      <c r="F55" s="263"/>
      <c r="G55" s="263"/>
      <c r="H55" s="263"/>
      <c r="I55" s="263"/>
      <c r="J55" s="263"/>
      <c r="K55" s="263"/>
      <c r="L55" s="263"/>
      <c r="M55" s="319"/>
    </row>
    <row r="56" spans="1:13" ht="16.5" thickBot="1" x14ac:dyDescent="0.3">
      <c r="A56" s="16" t="s">
        <v>226</v>
      </c>
      <c r="B56" s="130">
        <f>B53/B54</f>
        <v>1</v>
      </c>
      <c r="C56" s="128">
        <f>C53/C54</f>
        <v>1.1029411764705883</v>
      </c>
      <c r="D56" s="127">
        <f>D53/D54</f>
        <v>0.91463414634146345</v>
      </c>
      <c r="E56" s="126">
        <f>E53/E54</f>
        <v>1.0279605263157896</v>
      </c>
      <c r="F56" s="263"/>
      <c r="G56" s="263"/>
      <c r="H56" s="263"/>
      <c r="I56" s="263"/>
      <c r="J56" s="263"/>
      <c r="K56" s="263"/>
      <c r="L56" s="263"/>
      <c r="M56" s="319"/>
    </row>
    <row r="57" spans="1:13" ht="15.75" thickBot="1" x14ac:dyDescent="0.3">
      <c r="A57" s="313" t="s">
        <v>227</v>
      </c>
      <c r="B57" s="314"/>
      <c r="C57" s="314"/>
      <c r="D57" s="314"/>
      <c r="E57" s="315"/>
      <c r="F57" s="263"/>
      <c r="G57" s="263"/>
      <c r="H57" s="263"/>
      <c r="I57" s="263"/>
      <c r="J57" s="263"/>
      <c r="K57" s="263"/>
      <c r="L57" s="263"/>
      <c r="M57" s="319"/>
    </row>
    <row r="58" spans="1:13" ht="16.5" thickBot="1" x14ac:dyDescent="0.3">
      <c r="A58" s="125" t="str">
        <f t="shared" ref="A58:A63" si="35">A44</f>
        <v>No_flow.</v>
      </c>
      <c r="B58" s="124">
        <f t="shared" ref="B58:B63" si="36">(B35*$C$41)/($B$22*$C$22)</f>
        <v>0.33333333333333331</v>
      </c>
      <c r="C58" s="123">
        <f>(E35*B35)/($B$22*$E$22)</f>
        <v>0.48</v>
      </c>
      <c r="D58" s="122">
        <f t="shared" ref="D58:D63" si="37">(I35*B35)/($B$22*$I$22)</f>
        <v>0.18666666666666668</v>
      </c>
      <c r="E58" s="121">
        <f t="shared" ref="E58:E63" si="38">(F44*B35)/($B$22*$F$31)</f>
        <v>0.55679999999999996</v>
      </c>
      <c r="F58" s="263"/>
      <c r="G58" s="263"/>
      <c r="H58" s="263"/>
      <c r="I58" s="263"/>
      <c r="J58" s="263"/>
      <c r="K58" s="263"/>
      <c r="L58" s="263"/>
      <c r="M58" s="319"/>
    </row>
    <row r="59" spans="1:13" ht="16.5" thickBot="1" x14ac:dyDescent="0.3">
      <c r="A59" s="16" t="str">
        <f t="shared" si="35"/>
        <v>No_flow.</v>
      </c>
      <c r="B59" s="129">
        <f t="shared" si="36"/>
        <v>0.26666666666666666</v>
      </c>
      <c r="C59" s="128">
        <f>(E36*B36)/($B$22*$E$22)</f>
        <v>0.10666666666666667</v>
      </c>
      <c r="D59" s="127">
        <f t="shared" si="37"/>
        <v>0.42666666666666669</v>
      </c>
      <c r="E59" s="126">
        <f t="shared" si="38"/>
        <v>0.10880000000000001</v>
      </c>
      <c r="F59" s="263"/>
      <c r="G59" s="263"/>
      <c r="H59" s="263"/>
      <c r="I59" s="263"/>
      <c r="J59" s="263"/>
      <c r="K59" s="263"/>
      <c r="L59" s="263"/>
      <c r="M59" s="319"/>
    </row>
    <row r="60" spans="1:13" ht="16.5" thickBot="1" x14ac:dyDescent="0.3">
      <c r="A60" s="16" t="str">
        <f t="shared" si="35"/>
        <v>No_flow.</v>
      </c>
      <c r="B60" s="129">
        <f t="shared" si="36"/>
        <v>0.4</v>
      </c>
      <c r="C60" s="128">
        <f>(E37*B37)/($B$22*$E$22)</f>
        <v>0.32</v>
      </c>
      <c r="D60" s="127">
        <f t="shared" si="37"/>
        <v>0.48</v>
      </c>
      <c r="E60" s="126">
        <f t="shared" si="38"/>
        <v>0.30720000000000003</v>
      </c>
      <c r="F60" s="263"/>
      <c r="G60" s="263"/>
      <c r="H60" s="263"/>
      <c r="I60" s="263"/>
      <c r="J60" s="263"/>
      <c r="K60" s="263"/>
      <c r="L60" s="263"/>
      <c r="M60" s="319"/>
    </row>
    <row r="61" spans="1:13" ht="16.5" thickBot="1" x14ac:dyDescent="0.3">
      <c r="A61" s="16" t="e">
        <f t="shared" si="35"/>
        <v>#REF!</v>
      </c>
      <c r="B61" s="129">
        <f t="shared" si="36"/>
        <v>0</v>
      </c>
      <c r="C61" s="128">
        <f>($G$41*F38)/($B$22*$E$22)</f>
        <v>0</v>
      </c>
      <c r="D61" s="127">
        <f t="shared" si="37"/>
        <v>0</v>
      </c>
      <c r="E61" s="126">
        <f t="shared" si="38"/>
        <v>0</v>
      </c>
      <c r="F61" s="263"/>
      <c r="G61" s="263"/>
      <c r="H61" s="263"/>
      <c r="I61" s="263"/>
      <c r="J61" s="263"/>
      <c r="K61" s="263"/>
      <c r="L61" s="263"/>
      <c r="M61" s="319"/>
    </row>
    <row r="62" spans="1:13" ht="16.5" thickBot="1" x14ac:dyDescent="0.3">
      <c r="A62" s="16" t="e">
        <f t="shared" si="35"/>
        <v>#REF!</v>
      </c>
      <c r="B62" s="129">
        <f t="shared" si="36"/>
        <v>0</v>
      </c>
      <c r="C62" s="128">
        <f>(B39*E39)/($B$22*$E$22)</f>
        <v>0</v>
      </c>
      <c r="D62" s="127">
        <f t="shared" si="37"/>
        <v>0</v>
      </c>
      <c r="E62" s="126">
        <f t="shared" si="38"/>
        <v>0</v>
      </c>
      <c r="F62" s="263"/>
      <c r="G62" s="263"/>
      <c r="H62" s="263"/>
      <c r="I62" s="263"/>
      <c r="J62" s="263"/>
      <c r="K62" s="263"/>
      <c r="L62" s="263"/>
      <c r="M62" s="319"/>
    </row>
    <row r="63" spans="1:13" ht="16.5" thickBot="1" x14ac:dyDescent="0.3">
      <c r="A63" s="16">
        <f t="shared" si="35"/>
        <v>0</v>
      </c>
      <c r="B63" s="129">
        <f t="shared" si="36"/>
        <v>0</v>
      </c>
      <c r="C63" s="128">
        <f>(B40*E40)/($B$22*$E$22)</f>
        <v>0</v>
      </c>
      <c r="D63" s="127">
        <f t="shared" si="37"/>
        <v>0</v>
      </c>
      <c r="E63" s="126">
        <f t="shared" si="38"/>
        <v>0</v>
      </c>
      <c r="F63" s="263"/>
      <c r="G63" s="263"/>
      <c r="H63" s="263"/>
      <c r="I63" s="263"/>
      <c r="J63" s="263"/>
      <c r="K63" s="263"/>
      <c r="L63" s="263"/>
      <c r="M63" s="319"/>
    </row>
    <row r="64" spans="1:13" ht="16.5" thickBot="1" x14ac:dyDescent="0.3">
      <c r="A64" s="11" t="s">
        <v>203</v>
      </c>
      <c r="B64" s="217">
        <f>SUM(B58:B63)</f>
        <v>1</v>
      </c>
      <c r="C64" s="218">
        <f>SUM(C58:C63)</f>
        <v>0.90666666666666673</v>
      </c>
      <c r="D64" s="219">
        <f>SUM(D58:D63)</f>
        <v>1.0933333333333333</v>
      </c>
      <c r="E64" s="220">
        <f>SUM(E58:E63)</f>
        <v>0.9728</v>
      </c>
      <c r="F64" s="263"/>
      <c r="G64" s="263"/>
      <c r="H64" s="263"/>
      <c r="I64" s="263"/>
      <c r="J64" s="263"/>
      <c r="K64" s="263"/>
      <c r="L64" s="263"/>
      <c r="M64" s="319"/>
    </row>
    <row r="65" spans="1:13" ht="16.5" thickBot="1" x14ac:dyDescent="0.3">
      <c r="A65" s="277" t="s">
        <v>228</v>
      </c>
      <c r="B65" s="278"/>
      <c r="C65" s="278"/>
      <c r="D65" s="278"/>
      <c r="E65" s="278"/>
      <c r="F65" s="278"/>
      <c r="G65" s="278"/>
      <c r="H65" s="278"/>
      <c r="I65" s="278"/>
      <c r="J65" s="278"/>
      <c r="K65" s="278"/>
      <c r="L65" s="278"/>
      <c r="M65" s="279"/>
    </row>
    <row r="66" spans="1:13" x14ac:dyDescent="0.25">
      <c r="A66" s="14" t="s">
        <v>202</v>
      </c>
      <c r="B66" s="320" t="s">
        <v>229</v>
      </c>
      <c r="C66" s="320"/>
      <c r="D66" s="320"/>
      <c r="E66" s="320"/>
      <c r="F66" s="320"/>
      <c r="G66" s="14" t="s">
        <v>230</v>
      </c>
      <c r="M66" s="120"/>
    </row>
    <row r="67" spans="1:13" ht="18.75" customHeight="1" x14ac:dyDescent="0.25">
      <c r="A67" s="14" t="s">
        <v>231</v>
      </c>
      <c r="B67" s="263" t="s">
        <v>45</v>
      </c>
      <c r="C67" s="263"/>
      <c r="D67" s="263"/>
      <c r="E67" s="263"/>
      <c r="F67" s="263"/>
      <c r="G67" s="14" t="s">
        <v>232</v>
      </c>
      <c r="M67" s="120"/>
    </row>
    <row r="68" spans="1:13" x14ac:dyDescent="0.25">
      <c r="A68" s="14" t="s">
        <v>233</v>
      </c>
      <c r="G68" s="14" t="s">
        <v>234</v>
      </c>
      <c r="M68" s="120"/>
    </row>
    <row r="69" spans="1:13" x14ac:dyDescent="0.25">
      <c r="A69" s="14" t="s">
        <v>235</v>
      </c>
      <c r="G69" s="14" t="s">
        <v>236</v>
      </c>
      <c r="M69" s="120"/>
    </row>
    <row r="70" spans="1:13" x14ac:dyDescent="0.25">
      <c r="A70" s="14" t="s">
        <v>237</v>
      </c>
      <c r="G70" s="14" t="s">
        <v>238</v>
      </c>
      <c r="M70" s="120"/>
    </row>
    <row r="71" spans="1:13" x14ac:dyDescent="0.25">
      <c r="A71" s="14" t="s">
        <v>239</v>
      </c>
      <c r="G71" s="14" t="s">
        <v>240</v>
      </c>
      <c r="M71" s="120"/>
    </row>
    <row r="72" spans="1:13" ht="15.75" thickBot="1" x14ac:dyDescent="0.3">
      <c r="A72" s="16" t="s">
        <v>241</v>
      </c>
      <c r="B72" s="119"/>
      <c r="C72" s="119"/>
      <c r="D72" s="119"/>
      <c r="E72" s="119"/>
      <c r="F72" s="119"/>
      <c r="G72" s="16" t="s">
        <v>242</v>
      </c>
      <c r="H72" s="119"/>
      <c r="I72" s="119"/>
      <c r="J72" s="119"/>
      <c r="K72" s="119"/>
      <c r="L72" s="119"/>
      <c r="M72" s="118"/>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'2_1_Definition_Processes'!$C$2:$C$10</xm:f>
          </x14:formula1>
          <xm:sqref>J1:M1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42578125" customWidth="1"/>
    <col min="3" max="3" width="25" customWidth="1"/>
    <col min="4" max="4" width="13" customWidth="1"/>
    <col min="6" max="6" width="31.42578125" customWidth="1"/>
  </cols>
  <sheetData>
    <row r="3" spans="2:8" ht="15.75" thickBot="1" x14ac:dyDescent="0.3"/>
    <row r="4" spans="2:8" x14ac:dyDescent="0.25">
      <c r="B4" s="11" t="s">
        <v>253</v>
      </c>
      <c r="C4" s="12"/>
      <c r="D4" s="13" t="s">
        <v>254</v>
      </c>
      <c r="F4" s="11" t="s">
        <v>255</v>
      </c>
      <c r="G4" s="13" t="s">
        <v>254</v>
      </c>
    </row>
    <row r="5" spans="2:8" x14ac:dyDescent="0.25">
      <c r="B5" s="14" t="s">
        <v>256</v>
      </c>
      <c r="C5" t="s">
        <v>257</v>
      </c>
      <c r="D5" s="15" t="s">
        <v>258</v>
      </c>
      <c r="F5" t="s">
        <v>164</v>
      </c>
      <c r="G5" t="s">
        <v>259</v>
      </c>
      <c r="H5" t="s">
        <v>134</v>
      </c>
    </row>
    <row r="6" spans="2:8" x14ac:dyDescent="0.25">
      <c r="B6" s="14" t="s">
        <v>260</v>
      </c>
      <c r="C6" t="str">
        <f>_xlfn.TRANSLATE(B6,"DE","EN")</f>
        <v>Paper/ cardboard</v>
      </c>
      <c r="D6" s="77">
        <v>0.09</v>
      </c>
      <c r="F6">
        <v>2022</v>
      </c>
      <c r="G6" s="76">
        <v>0.04</v>
      </c>
    </row>
    <row r="7" spans="2:8" x14ac:dyDescent="0.25">
      <c r="B7" s="14" t="s">
        <v>261</v>
      </c>
      <c r="C7" t="str">
        <f t="shared" ref="C7:C18" si="0">_xlfn.TRANSLATE(B7,"DE","EN")</f>
        <v>Glass</v>
      </c>
      <c r="D7" s="77">
        <v>0.06</v>
      </c>
      <c r="F7">
        <v>2021</v>
      </c>
      <c r="G7" s="76">
        <v>0.04</v>
      </c>
    </row>
    <row r="8" spans="2:8" x14ac:dyDescent="0.25">
      <c r="B8" s="14" t="s">
        <v>262</v>
      </c>
      <c r="C8" t="str">
        <f t="shared" si="0"/>
        <v>Synthetics</v>
      </c>
      <c r="D8" s="77">
        <v>7.0000000000000007E-2</v>
      </c>
      <c r="F8">
        <v>2020</v>
      </c>
      <c r="G8" s="76">
        <v>0.04</v>
      </c>
    </row>
    <row r="9" spans="2:8" x14ac:dyDescent="0.25">
      <c r="B9" s="14" t="s">
        <v>263</v>
      </c>
      <c r="C9" t="str">
        <f t="shared" si="0"/>
        <v>Metals</v>
      </c>
      <c r="D9" s="77">
        <v>0.02</v>
      </c>
      <c r="F9">
        <v>2019</v>
      </c>
      <c r="G9" s="76">
        <v>0.04</v>
      </c>
    </row>
    <row r="10" spans="2:8" x14ac:dyDescent="0.25">
      <c r="B10" s="14" t="s">
        <v>264</v>
      </c>
      <c r="C10" t="str">
        <f t="shared" si="0"/>
        <v>Native Organic</v>
      </c>
      <c r="D10" s="77">
        <v>0.38</v>
      </c>
      <c r="F10">
        <v>2018</v>
      </c>
      <c r="G10" s="76">
        <v>0.04</v>
      </c>
    </row>
    <row r="11" spans="2:8" x14ac:dyDescent="0.25">
      <c r="B11" s="14" t="s">
        <v>265</v>
      </c>
      <c r="C11" t="str">
        <f t="shared" si="0"/>
        <v>Other organics</v>
      </c>
      <c r="D11" s="77">
        <v>0.1</v>
      </c>
      <c r="F11">
        <v>2017</v>
      </c>
      <c r="G11" s="76">
        <v>0.04</v>
      </c>
    </row>
    <row r="12" spans="2:8" x14ac:dyDescent="0.25">
      <c r="B12" s="14" t="s">
        <v>266</v>
      </c>
      <c r="C12" t="str">
        <f t="shared" si="0"/>
        <v>Wood</v>
      </c>
      <c r="D12" s="77">
        <v>0.01</v>
      </c>
      <c r="F12">
        <v>2016</v>
      </c>
      <c r="G12" s="76">
        <v>0.04</v>
      </c>
    </row>
    <row r="13" spans="2:8" x14ac:dyDescent="0.25">
      <c r="B13" s="14" t="s">
        <v>267</v>
      </c>
      <c r="C13" t="str">
        <f t="shared" si="0"/>
        <v>Textiles</v>
      </c>
      <c r="D13" s="77">
        <v>0.04</v>
      </c>
      <c r="F13">
        <v>2015</v>
      </c>
      <c r="G13" s="76">
        <v>6.6000000000000003E-2</v>
      </c>
    </row>
    <row r="14" spans="2:8" x14ac:dyDescent="0.25">
      <c r="B14" s="14" t="s">
        <v>268</v>
      </c>
      <c r="C14" t="str">
        <f t="shared" si="0"/>
        <v>Inert</v>
      </c>
      <c r="D14" s="77">
        <v>0.02</v>
      </c>
      <c r="F14">
        <v>2014</v>
      </c>
      <c r="G14" s="76">
        <v>6.6000000000000003E-2</v>
      </c>
    </row>
    <row r="15" spans="2:8" x14ac:dyDescent="0.25">
      <c r="B15" s="14" t="s">
        <v>269</v>
      </c>
      <c r="C15" t="str">
        <f t="shared" si="0"/>
        <v>Composites</v>
      </c>
      <c r="D15" s="77">
        <v>0.06</v>
      </c>
      <c r="F15">
        <v>2013</v>
      </c>
      <c r="G15" s="76">
        <v>8.2000000000000003E-2</v>
      </c>
    </row>
    <row r="16" spans="2:8" x14ac:dyDescent="0.25">
      <c r="B16" s="14" t="s">
        <v>270</v>
      </c>
      <c r="C16" t="str">
        <f t="shared" si="0"/>
        <v>Problematic waste</v>
      </c>
      <c r="D16" s="77">
        <v>0.01</v>
      </c>
      <c r="F16">
        <v>2012</v>
      </c>
      <c r="G16" s="76">
        <v>8.2000000000000003E-2</v>
      </c>
    </row>
    <row r="17" spans="2:8" x14ac:dyDescent="0.25">
      <c r="B17" s="14" t="s">
        <v>271</v>
      </c>
      <c r="C17" t="str">
        <f t="shared" si="0"/>
        <v>Other substances</v>
      </c>
      <c r="D17" s="77">
        <v>0.09</v>
      </c>
      <c r="F17">
        <v>2011</v>
      </c>
      <c r="G17" s="76">
        <v>0.11</v>
      </c>
    </row>
    <row r="18" spans="2:8" x14ac:dyDescent="0.25">
      <c r="B18" s="14" t="s">
        <v>272</v>
      </c>
      <c r="C18" t="str">
        <f t="shared" si="0"/>
        <v>Fine waste &lt;10mm</v>
      </c>
      <c r="D18" s="77">
        <v>0.05</v>
      </c>
      <c r="F18">
        <v>2010</v>
      </c>
      <c r="G18" s="76">
        <v>0.11</v>
      </c>
    </row>
    <row r="19" spans="2:8" ht="15.75" thickBot="1" x14ac:dyDescent="0.3">
      <c r="B19" s="16" t="s">
        <v>273</v>
      </c>
      <c r="C19" s="17"/>
      <c r="D19" s="78">
        <f>SUBTOTAL(109,MSW_comp_2021[Massenanteil])</f>
        <v>1</v>
      </c>
      <c r="F19" t="s">
        <v>274</v>
      </c>
      <c r="G19" s="76" t="s">
        <v>275</v>
      </c>
      <c r="H19" s="1" t="s">
        <v>276</v>
      </c>
    </row>
    <row r="20" spans="2:8" ht="15.75" thickBot="1" x14ac:dyDescent="0.3">
      <c r="B20" s="16" t="s">
        <v>277</v>
      </c>
      <c r="C20" s="17" t="s">
        <v>278</v>
      </c>
      <c r="D20" s="79" t="s">
        <v>276</v>
      </c>
      <c r="E20" t="s">
        <v>279</v>
      </c>
    </row>
    <row r="21" spans="2:8" ht="15.75" thickBot="1" x14ac:dyDescent="0.3"/>
    <row r="22" spans="2:8" x14ac:dyDescent="0.25">
      <c r="B22" s="11" t="s">
        <v>253</v>
      </c>
      <c r="C22" s="12"/>
      <c r="D22" s="13" t="s">
        <v>254</v>
      </c>
    </row>
    <row r="23" spans="2:8" x14ac:dyDescent="0.25">
      <c r="B23" s="14" t="s">
        <v>256</v>
      </c>
      <c r="C23" t="s">
        <v>257</v>
      </c>
      <c r="D23" s="15" t="s">
        <v>258</v>
      </c>
    </row>
    <row r="24" spans="2:8" x14ac:dyDescent="0.25">
      <c r="B24" s="14" t="s">
        <v>260</v>
      </c>
      <c r="C24" t="str">
        <f>_xlfn.TRANSLATE(B24,"DE","EN")</f>
        <v>Paper/ cardboard</v>
      </c>
      <c r="D24" s="77">
        <v>0.09</v>
      </c>
    </row>
    <row r="25" spans="2:8" x14ac:dyDescent="0.25">
      <c r="B25" s="14" t="s">
        <v>261</v>
      </c>
      <c r="C25" t="str">
        <f t="shared" ref="C25:C36" si="1">_xlfn.TRANSLATE(B25,"DE","EN")</f>
        <v>Glass</v>
      </c>
      <c r="D25" s="77">
        <v>0.06</v>
      </c>
    </row>
    <row r="26" spans="2:8" x14ac:dyDescent="0.25">
      <c r="B26" s="14" t="s">
        <v>262</v>
      </c>
      <c r="C26" t="str">
        <f t="shared" si="1"/>
        <v>Synthetics</v>
      </c>
      <c r="D26" s="77">
        <v>7.0000000000000007E-2</v>
      </c>
    </row>
    <row r="27" spans="2:8" x14ac:dyDescent="0.25">
      <c r="B27" s="14" t="s">
        <v>263</v>
      </c>
      <c r="C27" t="str">
        <f t="shared" si="1"/>
        <v>Metals</v>
      </c>
      <c r="D27" s="77">
        <v>0.02</v>
      </c>
    </row>
    <row r="28" spans="2:8" x14ac:dyDescent="0.25">
      <c r="B28" s="14" t="s">
        <v>264</v>
      </c>
      <c r="C28" t="str">
        <f t="shared" si="1"/>
        <v>Native Organic</v>
      </c>
      <c r="D28" s="77">
        <v>0.38</v>
      </c>
    </row>
    <row r="29" spans="2:8" x14ac:dyDescent="0.25">
      <c r="B29" s="14" t="s">
        <v>265</v>
      </c>
      <c r="C29" t="str">
        <f t="shared" si="1"/>
        <v>Other organics</v>
      </c>
      <c r="D29" s="77">
        <v>0.1</v>
      </c>
    </row>
    <row r="30" spans="2:8" x14ac:dyDescent="0.25">
      <c r="B30" s="14" t="s">
        <v>266</v>
      </c>
      <c r="C30" t="str">
        <f t="shared" si="1"/>
        <v>Wood</v>
      </c>
      <c r="D30" s="77">
        <v>0.01</v>
      </c>
    </row>
    <row r="31" spans="2:8" x14ac:dyDescent="0.25">
      <c r="B31" s="14" t="s">
        <v>267</v>
      </c>
      <c r="C31" t="str">
        <f t="shared" si="1"/>
        <v>Textiles</v>
      </c>
      <c r="D31" s="77">
        <v>0.04</v>
      </c>
    </row>
    <row r="32" spans="2:8" x14ac:dyDescent="0.25">
      <c r="B32" s="14" t="s">
        <v>268</v>
      </c>
      <c r="C32" t="str">
        <f t="shared" si="1"/>
        <v>Inert</v>
      </c>
      <c r="D32" s="77">
        <v>0.02</v>
      </c>
    </row>
    <row r="33" spans="2:4" x14ac:dyDescent="0.25">
      <c r="B33" s="14" t="s">
        <v>269</v>
      </c>
      <c r="C33" t="str">
        <f t="shared" si="1"/>
        <v>Composites</v>
      </c>
      <c r="D33" s="77">
        <v>0.06</v>
      </c>
    </row>
    <row r="34" spans="2:4" x14ac:dyDescent="0.25">
      <c r="B34" s="14" t="s">
        <v>270</v>
      </c>
      <c r="C34" t="str">
        <f t="shared" si="1"/>
        <v>Problematic waste</v>
      </c>
      <c r="D34" s="77">
        <v>0.01</v>
      </c>
    </row>
    <row r="35" spans="2:4" x14ac:dyDescent="0.25">
      <c r="B35" s="14" t="s">
        <v>271</v>
      </c>
      <c r="C35" t="str">
        <f t="shared" si="1"/>
        <v>Other substances</v>
      </c>
      <c r="D35" s="77">
        <v>0.09</v>
      </c>
    </row>
    <row r="36" spans="2:4" x14ac:dyDescent="0.25">
      <c r="B36" s="14" t="s">
        <v>272</v>
      </c>
      <c r="C36" t="str">
        <f t="shared" si="1"/>
        <v>Fine waste &lt;10mm</v>
      </c>
      <c r="D36" s="77">
        <v>0.05</v>
      </c>
    </row>
    <row r="37" spans="2:4" ht="15.75" thickBot="1" x14ac:dyDescent="0.3">
      <c r="B37" s="16" t="s">
        <v>273</v>
      </c>
      <c r="C37" s="17"/>
      <c r="D37" s="78">
        <f>SUBTOTAL(109,MSW_comp_202121[Massenanteil])</f>
        <v>1</v>
      </c>
    </row>
    <row r="38" spans="2:4" ht="15.75" thickBot="1" x14ac:dyDescent="0.3">
      <c r="B38" s="16" t="s">
        <v>277</v>
      </c>
      <c r="C38" s="17" t="s">
        <v>280</v>
      </c>
      <c r="D38" s="79" t="s">
        <v>276</v>
      </c>
    </row>
    <row r="39" spans="2:4" ht="15.75" thickBot="1" x14ac:dyDescent="0.3"/>
    <row r="40" spans="2:4" x14ac:dyDescent="0.25">
      <c r="B40" s="11" t="s">
        <v>253</v>
      </c>
      <c r="C40" s="12"/>
      <c r="D40" s="13" t="s">
        <v>281</v>
      </c>
    </row>
    <row r="41" spans="2:4" x14ac:dyDescent="0.25">
      <c r="B41" s="14" t="s">
        <v>256</v>
      </c>
      <c r="C41" t="s">
        <v>257</v>
      </c>
      <c r="D41" s="15" t="s">
        <v>258</v>
      </c>
    </row>
    <row r="42" spans="2:4" x14ac:dyDescent="0.25">
      <c r="B42" s="14" t="s">
        <v>260</v>
      </c>
      <c r="C42" t="str">
        <f>_xlfn.TRANSLATE(B42,"DE","EN")</f>
        <v>Paper/ cardboard</v>
      </c>
      <c r="D42" s="77">
        <v>0.1</v>
      </c>
    </row>
    <row r="43" spans="2:4" x14ac:dyDescent="0.25">
      <c r="B43" s="14" t="s">
        <v>261</v>
      </c>
      <c r="C43" t="str">
        <f t="shared" ref="C43:C53" si="2">_xlfn.TRANSLATE(B43,"DE","EN")</f>
        <v>Glass</v>
      </c>
      <c r="D43" s="77">
        <v>0.06</v>
      </c>
    </row>
    <row r="44" spans="2:4" x14ac:dyDescent="0.25">
      <c r="B44" s="14" t="s">
        <v>262</v>
      </c>
      <c r="C44" t="str">
        <f t="shared" si="2"/>
        <v>Synthetics</v>
      </c>
      <c r="D44" s="77">
        <v>0.08</v>
      </c>
    </row>
    <row r="45" spans="2:4" x14ac:dyDescent="0.25">
      <c r="B45" s="14" t="s">
        <v>263</v>
      </c>
      <c r="C45" t="str">
        <f t="shared" si="2"/>
        <v>Metals</v>
      </c>
      <c r="D45" s="77">
        <v>0.02</v>
      </c>
    </row>
    <row r="46" spans="2:4" x14ac:dyDescent="0.25">
      <c r="B46" s="14" t="s">
        <v>264</v>
      </c>
      <c r="C46" t="str">
        <f t="shared" si="2"/>
        <v>Native Organic</v>
      </c>
      <c r="D46" s="77">
        <v>0.44</v>
      </c>
    </row>
    <row r="47" spans="2:4" x14ac:dyDescent="0.25">
      <c r="B47" s="14" t="s">
        <v>266</v>
      </c>
      <c r="C47" t="str">
        <f t="shared" si="2"/>
        <v>Wood</v>
      </c>
      <c r="D47" s="77">
        <v>0.02</v>
      </c>
    </row>
    <row r="48" spans="2:4" x14ac:dyDescent="0.25">
      <c r="B48" s="14" t="s">
        <v>267</v>
      </c>
      <c r="C48" t="str">
        <f t="shared" si="2"/>
        <v>Textiles</v>
      </c>
      <c r="D48" s="77">
        <v>0.03</v>
      </c>
    </row>
    <row r="49" spans="2:4" x14ac:dyDescent="0.25">
      <c r="B49" s="14" t="s">
        <v>268</v>
      </c>
      <c r="C49" t="str">
        <f t="shared" si="2"/>
        <v>Inert</v>
      </c>
      <c r="D49" s="77">
        <v>0.03</v>
      </c>
    </row>
    <row r="50" spans="2:4" x14ac:dyDescent="0.25">
      <c r="B50" s="14" t="s">
        <v>269</v>
      </c>
      <c r="C50" t="str">
        <f t="shared" si="2"/>
        <v>Composites</v>
      </c>
      <c r="D50" s="77">
        <v>0.05</v>
      </c>
    </row>
    <row r="51" spans="2:4" x14ac:dyDescent="0.25">
      <c r="B51" s="14" t="s">
        <v>270</v>
      </c>
      <c r="C51" t="str">
        <f t="shared" si="2"/>
        <v>Problematic waste</v>
      </c>
      <c r="D51" s="77">
        <v>0</v>
      </c>
    </row>
    <row r="52" spans="2:4" x14ac:dyDescent="0.25">
      <c r="B52" s="14" t="s">
        <v>271</v>
      </c>
      <c r="C52" t="str">
        <f t="shared" si="2"/>
        <v>Other substances</v>
      </c>
      <c r="D52" s="77">
        <v>0.1</v>
      </c>
    </row>
    <row r="53" spans="2:4" x14ac:dyDescent="0.25">
      <c r="B53" s="14" t="s">
        <v>272</v>
      </c>
      <c r="C53" t="str">
        <f t="shared" si="2"/>
        <v>Fine waste &lt;10mm</v>
      </c>
      <c r="D53" s="77">
        <v>7.0000000000000007E-2</v>
      </c>
    </row>
    <row r="54" spans="2:4" ht="15.75" thickBot="1" x14ac:dyDescent="0.3">
      <c r="B54" s="16" t="s">
        <v>273</v>
      </c>
      <c r="C54" s="17"/>
      <c r="D54" s="78">
        <f>SUBTOTAL(109,MSW_comp_20212123[Massenanteil])</f>
        <v>1</v>
      </c>
    </row>
    <row r="55" spans="2:4" ht="15.75" thickBot="1" x14ac:dyDescent="0.3">
      <c r="B55" s="16" t="s">
        <v>277</v>
      </c>
      <c r="C55" s="17" t="s">
        <v>282</v>
      </c>
      <c r="D55" s="79" t="s">
        <v>276</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5703125" customWidth="1"/>
    <col min="2" max="2" width="32.42578125" customWidth="1"/>
    <col min="3" max="3" width="11.42578125" customWidth="1"/>
    <col min="5" max="5" width="15.42578125" customWidth="1"/>
    <col min="6" max="6" width="11.140625" customWidth="1"/>
    <col min="10" max="10" width="12.140625" bestFit="1" customWidth="1"/>
    <col min="11" max="11" width="14.42578125" bestFit="1" customWidth="1"/>
    <col min="13" max="13" width="10.85546875" bestFit="1" customWidth="1"/>
  </cols>
  <sheetData>
    <row r="1" spans="1:13" x14ac:dyDescent="0.25">
      <c r="A1" t="s">
        <v>283</v>
      </c>
    </row>
    <row r="2" spans="1:13" x14ac:dyDescent="0.25">
      <c r="A2" t="s">
        <v>284</v>
      </c>
    </row>
    <row r="4" spans="1:13" x14ac:dyDescent="0.25">
      <c r="A4" t="s">
        <v>279</v>
      </c>
      <c r="B4" t="s">
        <v>285</v>
      </c>
      <c r="C4" t="s">
        <v>286</v>
      </c>
      <c r="D4" t="s">
        <v>287</v>
      </c>
      <c r="E4" t="s">
        <v>288</v>
      </c>
      <c r="F4" t="s">
        <v>289</v>
      </c>
    </row>
    <row r="5" spans="1:13" x14ac:dyDescent="0.25">
      <c r="A5" t="s">
        <v>290</v>
      </c>
      <c r="B5" t="s">
        <v>291</v>
      </c>
      <c r="C5">
        <v>0.48</v>
      </c>
      <c r="D5">
        <v>1</v>
      </c>
      <c r="E5">
        <v>2.0830000000000002</v>
      </c>
      <c r="F5">
        <v>0.48</v>
      </c>
    </row>
    <row r="6" spans="1:13" x14ac:dyDescent="0.25">
      <c r="A6" t="s">
        <v>292</v>
      </c>
      <c r="B6" t="s">
        <v>291</v>
      </c>
      <c r="C6">
        <v>0.52</v>
      </c>
      <c r="D6">
        <v>1</v>
      </c>
      <c r="E6">
        <v>1.923</v>
      </c>
      <c r="F6">
        <v>0.52</v>
      </c>
    </row>
    <row r="7" spans="1:13" x14ac:dyDescent="0.25">
      <c r="A7" t="s">
        <v>293</v>
      </c>
      <c r="B7" t="s">
        <v>291</v>
      </c>
      <c r="C7">
        <v>0.52</v>
      </c>
      <c r="D7">
        <v>1</v>
      </c>
      <c r="E7">
        <v>1.923</v>
      </c>
      <c r="F7">
        <v>0.52</v>
      </c>
    </row>
    <row r="8" spans="1:13" x14ac:dyDescent="0.25">
      <c r="A8" t="s">
        <v>294</v>
      </c>
      <c r="B8" t="s">
        <v>291</v>
      </c>
      <c r="C8">
        <v>0.47</v>
      </c>
      <c r="D8">
        <v>1</v>
      </c>
      <c r="E8">
        <v>2.1280000000000001</v>
      </c>
      <c r="F8">
        <v>0.47</v>
      </c>
      <c r="J8" s="3"/>
    </row>
    <row r="9" spans="1:13" x14ac:dyDescent="0.25">
      <c r="A9" t="s">
        <v>295</v>
      </c>
      <c r="B9" t="s">
        <v>296</v>
      </c>
      <c r="C9">
        <v>0.18</v>
      </c>
      <c r="D9">
        <v>0.33</v>
      </c>
      <c r="E9">
        <v>1.833</v>
      </c>
      <c r="F9">
        <v>0.54500000000000004</v>
      </c>
    </row>
    <row r="10" spans="1:13" x14ac:dyDescent="0.25">
      <c r="A10" t="s">
        <v>297</v>
      </c>
      <c r="B10" t="s">
        <v>298</v>
      </c>
      <c r="C10">
        <v>0.47</v>
      </c>
      <c r="D10">
        <v>1</v>
      </c>
      <c r="E10">
        <v>2.1280000000000001</v>
      </c>
      <c r="F10">
        <v>0.47</v>
      </c>
    </row>
    <row r="11" spans="1:13" x14ac:dyDescent="0.25">
      <c r="A11" t="s">
        <v>299</v>
      </c>
      <c r="B11" t="s">
        <v>300</v>
      </c>
      <c r="C11">
        <v>0.8</v>
      </c>
      <c r="D11">
        <v>1.73</v>
      </c>
      <c r="E11">
        <v>2.1629999999999998</v>
      </c>
      <c r="F11">
        <v>0.46200000000000002</v>
      </c>
      <c r="K11" s="3"/>
      <c r="M11" s="3"/>
    </row>
    <row r="12" spans="1:13" x14ac:dyDescent="0.25">
      <c r="A12" t="s">
        <v>301</v>
      </c>
      <c r="B12" t="s">
        <v>302</v>
      </c>
      <c r="C12">
        <v>1</v>
      </c>
      <c r="D12">
        <v>1.98</v>
      </c>
      <c r="E12">
        <v>1.98</v>
      </c>
      <c r="F12">
        <v>0.505</v>
      </c>
    </row>
    <row r="13" spans="1:13" x14ac:dyDescent="0.25">
      <c r="A13" t="s">
        <v>303</v>
      </c>
      <c r="B13" t="s">
        <v>300</v>
      </c>
      <c r="C13">
        <v>0.9</v>
      </c>
      <c r="D13">
        <v>1.91</v>
      </c>
      <c r="E13">
        <v>2.1280000000000001</v>
      </c>
      <c r="F13">
        <v>0.47</v>
      </c>
    </row>
    <row r="14" spans="1:13" x14ac:dyDescent="0.25">
      <c r="A14" t="s">
        <v>304</v>
      </c>
      <c r="E14">
        <v>2.0369999999999999</v>
      </c>
      <c r="F14">
        <v>0.49199999999999999</v>
      </c>
    </row>
    <row r="17" spans="1:3" x14ac:dyDescent="0.25">
      <c r="A17" t="s">
        <v>305</v>
      </c>
    </row>
    <row r="18" spans="1:3" x14ac:dyDescent="0.25">
      <c r="A18" t="s">
        <v>306</v>
      </c>
    </row>
    <row r="20" spans="1:3" x14ac:dyDescent="0.25">
      <c r="A20" t="s">
        <v>307</v>
      </c>
      <c r="B20" t="s">
        <v>308</v>
      </c>
      <c r="C20" t="s">
        <v>309</v>
      </c>
    </row>
    <row r="21" spans="1:3" x14ac:dyDescent="0.25">
      <c r="A21" t="s">
        <v>310</v>
      </c>
      <c r="B21">
        <v>1.244</v>
      </c>
      <c r="C21">
        <v>2.1629999999999998</v>
      </c>
    </row>
    <row r="22" spans="1:3" x14ac:dyDescent="0.25">
      <c r="A22" t="s">
        <v>294</v>
      </c>
      <c r="B22">
        <v>1.6259999999999999</v>
      </c>
      <c r="C22">
        <v>2.1280000000000001</v>
      </c>
    </row>
    <row r="23" spans="1:3" x14ac:dyDescent="0.25">
      <c r="A23" t="s">
        <v>311</v>
      </c>
      <c r="B23">
        <v>1.208</v>
      </c>
      <c r="C23">
        <v>2.1280000000000001</v>
      </c>
    </row>
    <row r="24" spans="1:3" x14ac:dyDescent="0.25">
      <c r="A24" t="s">
        <v>312</v>
      </c>
      <c r="B24">
        <v>1.5720000000000001</v>
      </c>
      <c r="C24">
        <v>1.923</v>
      </c>
    </row>
    <row r="25" spans="1:3" x14ac:dyDescent="0.25">
      <c r="A25" t="s">
        <v>313</v>
      </c>
      <c r="B25">
        <v>1.7729999999999999</v>
      </c>
      <c r="C25">
        <v>1.923</v>
      </c>
    </row>
    <row r="26" spans="1:3" x14ac:dyDescent="0.25">
      <c r="A26" t="s">
        <v>314</v>
      </c>
      <c r="B26">
        <v>1.927</v>
      </c>
      <c r="C26">
        <v>2.0830000000000002</v>
      </c>
    </row>
    <row r="27" spans="1:3" x14ac:dyDescent="0.25">
      <c r="A27" t="s">
        <v>315</v>
      </c>
      <c r="B27">
        <v>1.111</v>
      </c>
      <c r="C27">
        <v>2.1280000000000001</v>
      </c>
    </row>
    <row r="28" spans="1:3" x14ac:dyDescent="0.25">
      <c r="A28" t="s">
        <v>316</v>
      </c>
      <c r="B28">
        <v>1.8480000000000001</v>
      </c>
      <c r="C28">
        <v>1.98</v>
      </c>
    </row>
    <row r="29" spans="1:3" x14ac:dyDescent="0.25">
      <c r="A29" t="s">
        <v>317</v>
      </c>
      <c r="B29">
        <v>1.1359999999999999</v>
      </c>
      <c r="C29">
        <v>1.923</v>
      </c>
    </row>
    <row r="30" spans="1:3" x14ac:dyDescent="0.25">
      <c r="A30" t="s">
        <v>318</v>
      </c>
      <c r="B30">
        <v>1.099</v>
      </c>
      <c r="C30">
        <v>1.25</v>
      </c>
    </row>
    <row r="31" spans="1:3" x14ac:dyDescent="0.25">
      <c r="A31" t="s">
        <v>319</v>
      </c>
      <c r="B31">
        <v>1.7569999999999999</v>
      </c>
      <c r="C31">
        <v>1.923</v>
      </c>
    </row>
    <row r="34" spans="1:2" x14ac:dyDescent="0.25">
      <c r="A34" t="s">
        <v>320</v>
      </c>
    </row>
    <row r="37" spans="1:2" ht="30" x14ac:dyDescent="0.25">
      <c r="A37" t="s">
        <v>321</v>
      </c>
      <c r="B37" s="2" t="s">
        <v>322</v>
      </c>
    </row>
    <row r="38" spans="1:2" x14ac:dyDescent="0.25">
      <c r="A38" t="s">
        <v>323</v>
      </c>
      <c r="B38">
        <v>1.3</v>
      </c>
    </row>
    <row r="39" spans="1:2" x14ac:dyDescent="0.25">
      <c r="A39" t="s">
        <v>324</v>
      </c>
      <c r="B39">
        <v>1.3</v>
      </c>
    </row>
    <row r="40" spans="1:2" x14ac:dyDescent="0.25">
      <c r="A40" t="s">
        <v>325</v>
      </c>
      <c r="B40">
        <v>1.7</v>
      </c>
    </row>
    <row r="41" spans="1:2" x14ac:dyDescent="0.25">
      <c r="A41" t="s">
        <v>326</v>
      </c>
      <c r="B41">
        <v>0.6</v>
      </c>
    </row>
  </sheetData>
  <pageMargins left="0.7" right="0.7" top="0.78740157499999996" bottom="0.78740157499999996" header="0.3" footer="0.3"/>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327</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D25" sqref="D25"/>
    </sheetView>
  </sheetViews>
  <sheetFormatPr defaultColWidth="10.85546875" defaultRowHeight="15" x14ac:dyDescent="0.25"/>
  <cols>
    <col min="4" max="4" width="13.42578125" customWidth="1"/>
    <col min="7" max="7" width="16.5703125" customWidth="1"/>
    <col min="8" max="8" width="34.140625" customWidth="1"/>
    <col min="12" max="12" width="33.42578125" customWidth="1"/>
  </cols>
  <sheetData>
    <row r="2" spans="2:19" x14ac:dyDescent="0.25">
      <c r="B2" s="321" t="s">
        <v>328</v>
      </c>
      <c r="C2" s="321"/>
      <c r="D2" s="321"/>
      <c r="F2" s="321" t="s">
        <v>88</v>
      </c>
      <c r="G2" s="321"/>
      <c r="H2" s="321"/>
      <c r="J2" s="322" t="s">
        <v>87</v>
      </c>
      <c r="K2" s="322"/>
      <c r="L2" s="322"/>
      <c r="Q2" s="322" t="s">
        <v>87</v>
      </c>
      <c r="R2" s="322"/>
      <c r="S2" s="322"/>
    </row>
    <row r="3" spans="2:19" x14ac:dyDescent="0.25">
      <c r="B3" t="s">
        <v>21</v>
      </c>
      <c r="C3" t="s">
        <v>329</v>
      </c>
      <c r="D3" t="s">
        <v>89</v>
      </c>
      <c r="F3" t="s">
        <v>21</v>
      </c>
      <c r="G3" t="s">
        <v>329</v>
      </c>
      <c r="H3" t="s">
        <v>89</v>
      </c>
      <c r="J3" s="8" t="s">
        <v>21</v>
      </c>
      <c r="K3" s="8" t="s">
        <v>329</v>
      </c>
      <c r="L3" s="8" t="s">
        <v>89</v>
      </c>
      <c r="N3" t="s">
        <v>21</v>
      </c>
      <c r="O3" t="s">
        <v>330</v>
      </c>
      <c r="Q3" s="8" t="s">
        <v>21</v>
      </c>
      <c r="R3" s="8" t="s">
        <v>329</v>
      </c>
      <c r="S3" s="8" t="s">
        <v>89</v>
      </c>
    </row>
    <row r="4" spans="2:19" x14ac:dyDescent="0.25">
      <c r="B4">
        <v>1</v>
      </c>
      <c r="C4" t="s">
        <v>331</v>
      </c>
      <c r="F4">
        <v>1</v>
      </c>
      <c r="G4" t="s">
        <v>105</v>
      </c>
      <c r="H4" t="s">
        <v>105</v>
      </c>
      <c r="J4" s="9">
        <v>1</v>
      </c>
      <c r="K4" s="9" t="s">
        <v>118</v>
      </c>
      <c r="L4" s="9" t="s">
        <v>118</v>
      </c>
      <c r="N4">
        <v>1</v>
      </c>
      <c r="O4" t="s">
        <v>44</v>
      </c>
      <c r="Q4" s="9">
        <v>1</v>
      </c>
      <c r="R4" s="9" t="s">
        <v>118</v>
      </c>
      <c r="S4" s="9" t="s">
        <v>118</v>
      </c>
    </row>
    <row r="5" spans="2:19" x14ac:dyDescent="0.25">
      <c r="B5">
        <v>2</v>
      </c>
      <c r="C5" t="s">
        <v>332</v>
      </c>
      <c r="F5">
        <v>2</v>
      </c>
      <c r="G5" t="s">
        <v>110</v>
      </c>
      <c r="H5" t="s">
        <v>110</v>
      </c>
      <c r="J5">
        <v>2</v>
      </c>
      <c r="K5" t="s">
        <v>104</v>
      </c>
      <c r="L5" t="s">
        <v>104</v>
      </c>
      <c r="N5">
        <v>2</v>
      </c>
      <c r="O5" t="s">
        <v>84</v>
      </c>
      <c r="Q5">
        <v>2</v>
      </c>
      <c r="R5" t="s">
        <v>104</v>
      </c>
      <c r="S5" t="s">
        <v>104</v>
      </c>
    </row>
    <row r="6" spans="2:19" x14ac:dyDescent="0.25">
      <c r="B6">
        <v>3</v>
      </c>
      <c r="F6">
        <v>3</v>
      </c>
      <c r="G6" t="s">
        <v>113</v>
      </c>
      <c r="H6" t="s">
        <v>113</v>
      </c>
      <c r="J6" s="9">
        <v>3</v>
      </c>
      <c r="K6" s="9" t="s">
        <v>333</v>
      </c>
      <c r="L6" s="9" t="s">
        <v>333</v>
      </c>
      <c r="Q6" s="9">
        <v>3</v>
      </c>
      <c r="R6" s="9" t="s">
        <v>333</v>
      </c>
      <c r="S6" s="9" t="s">
        <v>333</v>
      </c>
    </row>
    <row r="7" spans="2:19" x14ac:dyDescent="0.25">
      <c r="B7">
        <v>4</v>
      </c>
      <c r="F7">
        <v>4</v>
      </c>
      <c r="G7" t="s">
        <v>116</v>
      </c>
      <c r="H7" t="s">
        <v>116</v>
      </c>
      <c r="J7">
        <v>4</v>
      </c>
      <c r="K7" t="s">
        <v>109</v>
      </c>
      <c r="L7" t="s">
        <v>109</v>
      </c>
      <c r="Q7">
        <v>4</v>
      </c>
      <c r="R7" t="s">
        <v>109</v>
      </c>
      <c r="S7" t="s">
        <v>109</v>
      </c>
    </row>
    <row r="8" spans="2:19" x14ac:dyDescent="0.25">
      <c r="B8">
        <v>5</v>
      </c>
      <c r="F8">
        <v>5</v>
      </c>
      <c r="J8" s="9">
        <v>5</v>
      </c>
      <c r="K8" s="9" t="s">
        <v>334</v>
      </c>
      <c r="L8" s="9" t="s">
        <v>334</v>
      </c>
      <c r="Q8" s="9">
        <v>5</v>
      </c>
      <c r="R8" s="9" t="s">
        <v>334</v>
      </c>
      <c r="S8" s="9" t="s">
        <v>334</v>
      </c>
    </row>
    <row r="9" spans="2:19" x14ac:dyDescent="0.25">
      <c r="B9">
        <v>6</v>
      </c>
      <c r="C9" t="s">
        <v>335</v>
      </c>
      <c r="F9">
        <v>6</v>
      </c>
      <c r="J9">
        <v>6</v>
      </c>
    </row>
    <row r="10" spans="2:19" x14ac:dyDescent="0.25">
      <c r="B10">
        <v>7</v>
      </c>
      <c r="F10">
        <v>7</v>
      </c>
    </row>
    <row r="11" spans="2:19" x14ac:dyDescent="0.25">
      <c r="B11">
        <v>8</v>
      </c>
      <c r="F11">
        <v>8</v>
      </c>
    </row>
    <row r="14" spans="2:19" x14ac:dyDescent="0.25">
      <c r="B14" s="321" t="s">
        <v>336</v>
      </c>
      <c r="C14" s="321"/>
      <c r="D14" s="321"/>
      <c r="F14" s="321" t="s">
        <v>31</v>
      </c>
      <c r="G14" s="321"/>
      <c r="H14" s="321"/>
    </row>
    <row r="15" spans="2:19" x14ac:dyDescent="0.25">
      <c r="B15" s="62" t="s">
        <v>21</v>
      </c>
      <c r="C15" s="62" t="s">
        <v>329</v>
      </c>
      <c r="D15" s="62" t="s">
        <v>89</v>
      </c>
      <c r="F15" s="62" t="s">
        <v>21</v>
      </c>
      <c r="G15" s="62" t="s">
        <v>329</v>
      </c>
      <c r="H15" s="62" t="s">
        <v>89</v>
      </c>
    </row>
    <row r="16" spans="2:19" x14ac:dyDescent="0.25">
      <c r="B16" s="9">
        <v>1</v>
      </c>
      <c r="C16" s="9" t="s">
        <v>133</v>
      </c>
      <c r="D16" s="9"/>
      <c r="F16" s="9">
        <v>1</v>
      </c>
      <c r="G16" s="9" t="s">
        <v>337</v>
      </c>
      <c r="H16" s="9" t="s">
        <v>338</v>
      </c>
    </row>
    <row r="17" spans="2:8" x14ac:dyDescent="0.25">
      <c r="B17" s="9">
        <v>2</v>
      </c>
      <c r="C17" s="9" t="s">
        <v>224</v>
      </c>
      <c r="D17" s="9"/>
      <c r="F17" s="9">
        <v>2</v>
      </c>
      <c r="G17" s="9" t="s">
        <v>339</v>
      </c>
      <c r="H17" s="9" t="s">
        <v>340</v>
      </c>
    </row>
    <row r="18" spans="2:8" x14ac:dyDescent="0.25">
      <c r="B18">
        <v>3</v>
      </c>
      <c r="C18" t="s">
        <v>106</v>
      </c>
      <c r="F18" s="9">
        <v>3</v>
      </c>
      <c r="G18" s="9" t="s">
        <v>341</v>
      </c>
      <c r="H18" s="9" t="s">
        <v>342</v>
      </c>
    </row>
    <row r="19" spans="2:8" x14ac:dyDescent="0.25">
      <c r="F19" s="9">
        <v>4</v>
      </c>
      <c r="G19" s="9" t="s">
        <v>343</v>
      </c>
      <c r="H19" s="9" t="s">
        <v>344</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345</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42578125" customWidth="1"/>
    <col min="5" max="5" width="19.42578125" customWidth="1"/>
    <col min="6" max="6" width="14.42578125" customWidth="1"/>
    <col min="7" max="7" width="23.140625" customWidth="1"/>
    <col min="8" max="8" width="17.5703125" customWidth="1"/>
    <col min="10" max="10" width="13.42578125" customWidth="1"/>
    <col min="12" max="12" width="13.42578125" customWidth="1"/>
    <col min="14" max="14" width="13.42578125" customWidth="1"/>
    <col min="16" max="16" width="13.42578125" customWidth="1"/>
    <col min="18" max="18" width="22.85546875" customWidth="1"/>
    <col min="19" max="19" width="11.42578125" customWidth="1"/>
    <col min="20" max="20" width="14.5703125" customWidth="1"/>
    <col min="21" max="21" width="11.42578125" customWidth="1"/>
    <col min="22" max="22" width="19.85546875" customWidth="1"/>
    <col min="23" max="23" width="11.42578125" customWidth="1"/>
    <col min="24" max="24" width="14.5703125" customWidth="1"/>
    <col min="25" max="25" width="11.42578125" customWidth="1"/>
    <col min="26" max="26" width="14.5703125" customWidth="1"/>
    <col min="27" max="27" width="11.42578125" customWidth="1"/>
    <col min="28" max="28" width="14.5703125" customWidth="1"/>
    <col min="30" max="30" width="15.42578125" customWidth="1"/>
    <col min="31" max="31" width="24.85546875" customWidth="1"/>
  </cols>
  <sheetData>
    <row r="2" spans="2:32" ht="15.75" thickBot="1" x14ac:dyDescent="0.3">
      <c r="B2" s="321" t="s">
        <v>348</v>
      </c>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row>
    <row r="3" spans="2:32" x14ac:dyDescent="0.25">
      <c r="B3" t="s">
        <v>349</v>
      </c>
      <c r="C3" t="s">
        <v>350</v>
      </c>
      <c r="D3" t="s">
        <v>351</v>
      </c>
      <c r="E3" t="s">
        <v>352</v>
      </c>
      <c r="F3" t="s">
        <v>353</v>
      </c>
      <c r="G3" t="s">
        <v>354</v>
      </c>
      <c r="H3" s="11" t="s">
        <v>355</v>
      </c>
      <c r="I3" s="12" t="s">
        <v>356</v>
      </c>
      <c r="J3" s="12" t="s">
        <v>357</v>
      </c>
      <c r="K3" s="12" t="s">
        <v>358</v>
      </c>
      <c r="L3" s="12" t="s">
        <v>359</v>
      </c>
      <c r="M3" s="12" t="s">
        <v>139</v>
      </c>
      <c r="N3" s="12" t="s">
        <v>360</v>
      </c>
      <c r="O3" s="12" t="s">
        <v>141</v>
      </c>
      <c r="P3" s="12" t="s">
        <v>361</v>
      </c>
      <c r="Q3" s="13" t="s">
        <v>143</v>
      </c>
      <c r="R3" s="12" t="s">
        <v>362</v>
      </c>
      <c r="S3" s="12" t="s">
        <v>363</v>
      </c>
      <c r="T3" s="12" t="s">
        <v>364</v>
      </c>
      <c r="U3" s="12" t="s">
        <v>365</v>
      </c>
      <c r="V3" s="12" t="s">
        <v>366</v>
      </c>
      <c r="W3" s="12" t="s">
        <v>367</v>
      </c>
      <c r="X3" s="12" t="s">
        <v>368</v>
      </c>
      <c r="Y3" s="12" t="s">
        <v>369</v>
      </c>
      <c r="Z3" s="12" t="s">
        <v>370</v>
      </c>
      <c r="AA3" s="12" t="s">
        <v>371</v>
      </c>
      <c r="AB3" s="12" t="s">
        <v>372</v>
      </c>
      <c r="AC3" s="13" t="s">
        <v>373</v>
      </c>
      <c r="AD3" t="s">
        <v>374</v>
      </c>
      <c r="AE3" t="s">
        <v>375</v>
      </c>
      <c r="AF3" t="s">
        <v>164</v>
      </c>
    </row>
    <row r="4" spans="2:32" x14ac:dyDescent="0.25">
      <c r="B4">
        <v>1</v>
      </c>
      <c r="D4" t="s">
        <v>376</v>
      </c>
      <c r="E4" t="s">
        <v>7</v>
      </c>
      <c r="F4" t="s">
        <v>107</v>
      </c>
      <c r="G4" t="s">
        <v>104</v>
      </c>
      <c r="H4" s="14" t="s">
        <v>377</v>
      </c>
      <c r="J4" t="s">
        <v>378</v>
      </c>
      <c r="L4" t="s">
        <v>379</v>
      </c>
      <c r="M4" t="s">
        <v>379</v>
      </c>
      <c r="N4" t="s">
        <v>379</v>
      </c>
      <c r="O4" t="s">
        <v>379</v>
      </c>
      <c r="P4" t="s">
        <v>379</v>
      </c>
      <c r="Q4" s="15" t="s">
        <v>379</v>
      </c>
      <c r="R4" t="s">
        <v>107</v>
      </c>
      <c r="T4" t="s">
        <v>379</v>
      </c>
      <c r="U4" t="s">
        <v>379</v>
      </c>
      <c r="V4" t="s">
        <v>379</v>
      </c>
      <c r="W4" t="s">
        <v>379</v>
      </c>
      <c r="X4" t="s">
        <v>379</v>
      </c>
      <c r="Y4" t="s">
        <v>379</v>
      </c>
      <c r="Z4" t="s">
        <v>379</v>
      </c>
      <c r="AA4" t="s">
        <v>379</v>
      </c>
      <c r="AB4" t="s">
        <v>379</v>
      </c>
      <c r="AC4" s="15" t="s">
        <v>379</v>
      </c>
      <c r="AD4" t="s">
        <v>44</v>
      </c>
      <c r="AE4" t="s">
        <v>84</v>
      </c>
      <c r="AF4">
        <v>2022</v>
      </c>
    </row>
    <row r="5" spans="2:32" x14ac:dyDescent="0.25">
      <c r="B5">
        <v>2</v>
      </c>
      <c r="D5" t="s">
        <v>376</v>
      </c>
      <c r="E5" t="s">
        <v>6</v>
      </c>
      <c r="F5" t="s">
        <v>107</v>
      </c>
      <c r="G5" t="s">
        <v>104</v>
      </c>
      <c r="H5" s="14" t="s">
        <v>377</v>
      </c>
      <c r="J5" t="s">
        <v>378</v>
      </c>
      <c r="L5" t="s">
        <v>379</v>
      </c>
      <c r="M5" t="s">
        <v>379</v>
      </c>
      <c r="N5" t="s">
        <v>379</v>
      </c>
      <c r="O5" t="s">
        <v>379</v>
      </c>
      <c r="P5" t="s">
        <v>379</v>
      </c>
      <c r="Q5" s="15" t="s">
        <v>379</v>
      </c>
      <c r="R5" t="s">
        <v>107</v>
      </c>
      <c r="T5" t="s">
        <v>379</v>
      </c>
      <c r="U5" t="s">
        <v>379</v>
      </c>
      <c r="V5" t="s">
        <v>379</v>
      </c>
      <c r="W5" t="s">
        <v>379</v>
      </c>
      <c r="X5" t="s">
        <v>379</v>
      </c>
      <c r="Y5" t="s">
        <v>379</v>
      </c>
      <c r="Z5" t="s">
        <v>379</v>
      </c>
      <c r="AA5" t="s">
        <v>379</v>
      </c>
      <c r="AB5" t="s">
        <v>379</v>
      </c>
      <c r="AC5" s="15" t="s">
        <v>379</v>
      </c>
      <c r="AD5" t="s">
        <v>44</v>
      </c>
      <c r="AE5" t="s">
        <v>84</v>
      </c>
      <c r="AF5">
        <v>2022</v>
      </c>
    </row>
    <row r="6" spans="2:32" x14ac:dyDescent="0.25">
      <c r="B6">
        <v>3</v>
      </c>
      <c r="D6" t="s">
        <v>376</v>
      </c>
      <c r="E6" t="s">
        <v>7</v>
      </c>
      <c r="F6" t="s">
        <v>107</v>
      </c>
      <c r="G6" t="s">
        <v>104</v>
      </c>
      <c r="H6" s="14" t="s">
        <v>377</v>
      </c>
      <c r="J6" t="s">
        <v>378</v>
      </c>
      <c r="L6" t="s">
        <v>379</v>
      </c>
      <c r="M6" t="s">
        <v>379</v>
      </c>
      <c r="N6" t="s">
        <v>379</v>
      </c>
      <c r="O6" t="s">
        <v>379</v>
      </c>
      <c r="P6" t="s">
        <v>379</v>
      </c>
      <c r="Q6" s="15" t="s">
        <v>379</v>
      </c>
      <c r="R6" t="s">
        <v>107</v>
      </c>
      <c r="T6" t="s">
        <v>379</v>
      </c>
      <c r="U6" t="s">
        <v>379</v>
      </c>
      <c r="V6" t="s">
        <v>379</v>
      </c>
      <c r="W6" t="s">
        <v>379</v>
      </c>
      <c r="X6" t="s">
        <v>379</v>
      </c>
      <c r="Y6" t="s">
        <v>379</v>
      </c>
      <c r="Z6" t="s">
        <v>379</v>
      </c>
      <c r="AA6" t="s">
        <v>379</v>
      </c>
      <c r="AB6" t="s">
        <v>379</v>
      </c>
      <c r="AC6" s="15" t="s">
        <v>379</v>
      </c>
      <c r="AD6" t="s">
        <v>44</v>
      </c>
      <c r="AE6" t="s">
        <v>84</v>
      </c>
      <c r="AF6">
        <v>2012</v>
      </c>
    </row>
    <row r="7" spans="2:32" x14ac:dyDescent="0.25">
      <c r="B7">
        <v>4</v>
      </c>
      <c r="D7" t="s">
        <v>376</v>
      </c>
      <c r="E7" t="s">
        <v>380</v>
      </c>
      <c r="F7" t="s">
        <v>107</v>
      </c>
      <c r="G7" t="s">
        <v>104</v>
      </c>
      <c r="H7" s="14" t="s">
        <v>377</v>
      </c>
      <c r="J7" t="s">
        <v>378</v>
      </c>
      <c r="L7" t="s">
        <v>379</v>
      </c>
      <c r="M7" t="s">
        <v>379</v>
      </c>
      <c r="N7" t="s">
        <v>379</v>
      </c>
      <c r="O7" t="s">
        <v>379</v>
      </c>
      <c r="P7" t="s">
        <v>379</v>
      </c>
      <c r="Q7" s="15" t="s">
        <v>379</v>
      </c>
      <c r="R7" t="s">
        <v>107</v>
      </c>
      <c r="T7" t="s">
        <v>379</v>
      </c>
      <c r="U7" t="s">
        <v>379</v>
      </c>
      <c r="V7" t="s">
        <v>379</v>
      </c>
      <c r="W7" t="s">
        <v>379</v>
      </c>
      <c r="X7" t="s">
        <v>379</v>
      </c>
      <c r="Y7" t="s">
        <v>379</v>
      </c>
      <c r="Z7" t="s">
        <v>379</v>
      </c>
      <c r="AA7" t="s">
        <v>379</v>
      </c>
      <c r="AB7" t="s">
        <v>379</v>
      </c>
      <c r="AC7" s="15" t="s">
        <v>379</v>
      </c>
      <c r="AD7" t="s">
        <v>44</v>
      </c>
      <c r="AE7" t="s">
        <v>84</v>
      </c>
      <c r="AF7">
        <v>2012</v>
      </c>
    </row>
    <row r="8" spans="2:32" x14ac:dyDescent="0.25">
      <c r="B8">
        <v>5</v>
      </c>
      <c r="D8" t="s">
        <v>332</v>
      </c>
      <c r="E8" t="s">
        <v>7</v>
      </c>
      <c r="F8" t="s">
        <v>107</v>
      </c>
      <c r="G8" s="19" t="s">
        <v>381</v>
      </c>
      <c r="H8" s="14" t="s">
        <v>107</v>
      </c>
      <c r="J8" t="s">
        <v>379</v>
      </c>
      <c r="K8" t="s">
        <v>379</v>
      </c>
      <c r="L8" t="s">
        <v>379</v>
      </c>
      <c r="M8" t="s">
        <v>379</v>
      </c>
      <c r="N8" t="s">
        <v>379</v>
      </c>
      <c r="O8" t="s">
        <v>379</v>
      </c>
      <c r="P8" t="s">
        <v>379</v>
      </c>
      <c r="Q8" s="15" t="s">
        <v>379</v>
      </c>
      <c r="R8" t="s">
        <v>382</v>
      </c>
      <c r="T8" t="s">
        <v>383</v>
      </c>
      <c r="V8" t="s">
        <v>384</v>
      </c>
      <c r="X8" t="s">
        <v>378</v>
      </c>
      <c r="Z8" t="s">
        <v>379</v>
      </c>
      <c r="AA8" t="s">
        <v>379</v>
      </c>
      <c r="AB8" t="s">
        <v>379</v>
      </c>
      <c r="AC8" s="15" t="s">
        <v>379</v>
      </c>
      <c r="AD8" t="s">
        <v>84</v>
      </c>
      <c r="AE8" t="s">
        <v>84</v>
      </c>
    </row>
    <row r="9" spans="2:32" x14ac:dyDescent="0.25">
      <c r="B9">
        <v>6</v>
      </c>
      <c r="D9" t="s">
        <v>385</v>
      </c>
      <c r="E9" t="s">
        <v>7</v>
      </c>
      <c r="F9" t="s">
        <v>107</v>
      </c>
      <c r="G9" t="s">
        <v>110</v>
      </c>
      <c r="H9" s="14" t="s">
        <v>386</v>
      </c>
      <c r="J9" t="s">
        <v>379</v>
      </c>
      <c r="K9" t="s">
        <v>379</v>
      </c>
      <c r="L9" t="s">
        <v>379</v>
      </c>
      <c r="M9" t="s">
        <v>379</v>
      </c>
      <c r="N9" t="s">
        <v>379</v>
      </c>
      <c r="O9" t="s">
        <v>379</v>
      </c>
      <c r="P9" t="s">
        <v>379</v>
      </c>
      <c r="Q9" s="15" t="s">
        <v>379</v>
      </c>
      <c r="R9" t="s">
        <v>387</v>
      </c>
      <c r="T9" t="s">
        <v>388</v>
      </c>
      <c r="V9" t="s">
        <v>389</v>
      </c>
      <c r="X9" t="s">
        <v>390</v>
      </c>
      <c r="Z9" t="s">
        <v>391</v>
      </c>
      <c r="AB9" t="s">
        <v>392</v>
      </c>
      <c r="AC9" s="15"/>
      <c r="AD9" t="s">
        <v>84</v>
      </c>
      <c r="AE9" t="s">
        <v>44</v>
      </c>
      <c r="AF9">
        <v>2023</v>
      </c>
    </row>
    <row r="10" spans="2:32" x14ac:dyDescent="0.25">
      <c r="B10">
        <v>7</v>
      </c>
      <c r="D10" t="s">
        <v>393</v>
      </c>
      <c r="E10" t="s">
        <v>7</v>
      </c>
      <c r="F10" t="s">
        <v>107</v>
      </c>
      <c r="G10" t="s">
        <v>110</v>
      </c>
      <c r="H10" s="14" t="s">
        <v>394</v>
      </c>
      <c r="J10" t="s">
        <v>395</v>
      </c>
      <c r="L10" t="s">
        <v>396</v>
      </c>
      <c r="N10" t="s">
        <v>397</v>
      </c>
      <c r="P10" t="s">
        <v>379</v>
      </c>
      <c r="Q10" s="15" t="s">
        <v>379</v>
      </c>
      <c r="R10" t="s">
        <v>398</v>
      </c>
      <c r="T10" t="s">
        <v>399</v>
      </c>
      <c r="V10" t="s">
        <v>392</v>
      </c>
      <c r="X10" t="s">
        <v>379</v>
      </c>
      <c r="Y10" t="s">
        <v>379</v>
      </c>
      <c r="Z10" t="s">
        <v>379</v>
      </c>
      <c r="AA10" t="s">
        <v>379</v>
      </c>
      <c r="AB10" t="s">
        <v>379</v>
      </c>
      <c r="AC10" s="15" t="s">
        <v>379</v>
      </c>
      <c r="AE10" t="s">
        <v>44</v>
      </c>
    </row>
    <row r="11" spans="2:32" x14ac:dyDescent="0.25">
      <c r="D11" t="s">
        <v>400</v>
      </c>
      <c r="E11" t="s">
        <v>7</v>
      </c>
      <c r="F11" t="s">
        <v>107</v>
      </c>
      <c r="G11" t="s">
        <v>110</v>
      </c>
      <c r="H11" s="14" t="s">
        <v>394</v>
      </c>
      <c r="J11" t="s">
        <v>395</v>
      </c>
      <c r="L11" t="s">
        <v>396</v>
      </c>
      <c r="N11" t="s">
        <v>397</v>
      </c>
      <c r="P11" t="s">
        <v>379</v>
      </c>
      <c r="Q11" s="15" t="s">
        <v>379</v>
      </c>
      <c r="R11" s="14"/>
      <c r="AC11" s="15"/>
    </row>
    <row r="12" spans="2:32" x14ac:dyDescent="0.25">
      <c r="B12">
        <v>8</v>
      </c>
      <c r="D12" t="s">
        <v>401</v>
      </c>
      <c r="E12" t="s">
        <v>380</v>
      </c>
      <c r="F12" t="s">
        <v>107</v>
      </c>
      <c r="G12" t="s">
        <v>113</v>
      </c>
      <c r="H12" t="s">
        <v>402</v>
      </c>
      <c r="J12" t="s">
        <v>379</v>
      </c>
      <c r="K12" t="s">
        <v>379</v>
      </c>
      <c r="L12" t="s">
        <v>379</v>
      </c>
      <c r="M12" t="s">
        <v>379</v>
      </c>
      <c r="N12" t="s">
        <v>379</v>
      </c>
      <c r="O12" t="s">
        <v>379</v>
      </c>
      <c r="P12" t="s">
        <v>379</v>
      </c>
      <c r="Q12" s="15" t="s">
        <v>379</v>
      </c>
      <c r="R12" t="s">
        <v>403</v>
      </c>
      <c r="T12" t="s">
        <v>379</v>
      </c>
      <c r="U12" t="s">
        <v>379</v>
      </c>
      <c r="V12" t="s">
        <v>379</v>
      </c>
      <c r="W12" t="s">
        <v>379</v>
      </c>
      <c r="X12" t="s">
        <v>379</v>
      </c>
      <c r="Y12" t="s">
        <v>379</v>
      </c>
      <c r="Z12" t="s">
        <v>379</v>
      </c>
      <c r="AA12" t="s">
        <v>379</v>
      </c>
      <c r="AB12" t="s">
        <v>379</v>
      </c>
      <c r="AC12" t="s">
        <v>379</v>
      </c>
      <c r="AD12" t="s">
        <v>44</v>
      </c>
    </row>
    <row r="13" spans="2:32" x14ac:dyDescent="0.25">
      <c r="B13">
        <v>9</v>
      </c>
      <c r="D13" t="s">
        <v>404</v>
      </c>
      <c r="E13" t="s">
        <v>380</v>
      </c>
      <c r="F13" t="s">
        <v>107</v>
      </c>
      <c r="G13" t="s">
        <v>113</v>
      </c>
      <c r="H13" s="14" t="s">
        <v>405</v>
      </c>
      <c r="J13" t="s">
        <v>379</v>
      </c>
      <c r="K13" t="s">
        <v>379</v>
      </c>
      <c r="L13" t="s">
        <v>379</v>
      </c>
      <c r="M13" t="s">
        <v>379</v>
      </c>
      <c r="N13" t="s">
        <v>379</v>
      </c>
      <c r="O13" t="s">
        <v>379</v>
      </c>
      <c r="P13" t="s">
        <v>379</v>
      </c>
      <c r="Q13" s="15" t="s">
        <v>379</v>
      </c>
      <c r="R13" t="s">
        <v>403</v>
      </c>
      <c r="T13" t="s">
        <v>379</v>
      </c>
      <c r="U13" t="s">
        <v>379</v>
      </c>
      <c r="V13" t="s">
        <v>379</v>
      </c>
      <c r="W13" t="s">
        <v>379</v>
      </c>
      <c r="X13" t="s">
        <v>379</v>
      </c>
      <c r="Y13" t="s">
        <v>379</v>
      </c>
      <c r="Z13" t="s">
        <v>379</v>
      </c>
      <c r="AA13" t="s">
        <v>379</v>
      </c>
      <c r="AB13" t="s">
        <v>379</v>
      </c>
      <c r="AC13" t="s">
        <v>379</v>
      </c>
      <c r="AD13" t="s">
        <v>44</v>
      </c>
    </row>
    <row r="14" spans="2:32" x14ac:dyDescent="0.25">
      <c r="B14">
        <v>10</v>
      </c>
      <c r="D14" t="s">
        <v>406</v>
      </c>
      <c r="E14" t="s">
        <v>6</v>
      </c>
      <c r="F14" t="s">
        <v>107</v>
      </c>
      <c r="G14" s="19" t="s">
        <v>407</v>
      </c>
      <c r="H14" s="14" t="s">
        <v>403</v>
      </c>
      <c r="J14" t="s">
        <v>408</v>
      </c>
      <c r="L14" t="s">
        <v>379</v>
      </c>
      <c r="M14" t="s">
        <v>379</v>
      </c>
      <c r="N14" t="s">
        <v>379</v>
      </c>
      <c r="O14" t="s">
        <v>379</v>
      </c>
      <c r="P14" t="s">
        <v>379</v>
      </c>
      <c r="Q14" s="15" t="s">
        <v>379</v>
      </c>
      <c r="R14" t="s">
        <v>409</v>
      </c>
      <c r="T14" t="s">
        <v>410</v>
      </c>
      <c r="V14" t="s">
        <v>411</v>
      </c>
      <c r="X14" t="s">
        <v>412</v>
      </c>
      <c r="Z14" t="s">
        <v>379</v>
      </c>
      <c r="AA14" t="s">
        <v>379</v>
      </c>
      <c r="AB14" t="s">
        <v>379</v>
      </c>
      <c r="AC14" s="15" t="s">
        <v>379</v>
      </c>
    </row>
    <row r="15" spans="2:32" x14ac:dyDescent="0.25">
      <c r="B15">
        <v>11</v>
      </c>
      <c r="D15" t="s">
        <v>406</v>
      </c>
      <c r="E15" t="s">
        <v>7</v>
      </c>
      <c r="F15" t="s">
        <v>107</v>
      </c>
      <c r="G15" s="19" t="s">
        <v>407</v>
      </c>
      <c r="H15" s="14" t="s">
        <v>403</v>
      </c>
      <c r="J15" t="s">
        <v>408</v>
      </c>
      <c r="L15" t="s">
        <v>379</v>
      </c>
      <c r="M15" t="s">
        <v>379</v>
      </c>
      <c r="N15" t="s">
        <v>379</v>
      </c>
      <c r="O15" t="s">
        <v>379</v>
      </c>
      <c r="P15" t="s">
        <v>379</v>
      </c>
      <c r="Q15" s="15" t="s">
        <v>379</v>
      </c>
      <c r="R15" t="s">
        <v>409</v>
      </c>
      <c r="T15" t="s">
        <v>410</v>
      </c>
      <c r="V15" t="s">
        <v>411</v>
      </c>
      <c r="X15" t="s">
        <v>412</v>
      </c>
      <c r="Z15" t="s">
        <v>379</v>
      </c>
      <c r="AA15" t="s">
        <v>379</v>
      </c>
      <c r="AB15" t="s">
        <v>379</v>
      </c>
      <c r="AC15" s="15" t="s">
        <v>379</v>
      </c>
      <c r="AD15" t="s">
        <v>84</v>
      </c>
      <c r="AE15" t="s">
        <v>44</v>
      </c>
    </row>
    <row r="16" spans="2:32" x14ac:dyDescent="0.25">
      <c r="B16">
        <v>12</v>
      </c>
      <c r="D16" t="s">
        <v>413</v>
      </c>
      <c r="E16" t="s">
        <v>6</v>
      </c>
      <c r="F16" t="s">
        <v>107</v>
      </c>
      <c r="G16" s="19" t="s">
        <v>407</v>
      </c>
      <c r="H16" t="s">
        <v>414</v>
      </c>
      <c r="J16" t="s">
        <v>415</v>
      </c>
      <c r="L16" t="s">
        <v>416</v>
      </c>
      <c r="N16" t="s">
        <v>417</v>
      </c>
      <c r="P16" t="s">
        <v>379</v>
      </c>
      <c r="Q16" s="15" t="s">
        <v>379</v>
      </c>
      <c r="R16" t="s">
        <v>418</v>
      </c>
      <c r="T16" t="s">
        <v>419</v>
      </c>
      <c r="V16" t="s">
        <v>379</v>
      </c>
      <c r="W16" t="s">
        <v>379</v>
      </c>
      <c r="X16" t="s">
        <v>379</v>
      </c>
      <c r="Y16" t="s">
        <v>379</v>
      </c>
      <c r="Z16" t="s">
        <v>379</v>
      </c>
      <c r="AA16" t="s">
        <v>379</v>
      </c>
      <c r="AB16" t="s">
        <v>379</v>
      </c>
      <c r="AC16" s="15" t="s">
        <v>379</v>
      </c>
      <c r="AD16" t="s">
        <v>84</v>
      </c>
      <c r="AE16" t="s">
        <v>44</v>
      </c>
    </row>
    <row r="17" spans="2:31" x14ac:dyDescent="0.25">
      <c r="B17">
        <v>13</v>
      </c>
      <c r="D17" t="s">
        <v>413</v>
      </c>
      <c r="E17" t="s">
        <v>7</v>
      </c>
      <c r="F17" t="s">
        <v>107</v>
      </c>
      <c r="G17" s="19" t="s">
        <v>407</v>
      </c>
      <c r="H17" t="s">
        <v>414</v>
      </c>
      <c r="J17" t="s">
        <v>415</v>
      </c>
      <c r="L17" t="s">
        <v>416</v>
      </c>
      <c r="N17" t="s">
        <v>417</v>
      </c>
      <c r="P17" t="s">
        <v>379</v>
      </c>
      <c r="Q17" s="15" t="s">
        <v>379</v>
      </c>
      <c r="R17" t="s">
        <v>418</v>
      </c>
      <c r="T17" t="s">
        <v>419</v>
      </c>
      <c r="V17" t="s">
        <v>379</v>
      </c>
      <c r="W17" t="s">
        <v>379</v>
      </c>
      <c r="X17" t="s">
        <v>379</v>
      </c>
      <c r="Y17" t="s">
        <v>379</v>
      </c>
      <c r="Z17" t="s">
        <v>379</v>
      </c>
      <c r="AA17" t="s">
        <v>379</v>
      </c>
      <c r="AB17" t="s">
        <v>379</v>
      </c>
      <c r="AC17" s="15" t="s">
        <v>379</v>
      </c>
      <c r="AD17" t="s">
        <v>84</v>
      </c>
      <c r="AE17" t="s">
        <v>44</v>
      </c>
    </row>
    <row r="18" spans="2:31" x14ac:dyDescent="0.25">
      <c r="B18">
        <v>14</v>
      </c>
      <c r="H18" s="14"/>
      <c r="Q18" s="15"/>
      <c r="AC18" s="15"/>
    </row>
    <row r="19" spans="2:31" x14ac:dyDescent="0.25">
      <c r="B19">
        <v>15</v>
      </c>
      <c r="H19" s="14"/>
      <c r="Q19" s="15"/>
      <c r="AC19" s="15"/>
    </row>
    <row r="20" spans="2:31" x14ac:dyDescent="0.25">
      <c r="B20">
        <v>16</v>
      </c>
      <c r="H20" s="14"/>
      <c r="Q20" s="15"/>
      <c r="AC20" s="15"/>
    </row>
    <row r="21" spans="2:31" x14ac:dyDescent="0.25">
      <c r="B21">
        <v>17</v>
      </c>
      <c r="H21" s="14"/>
      <c r="Q21" s="15"/>
      <c r="AC21" s="15"/>
    </row>
    <row r="22" spans="2:31" x14ac:dyDescent="0.25">
      <c r="B22">
        <v>18</v>
      </c>
      <c r="H22" s="14"/>
      <c r="Q22" s="15"/>
      <c r="AC22" s="15"/>
    </row>
    <row r="23" spans="2:31" x14ac:dyDescent="0.25">
      <c r="B23">
        <v>19</v>
      </c>
      <c r="H23" s="14"/>
      <c r="Q23" s="15"/>
      <c r="AC23" s="15"/>
    </row>
    <row r="24" spans="2:31" x14ac:dyDescent="0.25">
      <c r="B24">
        <v>20</v>
      </c>
      <c r="H24" s="14"/>
      <c r="Q24" s="15"/>
      <c r="AC24" s="15"/>
    </row>
    <row r="25" spans="2:31" x14ac:dyDescent="0.25">
      <c r="B25">
        <v>21</v>
      </c>
      <c r="H25" s="14"/>
      <c r="Q25" s="15"/>
      <c r="AC25" s="15"/>
    </row>
    <row r="26" spans="2:31" x14ac:dyDescent="0.25">
      <c r="B26">
        <v>22</v>
      </c>
      <c r="H26" s="14"/>
      <c r="Q26" s="15"/>
      <c r="AC26" s="15"/>
    </row>
    <row r="27" spans="2:31" x14ac:dyDescent="0.25">
      <c r="B27">
        <v>23</v>
      </c>
      <c r="H27" s="14"/>
      <c r="Q27" s="15"/>
      <c r="AC27" s="15"/>
    </row>
    <row r="28" spans="2:31" x14ac:dyDescent="0.25">
      <c r="B28">
        <v>24</v>
      </c>
      <c r="H28" s="14"/>
      <c r="Q28" s="15"/>
      <c r="AC28" s="15"/>
    </row>
    <row r="29" spans="2:31" x14ac:dyDescent="0.25">
      <c r="B29">
        <v>25</v>
      </c>
      <c r="H29" s="14"/>
      <c r="Q29" s="15"/>
      <c r="AC29" s="15"/>
    </row>
    <row r="30" spans="2:31" x14ac:dyDescent="0.25">
      <c r="B30">
        <v>26</v>
      </c>
      <c r="H30" s="14"/>
      <c r="Q30" s="15"/>
      <c r="AC30" s="15"/>
    </row>
    <row r="31" spans="2:31" x14ac:dyDescent="0.25">
      <c r="B31">
        <v>27</v>
      </c>
      <c r="H31" s="14"/>
      <c r="Q31" s="15"/>
      <c r="AC31" s="15"/>
    </row>
    <row r="32" spans="2:31" x14ac:dyDescent="0.25">
      <c r="B32">
        <v>28</v>
      </c>
      <c r="H32" s="14"/>
      <c r="Q32" s="15"/>
      <c r="AC32" s="15"/>
    </row>
    <row r="33" spans="2:29" x14ac:dyDescent="0.25">
      <c r="B33">
        <v>29</v>
      </c>
      <c r="H33" s="14"/>
      <c r="Q33" s="15"/>
      <c r="AC33" s="15"/>
    </row>
    <row r="34" spans="2:29" x14ac:dyDescent="0.25">
      <c r="B34">
        <v>30</v>
      </c>
      <c r="H34" s="14"/>
      <c r="Q34" s="15"/>
      <c r="AC34" s="15"/>
    </row>
    <row r="35" spans="2:29" x14ac:dyDescent="0.25">
      <c r="H35" s="14"/>
      <c r="Q35" s="15"/>
      <c r="AC35" s="15"/>
    </row>
    <row r="36" spans="2:29" x14ac:dyDescent="0.25">
      <c r="H36" s="14"/>
      <c r="Q36" s="15"/>
      <c r="AC36" s="15"/>
    </row>
    <row r="37" spans="2:29" x14ac:dyDescent="0.25">
      <c r="H37" s="14"/>
      <c r="Q37" s="15"/>
      <c r="AC37" s="15"/>
    </row>
    <row r="38" spans="2:29" x14ac:dyDescent="0.25">
      <c r="H38" s="14"/>
      <c r="Q38" s="15"/>
      <c r="AC38" s="15"/>
    </row>
    <row r="39" spans="2:29" x14ac:dyDescent="0.25">
      <c r="H39" s="14"/>
      <c r="Q39" s="15"/>
      <c r="AC39" s="15"/>
    </row>
    <row r="40" spans="2:29" x14ac:dyDescent="0.25">
      <c r="H40" s="14"/>
      <c r="Q40" s="15"/>
      <c r="AC40" s="15"/>
    </row>
    <row r="41" spans="2:29" x14ac:dyDescent="0.25">
      <c r="H41" s="14"/>
      <c r="Q41" s="15"/>
      <c r="AC41" s="15"/>
    </row>
    <row r="42" spans="2:29" x14ac:dyDescent="0.25">
      <c r="H42" s="14"/>
      <c r="Q42" s="15"/>
      <c r="AC42" s="15"/>
    </row>
    <row r="43" spans="2:29" x14ac:dyDescent="0.25">
      <c r="H43" s="14"/>
      <c r="Q43" s="15"/>
      <c r="AC43" s="15"/>
    </row>
    <row r="44" spans="2:29" x14ac:dyDescent="0.25">
      <c r="H44" s="14"/>
      <c r="Q44" s="15"/>
      <c r="AC44" s="15"/>
    </row>
    <row r="45" spans="2:29" x14ac:dyDescent="0.25">
      <c r="H45" s="14"/>
      <c r="Q45" s="15"/>
      <c r="AC45" s="15"/>
    </row>
    <row r="46" spans="2:29" x14ac:dyDescent="0.25">
      <c r="H46" s="14"/>
      <c r="Q46" s="15"/>
      <c r="AC46" s="15"/>
    </row>
    <row r="47" spans="2:29" ht="15.75" thickBot="1" x14ac:dyDescent="0.3">
      <c r="H47" s="16"/>
      <c r="I47" s="17"/>
      <c r="J47" s="17"/>
      <c r="K47" s="17"/>
      <c r="L47" s="17"/>
      <c r="M47" s="17"/>
      <c r="N47" s="17"/>
      <c r="O47" s="17"/>
      <c r="P47" s="17"/>
      <c r="Q47" s="18"/>
      <c r="R47" s="17"/>
      <c r="S47" s="17"/>
      <c r="T47" s="17"/>
      <c r="U47" s="17"/>
      <c r="V47" s="17"/>
      <c r="W47" s="17"/>
      <c r="X47" s="17"/>
      <c r="Y47" s="17"/>
      <c r="Z47" s="17"/>
      <c r="AA47" s="17"/>
      <c r="AB47" s="17"/>
      <c r="AC47" s="18"/>
    </row>
  </sheetData>
  <mergeCells count="1">
    <mergeCell ref="B2:AF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 customWidth="1"/>
    <col min="6" max="6" width="15.140625" customWidth="1"/>
    <col min="7" max="7" width="15.5703125" customWidth="1"/>
    <col min="8" max="8" width="14.42578125" customWidth="1"/>
    <col min="10" max="10" width="15.5703125" customWidth="1"/>
    <col min="13" max="13" width="15.425781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7" t="s">
        <v>20</v>
      </c>
      <c r="B1" s="21" t="s">
        <v>349</v>
      </c>
      <c r="C1" s="21" t="s">
        <v>22</v>
      </c>
      <c r="D1" s="91" t="s">
        <v>23</v>
      </c>
      <c r="E1" s="21" t="s">
        <v>25</v>
      </c>
      <c r="F1" s="8" t="s">
        <v>27</v>
      </c>
      <c r="G1" s="8" t="s">
        <v>28</v>
      </c>
      <c r="H1" s="8" t="s">
        <v>29</v>
      </c>
      <c r="I1" s="8" t="s">
        <v>30</v>
      </c>
      <c r="J1" s="62" t="s">
        <v>420</v>
      </c>
      <c r="K1" s="20" t="s">
        <v>32</v>
      </c>
      <c r="L1" s="21" t="s">
        <v>33</v>
      </c>
      <c r="M1" s="22" t="s">
        <v>34</v>
      </c>
      <c r="N1" s="20" t="s">
        <v>73</v>
      </c>
      <c r="O1" s="22" t="s">
        <v>36</v>
      </c>
      <c r="P1" s="20" t="s">
        <v>76</v>
      </c>
      <c r="Q1" s="22" t="s">
        <v>38</v>
      </c>
      <c r="R1" s="20" t="s">
        <v>79</v>
      </c>
      <c r="S1" s="22" t="s">
        <v>421</v>
      </c>
    </row>
    <row r="2" spans="1:19" x14ac:dyDescent="0.25">
      <c r="A2" s="84" t="b">
        <v>0</v>
      </c>
      <c r="B2" s="48">
        <f>ROW()-1</f>
        <v>1</v>
      </c>
      <c r="C2" s="48" t="e">
        <f>_xlfn.XLOOKUP(D2,Tab_Def_Flows[Name(EN)],Tab_Def_Flows[Flow_ID],,0,)</f>
        <v>#N/A</v>
      </c>
      <c r="D2" s="50" t="s">
        <v>422</v>
      </c>
      <c r="E2" s="48" t="e">
        <f>_xlfn.XLOOKUP(D2,Tab_Def_Flows[Name(EN)],Tab_Def_Flows[Type_Biomass],,0,)</f>
        <v>#N/A</v>
      </c>
      <c r="F2" s="48" t="e">
        <f>_xlfn.XLOOKUP(D2,Tab_Def_Flows[Name(EN)],Tab_Def_Flows[Output_Process],,0,)</f>
        <v>#N/A</v>
      </c>
      <c r="G2" s="48" t="e">
        <f>_xlfn.XLOOKUP(D2,Tab_Def_Flows[Name(EN)],Tab_Def_Flows[Process_ID_O],,0,)</f>
        <v>#N/A</v>
      </c>
      <c r="H2" s="48" t="e">
        <f>_xlfn.XLOOKUP(D2,Tab_Def_Flows[Name(EN)],Tab_Def_Flows[Input_Process],,0,)</f>
        <v>#N/A</v>
      </c>
      <c r="I2" s="58" t="e">
        <f>_xlfn.XLOOKUP(D2,Tab_Def_Flows[Name(EN)],Tab_Def_Flows[Process_ID_I],,0,)</f>
        <v>#N/A</v>
      </c>
      <c r="J2" s="58" t="e">
        <f>_xlfn.XLOOKUP(D2,Tab_Def_Flows[Name(EN)],Tab_Def_Flows[Value_Source],,0,)</f>
        <v>#N/A</v>
      </c>
      <c r="K2" s="58" t="e">
        <f>_xlfn.XLOOKUP(D2,Tab_Def_Flows[Name(EN)],Tab_Def_Flows[WC?],,0,)</f>
        <v>#N/A</v>
      </c>
      <c r="L2" s="58" t="e">
        <f>_xlfn.XLOOKUP(D2,Tab_Def_Flows[Name(EN)],Tab_Def_Flows[DM?],,0,)</f>
        <v>#N/A</v>
      </c>
      <c r="M2" s="58" t="e">
        <f>_xlfn.XLOOKUP(D2,Tab_Def_Flows[Name(EN)],Tab_Def_Flows[CC?],,0,)</f>
        <v>#N/A</v>
      </c>
      <c r="N2" s="96">
        <v>0.06</v>
      </c>
      <c r="O2" s="89"/>
      <c r="P2" s="93">
        <v>0.94</v>
      </c>
      <c r="Q2" s="89"/>
      <c r="R2" s="95">
        <v>0.5</v>
      </c>
      <c r="S2" s="92"/>
    </row>
    <row r="3" spans="1:19" x14ac:dyDescent="0.25">
      <c r="A3" s="84" t="b">
        <v>0</v>
      </c>
      <c r="B3" s="48">
        <f t="shared" ref="B3:B41" si="0">ROW()-1</f>
        <v>2</v>
      </c>
      <c r="C3" s="48" t="e">
        <f>_xlfn.XLOOKUP(D3,Tab_Def_Flows[Name(EN)],Tab_Def_Flows[Flow_ID],,0,)</f>
        <v>#N/A</v>
      </c>
      <c r="D3" s="50" t="s">
        <v>423</v>
      </c>
      <c r="E3" s="48" t="e">
        <f>_xlfn.XLOOKUP(D3,Tab_Def_Flows[Name(EN)],Tab_Def_Flows[Type_Biomass],,0,)</f>
        <v>#N/A</v>
      </c>
      <c r="F3" s="48" t="e">
        <f>_xlfn.XLOOKUP(D3,Tab_Def_Flows[Name(EN)],Tab_Def_Flows[Output_Process],,0,)</f>
        <v>#N/A</v>
      </c>
      <c r="G3" s="48" t="e">
        <f>_xlfn.XLOOKUP(D3,Tab_Def_Flows[Name(EN)],Tab_Def_Flows[Process_ID_O],,0,)</f>
        <v>#N/A</v>
      </c>
      <c r="H3" s="48" t="e">
        <f>_xlfn.XLOOKUP(D3,Tab_Def_Flows[Name(EN)],Tab_Def_Flows[Input_Process],,0,)</f>
        <v>#N/A</v>
      </c>
      <c r="I3" s="58" t="e">
        <f>_xlfn.XLOOKUP(D3,Tab_Def_Flows[Name(EN)],Tab_Def_Flows[Process_ID_I],,0,)</f>
        <v>#N/A</v>
      </c>
      <c r="J3" s="58" t="e">
        <f>_xlfn.XLOOKUP(D3,Tab_Def_Flows[Name(EN)],Tab_Def_Flows[Value_Source],,0,)</f>
        <v>#N/A</v>
      </c>
      <c r="K3" s="58" t="e">
        <f>_xlfn.XLOOKUP(D3,Tab_Def_Flows[Name(EN)],Tab_Def_Flows[WC?],,0,)</f>
        <v>#N/A</v>
      </c>
      <c r="L3" s="58" t="e">
        <f>_xlfn.XLOOKUP(D3,Tab_Def_Flows[Name(EN)],Tab_Def_Flows[DM?],,0,)</f>
        <v>#N/A</v>
      </c>
      <c r="M3" s="58" t="e">
        <f>_xlfn.XLOOKUP(D3,Tab_Def_Flows[Name(EN)],Tab_Def_Flows[CC?],,0,)</f>
        <v>#N/A</v>
      </c>
      <c r="N3" s="96">
        <v>0.06</v>
      </c>
      <c r="O3" s="89"/>
      <c r="P3" s="93">
        <v>0.94</v>
      </c>
      <c r="Q3" s="89"/>
      <c r="R3" s="96">
        <v>0.5</v>
      </c>
      <c r="S3" s="89"/>
    </row>
    <row r="4" spans="1:19" x14ac:dyDescent="0.25">
      <c r="A4" s="84" t="b">
        <v>0</v>
      </c>
      <c r="B4" s="48">
        <f t="shared" si="0"/>
        <v>3</v>
      </c>
      <c r="C4" s="48" t="e">
        <f>_xlfn.XLOOKUP(D4,Tab_Def_Flows[Name(EN)],Tab_Def_Flows[Flow_ID],,0,)</f>
        <v>#N/A</v>
      </c>
      <c r="D4" s="50" t="s">
        <v>424</v>
      </c>
      <c r="E4" s="48" t="e">
        <f>_xlfn.XLOOKUP(D4,Tab_Def_Flows[Name(EN)],Tab_Def_Flows[Type_Biomass],,0,)</f>
        <v>#N/A</v>
      </c>
      <c r="F4" s="48" t="e">
        <f>_xlfn.XLOOKUP(D4,Tab_Def_Flows[Name(EN)],Tab_Def_Flows[Output_Process],,0,)</f>
        <v>#N/A</v>
      </c>
      <c r="G4" s="48" t="e">
        <f>_xlfn.XLOOKUP(D4,Tab_Def_Flows[Name(EN)],Tab_Def_Flows[Process_ID_O],,0,)</f>
        <v>#N/A</v>
      </c>
      <c r="H4" s="48" t="e">
        <f>_xlfn.XLOOKUP(D4,Tab_Def_Flows[Name(EN)],Tab_Def_Flows[Input_Process],,0,)</f>
        <v>#N/A</v>
      </c>
      <c r="I4" s="58" t="e">
        <f>_xlfn.XLOOKUP(D4,Tab_Def_Flows[Name(EN)],Tab_Def_Flows[Process_ID_I],,0,)</f>
        <v>#N/A</v>
      </c>
      <c r="J4" s="58" t="e">
        <f>_xlfn.XLOOKUP(D4,Tab_Def_Flows[Name(EN)],Tab_Def_Flows[Value_Source],,0,)</f>
        <v>#N/A</v>
      </c>
      <c r="K4" s="58" t="e">
        <f>_xlfn.XLOOKUP(D4,Tab_Def_Flows[Name(EN)],Tab_Def_Flows[WC?],,0,)</f>
        <v>#N/A</v>
      </c>
      <c r="L4" s="58" t="e">
        <f>_xlfn.XLOOKUP(D4,Tab_Def_Flows[Name(EN)],Tab_Def_Flows[DM?],,0,)</f>
        <v>#N/A</v>
      </c>
      <c r="M4" s="58" t="e">
        <f>_xlfn.XLOOKUP(D4,Tab_Def_Flows[Name(EN)],Tab_Def_Flows[CC?],,0,)</f>
        <v>#N/A</v>
      </c>
      <c r="N4" s="96">
        <v>0.06</v>
      </c>
      <c r="O4" s="89"/>
      <c r="P4" s="93">
        <v>0.94</v>
      </c>
      <c r="Q4" s="89"/>
      <c r="R4" s="96">
        <v>0.5</v>
      </c>
      <c r="S4" s="89"/>
    </row>
    <row r="5" spans="1:19" x14ac:dyDescent="0.25">
      <c r="A5" s="84" t="b">
        <v>0</v>
      </c>
      <c r="B5" s="48">
        <f t="shared" si="0"/>
        <v>4</v>
      </c>
      <c r="C5" s="48" t="e">
        <f>_xlfn.XLOOKUP(D5,Tab_Def_Flows[Name(EN)],Tab_Def_Flows[Flow_ID],,0,)</f>
        <v>#N/A</v>
      </c>
      <c r="D5" s="50" t="s">
        <v>425</v>
      </c>
      <c r="E5" s="48" t="e">
        <f>_xlfn.XLOOKUP(D5,Tab_Def_Flows[Name(EN)],Tab_Def_Flows[Type_Biomass],,0,)</f>
        <v>#N/A</v>
      </c>
      <c r="F5" s="48" t="e">
        <f>_xlfn.XLOOKUP(D5,Tab_Def_Flows[Name(EN)],Tab_Def_Flows[Output_Process],,0,)</f>
        <v>#N/A</v>
      </c>
      <c r="G5" s="48" t="e">
        <f>_xlfn.XLOOKUP(D5,Tab_Def_Flows[Name(EN)],Tab_Def_Flows[Process_ID_O],,0,)</f>
        <v>#N/A</v>
      </c>
      <c r="H5" s="48" t="e">
        <f>_xlfn.XLOOKUP(D5,Tab_Def_Flows[Name(EN)],Tab_Def_Flows[Input_Process],,0,)</f>
        <v>#N/A</v>
      </c>
      <c r="I5" s="58" t="e">
        <f>_xlfn.XLOOKUP(D5,Tab_Def_Flows[Name(EN)],Tab_Def_Flows[Process_ID_I],,0,)</f>
        <v>#N/A</v>
      </c>
      <c r="J5" s="58" t="e">
        <f>_xlfn.XLOOKUP(D5,Tab_Def_Flows[Name(EN)],Tab_Def_Flows[Value_Source],,0,)</f>
        <v>#N/A</v>
      </c>
      <c r="K5" s="58" t="e">
        <f>_xlfn.XLOOKUP(D5,Tab_Def_Flows[Name(EN)],Tab_Def_Flows[WC?],,0,)</f>
        <v>#N/A</v>
      </c>
      <c r="L5" s="58" t="e">
        <f>_xlfn.XLOOKUP(D5,Tab_Def_Flows[Name(EN)],Tab_Def_Flows[DM?],,0,)</f>
        <v>#N/A</v>
      </c>
      <c r="M5" s="58" t="e">
        <f>_xlfn.XLOOKUP(D5,Tab_Def_Flows[Name(EN)],Tab_Def_Flows[CC?],,0,)</f>
        <v>#N/A</v>
      </c>
      <c r="N5" s="96">
        <v>0.06</v>
      </c>
      <c r="O5" s="89"/>
      <c r="P5" s="93">
        <v>0.94</v>
      </c>
      <c r="Q5" s="89"/>
      <c r="R5" s="96">
        <v>0.5</v>
      </c>
      <c r="S5" s="89"/>
    </row>
    <row r="6" spans="1:19" x14ac:dyDescent="0.25">
      <c r="A6" s="84" t="b">
        <v>0</v>
      </c>
      <c r="B6" s="48">
        <f t="shared" si="0"/>
        <v>5</v>
      </c>
      <c r="C6" s="48" t="e">
        <f>_xlfn.XLOOKUP(D6,Tab_Def_Flows[Name(EN)],Tab_Def_Flows[Flow_ID],,0,)</f>
        <v>#N/A</v>
      </c>
      <c r="D6" s="50" t="s">
        <v>426</v>
      </c>
      <c r="E6" s="48" t="e">
        <f>_xlfn.XLOOKUP(D6,Tab_Def_Flows[Name(EN)],Tab_Def_Flows[Type_Biomass],,0,)</f>
        <v>#N/A</v>
      </c>
      <c r="F6" s="48" t="e">
        <f>_xlfn.XLOOKUP(D6,Tab_Def_Flows[Name(EN)],Tab_Def_Flows[Output_Process],,0,)</f>
        <v>#N/A</v>
      </c>
      <c r="G6" s="48" t="e">
        <f>_xlfn.XLOOKUP(D6,Tab_Def_Flows[Name(EN)],Tab_Def_Flows[Process_ID_O],,0,)</f>
        <v>#N/A</v>
      </c>
      <c r="H6" s="48" t="e">
        <f>_xlfn.XLOOKUP(D6,Tab_Def_Flows[Name(EN)],Tab_Def_Flows[Input_Process],,0,)</f>
        <v>#N/A</v>
      </c>
      <c r="I6" s="58" t="e">
        <f>_xlfn.XLOOKUP(D6,Tab_Def_Flows[Name(EN)],Tab_Def_Flows[Process_ID_I],,0,)</f>
        <v>#N/A</v>
      </c>
      <c r="J6" s="58" t="e">
        <f>_xlfn.XLOOKUP(D6,Tab_Def_Flows[Name(EN)],Tab_Def_Flows[Value_Source],,0,)</f>
        <v>#N/A</v>
      </c>
      <c r="K6" s="58" t="e">
        <f>_xlfn.XLOOKUP(D6,Tab_Def_Flows[Name(EN)],Tab_Def_Flows[WC?],,0,)</f>
        <v>#N/A</v>
      </c>
      <c r="L6" s="58" t="e">
        <f>_xlfn.XLOOKUP(D6,Tab_Def_Flows[Name(EN)],Tab_Def_Flows[DM?],,0,)</f>
        <v>#N/A</v>
      </c>
      <c r="M6" s="58" t="e">
        <f>_xlfn.XLOOKUP(D6,Tab_Def_Flows[Name(EN)],Tab_Def_Flows[CC?],,0,)</f>
        <v>#N/A</v>
      </c>
      <c r="N6" s="96">
        <v>0.94</v>
      </c>
      <c r="O6" s="89"/>
      <c r="P6" s="93">
        <v>0.06</v>
      </c>
      <c r="Q6" s="89"/>
      <c r="R6" s="96">
        <v>0.49</v>
      </c>
      <c r="S6" s="89"/>
    </row>
    <row r="7" spans="1:19" x14ac:dyDescent="0.25">
      <c r="A7" s="84" t="b">
        <v>0</v>
      </c>
      <c r="B7" s="48">
        <f t="shared" si="0"/>
        <v>6</v>
      </c>
      <c r="C7" s="48" t="e">
        <f>_xlfn.XLOOKUP(D7,Tab_Def_Flows[Name(EN)],Tab_Def_Flows[Flow_ID],,0,)</f>
        <v>#N/A</v>
      </c>
      <c r="D7" s="50" t="s">
        <v>427</v>
      </c>
      <c r="E7" s="48" t="e">
        <f>_xlfn.XLOOKUP(D7,Tab_Def_Flows[Name(EN)],Tab_Def_Flows[Type_Biomass],,0,)</f>
        <v>#N/A</v>
      </c>
      <c r="F7" s="48" t="e">
        <f>_xlfn.XLOOKUP(D7,Tab_Def_Flows[Name(EN)],Tab_Def_Flows[Output_Process],,0,)</f>
        <v>#N/A</v>
      </c>
      <c r="G7" s="48" t="e">
        <f>_xlfn.XLOOKUP(D7,Tab_Def_Flows[Name(EN)],Tab_Def_Flows[Process_ID_O],,0,)</f>
        <v>#N/A</v>
      </c>
      <c r="H7" s="48" t="e">
        <f>_xlfn.XLOOKUP(D7,Tab_Def_Flows[Name(EN)],Tab_Def_Flows[Input_Process],,0,)</f>
        <v>#N/A</v>
      </c>
      <c r="I7" s="58" t="e">
        <f>_xlfn.XLOOKUP(D7,Tab_Def_Flows[Name(EN)],Tab_Def_Flows[Process_ID_I],,0,)</f>
        <v>#N/A</v>
      </c>
      <c r="J7" s="58" t="e">
        <f>_xlfn.XLOOKUP(D7,Tab_Def_Flows[Name(EN)],Tab_Def_Flows[Value_Source],,0,)</f>
        <v>#N/A</v>
      </c>
      <c r="K7" s="58" t="e">
        <f>_xlfn.XLOOKUP(D7,Tab_Def_Flows[Name(EN)],Tab_Def_Flows[WC?],,0,)</f>
        <v>#N/A</v>
      </c>
      <c r="L7" s="58" t="e">
        <f>_xlfn.XLOOKUP(D7,Tab_Def_Flows[Name(EN)],Tab_Def_Flows[DM?],,0,)</f>
        <v>#N/A</v>
      </c>
      <c r="M7" s="58" t="e">
        <f>_xlfn.XLOOKUP(D7,Tab_Def_Flows[Name(EN)],Tab_Def_Flows[CC?],,0,)</f>
        <v>#N/A</v>
      </c>
      <c r="N7" s="96">
        <v>0</v>
      </c>
      <c r="O7" s="89"/>
      <c r="P7" s="93">
        <v>1</v>
      </c>
      <c r="Q7" s="89"/>
      <c r="R7" s="96"/>
      <c r="S7" s="89"/>
    </row>
    <row r="8" spans="1:19" x14ac:dyDescent="0.25">
      <c r="A8" s="84" t="b">
        <v>0</v>
      </c>
      <c r="B8" s="48">
        <f t="shared" si="0"/>
        <v>7</v>
      </c>
      <c r="C8" s="48" t="e">
        <f>_xlfn.XLOOKUP(D8,Tab_Def_Flows[Name(EN)],Tab_Def_Flows[Flow_ID],,0,)</f>
        <v>#N/A</v>
      </c>
      <c r="D8" s="50" t="s">
        <v>428</v>
      </c>
      <c r="E8" s="48" t="e">
        <f>_xlfn.XLOOKUP(D8,Tab_Def_Flows[Name(EN)],Tab_Def_Flows[Type_Biomass],,0,)</f>
        <v>#N/A</v>
      </c>
      <c r="F8" s="48" t="e">
        <f>_xlfn.XLOOKUP(D8,Tab_Def_Flows[Name(EN)],Tab_Def_Flows[Output_Process],,0,)</f>
        <v>#N/A</v>
      </c>
      <c r="G8" s="48" t="e">
        <f>_xlfn.XLOOKUP(D8,Tab_Def_Flows[Name(EN)],Tab_Def_Flows[Process_ID_O],,0,)</f>
        <v>#N/A</v>
      </c>
      <c r="H8" s="48" t="e">
        <f>_xlfn.XLOOKUP(D8,Tab_Def_Flows[Name(EN)],Tab_Def_Flows[Input_Process],,0,)</f>
        <v>#N/A</v>
      </c>
      <c r="I8" s="58" t="e">
        <f>_xlfn.XLOOKUP(D8,Tab_Def_Flows[Name(EN)],Tab_Def_Flows[Process_ID_I],,0,)</f>
        <v>#N/A</v>
      </c>
      <c r="J8" s="58" t="e">
        <f>_xlfn.XLOOKUP(D8,Tab_Def_Flows[Name(EN)],Tab_Def_Flows[Value_Source],,0,)</f>
        <v>#N/A</v>
      </c>
      <c r="K8" s="58" t="e">
        <f>_xlfn.XLOOKUP(D8,Tab_Def_Flows[Name(EN)],Tab_Def_Flows[WC?],,0,)</f>
        <v>#N/A</v>
      </c>
      <c r="L8" s="58" t="e">
        <f>_xlfn.XLOOKUP(D8,Tab_Def_Flows[Name(EN)],Tab_Def_Flows[DM?],,0,)</f>
        <v>#N/A</v>
      </c>
      <c r="M8" s="58" t="e">
        <f>_xlfn.XLOOKUP(D8,Tab_Def_Flows[Name(EN)],Tab_Def_Flows[CC?],,0,)</f>
        <v>#N/A</v>
      </c>
      <c r="N8" s="96">
        <v>0.64</v>
      </c>
      <c r="O8" s="89"/>
      <c r="P8" s="93">
        <v>0.36</v>
      </c>
      <c r="Q8" s="89"/>
      <c r="R8" s="96">
        <v>0.38</v>
      </c>
      <c r="S8" s="89" t="s">
        <v>83</v>
      </c>
    </row>
    <row r="9" spans="1:19" x14ac:dyDescent="0.25">
      <c r="A9" s="84" t="b">
        <v>0</v>
      </c>
      <c r="B9" s="48">
        <f t="shared" si="0"/>
        <v>8</v>
      </c>
      <c r="C9" s="48" t="e">
        <f>_xlfn.XLOOKUP(D9,Tab_Def_Flows[Name(EN)],Tab_Def_Flows[Flow_ID],,0,)</f>
        <v>#N/A</v>
      </c>
      <c r="D9" s="50" t="s">
        <v>429</v>
      </c>
      <c r="E9" s="48" t="e">
        <f>_xlfn.XLOOKUP(D9,Tab_Def_Flows[Name(EN)],Tab_Def_Flows[Type_Biomass],,0,)</f>
        <v>#N/A</v>
      </c>
      <c r="F9" s="48" t="e">
        <f>_xlfn.XLOOKUP(D9,Tab_Def_Flows[Name(EN)],Tab_Def_Flows[Output_Process],,0,)</f>
        <v>#N/A</v>
      </c>
      <c r="G9" s="48" t="e">
        <f>_xlfn.XLOOKUP(D9,Tab_Def_Flows[Name(EN)],Tab_Def_Flows[Process_ID_O],,0,)</f>
        <v>#N/A</v>
      </c>
      <c r="H9" s="48" t="e">
        <f>_xlfn.XLOOKUP(D9,Tab_Def_Flows[Name(EN)],Tab_Def_Flows[Input_Process],,0,)</f>
        <v>#N/A</v>
      </c>
      <c r="I9" s="58" t="e">
        <f>_xlfn.XLOOKUP(D9,Tab_Def_Flows[Name(EN)],Tab_Def_Flows[Process_ID_I],,0,)</f>
        <v>#N/A</v>
      </c>
      <c r="J9" s="58" t="e">
        <f>_xlfn.XLOOKUP(D9,Tab_Def_Flows[Name(EN)],Tab_Def_Flows[Value_Source],,0,)</f>
        <v>#N/A</v>
      </c>
      <c r="K9" s="58" t="e">
        <f>_xlfn.XLOOKUP(D9,Tab_Def_Flows[Name(EN)],Tab_Def_Flows[WC?],,0,)</f>
        <v>#N/A</v>
      </c>
      <c r="L9" s="58" t="e">
        <f>_xlfn.XLOOKUP(D9,Tab_Def_Flows[Name(EN)],Tab_Def_Flows[DM?],,0,)</f>
        <v>#N/A</v>
      </c>
      <c r="M9" s="58" t="e">
        <f>_xlfn.XLOOKUP(D9,Tab_Def_Flows[Name(EN)],Tab_Def_Flows[CC?],,0,)</f>
        <v>#N/A</v>
      </c>
      <c r="N9" s="96">
        <v>0.22</v>
      </c>
      <c r="O9" s="89"/>
      <c r="P9" s="93">
        <v>0.39</v>
      </c>
      <c r="Q9" s="89"/>
      <c r="R9" s="96">
        <v>0.39800000000000002</v>
      </c>
      <c r="S9" s="89"/>
    </row>
    <row r="10" spans="1:19" x14ac:dyDescent="0.25">
      <c r="A10" s="99" t="b">
        <v>1</v>
      </c>
      <c r="B10" s="48">
        <f>ROW()-1</f>
        <v>9</v>
      </c>
      <c r="C10" s="48" t="e">
        <f>_xlfn.XLOOKUP(D10,Tab_Def_Flows[Name(EN)],Tab_Def_Flows[Flow_ID],,0,)</f>
        <v>#N/A</v>
      </c>
      <c r="D10" s="50" t="s">
        <v>430</v>
      </c>
      <c r="E10" s="48" t="e">
        <f>_xlfn.XLOOKUP(D10,Tab_Def_Flows[Name(EN)],Tab_Def_Flows[Type_Biomass],,0,)</f>
        <v>#N/A</v>
      </c>
      <c r="F10" s="48" t="e">
        <f>_xlfn.XLOOKUP(D10,Tab_Def_Flows[Name(EN)],Tab_Def_Flows[Output_Process],,0,)</f>
        <v>#N/A</v>
      </c>
      <c r="G10" s="48" t="e">
        <f>_xlfn.XLOOKUP(D10,Tab_Def_Flows[Name(EN)],Tab_Def_Flows[Process_ID_O],,0,)</f>
        <v>#N/A</v>
      </c>
      <c r="H10" s="48" t="e">
        <f>_xlfn.XLOOKUP(D10,Tab_Def_Flows[Name(EN)],Tab_Def_Flows[Input_Process],,0,)</f>
        <v>#N/A</v>
      </c>
      <c r="I10" s="58" t="e">
        <f>_xlfn.XLOOKUP(D10,Tab_Def_Flows[Name(EN)],Tab_Def_Flows[Process_ID_I],,0,)</f>
        <v>#N/A</v>
      </c>
      <c r="J10" s="58" t="e">
        <f>_xlfn.XLOOKUP(D10,Tab_Def_Flows[Name(EN)],Tab_Def_Flows[Value_Source],,0,)</f>
        <v>#N/A</v>
      </c>
      <c r="K10" s="58" t="e">
        <f>_xlfn.XLOOKUP(D10,Tab_Def_Flows[Name(EN)],Tab_Def_Flows[WC?],,0,)</f>
        <v>#N/A</v>
      </c>
      <c r="L10" s="58" t="e">
        <f>_xlfn.XLOOKUP(D10,Tab_Def_Flows[Name(EN)],Tab_Def_Flows[DM?],,0,)</f>
        <v>#N/A</v>
      </c>
      <c r="M10" s="58" t="e">
        <f>_xlfn.XLOOKUP(D10,Tab_Def_Flows[Name(EN)],Tab_Def_Flows[CC?],,0,)</f>
        <v>#N/A</v>
      </c>
      <c r="N10" s="96"/>
      <c r="O10" s="89"/>
      <c r="P10" s="93"/>
      <c r="Q10" s="89"/>
      <c r="R10" s="96"/>
      <c r="S10" s="89"/>
    </row>
    <row r="11" spans="1:19" x14ac:dyDescent="0.25">
      <c r="A11" s="84" t="b">
        <v>1</v>
      </c>
      <c r="B11" s="48">
        <f t="shared" si="0"/>
        <v>10</v>
      </c>
      <c r="C11" s="48" t="e">
        <f>_xlfn.XLOOKUP(D11,Tab_Def_Flows[Name(EN)],Tab_Def_Flows[Flow_ID],,0,)</f>
        <v>#N/A</v>
      </c>
      <c r="D11" s="50" t="s">
        <v>431</v>
      </c>
      <c r="E11" s="48" t="e">
        <f>_xlfn.XLOOKUP(D11,Tab_Def_Flows[Name(EN)],Tab_Def_Flows[Type_Biomass],,0,)</f>
        <v>#N/A</v>
      </c>
      <c r="F11" s="48" t="e">
        <f>_xlfn.XLOOKUP(D11,Tab_Def_Flows[Name(EN)],Tab_Def_Flows[Output_Process],,0,)</f>
        <v>#N/A</v>
      </c>
      <c r="G11" s="48" t="e">
        <f>_xlfn.XLOOKUP(D11,Tab_Def_Flows[Name(EN)],Tab_Def_Flows[Process_ID_O],,0,)</f>
        <v>#N/A</v>
      </c>
      <c r="H11" s="48" t="e">
        <f>_xlfn.XLOOKUP(D11,Tab_Def_Flows[Name(EN)],Tab_Def_Flows[Input_Process],,0,)</f>
        <v>#N/A</v>
      </c>
      <c r="I11" s="58" t="e">
        <f>_xlfn.XLOOKUP(D11,Tab_Def_Flows[Name(EN)],Tab_Def_Flows[Process_ID_I],,0,)</f>
        <v>#N/A</v>
      </c>
      <c r="J11" s="58" t="e">
        <f>_xlfn.XLOOKUP(D11,Tab_Def_Flows[Name(EN)],Tab_Def_Flows[Value_Source],,0,)</f>
        <v>#N/A</v>
      </c>
      <c r="K11" s="58" t="e">
        <f>_xlfn.XLOOKUP(D11,Tab_Def_Flows[Name(EN)],Tab_Def_Flows[WC?],,0,)</f>
        <v>#N/A</v>
      </c>
      <c r="L11" s="58" t="e">
        <f>_xlfn.XLOOKUP(D11,Tab_Def_Flows[Name(EN)],Tab_Def_Flows[DM?],,0,)</f>
        <v>#N/A</v>
      </c>
      <c r="M11" s="58" t="e">
        <f>_xlfn.XLOOKUP(D11,Tab_Def_Flows[Name(EN)],Tab_Def_Flows[CC?],,0,)</f>
        <v>#N/A</v>
      </c>
      <c r="N11" s="96">
        <v>0</v>
      </c>
      <c r="O11" s="89"/>
      <c r="P11" s="93">
        <v>1</v>
      </c>
      <c r="Q11" s="89"/>
      <c r="R11" s="96">
        <v>0.38</v>
      </c>
      <c r="S11" s="89"/>
    </row>
    <row r="12" spans="1:19" x14ac:dyDescent="0.25">
      <c r="A12" s="84" t="b">
        <v>0</v>
      </c>
      <c r="B12" s="48">
        <f t="shared" si="0"/>
        <v>11</v>
      </c>
      <c r="C12" s="48" t="e">
        <f>_xlfn.XLOOKUP(D12,Tab_Def_Flows[Name(EN)],Tab_Def_Flows[Flow_ID],,0,)</f>
        <v>#N/A</v>
      </c>
      <c r="D12" s="50" t="s">
        <v>432</v>
      </c>
      <c r="E12" s="48" t="e">
        <f>_xlfn.XLOOKUP(D12,Tab_Def_Flows[Name(EN)],Tab_Def_Flows[Type_Biomass],,0,)</f>
        <v>#N/A</v>
      </c>
      <c r="F12" s="48" t="e">
        <f>_xlfn.XLOOKUP(D12,Tab_Def_Flows[Name(EN)],Tab_Def_Flows[Output_Process],,0,)</f>
        <v>#N/A</v>
      </c>
      <c r="G12" s="48" t="e">
        <f>_xlfn.XLOOKUP(D12,Tab_Def_Flows[Name(EN)],Tab_Def_Flows[Process_ID_O],,0,)</f>
        <v>#N/A</v>
      </c>
      <c r="H12" s="48" t="e">
        <f>_xlfn.XLOOKUP(D12,Tab_Def_Flows[Name(EN)],Tab_Def_Flows[Input_Process],,0,)</f>
        <v>#N/A</v>
      </c>
      <c r="I12" s="58" t="e">
        <f>_xlfn.XLOOKUP(D12,Tab_Def_Flows[Name(EN)],Tab_Def_Flows[Process_ID_I],,0,)</f>
        <v>#N/A</v>
      </c>
      <c r="J12" s="58" t="e">
        <f>_xlfn.XLOOKUP(D12,Tab_Def_Flows[Name(EN)],Tab_Def_Flows[Value_Source],,0,)</f>
        <v>#N/A</v>
      </c>
      <c r="K12" s="58" t="e">
        <f>_xlfn.XLOOKUP(D12,Tab_Def_Flows[Name(EN)],Tab_Def_Flows[WC?],,0,)</f>
        <v>#N/A</v>
      </c>
      <c r="L12" s="58" t="e">
        <f>_xlfn.XLOOKUP(D12,Tab_Def_Flows[Name(EN)],Tab_Def_Flows[DM?],,0,)</f>
        <v>#N/A</v>
      </c>
      <c r="M12" s="58" t="e">
        <f>_xlfn.XLOOKUP(D12,Tab_Def_Flows[Name(EN)],Tab_Def_Flows[CC?],,0,)</f>
        <v>#N/A</v>
      </c>
      <c r="N12" s="96">
        <v>0.66</v>
      </c>
      <c r="O12" s="89"/>
      <c r="P12" s="93">
        <v>0.34</v>
      </c>
      <c r="Q12" s="89"/>
      <c r="R12" s="96">
        <v>0.47</v>
      </c>
      <c r="S12" s="89"/>
    </row>
    <row r="13" spans="1:19" x14ac:dyDescent="0.25">
      <c r="A13" s="84" t="b">
        <v>0</v>
      </c>
      <c r="B13" s="48">
        <f t="shared" si="0"/>
        <v>12</v>
      </c>
      <c r="C13" s="48" t="e">
        <f>_xlfn.XLOOKUP(D13,Tab_Def_Flows[Name(EN)],Tab_Def_Flows[Flow_ID],,0,)</f>
        <v>#N/A</v>
      </c>
      <c r="D13" s="50" t="s">
        <v>433</v>
      </c>
      <c r="E13" s="48" t="e">
        <f>_xlfn.XLOOKUP(D13,Tab_Def_Flows[Name(EN)],Tab_Def_Flows[Type_Biomass],,0,)</f>
        <v>#N/A</v>
      </c>
      <c r="F13" s="48" t="e">
        <f>_xlfn.XLOOKUP(D13,Tab_Def_Flows[Name(EN)],Tab_Def_Flows[Output_Process],,0,)</f>
        <v>#N/A</v>
      </c>
      <c r="G13" s="48" t="e">
        <f>_xlfn.XLOOKUP(D13,Tab_Def_Flows[Name(EN)],Tab_Def_Flows[Process_ID_O],,0,)</f>
        <v>#N/A</v>
      </c>
      <c r="H13" s="48" t="e">
        <f>_xlfn.XLOOKUP(D13,Tab_Def_Flows[Name(EN)],Tab_Def_Flows[Input_Process],,0,)</f>
        <v>#N/A</v>
      </c>
      <c r="I13" s="58" t="e">
        <f>_xlfn.XLOOKUP(D13,Tab_Def_Flows[Name(EN)],Tab_Def_Flows[Process_ID_I],,0,)</f>
        <v>#N/A</v>
      </c>
      <c r="J13" s="58" t="e">
        <f>_xlfn.XLOOKUP(D13,Tab_Def_Flows[Name(EN)],Tab_Def_Flows[Value_Source],,0,)</f>
        <v>#N/A</v>
      </c>
      <c r="K13" s="58" t="e">
        <f>_xlfn.XLOOKUP(D13,Tab_Def_Flows[Name(EN)],Tab_Def_Flows[WC?],,0,)</f>
        <v>#N/A</v>
      </c>
      <c r="L13" s="58" t="e">
        <f>_xlfn.XLOOKUP(D13,Tab_Def_Flows[Name(EN)],Tab_Def_Flows[DM?],,0,)</f>
        <v>#N/A</v>
      </c>
      <c r="M13" s="58" t="e">
        <f>_xlfn.XLOOKUP(D13,Tab_Def_Flows[Name(EN)],Tab_Def_Flows[CC?],,0,)</f>
        <v>#N/A</v>
      </c>
      <c r="N13" s="96">
        <v>0.61</v>
      </c>
      <c r="O13" s="89"/>
      <c r="P13" s="93">
        <v>0.39</v>
      </c>
      <c r="Q13" s="89"/>
      <c r="R13" s="96">
        <v>0.4</v>
      </c>
      <c r="S13" s="89"/>
    </row>
    <row r="14" spans="1:19" x14ac:dyDescent="0.25">
      <c r="A14" s="84" t="b">
        <v>0</v>
      </c>
      <c r="B14" s="48">
        <f t="shared" si="0"/>
        <v>13</v>
      </c>
      <c r="C14" s="48" t="e">
        <f>_xlfn.XLOOKUP(D14,Tab_Def_Flows[Name(EN)],Tab_Def_Flows[Flow_ID],,0,)</f>
        <v>#N/A</v>
      </c>
      <c r="D14" s="50" t="s">
        <v>434</v>
      </c>
      <c r="E14" s="48" t="e">
        <f>_xlfn.XLOOKUP(D14,Tab_Def_Flows[Name(EN)],Tab_Def_Flows[Type_Biomass],,0,)</f>
        <v>#N/A</v>
      </c>
      <c r="F14" s="48" t="e">
        <f>_xlfn.XLOOKUP(D14,Tab_Def_Flows[Name(EN)],Tab_Def_Flows[Output_Process],,0,)</f>
        <v>#N/A</v>
      </c>
      <c r="G14" s="48" t="e">
        <f>_xlfn.XLOOKUP(D14,Tab_Def_Flows[Name(EN)],Tab_Def_Flows[Process_ID_O],,0,)</f>
        <v>#N/A</v>
      </c>
      <c r="H14" s="48" t="e">
        <f>_xlfn.XLOOKUP(D14,Tab_Def_Flows[Name(EN)],Tab_Def_Flows[Input_Process],,0,)</f>
        <v>#N/A</v>
      </c>
      <c r="I14" s="58" t="e">
        <f>_xlfn.XLOOKUP(D14,Tab_Def_Flows[Name(EN)],Tab_Def_Flows[Process_ID_I],,0,)</f>
        <v>#N/A</v>
      </c>
      <c r="J14" s="58" t="e">
        <f>_xlfn.XLOOKUP(D14,Tab_Def_Flows[Name(EN)],Tab_Def_Flows[Value_Source],,0,)</f>
        <v>#N/A</v>
      </c>
      <c r="K14" s="58" t="e">
        <f>_xlfn.XLOOKUP(D14,Tab_Def_Flows[Name(EN)],Tab_Def_Flows[WC?],,0,)</f>
        <v>#N/A</v>
      </c>
      <c r="L14" s="58" t="e">
        <f>_xlfn.XLOOKUP(D14,Tab_Def_Flows[Name(EN)],Tab_Def_Flows[DM?],,0,)</f>
        <v>#N/A</v>
      </c>
      <c r="M14" s="58" t="e">
        <f>_xlfn.XLOOKUP(D14,Tab_Def_Flows[Name(EN)],Tab_Def_Flows[CC?],,0,)</f>
        <v>#N/A</v>
      </c>
      <c r="N14" s="96">
        <v>1</v>
      </c>
      <c r="O14" s="89"/>
      <c r="P14" s="93">
        <v>0</v>
      </c>
      <c r="Q14" s="89"/>
      <c r="R14" s="96">
        <v>0</v>
      </c>
      <c r="S14" s="89"/>
    </row>
    <row r="15" spans="1:19" x14ac:dyDescent="0.25">
      <c r="A15" s="84" t="b">
        <v>0</v>
      </c>
      <c r="B15" s="48">
        <f t="shared" si="0"/>
        <v>14</v>
      </c>
      <c r="C15" s="48" t="e">
        <f>_xlfn.XLOOKUP(D15,Tab_Def_Flows[Name(EN)],Tab_Def_Flows[Flow_ID],,0,)</f>
        <v>#N/A</v>
      </c>
      <c r="D15" s="50" t="s">
        <v>435</v>
      </c>
      <c r="E15" s="48" t="e">
        <f>_xlfn.XLOOKUP(D15,Tab_Def_Flows[Name(EN)],Tab_Def_Flows[Type_Biomass],,0,)</f>
        <v>#N/A</v>
      </c>
      <c r="F15" s="48" t="e">
        <f>_xlfn.XLOOKUP(D15,Tab_Def_Flows[Name(EN)],Tab_Def_Flows[Output_Process],,0,)</f>
        <v>#N/A</v>
      </c>
      <c r="G15" s="48" t="e">
        <f>_xlfn.XLOOKUP(D15,Tab_Def_Flows[Name(EN)],Tab_Def_Flows[Process_ID_O],,0,)</f>
        <v>#N/A</v>
      </c>
      <c r="H15" s="48" t="e">
        <f>_xlfn.XLOOKUP(D15,Tab_Def_Flows[Name(EN)],Tab_Def_Flows[Input_Process],,0,)</f>
        <v>#N/A</v>
      </c>
      <c r="I15" s="58" t="e">
        <f>_xlfn.XLOOKUP(D15,Tab_Def_Flows[Name(EN)],Tab_Def_Flows[Process_ID_I],,0,)</f>
        <v>#N/A</v>
      </c>
      <c r="J15" s="58" t="e">
        <f>_xlfn.XLOOKUP(D15,Tab_Def_Flows[Name(EN)],Tab_Def_Flows[Value_Source],,0,)</f>
        <v>#N/A</v>
      </c>
      <c r="K15" s="58" t="e">
        <f>_xlfn.XLOOKUP(D15,Tab_Def_Flows[Name(EN)],Tab_Def_Flows[WC?],,0,)</f>
        <v>#N/A</v>
      </c>
      <c r="L15" s="58" t="e">
        <f>_xlfn.XLOOKUP(D15,Tab_Def_Flows[Name(EN)],Tab_Def_Flows[DM?],,0,)</f>
        <v>#N/A</v>
      </c>
      <c r="M15" s="58" t="e">
        <f>_xlfn.XLOOKUP(D15,Tab_Def_Flows[Name(EN)],Tab_Def_Flows[CC?],,0,)</f>
        <v>#N/A</v>
      </c>
      <c r="N15" s="96">
        <v>1</v>
      </c>
      <c r="O15" s="89"/>
      <c r="P15" s="93">
        <v>0</v>
      </c>
      <c r="Q15" s="89"/>
      <c r="R15" s="96">
        <v>0</v>
      </c>
      <c r="S15" s="89"/>
    </row>
    <row r="16" spans="1:19" x14ac:dyDescent="0.25">
      <c r="A16" s="84" t="b">
        <v>0</v>
      </c>
      <c r="B16" s="48">
        <f t="shared" si="0"/>
        <v>15</v>
      </c>
      <c r="C16" s="48" t="e">
        <f>_xlfn.XLOOKUP(D16,Tab_Def_Flows[Name(EN)],Tab_Def_Flows[Flow_ID],,0,)</f>
        <v>#N/A</v>
      </c>
      <c r="D16" s="50" t="s">
        <v>436</v>
      </c>
      <c r="E16" s="48" t="e">
        <f>_xlfn.XLOOKUP(D16,Tab_Def_Flows[Name(EN)],Tab_Def_Flows[Type_Biomass],,0,)</f>
        <v>#N/A</v>
      </c>
      <c r="F16" s="48" t="e">
        <f>_xlfn.XLOOKUP(D16,Tab_Def_Flows[Name(EN)],Tab_Def_Flows[Output_Process],,0,)</f>
        <v>#N/A</v>
      </c>
      <c r="G16" s="48" t="e">
        <f>_xlfn.XLOOKUP(D16,Tab_Def_Flows[Name(EN)],Tab_Def_Flows[Process_ID_O],,0,)</f>
        <v>#N/A</v>
      </c>
      <c r="H16" s="48" t="e">
        <f>_xlfn.XLOOKUP(D16,Tab_Def_Flows[Name(EN)],Tab_Def_Flows[Input_Process],,0,)</f>
        <v>#N/A</v>
      </c>
      <c r="I16" s="58" t="e">
        <f>_xlfn.XLOOKUP(D16,Tab_Def_Flows[Name(EN)],Tab_Def_Flows[Process_ID_I],,0,)</f>
        <v>#N/A</v>
      </c>
      <c r="J16" s="58" t="e">
        <f>_xlfn.XLOOKUP(D16,Tab_Def_Flows[Name(EN)],Tab_Def_Flows[Value_Source],,0,)</f>
        <v>#N/A</v>
      </c>
      <c r="K16" s="58" t="e">
        <f>_xlfn.XLOOKUP(D16,Tab_Def_Flows[Name(EN)],Tab_Def_Flows[WC?],,0,)</f>
        <v>#N/A</v>
      </c>
      <c r="L16" s="58" t="e">
        <f>_xlfn.XLOOKUP(D16,Tab_Def_Flows[Name(EN)],Tab_Def_Flows[DM?],,0,)</f>
        <v>#N/A</v>
      </c>
      <c r="M16" s="58" t="e">
        <f>_xlfn.XLOOKUP(D16,Tab_Def_Flows[Name(EN)],Tab_Def_Flows[CC?],,0,)</f>
        <v>#N/A</v>
      </c>
      <c r="N16" s="96"/>
      <c r="O16" s="89"/>
      <c r="P16" s="93"/>
      <c r="Q16" s="89"/>
      <c r="R16" s="96"/>
      <c r="S16" s="89"/>
    </row>
    <row r="17" spans="1:23" x14ac:dyDescent="0.25">
      <c r="A17" s="84" t="b">
        <v>0</v>
      </c>
      <c r="B17" s="48">
        <f t="shared" si="0"/>
        <v>16</v>
      </c>
      <c r="C17" s="48" t="e">
        <f>_xlfn.XLOOKUP(D17,Tab_Def_Flows[Name(EN)],Tab_Def_Flows[Flow_ID],,0,)</f>
        <v>#N/A</v>
      </c>
      <c r="D17" s="50" t="s">
        <v>437</v>
      </c>
      <c r="E17" s="48" t="e">
        <f>_xlfn.XLOOKUP(D17,Tab_Def_Flows[Name(EN)],Tab_Def_Flows[Type_Biomass],,0,)</f>
        <v>#N/A</v>
      </c>
      <c r="F17" s="48" t="e">
        <f>_xlfn.XLOOKUP(D17,Tab_Def_Flows[Name(EN)],Tab_Def_Flows[Output_Process],,0,)</f>
        <v>#N/A</v>
      </c>
      <c r="G17" s="48" t="e">
        <f>_xlfn.XLOOKUP(D17,Tab_Def_Flows[Name(EN)],Tab_Def_Flows[Process_ID_O],,0,)</f>
        <v>#N/A</v>
      </c>
      <c r="H17" s="48" t="e">
        <f>_xlfn.XLOOKUP(D17,Tab_Def_Flows[Name(EN)],Tab_Def_Flows[Input_Process],,0,)</f>
        <v>#N/A</v>
      </c>
      <c r="I17" s="58" t="e">
        <f>_xlfn.XLOOKUP(D17,Tab_Def_Flows[Name(EN)],Tab_Def_Flows[Process_ID_I],,0,)</f>
        <v>#N/A</v>
      </c>
      <c r="J17" s="58" t="e">
        <f>_xlfn.XLOOKUP(D17,Tab_Def_Flows[Name(EN)],Tab_Def_Flows[Value_Source],,0,)</f>
        <v>#N/A</v>
      </c>
      <c r="K17" s="58" t="e">
        <f>_xlfn.XLOOKUP(D17,Tab_Def_Flows[Name(EN)],Tab_Def_Flows[WC?],,0,)</f>
        <v>#N/A</v>
      </c>
      <c r="L17" s="58" t="e">
        <f>_xlfn.XLOOKUP(D17,Tab_Def_Flows[Name(EN)],Tab_Def_Flows[DM?],,0,)</f>
        <v>#N/A</v>
      </c>
      <c r="M17" s="58" t="e">
        <f>_xlfn.XLOOKUP(D17,Tab_Def_Flows[Name(EN)],Tab_Def_Flows[CC?],,0,)</f>
        <v>#N/A</v>
      </c>
      <c r="N17" s="96"/>
      <c r="O17" s="89"/>
      <c r="P17" s="93">
        <v>0.39</v>
      </c>
      <c r="Q17" s="89"/>
      <c r="R17" s="96">
        <v>0.4</v>
      </c>
      <c r="S17" s="89"/>
    </row>
    <row r="18" spans="1:23" x14ac:dyDescent="0.25">
      <c r="A18" s="84" t="b">
        <v>0</v>
      </c>
      <c r="B18" s="48">
        <f t="shared" si="0"/>
        <v>17</v>
      </c>
      <c r="C18" s="48" t="e">
        <f>_xlfn.XLOOKUP(D18,Tab_Def_Flows[Name(EN)],Tab_Def_Flows[Flow_ID],,0,)</f>
        <v>#N/A</v>
      </c>
      <c r="D18" s="50" t="s">
        <v>438</v>
      </c>
      <c r="E18" s="48" t="e">
        <f>_xlfn.XLOOKUP(D18,Tab_Def_Flows[Name(EN)],Tab_Def_Flows[Type_Biomass],,0,)</f>
        <v>#N/A</v>
      </c>
      <c r="F18" s="48" t="e">
        <f>_xlfn.XLOOKUP(D18,Tab_Def_Flows[Name(EN)],Tab_Def_Flows[Output_Process],,0,)</f>
        <v>#N/A</v>
      </c>
      <c r="G18" s="48" t="e">
        <f>_xlfn.XLOOKUP(D18,Tab_Def_Flows[Name(EN)],Tab_Def_Flows[Process_ID_O],,0,)</f>
        <v>#N/A</v>
      </c>
      <c r="H18" s="48" t="e">
        <f>_xlfn.XLOOKUP(D18,Tab_Def_Flows[Name(EN)],Tab_Def_Flows[Input_Process],,0,)</f>
        <v>#N/A</v>
      </c>
      <c r="I18" s="58" t="e">
        <f>_xlfn.XLOOKUP(D18,Tab_Def_Flows[Name(EN)],Tab_Def_Flows[Process_ID_I],,0,)</f>
        <v>#N/A</v>
      </c>
      <c r="J18" s="58" t="e">
        <f>_xlfn.XLOOKUP(D18,Tab_Def_Flows[Name(EN)],Tab_Def_Flows[Value_Source],,0,)</f>
        <v>#N/A</v>
      </c>
      <c r="K18" s="58" t="e">
        <f>_xlfn.XLOOKUP(D18,Tab_Def_Flows[Name(EN)],Tab_Def_Flows[WC?],,0,)</f>
        <v>#N/A</v>
      </c>
      <c r="L18" s="58" t="e">
        <f>_xlfn.XLOOKUP(D18,Tab_Def_Flows[Name(EN)],Tab_Def_Flows[DM?],,0,)</f>
        <v>#N/A</v>
      </c>
      <c r="M18" s="58" t="e">
        <f>_xlfn.XLOOKUP(D18,Tab_Def_Flows[Name(EN)],Tab_Def_Flows[CC?],,0,)</f>
        <v>#N/A</v>
      </c>
      <c r="N18" s="96"/>
      <c r="O18" s="89"/>
      <c r="P18" s="93">
        <v>0.39</v>
      </c>
      <c r="Q18" s="89"/>
      <c r="R18" s="96">
        <v>0.4</v>
      </c>
      <c r="S18" s="89"/>
    </row>
    <row r="19" spans="1:23" x14ac:dyDescent="0.25">
      <c r="A19" s="84" t="b">
        <v>0</v>
      </c>
      <c r="B19" s="48">
        <f t="shared" si="0"/>
        <v>18</v>
      </c>
      <c r="C19" s="48" t="e">
        <f>_xlfn.XLOOKUP(D19,Tab_Def_Flows[Name(EN)],Tab_Def_Flows[Flow_ID],,0,)</f>
        <v>#N/A</v>
      </c>
      <c r="D19" s="50" t="s">
        <v>439</v>
      </c>
      <c r="E19" s="48" t="e">
        <f>_xlfn.XLOOKUP(D19,Tab_Def_Flows[Name(EN)],Tab_Def_Flows[Type_Biomass],,0,)</f>
        <v>#N/A</v>
      </c>
      <c r="F19" s="48" t="e">
        <f>_xlfn.XLOOKUP(D19,Tab_Def_Flows[Name(EN)],Tab_Def_Flows[Output_Process],,0,)</f>
        <v>#N/A</v>
      </c>
      <c r="G19" s="48" t="e">
        <f>_xlfn.XLOOKUP(D19,Tab_Def_Flows[Name(EN)],Tab_Def_Flows[Process_ID_O],,0,)</f>
        <v>#N/A</v>
      </c>
      <c r="H19" s="48" t="e">
        <f>_xlfn.XLOOKUP(D19,Tab_Def_Flows[Name(EN)],Tab_Def_Flows[Input_Process],,0,)</f>
        <v>#N/A</v>
      </c>
      <c r="I19" s="58" t="e">
        <f>_xlfn.XLOOKUP(D19,Tab_Def_Flows[Name(EN)],Tab_Def_Flows[Process_ID_I],,0,)</f>
        <v>#N/A</v>
      </c>
      <c r="J19" s="58" t="e">
        <f>_xlfn.XLOOKUP(D19,Tab_Def_Flows[Name(EN)],Tab_Def_Flows[Value_Source],,0,)</f>
        <v>#N/A</v>
      </c>
      <c r="K19" s="58" t="e">
        <f>_xlfn.XLOOKUP(D19,Tab_Def_Flows[Name(EN)],Tab_Def_Flows[WC?],,0,)</f>
        <v>#N/A</v>
      </c>
      <c r="L19" s="58" t="e">
        <f>_xlfn.XLOOKUP(D19,Tab_Def_Flows[Name(EN)],Tab_Def_Flows[DM?],,0,)</f>
        <v>#N/A</v>
      </c>
      <c r="M19" s="58" t="e">
        <f>_xlfn.XLOOKUP(D19,Tab_Def_Flows[Name(EN)],Tab_Def_Flows[CC?],,0,)</f>
        <v>#N/A</v>
      </c>
      <c r="N19" s="96"/>
      <c r="O19" s="89"/>
      <c r="P19" s="93">
        <v>1</v>
      </c>
      <c r="Q19" s="89"/>
      <c r="R19" s="96">
        <v>0.95</v>
      </c>
      <c r="S19" s="89" t="s">
        <v>440</v>
      </c>
      <c r="W19">
        <v>3.67</v>
      </c>
    </row>
    <row r="20" spans="1:23" x14ac:dyDescent="0.25">
      <c r="A20" s="84" t="b">
        <v>0</v>
      </c>
      <c r="B20" s="48">
        <f t="shared" si="0"/>
        <v>19</v>
      </c>
      <c r="C20" s="48" t="e">
        <f>_xlfn.XLOOKUP(D20,Tab_Def_Flows[Name(EN)],Tab_Def_Flows[Flow_ID],,0,)</f>
        <v>#N/A</v>
      </c>
      <c r="D20" s="50" t="s">
        <v>419</v>
      </c>
      <c r="E20" s="48" t="e">
        <f>_xlfn.XLOOKUP(D20,Tab_Def_Flows[Name(EN)],Tab_Def_Flows[Type_Biomass],,0,)</f>
        <v>#N/A</v>
      </c>
      <c r="F20" s="48" t="e">
        <f>_xlfn.XLOOKUP(D20,Tab_Def_Flows[Name(EN)],Tab_Def_Flows[Output_Process],,0,)</f>
        <v>#N/A</v>
      </c>
      <c r="G20" s="48" t="e">
        <f>_xlfn.XLOOKUP(D20,Tab_Def_Flows[Name(EN)],Tab_Def_Flows[Process_ID_O],,0,)</f>
        <v>#N/A</v>
      </c>
      <c r="H20" s="48" t="e">
        <f>_xlfn.XLOOKUP(D20,Tab_Def_Flows[Name(EN)],Tab_Def_Flows[Input_Process],,0,)</f>
        <v>#N/A</v>
      </c>
      <c r="I20" s="58" t="e">
        <f>_xlfn.XLOOKUP(D20,Tab_Def_Flows[Name(EN)],Tab_Def_Flows[Process_ID_I],,0,)</f>
        <v>#N/A</v>
      </c>
      <c r="J20" s="58" t="e">
        <f>_xlfn.XLOOKUP(D20,Tab_Def_Flows[Name(EN)],Tab_Def_Flows[Value_Source],,0,)</f>
        <v>#N/A</v>
      </c>
      <c r="K20" s="58" t="e">
        <f>_xlfn.XLOOKUP(D20,Tab_Def_Flows[Name(EN)],Tab_Def_Flows[WC?],,0,)</f>
        <v>#N/A</v>
      </c>
      <c r="L20" s="58" t="e">
        <f>_xlfn.XLOOKUP(D20,Tab_Def_Flows[Name(EN)],Tab_Def_Flows[DM?],,0,)</f>
        <v>#N/A</v>
      </c>
      <c r="M20" s="58" t="e">
        <f>_xlfn.XLOOKUP(D20,Tab_Def_Flows[Name(EN)],Tab_Def_Flows[CC?],,0,)</f>
        <v>#N/A</v>
      </c>
      <c r="N20" s="96"/>
      <c r="O20" s="89"/>
      <c r="P20" s="93"/>
      <c r="Q20" s="89"/>
      <c r="R20" s="96"/>
      <c r="S20" s="89"/>
    </row>
    <row r="21" spans="1:23" x14ac:dyDescent="0.25">
      <c r="A21" s="84" t="b">
        <v>1</v>
      </c>
      <c r="B21" s="48">
        <f t="shared" si="0"/>
        <v>20</v>
      </c>
      <c r="C21" s="48" t="e">
        <f>_xlfn.XLOOKUP(D21,Tab_Def_Flows[Name(EN)],Tab_Def_Flows[Flow_ID],,0,)</f>
        <v>#N/A</v>
      </c>
      <c r="D21" s="50" t="s">
        <v>441</v>
      </c>
      <c r="E21" s="48" t="e">
        <f>_xlfn.XLOOKUP(D21,Tab_Def_Flows[Name(EN)],Tab_Def_Flows[Type_Biomass],,0,)</f>
        <v>#N/A</v>
      </c>
      <c r="F21" s="48" t="e">
        <f>_xlfn.XLOOKUP(D21,Tab_Def_Flows[Name(EN)],Tab_Def_Flows[Output_Process],,0,)</f>
        <v>#N/A</v>
      </c>
      <c r="G21" s="48" t="e">
        <f>_xlfn.XLOOKUP(D21,Tab_Def_Flows[Name(EN)],Tab_Def_Flows[Process_ID_O],,0,)</f>
        <v>#N/A</v>
      </c>
      <c r="H21" s="48" t="e">
        <f>_xlfn.XLOOKUP(D21,Tab_Def_Flows[Name(EN)],Tab_Def_Flows[Input_Process],,0,)</f>
        <v>#N/A</v>
      </c>
      <c r="I21" s="58" t="e">
        <f>_xlfn.XLOOKUP(D21,Tab_Def_Flows[Name(EN)],Tab_Def_Flows[Process_ID_I],,0,)</f>
        <v>#N/A</v>
      </c>
      <c r="J21" s="58" t="e">
        <f>_xlfn.XLOOKUP(D21,Tab_Def_Flows[Name(EN)],Tab_Def_Flows[Value_Source],,0,)</f>
        <v>#N/A</v>
      </c>
      <c r="K21" s="58" t="e">
        <f>_xlfn.XLOOKUP(D21,Tab_Def_Flows[Name(EN)],Tab_Def_Flows[WC?],,0,)</f>
        <v>#N/A</v>
      </c>
      <c r="L21" s="58" t="e">
        <f>_xlfn.XLOOKUP(D21,Tab_Def_Flows[Name(EN)],Tab_Def_Flows[DM?],,0,)</f>
        <v>#N/A</v>
      </c>
      <c r="M21" s="58" t="e">
        <f>_xlfn.XLOOKUP(D21,Tab_Def_Flows[Name(EN)],Tab_Def_Flows[CC?],,0,)</f>
        <v>#N/A</v>
      </c>
      <c r="N21" s="96"/>
      <c r="O21" s="89"/>
      <c r="P21" s="93"/>
      <c r="Q21" s="89"/>
      <c r="R21" s="96"/>
      <c r="S21" s="89"/>
    </row>
    <row r="22" spans="1:23" x14ac:dyDescent="0.25">
      <c r="A22" s="84" t="b">
        <v>0</v>
      </c>
      <c r="B22" s="48">
        <f t="shared" si="0"/>
        <v>21</v>
      </c>
      <c r="C22" s="48" t="e">
        <f>_xlfn.XLOOKUP(D22,Tab_Def_Flows[Name(EN)],Tab_Def_Flows[Flow_ID],,0,)</f>
        <v>#N/A</v>
      </c>
      <c r="D22" s="50"/>
      <c r="E22" s="48" t="e">
        <f>_xlfn.XLOOKUP(D22,Tab_Def_Flows[Name(EN)],Tab_Def_Flows[Type_Biomass],,0,)</f>
        <v>#N/A</v>
      </c>
      <c r="F22" s="48" t="e">
        <f>_xlfn.XLOOKUP(D22,Tab_Def_Flows[Name(EN)],Tab_Def_Flows[Output_Process],,0,)</f>
        <v>#N/A</v>
      </c>
      <c r="G22" s="48" t="e">
        <f>_xlfn.XLOOKUP(D22,Tab_Def_Flows[Name(EN)],Tab_Def_Flows[Process_ID_O],,0,)</f>
        <v>#N/A</v>
      </c>
      <c r="H22" s="48" t="e">
        <f>_xlfn.XLOOKUP(D22,Tab_Def_Flows[Name(EN)],Tab_Def_Flows[Input_Process],,0,)</f>
        <v>#N/A</v>
      </c>
      <c r="I22" s="58" t="e">
        <f>_xlfn.XLOOKUP(D22,Tab_Def_Flows[Name(EN)],Tab_Def_Flows[Process_ID_I],,0,)</f>
        <v>#N/A</v>
      </c>
      <c r="J22" s="58" t="e">
        <f>_xlfn.XLOOKUP(D22,Tab_Def_Flows[Name(EN)],Tab_Def_Flows[Value_Source],,0,)</f>
        <v>#N/A</v>
      </c>
      <c r="K22" s="58" t="e">
        <f>_xlfn.XLOOKUP(D22,Tab_Def_Flows[Name(EN)],Tab_Def_Flows[WC?],,0,)</f>
        <v>#N/A</v>
      </c>
      <c r="L22" s="58" t="e">
        <f>_xlfn.XLOOKUP(D22,Tab_Def_Flows[Name(EN)],Tab_Def_Flows[DM?],,0,)</f>
        <v>#N/A</v>
      </c>
      <c r="M22" s="58" t="e">
        <f>_xlfn.XLOOKUP(D22,Tab_Def_Flows[Name(EN)],Tab_Def_Flows[CC?],,0,)</f>
        <v>#N/A</v>
      </c>
      <c r="N22" s="96"/>
      <c r="O22" s="89"/>
      <c r="P22" s="93"/>
      <c r="Q22" s="89"/>
      <c r="R22" s="96"/>
      <c r="S22" s="89"/>
    </row>
    <row r="23" spans="1:23" x14ac:dyDescent="0.25">
      <c r="A23" s="84" t="b">
        <v>0</v>
      </c>
      <c r="B23" s="48">
        <f t="shared" si="0"/>
        <v>22</v>
      </c>
      <c r="C23" s="48" t="e">
        <f>_xlfn.XLOOKUP(D23,Tab_Def_Flows[Name(EN)],Tab_Def_Flows[Flow_ID],,0,)</f>
        <v>#N/A</v>
      </c>
      <c r="D23" s="50"/>
      <c r="E23" s="48" t="e">
        <f>_xlfn.XLOOKUP(D23,Tab_Def_Flows[Name(EN)],Tab_Def_Flows[Type_Biomass],,0,)</f>
        <v>#N/A</v>
      </c>
      <c r="F23" s="48" t="e">
        <f>_xlfn.XLOOKUP(D23,Tab_Def_Flows[Name(EN)],Tab_Def_Flows[Output_Process],,0,)</f>
        <v>#N/A</v>
      </c>
      <c r="G23" s="48" t="e">
        <f>_xlfn.XLOOKUP(D23,Tab_Def_Flows[Name(EN)],Tab_Def_Flows[Process_ID_O],,0,)</f>
        <v>#N/A</v>
      </c>
      <c r="H23" s="48" t="e">
        <f>_xlfn.XLOOKUP(D23,Tab_Def_Flows[Name(EN)],Tab_Def_Flows[Input_Process],,0,)</f>
        <v>#N/A</v>
      </c>
      <c r="I23" s="58" t="e">
        <f>_xlfn.XLOOKUP(D23,Tab_Def_Flows[Name(EN)],Tab_Def_Flows[Process_ID_I],,0,)</f>
        <v>#N/A</v>
      </c>
      <c r="J23" s="58" t="e">
        <f>_xlfn.XLOOKUP(D23,Tab_Def_Flows[Name(EN)],Tab_Def_Flows[Value_Source],,0,)</f>
        <v>#N/A</v>
      </c>
      <c r="K23" s="58" t="e">
        <f>_xlfn.XLOOKUP(D23,Tab_Def_Flows[Name(EN)],Tab_Def_Flows[WC?],,0,)</f>
        <v>#N/A</v>
      </c>
      <c r="L23" s="58" t="e">
        <f>_xlfn.XLOOKUP(D23,Tab_Def_Flows[Name(EN)],Tab_Def_Flows[DM?],,0,)</f>
        <v>#N/A</v>
      </c>
      <c r="M23" s="58" t="e">
        <f>_xlfn.XLOOKUP(D23,Tab_Def_Flows[Name(EN)],Tab_Def_Flows[CC?],,0,)</f>
        <v>#N/A</v>
      </c>
      <c r="N23" s="96"/>
      <c r="O23" s="89"/>
      <c r="P23" s="93"/>
      <c r="Q23" s="89"/>
      <c r="R23" s="96"/>
      <c r="S23" s="89"/>
    </row>
    <row r="24" spans="1:23" x14ac:dyDescent="0.25">
      <c r="A24" s="84" t="b">
        <v>0</v>
      </c>
      <c r="B24" s="48">
        <f t="shared" si="0"/>
        <v>23</v>
      </c>
      <c r="C24" s="48" t="e">
        <f>_xlfn.XLOOKUP(D24,Tab_Def_Flows[Name(EN)],Tab_Def_Flows[Flow_ID],,0,)</f>
        <v>#N/A</v>
      </c>
      <c r="D24" s="50"/>
      <c r="E24" s="48" t="e">
        <f>_xlfn.XLOOKUP(D24,Tab_Def_Flows[Name(EN)],Tab_Def_Flows[Type_Biomass],,0,)</f>
        <v>#N/A</v>
      </c>
      <c r="F24" s="48" t="e">
        <f>_xlfn.XLOOKUP(D24,Tab_Def_Flows[Name(EN)],Tab_Def_Flows[Output_Process],,0,)</f>
        <v>#N/A</v>
      </c>
      <c r="G24" s="48" t="e">
        <f>_xlfn.XLOOKUP(D24,Tab_Def_Flows[Name(EN)],Tab_Def_Flows[Process_ID_O],,0,)</f>
        <v>#N/A</v>
      </c>
      <c r="H24" s="48" t="e">
        <f>_xlfn.XLOOKUP(D24,Tab_Def_Flows[Name(EN)],Tab_Def_Flows[Input_Process],,0,)</f>
        <v>#N/A</v>
      </c>
      <c r="I24" s="58" t="e">
        <f>_xlfn.XLOOKUP(D24,Tab_Def_Flows[Name(EN)],Tab_Def_Flows[Process_ID_I],,0,)</f>
        <v>#N/A</v>
      </c>
      <c r="J24" s="58" t="e">
        <f>_xlfn.XLOOKUP(D24,Tab_Def_Flows[Name(EN)],Tab_Def_Flows[Value_Source],,0,)</f>
        <v>#N/A</v>
      </c>
      <c r="K24" s="58" t="e">
        <f>_xlfn.XLOOKUP(D24,Tab_Def_Flows[Name(EN)],Tab_Def_Flows[WC?],,0,)</f>
        <v>#N/A</v>
      </c>
      <c r="L24" s="58" t="e">
        <f>_xlfn.XLOOKUP(D24,Tab_Def_Flows[Name(EN)],Tab_Def_Flows[DM?],,0,)</f>
        <v>#N/A</v>
      </c>
      <c r="M24" s="58" t="e">
        <f>_xlfn.XLOOKUP(D24,Tab_Def_Flows[Name(EN)],Tab_Def_Flows[CC?],,0,)</f>
        <v>#N/A</v>
      </c>
      <c r="N24" s="96"/>
      <c r="O24" s="89"/>
      <c r="P24" s="93"/>
      <c r="Q24" s="89"/>
      <c r="R24" s="96"/>
      <c r="S24" s="89"/>
    </row>
    <row r="25" spans="1:23" x14ac:dyDescent="0.25">
      <c r="A25" s="84" t="b">
        <v>0</v>
      </c>
      <c r="B25" s="48">
        <f t="shared" si="0"/>
        <v>24</v>
      </c>
      <c r="C25" s="48" t="e">
        <f>_xlfn.XLOOKUP(D25,Tab_Def_Flows[Name(EN)],Tab_Def_Flows[Flow_ID],,0,)</f>
        <v>#N/A</v>
      </c>
      <c r="D25" s="50"/>
      <c r="E25" s="48" t="e">
        <f>_xlfn.XLOOKUP(D25,Tab_Def_Flows[Name(EN)],Tab_Def_Flows[Type_Biomass],,0,)</f>
        <v>#N/A</v>
      </c>
      <c r="F25" s="48" t="e">
        <f>_xlfn.XLOOKUP(D25,Tab_Def_Flows[Name(EN)],Tab_Def_Flows[Output_Process],,0,)</f>
        <v>#N/A</v>
      </c>
      <c r="G25" s="48" t="e">
        <f>_xlfn.XLOOKUP(D25,Tab_Def_Flows[Name(EN)],Tab_Def_Flows[Process_ID_O],,0,)</f>
        <v>#N/A</v>
      </c>
      <c r="H25" s="48" t="e">
        <f>_xlfn.XLOOKUP(D25,Tab_Def_Flows[Name(EN)],Tab_Def_Flows[Input_Process],,0,)</f>
        <v>#N/A</v>
      </c>
      <c r="I25" s="58" t="e">
        <f>_xlfn.XLOOKUP(D25,Tab_Def_Flows[Name(EN)],Tab_Def_Flows[Process_ID_I],,0,)</f>
        <v>#N/A</v>
      </c>
      <c r="J25" s="58" t="e">
        <f>_xlfn.XLOOKUP(D25,Tab_Def_Flows[Name(EN)],Tab_Def_Flows[Value_Source],,0,)</f>
        <v>#N/A</v>
      </c>
      <c r="K25" s="58" t="e">
        <f>_xlfn.XLOOKUP(D25,Tab_Def_Flows[Name(EN)],Tab_Def_Flows[WC?],,0,)</f>
        <v>#N/A</v>
      </c>
      <c r="L25" s="58" t="e">
        <f>_xlfn.XLOOKUP(D25,Tab_Def_Flows[Name(EN)],Tab_Def_Flows[DM?],,0,)</f>
        <v>#N/A</v>
      </c>
      <c r="M25" s="58" t="e">
        <f>_xlfn.XLOOKUP(D25,Tab_Def_Flows[Name(EN)],Tab_Def_Flows[CC?],,0,)</f>
        <v>#N/A</v>
      </c>
      <c r="N25" s="96"/>
      <c r="O25" s="89"/>
      <c r="P25" s="93"/>
      <c r="Q25" s="89"/>
      <c r="R25" s="96"/>
      <c r="S25" s="89"/>
    </row>
    <row r="26" spans="1:23" x14ac:dyDescent="0.25">
      <c r="A26" s="84" t="b">
        <v>0</v>
      </c>
      <c r="B26" s="48">
        <f t="shared" si="0"/>
        <v>25</v>
      </c>
      <c r="C26" s="48" t="e">
        <f>_xlfn.XLOOKUP(D26,Tab_Def_Flows[Name(EN)],Tab_Def_Flows[Flow_ID],,0,)</f>
        <v>#N/A</v>
      </c>
      <c r="D26" s="50"/>
      <c r="E26" s="48" t="e">
        <f>_xlfn.XLOOKUP(D26,Tab_Def_Flows[Name(EN)],Tab_Def_Flows[Type_Biomass],,0,)</f>
        <v>#N/A</v>
      </c>
      <c r="F26" s="48" t="e">
        <f>_xlfn.XLOOKUP(D26,Tab_Def_Flows[Name(EN)],Tab_Def_Flows[Output_Process],,0,)</f>
        <v>#N/A</v>
      </c>
      <c r="G26" s="48" t="e">
        <f>_xlfn.XLOOKUP(D26,Tab_Def_Flows[Name(EN)],Tab_Def_Flows[Process_ID_O],,0,)</f>
        <v>#N/A</v>
      </c>
      <c r="H26" s="48" t="e">
        <f>_xlfn.XLOOKUP(D26,Tab_Def_Flows[Name(EN)],Tab_Def_Flows[Input_Process],,0,)</f>
        <v>#N/A</v>
      </c>
      <c r="I26" s="58" t="e">
        <f>_xlfn.XLOOKUP(D26,Tab_Def_Flows[Name(EN)],Tab_Def_Flows[Process_ID_I],,0,)</f>
        <v>#N/A</v>
      </c>
      <c r="J26" s="58" t="e">
        <f>_xlfn.XLOOKUP(D26,Tab_Def_Flows[Name(EN)],Tab_Def_Flows[Value_Source],,0,)</f>
        <v>#N/A</v>
      </c>
      <c r="K26" s="58" t="e">
        <f>_xlfn.XLOOKUP(D26,Tab_Def_Flows[Name(EN)],Tab_Def_Flows[WC?],,0,)</f>
        <v>#N/A</v>
      </c>
      <c r="L26" s="58" t="e">
        <f>_xlfn.XLOOKUP(D26,Tab_Def_Flows[Name(EN)],Tab_Def_Flows[DM?],,0,)</f>
        <v>#N/A</v>
      </c>
      <c r="M26" s="58" t="e">
        <f>_xlfn.XLOOKUP(D26,Tab_Def_Flows[Name(EN)],Tab_Def_Flows[CC?],,0,)</f>
        <v>#N/A</v>
      </c>
      <c r="N26" s="96"/>
      <c r="O26" s="89"/>
      <c r="P26" s="93"/>
      <c r="Q26" s="89"/>
      <c r="R26" s="96"/>
      <c r="S26" s="89"/>
    </row>
    <row r="27" spans="1:23" x14ac:dyDescent="0.25">
      <c r="A27" s="84" t="b">
        <v>0</v>
      </c>
      <c r="B27" s="48">
        <f t="shared" si="0"/>
        <v>26</v>
      </c>
      <c r="C27" s="48" t="e">
        <f>_xlfn.XLOOKUP(D27,Tab_Def_Flows[Name(EN)],Tab_Def_Flows[Flow_ID],,0,)</f>
        <v>#N/A</v>
      </c>
      <c r="D27" s="50"/>
      <c r="E27" s="48" t="e">
        <f>_xlfn.XLOOKUP(D27,Tab_Def_Flows[Name(EN)],Tab_Def_Flows[Type_Biomass],,0,)</f>
        <v>#N/A</v>
      </c>
      <c r="F27" s="48" t="e">
        <f>_xlfn.XLOOKUP(D27,Tab_Def_Flows[Name(EN)],Tab_Def_Flows[Output_Process],,0,)</f>
        <v>#N/A</v>
      </c>
      <c r="G27" s="48" t="e">
        <f>_xlfn.XLOOKUP(D27,Tab_Def_Flows[Name(EN)],Tab_Def_Flows[Process_ID_O],,0,)</f>
        <v>#N/A</v>
      </c>
      <c r="H27" s="48" t="e">
        <f>_xlfn.XLOOKUP(D27,Tab_Def_Flows[Name(EN)],Tab_Def_Flows[Input_Process],,0,)</f>
        <v>#N/A</v>
      </c>
      <c r="I27" s="58" t="e">
        <f>_xlfn.XLOOKUP(D27,Tab_Def_Flows[Name(EN)],Tab_Def_Flows[Process_ID_I],,0,)</f>
        <v>#N/A</v>
      </c>
      <c r="J27" s="58" t="e">
        <f>_xlfn.XLOOKUP(D27,Tab_Def_Flows[Name(EN)],Tab_Def_Flows[Value_Source],,0,)</f>
        <v>#N/A</v>
      </c>
      <c r="K27" s="58" t="e">
        <f>_xlfn.XLOOKUP(D27,Tab_Def_Flows[Name(EN)],Tab_Def_Flows[WC?],,0,)</f>
        <v>#N/A</v>
      </c>
      <c r="L27" s="58" t="e">
        <f>_xlfn.XLOOKUP(D27,Tab_Def_Flows[Name(EN)],Tab_Def_Flows[DM?],,0,)</f>
        <v>#N/A</v>
      </c>
      <c r="M27" s="58" t="e">
        <f>_xlfn.XLOOKUP(D27,Tab_Def_Flows[Name(EN)],Tab_Def_Flows[CC?],,0,)</f>
        <v>#N/A</v>
      </c>
      <c r="N27" s="96"/>
      <c r="O27" s="89"/>
      <c r="P27" s="93"/>
      <c r="Q27" s="89"/>
      <c r="R27" s="96"/>
      <c r="S27" s="89"/>
    </row>
    <row r="28" spans="1:23" x14ac:dyDescent="0.25">
      <c r="A28" s="84" t="b">
        <v>0</v>
      </c>
      <c r="B28" s="48">
        <f t="shared" si="0"/>
        <v>27</v>
      </c>
      <c r="C28" s="48" t="e">
        <f>_xlfn.XLOOKUP(D28,Tab_Def_Flows[Name(EN)],Tab_Def_Flows[Flow_ID],,0,)</f>
        <v>#N/A</v>
      </c>
      <c r="D28" s="50"/>
      <c r="E28" s="48" t="e">
        <f>_xlfn.XLOOKUP(D28,Tab_Def_Flows[Name(EN)],Tab_Def_Flows[Type_Biomass],,0,)</f>
        <v>#N/A</v>
      </c>
      <c r="F28" s="48" t="e">
        <f>_xlfn.XLOOKUP(D28,Tab_Def_Flows[Name(EN)],Tab_Def_Flows[Output_Process],,0,)</f>
        <v>#N/A</v>
      </c>
      <c r="G28" s="48" t="e">
        <f>_xlfn.XLOOKUP(D28,Tab_Def_Flows[Name(EN)],Tab_Def_Flows[Process_ID_O],,0,)</f>
        <v>#N/A</v>
      </c>
      <c r="H28" s="48" t="e">
        <f>_xlfn.XLOOKUP(D28,Tab_Def_Flows[Name(EN)],Tab_Def_Flows[Input_Process],,0,)</f>
        <v>#N/A</v>
      </c>
      <c r="I28" s="58" t="e">
        <f>_xlfn.XLOOKUP(D28,Tab_Def_Flows[Name(EN)],Tab_Def_Flows[Process_ID_I],,0,)</f>
        <v>#N/A</v>
      </c>
      <c r="J28" s="58" t="e">
        <f>_xlfn.XLOOKUP(D28,Tab_Def_Flows[Name(EN)],Tab_Def_Flows[Value_Source],,0,)</f>
        <v>#N/A</v>
      </c>
      <c r="K28" s="58" t="e">
        <f>_xlfn.XLOOKUP(D28,Tab_Def_Flows[Name(EN)],Tab_Def_Flows[WC?],,0,)</f>
        <v>#N/A</v>
      </c>
      <c r="L28" s="58" t="e">
        <f>_xlfn.XLOOKUP(D28,Tab_Def_Flows[Name(EN)],Tab_Def_Flows[DM?],,0,)</f>
        <v>#N/A</v>
      </c>
      <c r="M28" s="58" t="e">
        <f>_xlfn.XLOOKUP(D28,Tab_Def_Flows[Name(EN)],Tab_Def_Flows[CC?],,0,)</f>
        <v>#N/A</v>
      </c>
      <c r="N28" s="96"/>
      <c r="O28" s="89"/>
      <c r="P28" s="93"/>
      <c r="Q28" s="89"/>
      <c r="R28" s="96"/>
      <c r="S28" s="89"/>
    </row>
    <row r="29" spans="1:23" x14ac:dyDescent="0.25">
      <c r="A29" s="84" t="b">
        <v>0</v>
      </c>
      <c r="B29" s="48">
        <f t="shared" si="0"/>
        <v>28</v>
      </c>
      <c r="C29" s="48" t="e">
        <f>_xlfn.XLOOKUP(D29,Tab_Def_Flows[Name(EN)],Tab_Def_Flows[Flow_ID],,0,)</f>
        <v>#N/A</v>
      </c>
      <c r="D29" s="50"/>
      <c r="E29" s="48" t="e">
        <f>_xlfn.XLOOKUP(D29,Tab_Def_Flows[Name(EN)],Tab_Def_Flows[Type_Biomass],,0,)</f>
        <v>#N/A</v>
      </c>
      <c r="F29" s="48" t="e">
        <f>_xlfn.XLOOKUP(D29,Tab_Def_Flows[Name(EN)],Tab_Def_Flows[Output_Process],,0,)</f>
        <v>#N/A</v>
      </c>
      <c r="G29" s="48" t="e">
        <f>_xlfn.XLOOKUP(D29,Tab_Def_Flows[Name(EN)],Tab_Def_Flows[Process_ID_O],,0,)</f>
        <v>#N/A</v>
      </c>
      <c r="H29" s="48" t="e">
        <f>_xlfn.XLOOKUP(D29,Tab_Def_Flows[Name(EN)],Tab_Def_Flows[Input_Process],,0,)</f>
        <v>#N/A</v>
      </c>
      <c r="I29" s="58" t="e">
        <f>_xlfn.XLOOKUP(D29,Tab_Def_Flows[Name(EN)],Tab_Def_Flows[Process_ID_I],,0,)</f>
        <v>#N/A</v>
      </c>
      <c r="J29" s="58" t="e">
        <f>_xlfn.XLOOKUP(D29,Tab_Def_Flows[Name(EN)],Tab_Def_Flows[Value_Source],,0,)</f>
        <v>#N/A</v>
      </c>
      <c r="K29" s="58" t="e">
        <f>_xlfn.XLOOKUP(D29,Tab_Def_Flows[Name(EN)],Tab_Def_Flows[WC?],,0,)</f>
        <v>#N/A</v>
      </c>
      <c r="L29" s="58" t="e">
        <f>_xlfn.XLOOKUP(D29,Tab_Def_Flows[Name(EN)],Tab_Def_Flows[DM?],,0,)</f>
        <v>#N/A</v>
      </c>
      <c r="M29" s="58" t="e">
        <f>_xlfn.XLOOKUP(D29,Tab_Def_Flows[Name(EN)],Tab_Def_Flows[CC?],,0,)</f>
        <v>#N/A</v>
      </c>
      <c r="N29" s="96"/>
      <c r="O29" s="89"/>
      <c r="P29" s="93"/>
      <c r="Q29" s="89"/>
      <c r="R29" s="96"/>
      <c r="S29" s="89"/>
    </row>
    <row r="30" spans="1:23" x14ac:dyDescent="0.25">
      <c r="A30" s="84" t="b">
        <v>0</v>
      </c>
      <c r="B30" s="48">
        <f t="shared" si="0"/>
        <v>29</v>
      </c>
      <c r="C30" s="48" t="e">
        <f>_xlfn.XLOOKUP(D30,Tab_Def_Flows[Name(EN)],Tab_Def_Flows[Flow_ID],,0,)</f>
        <v>#N/A</v>
      </c>
      <c r="D30" s="50"/>
      <c r="E30" s="48" t="e">
        <f>_xlfn.XLOOKUP(D30,Tab_Def_Flows[Name(EN)],Tab_Def_Flows[Type_Biomass],,0,)</f>
        <v>#N/A</v>
      </c>
      <c r="F30" s="48" t="e">
        <f>_xlfn.XLOOKUP(D30,Tab_Def_Flows[Name(EN)],Tab_Def_Flows[Output_Process],,0,)</f>
        <v>#N/A</v>
      </c>
      <c r="G30" s="48" t="e">
        <f>_xlfn.XLOOKUP(D30,Tab_Def_Flows[Name(EN)],Tab_Def_Flows[Process_ID_O],,0,)</f>
        <v>#N/A</v>
      </c>
      <c r="H30" s="48" t="e">
        <f>_xlfn.XLOOKUP(D30,Tab_Def_Flows[Name(EN)],Tab_Def_Flows[Input_Process],,0,)</f>
        <v>#N/A</v>
      </c>
      <c r="I30" s="58" t="e">
        <f>_xlfn.XLOOKUP(D30,Tab_Def_Flows[Name(EN)],Tab_Def_Flows[Process_ID_I],,0,)</f>
        <v>#N/A</v>
      </c>
      <c r="J30" s="58" t="e">
        <f>_xlfn.XLOOKUP(D30,Tab_Def_Flows[Name(EN)],Tab_Def_Flows[Value_Source],,0,)</f>
        <v>#N/A</v>
      </c>
      <c r="K30" s="58" t="e">
        <f>_xlfn.XLOOKUP(D30,Tab_Def_Flows[Name(EN)],Tab_Def_Flows[WC?],,0,)</f>
        <v>#N/A</v>
      </c>
      <c r="L30" s="58" t="e">
        <f>_xlfn.XLOOKUP(D30,Tab_Def_Flows[Name(EN)],Tab_Def_Flows[DM?],,0,)</f>
        <v>#N/A</v>
      </c>
      <c r="M30" s="58" t="e">
        <f>_xlfn.XLOOKUP(D30,Tab_Def_Flows[Name(EN)],Tab_Def_Flows[CC?],,0,)</f>
        <v>#N/A</v>
      </c>
      <c r="N30" s="96"/>
      <c r="O30" s="89"/>
      <c r="P30" s="93"/>
      <c r="Q30" s="89"/>
      <c r="R30" s="96"/>
      <c r="S30" s="89"/>
    </row>
    <row r="31" spans="1:23" x14ac:dyDescent="0.25">
      <c r="A31" s="84" t="b">
        <v>0</v>
      </c>
      <c r="B31" s="48">
        <f t="shared" si="0"/>
        <v>30</v>
      </c>
      <c r="C31" s="48" t="e">
        <f>_xlfn.XLOOKUP(D31,Tab_Def_Flows[Name(EN)],Tab_Def_Flows[Flow_ID],,0,)</f>
        <v>#N/A</v>
      </c>
      <c r="D31" s="50"/>
      <c r="E31" s="48" t="e">
        <f>_xlfn.XLOOKUP(D31,Tab_Def_Flows[Name(EN)],Tab_Def_Flows[Type_Biomass],,0,)</f>
        <v>#N/A</v>
      </c>
      <c r="F31" s="48" t="e">
        <f>_xlfn.XLOOKUP(D31,Tab_Def_Flows[Name(EN)],Tab_Def_Flows[Output_Process],,0,)</f>
        <v>#N/A</v>
      </c>
      <c r="G31" s="48" t="e">
        <f>_xlfn.XLOOKUP(D31,Tab_Def_Flows[Name(EN)],Tab_Def_Flows[Process_ID_O],,0,)</f>
        <v>#N/A</v>
      </c>
      <c r="H31" s="48" t="e">
        <f>_xlfn.XLOOKUP(D31,Tab_Def_Flows[Name(EN)],Tab_Def_Flows[Input_Process],,0,)</f>
        <v>#N/A</v>
      </c>
      <c r="I31" s="58" t="e">
        <f>_xlfn.XLOOKUP(D31,Tab_Def_Flows[Name(EN)],Tab_Def_Flows[Process_ID_I],,0,)</f>
        <v>#N/A</v>
      </c>
      <c r="J31" s="58" t="e">
        <f>_xlfn.XLOOKUP(D31,Tab_Def_Flows[Name(EN)],Tab_Def_Flows[Value_Source],,0,)</f>
        <v>#N/A</v>
      </c>
      <c r="K31" s="58" t="e">
        <f>_xlfn.XLOOKUP(D31,Tab_Def_Flows[Name(EN)],Tab_Def_Flows[WC?],,0,)</f>
        <v>#N/A</v>
      </c>
      <c r="L31" s="58" t="e">
        <f>_xlfn.XLOOKUP(D31,Tab_Def_Flows[Name(EN)],Tab_Def_Flows[DM?],,0,)</f>
        <v>#N/A</v>
      </c>
      <c r="M31" s="58" t="e">
        <f>_xlfn.XLOOKUP(D31,Tab_Def_Flows[Name(EN)],Tab_Def_Flows[CC?],,0,)</f>
        <v>#N/A</v>
      </c>
      <c r="N31" s="96"/>
      <c r="O31" s="89"/>
      <c r="P31" s="93"/>
      <c r="Q31" s="89"/>
      <c r="R31" s="96"/>
      <c r="S31" s="89"/>
    </row>
    <row r="32" spans="1:23" x14ac:dyDescent="0.25">
      <c r="A32" s="84" t="b">
        <v>0</v>
      </c>
      <c r="B32" s="48">
        <f t="shared" si="0"/>
        <v>31</v>
      </c>
      <c r="C32" s="48" t="e">
        <f>_xlfn.XLOOKUP(D32,Tab_Def_Flows[Name(EN)],Tab_Def_Flows[Flow_ID],,0,)</f>
        <v>#N/A</v>
      </c>
      <c r="D32" s="50"/>
      <c r="E32" s="48" t="e">
        <f>_xlfn.XLOOKUP(D32,Tab_Def_Flows[Name(EN)],Tab_Def_Flows[Type_Biomass],,0,)</f>
        <v>#N/A</v>
      </c>
      <c r="F32" s="48" t="e">
        <f>_xlfn.XLOOKUP(D32,Tab_Def_Flows[Name(EN)],Tab_Def_Flows[Output_Process],,0,)</f>
        <v>#N/A</v>
      </c>
      <c r="G32" s="48" t="e">
        <f>_xlfn.XLOOKUP(D32,Tab_Def_Flows[Name(EN)],Tab_Def_Flows[Process_ID_O],,0,)</f>
        <v>#N/A</v>
      </c>
      <c r="H32" s="48" t="e">
        <f>_xlfn.XLOOKUP(D32,Tab_Def_Flows[Name(EN)],Tab_Def_Flows[Input_Process],,0,)</f>
        <v>#N/A</v>
      </c>
      <c r="I32" s="58" t="e">
        <f>_xlfn.XLOOKUP(D32,Tab_Def_Flows[Name(EN)],Tab_Def_Flows[Process_ID_I],,0,)</f>
        <v>#N/A</v>
      </c>
      <c r="J32" s="58" t="e">
        <f>_xlfn.XLOOKUP(D32,Tab_Def_Flows[Name(EN)],Tab_Def_Flows[Value_Source],,0,)</f>
        <v>#N/A</v>
      </c>
      <c r="K32" s="58" t="e">
        <f>_xlfn.XLOOKUP(D32,Tab_Def_Flows[Name(EN)],Tab_Def_Flows[WC?],,0,)</f>
        <v>#N/A</v>
      </c>
      <c r="L32" s="58" t="e">
        <f>_xlfn.XLOOKUP(D32,Tab_Def_Flows[Name(EN)],Tab_Def_Flows[DM?],,0,)</f>
        <v>#N/A</v>
      </c>
      <c r="M32" s="58" t="e">
        <f>_xlfn.XLOOKUP(D32,Tab_Def_Flows[Name(EN)],Tab_Def_Flows[CC?],,0,)</f>
        <v>#N/A</v>
      </c>
      <c r="N32" s="96"/>
      <c r="O32" s="89"/>
      <c r="P32" s="93"/>
      <c r="Q32" s="89"/>
      <c r="R32" s="96"/>
      <c r="S32" s="89"/>
    </row>
    <row r="33" spans="1:19" x14ac:dyDescent="0.25">
      <c r="A33" s="84" t="b">
        <v>0</v>
      </c>
      <c r="B33" s="48">
        <f t="shared" si="0"/>
        <v>32</v>
      </c>
      <c r="C33" s="48" t="e">
        <f>_xlfn.XLOOKUP(D33,Tab_Def_Flows[Name(EN)],Tab_Def_Flows[Flow_ID],,0,)</f>
        <v>#N/A</v>
      </c>
      <c r="D33" s="50"/>
      <c r="E33" s="48" t="e">
        <f>_xlfn.XLOOKUP(D33,Tab_Def_Flows[Name(EN)],Tab_Def_Flows[Type_Biomass],,0,)</f>
        <v>#N/A</v>
      </c>
      <c r="F33" s="48" t="e">
        <f>_xlfn.XLOOKUP(D33,Tab_Def_Flows[Name(EN)],Tab_Def_Flows[Output_Process],,0,)</f>
        <v>#N/A</v>
      </c>
      <c r="G33" s="48" t="e">
        <f>_xlfn.XLOOKUP(D33,Tab_Def_Flows[Name(EN)],Tab_Def_Flows[Process_ID_O],,0,)</f>
        <v>#N/A</v>
      </c>
      <c r="H33" s="48" t="e">
        <f>_xlfn.XLOOKUP(D33,Tab_Def_Flows[Name(EN)],Tab_Def_Flows[Input_Process],,0,)</f>
        <v>#N/A</v>
      </c>
      <c r="I33" s="58" t="e">
        <f>_xlfn.XLOOKUP(D33,Tab_Def_Flows[Name(EN)],Tab_Def_Flows[Process_ID_I],,0,)</f>
        <v>#N/A</v>
      </c>
      <c r="J33" s="58" t="e">
        <f>_xlfn.XLOOKUP(D33,Tab_Def_Flows[Name(EN)],Tab_Def_Flows[Value_Source],,0,)</f>
        <v>#N/A</v>
      </c>
      <c r="K33" s="58" t="e">
        <f>_xlfn.XLOOKUP(D33,Tab_Def_Flows[Name(EN)],Tab_Def_Flows[WC?],,0,)</f>
        <v>#N/A</v>
      </c>
      <c r="L33" s="58" t="e">
        <f>_xlfn.XLOOKUP(D33,Tab_Def_Flows[Name(EN)],Tab_Def_Flows[DM?],,0,)</f>
        <v>#N/A</v>
      </c>
      <c r="M33" s="58" t="e">
        <f>_xlfn.XLOOKUP(D33,Tab_Def_Flows[Name(EN)],Tab_Def_Flows[CC?],,0,)</f>
        <v>#N/A</v>
      </c>
      <c r="N33" s="96"/>
      <c r="O33" s="89"/>
      <c r="P33" s="93"/>
      <c r="Q33" s="89"/>
      <c r="R33" s="96"/>
      <c r="S33" s="89"/>
    </row>
    <row r="34" spans="1:19" x14ac:dyDescent="0.25">
      <c r="A34" s="84" t="b">
        <v>0</v>
      </c>
      <c r="B34" s="48">
        <f t="shared" si="0"/>
        <v>33</v>
      </c>
      <c r="C34" s="48" t="e">
        <f>_xlfn.XLOOKUP(D34,Tab_Def_Flows[Name(EN)],Tab_Def_Flows[Flow_ID],,0,)</f>
        <v>#N/A</v>
      </c>
      <c r="D34" s="50"/>
      <c r="E34" s="48" t="e">
        <f>_xlfn.XLOOKUP(D34,Tab_Def_Flows[Name(EN)],Tab_Def_Flows[Type_Biomass],,0,)</f>
        <v>#N/A</v>
      </c>
      <c r="F34" s="48" t="e">
        <f>_xlfn.XLOOKUP(D34,Tab_Def_Flows[Name(EN)],Tab_Def_Flows[Output_Process],,0,)</f>
        <v>#N/A</v>
      </c>
      <c r="G34" s="48" t="e">
        <f>_xlfn.XLOOKUP(D34,Tab_Def_Flows[Name(EN)],Tab_Def_Flows[Process_ID_O],,0,)</f>
        <v>#N/A</v>
      </c>
      <c r="H34" s="48" t="e">
        <f>_xlfn.XLOOKUP(D34,Tab_Def_Flows[Name(EN)],Tab_Def_Flows[Input_Process],,0,)</f>
        <v>#N/A</v>
      </c>
      <c r="I34" s="58" t="e">
        <f>_xlfn.XLOOKUP(D34,Tab_Def_Flows[Name(EN)],Tab_Def_Flows[Process_ID_I],,0,)</f>
        <v>#N/A</v>
      </c>
      <c r="J34" s="58" t="e">
        <f>_xlfn.XLOOKUP(D34,Tab_Def_Flows[Name(EN)],Tab_Def_Flows[Value_Source],,0,)</f>
        <v>#N/A</v>
      </c>
      <c r="K34" s="58" t="e">
        <f>_xlfn.XLOOKUP(D34,Tab_Def_Flows[Name(EN)],Tab_Def_Flows[WC?],,0,)</f>
        <v>#N/A</v>
      </c>
      <c r="L34" s="58" t="e">
        <f>_xlfn.XLOOKUP(D34,Tab_Def_Flows[Name(EN)],Tab_Def_Flows[DM?],,0,)</f>
        <v>#N/A</v>
      </c>
      <c r="M34" s="58" t="e">
        <f>_xlfn.XLOOKUP(D34,Tab_Def_Flows[Name(EN)],Tab_Def_Flows[CC?],,0,)</f>
        <v>#N/A</v>
      </c>
      <c r="N34" s="96"/>
      <c r="O34" s="89"/>
      <c r="P34" s="93"/>
      <c r="Q34" s="89"/>
      <c r="R34" s="96"/>
      <c r="S34" s="89"/>
    </row>
    <row r="35" spans="1:19" x14ac:dyDescent="0.25">
      <c r="A35" s="84" t="b">
        <v>0</v>
      </c>
      <c r="B35" s="48">
        <f t="shared" si="0"/>
        <v>34</v>
      </c>
      <c r="C35" s="48" t="e">
        <f>_xlfn.XLOOKUP(D35,Tab_Def_Flows[Name(EN)],Tab_Def_Flows[Flow_ID],,0,)</f>
        <v>#N/A</v>
      </c>
      <c r="D35" s="50"/>
      <c r="E35" s="48" t="e">
        <f>_xlfn.XLOOKUP(D35,Tab_Def_Flows[Name(EN)],Tab_Def_Flows[Type_Biomass],,0,)</f>
        <v>#N/A</v>
      </c>
      <c r="F35" s="48" t="e">
        <f>_xlfn.XLOOKUP(D35,Tab_Def_Flows[Name(EN)],Tab_Def_Flows[Output_Process],,0,)</f>
        <v>#N/A</v>
      </c>
      <c r="G35" s="48" t="e">
        <f>_xlfn.XLOOKUP(D35,Tab_Def_Flows[Name(EN)],Tab_Def_Flows[Process_ID_O],,0,)</f>
        <v>#N/A</v>
      </c>
      <c r="H35" s="48" t="e">
        <f>_xlfn.XLOOKUP(D35,Tab_Def_Flows[Name(EN)],Tab_Def_Flows[Input_Process],,0,)</f>
        <v>#N/A</v>
      </c>
      <c r="I35" s="58" t="e">
        <f>_xlfn.XLOOKUP(D35,Tab_Def_Flows[Name(EN)],Tab_Def_Flows[Process_ID_I],,0,)</f>
        <v>#N/A</v>
      </c>
      <c r="J35" s="58" t="e">
        <f>_xlfn.XLOOKUP(D35,Tab_Def_Flows[Name(EN)],Tab_Def_Flows[Value_Source],,0,)</f>
        <v>#N/A</v>
      </c>
      <c r="K35" s="58" t="e">
        <f>_xlfn.XLOOKUP(D35,Tab_Def_Flows[Name(EN)],Tab_Def_Flows[WC?],,0,)</f>
        <v>#N/A</v>
      </c>
      <c r="L35" s="58" t="e">
        <f>_xlfn.XLOOKUP(D35,Tab_Def_Flows[Name(EN)],Tab_Def_Flows[DM?],,0,)</f>
        <v>#N/A</v>
      </c>
      <c r="M35" s="58" t="e">
        <f>_xlfn.XLOOKUP(D35,Tab_Def_Flows[Name(EN)],Tab_Def_Flows[CC?],,0,)</f>
        <v>#N/A</v>
      </c>
      <c r="N35" s="96"/>
      <c r="O35" s="89"/>
      <c r="P35" s="93"/>
      <c r="Q35" s="89"/>
      <c r="R35" s="96"/>
      <c r="S35" s="89"/>
    </row>
    <row r="36" spans="1:19" x14ac:dyDescent="0.25">
      <c r="A36" s="84" t="b">
        <v>0</v>
      </c>
      <c r="B36" s="48">
        <f t="shared" si="0"/>
        <v>35</v>
      </c>
      <c r="C36" s="48" t="e">
        <f>_xlfn.XLOOKUP(D36,Tab_Def_Flows[Name(EN)],Tab_Def_Flows[Flow_ID],,0,)</f>
        <v>#N/A</v>
      </c>
      <c r="D36" s="50"/>
      <c r="E36" s="48" t="e">
        <f>_xlfn.XLOOKUP(D36,Tab_Def_Flows[Name(EN)],Tab_Def_Flows[Type_Biomass],,0,)</f>
        <v>#N/A</v>
      </c>
      <c r="F36" s="48" t="e">
        <f>_xlfn.XLOOKUP(D36,Tab_Def_Flows[Name(EN)],Tab_Def_Flows[Output_Process],,0,)</f>
        <v>#N/A</v>
      </c>
      <c r="G36" s="48" t="e">
        <f>_xlfn.XLOOKUP(D36,Tab_Def_Flows[Name(EN)],Tab_Def_Flows[Process_ID_O],,0,)</f>
        <v>#N/A</v>
      </c>
      <c r="H36" s="48" t="e">
        <f>_xlfn.XLOOKUP(D36,Tab_Def_Flows[Name(EN)],Tab_Def_Flows[Input_Process],,0,)</f>
        <v>#N/A</v>
      </c>
      <c r="I36" s="58" t="e">
        <f>_xlfn.XLOOKUP(D36,Tab_Def_Flows[Name(EN)],Tab_Def_Flows[Process_ID_I],,0,)</f>
        <v>#N/A</v>
      </c>
      <c r="J36" s="58" t="e">
        <f>_xlfn.XLOOKUP(D36,Tab_Def_Flows[Name(EN)],Tab_Def_Flows[Value_Source],,0,)</f>
        <v>#N/A</v>
      </c>
      <c r="K36" s="58" t="e">
        <f>_xlfn.XLOOKUP(D36,Tab_Def_Flows[Name(EN)],Tab_Def_Flows[WC?],,0,)</f>
        <v>#N/A</v>
      </c>
      <c r="L36" s="58" t="e">
        <f>_xlfn.XLOOKUP(D36,Tab_Def_Flows[Name(EN)],Tab_Def_Flows[DM?],,0,)</f>
        <v>#N/A</v>
      </c>
      <c r="M36" s="58" t="e">
        <f>_xlfn.XLOOKUP(D36,Tab_Def_Flows[Name(EN)],Tab_Def_Flows[CC?],,0,)</f>
        <v>#N/A</v>
      </c>
      <c r="N36" s="96"/>
      <c r="O36" s="89"/>
      <c r="P36" s="93"/>
      <c r="Q36" s="89"/>
      <c r="R36" s="96"/>
      <c r="S36" s="89"/>
    </row>
    <row r="37" spans="1:19" x14ac:dyDescent="0.25">
      <c r="A37" s="84" t="b">
        <v>0</v>
      </c>
      <c r="B37" s="48">
        <f t="shared" si="0"/>
        <v>36</v>
      </c>
      <c r="C37" s="48" t="e">
        <f>_xlfn.XLOOKUP(D37,Tab_Def_Flows[Name(EN)],Tab_Def_Flows[Flow_ID],,0,)</f>
        <v>#N/A</v>
      </c>
      <c r="D37" s="50"/>
      <c r="E37" s="48" t="e">
        <f>_xlfn.XLOOKUP(D37,Tab_Def_Flows[Name(EN)],Tab_Def_Flows[Type_Biomass],,0,)</f>
        <v>#N/A</v>
      </c>
      <c r="F37" s="48" t="e">
        <f>_xlfn.XLOOKUP(D37,Tab_Def_Flows[Name(EN)],Tab_Def_Flows[Output_Process],,0,)</f>
        <v>#N/A</v>
      </c>
      <c r="G37" s="48" t="e">
        <f>_xlfn.XLOOKUP(D37,Tab_Def_Flows[Name(EN)],Tab_Def_Flows[Process_ID_O],,0,)</f>
        <v>#N/A</v>
      </c>
      <c r="H37" s="48" t="e">
        <f>_xlfn.XLOOKUP(D37,Tab_Def_Flows[Name(EN)],Tab_Def_Flows[Input_Process],,0,)</f>
        <v>#N/A</v>
      </c>
      <c r="I37" s="58" t="e">
        <f>_xlfn.XLOOKUP(D37,Tab_Def_Flows[Name(EN)],Tab_Def_Flows[Process_ID_I],,0,)</f>
        <v>#N/A</v>
      </c>
      <c r="J37" s="58" t="e">
        <f>_xlfn.XLOOKUP(D37,Tab_Def_Flows[Name(EN)],Tab_Def_Flows[Value_Source],,0,)</f>
        <v>#N/A</v>
      </c>
      <c r="K37" s="58" t="e">
        <f>_xlfn.XLOOKUP(D37,Tab_Def_Flows[Name(EN)],Tab_Def_Flows[WC?],,0,)</f>
        <v>#N/A</v>
      </c>
      <c r="L37" s="58" t="e">
        <f>_xlfn.XLOOKUP(D37,Tab_Def_Flows[Name(EN)],Tab_Def_Flows[DM?],,0,)</f>
        <v>#N/A</v>
      </c>
      <c r="M37" s="58" t="e">
        <f>_xlfn.XLOOKUP(D37,Tab_Def_Flows[Name(EN)],Tab_Def_Flows[CC?],,0,)</f>
        <v>#N/A</v>
      </c>
      <c r="N37" s="96"/>
      <c r="O37" s="89"/>
      <c r="P37" s="93"/>
      <c r="Q37" s="89"/>
      <c r="R37" s="96"/>
      <c r="S37" s="89"/>
    </row>
    <row r="38" spans="1:19" x14ac:dyDescent="0.25">
      <c r="A38" s="84" t="b">
        <v>0</v>
      </c>
      <c r="B38" s="48">
        <f t="shared" si="0"/>
        <v>37</v>
      </c>
      <c r="C38" s="48" t="e">
        <f>_xlfn.XLOOKUP(D38,Tab_Def_Flows[Name(EN)],Tab_Def_Flows[Flow_ID],,0,)</f>
        <v>#N/A</v>
      </c>
      <c r="D38" s="50"/>
      <c r="E38" s="48" t="e">
        <f>_xlfn.XLOOKUP(D38,Tab_Def_Flows[Name(EN)],Tab_Def_Flows[Type_Biomass],,0,)</f>
        <v>#N/A</v>
      </c>
      <c r="F38" s="48" t="e">
        <f>_xlfn.XLOOKUP(D38,Tab_Def_Flows[Name(EN)],Tab_Def_Flows[Output_Process],,0,)</f>
        <v>#N/A</v>
      </c>
      <c r="G38" s="48" t="e">
        <f>_xlfn.XLOOKUP(D38,Tab_Def_Flows[Name(EN)],Tab_Def_Flows[Process_ID_O],,0,)</f>
        <v>#N/A</v>
      </c>
      <c r="H38" s="48" t="e">
        <f>_xlfn.XLOOKUP(D38,Tab_Def_Flows[Name(EN)],Tab_Def_Flows[Input_Process],,0,)</f>
        <v>#N/A</v>
      </c>
      <c r="I38" s="58" t="e">
        <f>_xlfn.XLOOKUP(D38,Tab_Def_Flows[Name(EN)],Tab_Def_Flows[Process_ID_I],,0,)</f>
        <v>#N/A</v>
      </c>
      <c r="J38" s="58" t="e">
        <f>_xlfn.XLOOKUP(D38,Tab_Def_Flows[Name(EN)],Tab_Def_Flows[Value_Source],,0,)</f>
        <v>#N/A</v>
      </c>
      <c r="K38" s="58" t="e">
        <f>_xlfn.XLOOKUP(D38,Tab_Def_Flows[Name(EN)],Tab_Def_Flows[WC?],,0,)</f>
        <v>#N/A</v>
      </c>
      <c r="L38" s="58" t="e">
        <f>_xlfn.XLOOKUP(D38,Tab_Def_Flows[Name(EN)],Tab_Def_Flows[DM?],,0,)</f>
        <v>#N/A</v>
      </c>
      <c r="M38" s="58" t="e">
        <f>_xlfn.XLOOKUP(D38,Tab_Def_Flows[Name(EN)],Tab_Def_Flows[CC?],,0,)</f>
        <v>#N/A</v>
      </c>
      <c r="N38" s="96"/>
      <c r="O38" s="89"/>
      <c r="P38" s="93"/>
      <c r="Q38" s="89"/>
      <c r="R38" s="96"/>
      <c r="S38" s="89"/>
    </row>
    <row r="39" spans="1:19" x14ac:dyDescent="0.25">
      <c r="A39" s="84" t="b">
        <v>0</v>
      </c>
      <c r="B39" s="48">
        <f t="shared" si="0"/>
        <v>38</v>
      </c>
      <c r="C39" s="48" t="e">
        <f>_xlfn.XLOOKUP(D39,Tab_Def_Flows[Name(EN)],Tab_Def_Flows[Flow_ID],,0,)</f>
        <v>#N/A</v>
      </c>
      <c r="D39" s="50"/>
      <c r="E39" s="48" t="e">
        <f>_xlfn.XLOOKUP(D39,Tab_Def_Flows[Name(EN)],Tab_Def_Flows[Type_Biomass],,0,)</f>
        <v>#N/A</v>
      </c>
      <c r="F39" s="48" t="e">
        <f>_xlfn.XLOOKUP(D39,Tab_Def_Flows[Name(EN)],Tab_Def_Flows[Output_Process],,0,)</f>
        <v>#N/A</v>
      </c>
      <c r="G39" s="48" t="e">
        <f>_xlfn.XLOOKUP(D39,Tab_Def_Flows[Name(EN)],Tab_Def_Flows[Process_ID_O],,0,)</f>
        <v>#N/A</v>
      </c>
      <c r="H39" s="48" t="e">
        <f>_xlfn.XLOOKUP(D39,Tab_Def_Flows[Name(EN)],Tab_Def_Flows[Input_Process],,0,)</f>
        <v>#N/A</v>
      </c>
      <c r="I39" s="58" t="e">
        <f>_xlfn.XLOOKUP(D39,Tab_Def_Flows[Name(EN)],Tab_Def_Flows[Process_ID_I],,0,)</f>
        <v>#N/A</v>
      </c>
      <c r="J39" s="58" t="e">
        <f>_xlfn.XLOOKUP(D39,Tab_Def_Flows[Name(EN)],Tab_Def_Flows[Value_Source],,0,)</f>
        <v>#N/A</v>
      </c>
      <c r="K39" s="58" t="e">
        <f>_xlfn.XLOOKUP(D39,Tab_Def_Flows[Name(EN)],Tab_Def_Flows[WC?],,0,)</f>
        <v>#N/A</v>
      </c>
      <c r="L39" s="58" t="e">
        <f>_xlfn.XLOOKUP(D39,Tab_Def_Flows[Name(EN)],Tab_Def_Flows[DM?],,0,)</f>
        <v>#N/A</v>
      </c>
      <c r="M39" s="58" t="e">
        <f>_xlfn.XLOOKUP(D39,Tab_Def_Flows[Name(EN)],Tab_Def_Flows[CC?],,0,)</f>
        <v>#N/A</v>
      </c>
      <c r="N39" s="96"/>
      <c r="O39" s="89"/>
      <c r="P39" s="93"/>
      <c r="Q39" s="89"/>
      <c r="R39" s="96"/>
      <c r="S39" s="89"/>
    </row>
    <row r="40" spans="1:19" x14ac:dyDescent="0.25">
      <c r="A40" s="84" t="b">
        <v>0</v>
      </c>
      <c r="B40" s="48">
        <f t="shared" si="0"/>
        <v>39</v>
      </c>
      <c r="C40" s="48" t="e">
        <f>_xlfn.XLOOKUP(D40,Tab_Def_Flows[Name(EN)],Tab_Def_Flows[Flow_ID],,0,)</f>
        <v>#N/A</v>
      </c>
      <c r="D40" s="50"/>
      <c r="E40" s="48" t="e">
        <f>_xlfn.XLOOKUP(D40,Tab_Def_Flows[Name(EN)],Tab_Def_Flows[Type_Biomass],,0,)</f>
        <v>#N/A</v>
      </c>
      <c r="F40" s="48" t="e">
        <f>_xlfn.XLOOKUP(D40,Tab_Def_Flows[Name(EN)],Tab_Def_Flows[Output_Process],,0,)</f>
        <v>#N/A</v>
      </c>
      <c r="G40" s="48" t="e">
        <f>_xlfn.XLOOKUP(D40,Tab_Def_Flows[Name(EN)],Tab_Def_Flows[Process_ID_O],,0,)</f>
        <v>#N/A</v>
      </c>
      <c r="H40" s="48" t="e">
        <f>_xlfn.XLOOKUP(D40,Tab_Def_Flows[Name(EN)],Tab_Def_Flows[Input_Process],,0,)</f>
        <v>#N/A</v>
      </c>
      <c r="I40" s="58" t="e">
        <f>_xlfn.XLOOKUP(D40,Tab_Def_Flows[Name(EN)],Tab_Def_Flows[Process_ID_I],,0,)</f>
        <v>#N/A</v>
      </c>
      <c r="J40" s="58" t="e">
        <f>_xlfn.XLOOKUP(D40,Tab_Def_Flows[Name(EN)],Tab_Def_Flows[Value_Source],,0,)</f>
        <v>#N/A</v>
      </c>
      <c r="K40" s="58" t="e">
        <f>_xlfn.XLOOKUP(D40,Tab_Def_Flows[Name(EN)],Tab_Def_Flows[WC?],,0,)</f>
        <v>#N/A</v>
      </c>
      <c r="L40" s="58" t="e">
        <f>_xlfn.XLOOKUP(D40,Tab_Def_Flows[Name(EN)],Tab_Def_Flows[DM?],,0,)</f>
        <v>#N/A</v>
      </c>
      <c r="M40" s="58" t="e">
        <f>_xlfn.XLOOKUP(D40,Tab_Def_Flows[Name(EN)],Tab_Def_Flows[CC?],,0,)</f>
        <v>#N/A</v>
      </c>
      <c r="N40" s="96"/>
      <c r="O40" s="89"/>
      <c r="P40" s="93"/>
      <c r="Q40" s="89"/>
      <c r="R40" s="96"/>
      <c r="S40" s="89"/>
    </row>
    <row r="41" spans="1:19" ht="15.75" thickBot="1" x14ac:dyDescent="0.3">
      <c r="A41" s="84" t="b">
        <v>0</v>
      </c>
      <c r="B41" s="48">
        <f t="shared" si="0"/>
        <v>40</v>
      </c>
      <c r="C41" s="48" t="e">
        <f>_xlfn.XLOOKUP(D41,Tab_Def_Flows[Name(EN)],Tab_Def_Flows[Flow_ID],,0,)</f>
        <v>#N/A</v>
      </c>
      <c r="D41" s="50"/>
      <c r="E41" s="48" t="e">
        <f>_xlfn.XLOOKUP(D41,Tab_Def_Flows[Name(EN)],Tab_Def_Flows[Type_Biomass],,0,)</f>
        <v>#N/A</v>
      </c>
      <c r="F41" s="48" t="e">
        <f>_xlfn.XLOOKUP(D41,Tab_Def_Flows[Name(EN)],Tab_Def_Flows[Output_Process],,0,)</f>
        <v>#N/A</v>
      </c>
      <c r="G41" s="48" t="e">
        <f>_xlfn.XLOOKUP(D41,Tab_Def_Flows[Name(EN)],Tab_Def_Flows[Process_ID_O],,0,)</f>
        <v>#N/A</v>
      </c>
      <c r="H41" s="48" t="e">
        <f>_xlfn.XLOOKUP(D41,Tab_Def_Flows[Name(EN)],Tab_Def_Flows[Input_Process],,0,)</f>
        <v>#N/A</v>
      </c>
      <c r="I41" s="58" t="e">
        <f>_xlfn.XLOOKUP(D41,Tab_Def_Flows[Name(EN)],Tab_Def_Flows[Process_ID_I],,0,)</f>
        <v>#N/A</v>
      </c>
      <c r="J41" s="58" t="e">
        <f>_xlfn.XLOOKUP(D41,Tab_Def_Flows[Name(EN)],Tab_Def_Flows[Value_Source],,0,)</f>
        <v>#N/A</v>
      </c>
      <c r="K41" s="58" t="e">
        <f>_xlfn.XLOOKUP(D41,Tab_Def_Flows[Name(EN)],Tab_Def_Flows[WC?],,0,)</f>
        <v>#N/A</v>
      </c>
      <c r="L41" s="58" t="e">
        <f>_xlfn.XLOOKUP(D41,Tab_Def_Flows[Name(EN)],Tab_Def_Flows[DM?],,0,)</f>
        <v>#N/A</v>
      </c>
      <c r="M41" s="58" t="e">
        <f>_xlfn.XLOOKUP(D41,Tab_Def_Flows[Name(EN)],Tab_Def_Flows[CC?],,0,)</f>
        <v>#N/A</v>
      </c>
      <c r="N41" s="97"/>
      <c r="O41" s="90"/>
      <c r="P41" s="94"/>
      <c r="Q41" s="90"/>
      <c r="R41" s="97"/>
      <c r="S41" s="90"/>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'1_1_Definition_Flows'!$D$12:$D$15</xm:f>
          </x14:formula1>
          <xm:sqref>D1:D16 D22:D1048576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zoomScale="130" zoomScaleNormal="130" workbookViewId="0">
      <selection activeCell="AS8" sqref="AS8"/>
    </sheetView>
  </sheetViews>
  <sheetFormatPr defaultColWidth="10.85546875" defaultRowHeight="15" x14ac:dyDescent="0.25"/>
  <cols>
    <col min="3" max="3" width="16.42578125" customWidth="1"/>
    <col min="4" max="4" width="22" customWidth="1"/>
    <col min="5" max="5" width="13.425781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42578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6"/>
    <col min="34" max="34" width="11.42578125" style="6"/>
    <col min="36" max="36" width="11.42578125" style="6"/>
    <col min="38" max="38" width="11.42578125" style="6"/>
    <col min="40" max="40" width="11.42578125" style="6"/>
    <col min="42" max="43" width="11.42578125" style="6"/>
    <col min="47" max="47" width="16.42578125" customWidth="1"/>
  </cols>
  <sheetData>
    <row r="4" spans="2:48" x14ac:dyDescent="0.25">
      <c r="B4" s="321" t="s">
        <v>348</v>
      </c>
      <c r="C4" s="321"/>
      <c r="D4" s="321"/>
      <c r="E4" s="321"/>
      <c r="F4" s="321"/>
      <c r="G4" s="321"/>
      <c r="H4" s="321"/>
      <c r="I4" s="321"/>
      <c r="J4" s="321"/>
      <c r="K4" s="321"/>
      <c r="L4" s="321"/>
      <c r="M4" s="321"/>
      <c r="N4" s="321"/>
      <c r="O4" s="321"/>
      <c r="P4" s="321"/>
      <c r="Q4" s="321"/>
      <c r="R4" s="321"/>
      <c r="S4" s="321"/>
      <c r="T4" s="321"/>
      <c r="U4" s="321"/>
      <c r="V4" s="321"/>
      <c r="W4" s="321"/>
      <c r="X4" s="321"/>
      <c r="Y4" s="321"/>
      <c r="Z4" s="321"/>
      <c r="AA4" s="321"/>
      <c r="AB4" s="321"/>
      <c r="AC4" s="321"/>
      <c r="AD4" s="321"/>
      <c r="AE4" s="321" t="s">
        <v>442</v>
      </c>
      <c r="AF4" s="321"/>
      <c r="AG4" s="321"/>
      <c r="AH4" s="321"/>
      <c r="AI4" s="321"/>
      <c r="AJ4" s="321"/>
      <c r="AK4" s="321"/>
      <c r="AL4" s="321"/>
      <c r="AM4" s="321"/>
      <c r="AN4" s="321"/>
      <c r="AO4" s="252"/>
      <c r="AP4" s="7"/>
      <c r="AQ4" s="7"/>
      <c r="AR4" s="321" t="s">
        <v>89</v>
      </c>
      <c r="AS4" s="321"/>
      <c r="AT4" s="321"/>
      <c r="AU4" s="321"/>
      <c r="AV4" s="321"/>
    </row>
    <row r="5" spans="2:48" x14ac:dyDescent="0.25">
      <c r="B5" t="s">
        <v>349</v>
      </c>
      <c r="C5" t="s">
        <v>351</v>
      </c>
      <c r="D5" t="s">
        <v>352</v>
      </c>
      <c r="E5" t="s">
        <v>353</v>
      </c>
      <c r="F5" t="s">
        <v>443</v>
      </c>
      <c r="G5" t="s">
        <v>444</v>
      </c>
      <c r="H5" t="s">
        <v>445</v>
      </c>
      <c r="I5" t="s">
        <v>446</v>
      </c>
      <c r="J5" t="s">
        <v>447</v>
      </c>
      <c r="K5" t="s">
        <v>448</v>
      </c>
      <c r="L5" t="s">
        <v>449</v>
      </c>
      <c r="M5" t="s">
        <v>450</v>
      </c>
      <c r="N5" t="s">
        <v>451</v>
      </c>
      <c r="O5" t="s">
        <v>452</v>
      </c>
      <c r="P5" t="s">
        <v>453</v>
      </c>
      <c r="Q5" t="s">
        <v>454</v>
      </c>
      <c r="R5" t="s">
        <v>455</v>
      </c>
      <c r="S5" t="s">
        <v>456</v>
      </c>
      <c r="T5" t="s">
        <v>457</v>
      </c>
      <c r="U5" t="s">
        <v>458</v>
      </c>
      <c r="V5" t="s">
        <v>459</v>
      </c>
      <c r="W5" t="s">
        <v>460</v>
      </c>
      <c r="X5" t="s">
        <v>461</v>
      </c>
      <c r="Y5" t="s">
        <v>462</v>
      </c>
      <c r="Z5" t="s">
        <v>463</v>
      </c>
      <c r="AA5" t="s">
        <v>464</v>
      </c>
      <c r="AB5" t="s">
        <v>374</v>
      </c>
      <c r="AC5" t="s">
        <v>375</v>
      </c>
      <c r="AD5" t="s">
        <v>164</v>
      </c>
      <c r="AE5" t="s">
        <v>465</v>
      </c>
      <c r="AF5" s="6" t="s">
        <v>466</v>
      </c>
      <c r="AG5" t="s">
        <v>467</v>
      </c>
      <c r="AH5" s="6" t="s">
        <v>468</v>
      </c>
      <c r="AI5" t="s">
        <v>469</v>
      </c>
      <c r="AJ5" s="6" t="s">
        <v>470</v>
      </c>
      <c r="AK5" t="s">
        <v>471</v>
      </c>
      <c r="AL5" s="6" t="s">
        <v>472</v>
      </c>
      <c r="AM5" t="s">
        <v>473</v>
      </c>
      <c r="AN5" s="6" t="s">
        <v>474</v>
      </c>
      <c r="AO5" t="s">
        <v>475</v>
      </c>
      <c r="AP5" s="6" t="s">
        <v>476</v>
      </c>
      <c r="AQ5" s="6" t="s">
        <v>477</v>
      </c>
      <c r="AR5" t="s">
        <v>478</v>
      </c>
      <c r="AS5" t="s">
        <v>479</v>
      </c>
      <c r="AT5" t="s">
        <v>160</v>
      </c>
      <c r="AU5" t="s">
        <v>161</v>
      </c>
      <c r="AV5" t="s">
        <v>67</v>
      </c>
    </row>
    <row r="6" spans="2:48" x14ac:dyDescent="0.25">
      <c r="B6">
        <v>1</v>
      </c>
      <c r="C6" t="s">
        <v>376</v>
      </c>
      <c r="D6" t="s">
        <v>7</v>
      </c>
      <c r="E6" t="s">
        <v>107</v>
      </c>
      <c r="F6" t="s">
        <v>377</v>
      </c>
      <c r="H6" t="s">
        <v>379</v>
      </c>
      <c r="I6" t="s">
        <v>379</v>
      </c>
      <c r="J6" t="s">
        <v>379</v>
      </c>
      <c r="K6" t="s">
        <v>379</v>
      </c>
      <c r="L6" t="s">
        <v>379</v>
      </c>
      <c r="M6" t="s">
        <v>379</v>
      </c>
      <c r="N6" t="s">
        <v>379</v>
      </c>
      <c r="O6" t="s">
        <v>379</v>
      </c>
      <c r="P6" t="s">
        <v>107</v>
      </c>
      <c r="R6" t="s">
        <v>379</v>
      </c>
      <c r="S6" t="s">
        <v>379</v>
      </c>
      <c r="T6" t="s">
        <v>379</v>
      </c>
      <c r="U6" t="s">
        <v>379</v>
      </c>
      <c r="V6" t="s">
        <v>379</v>
      </c>
      <c r="W6" t="s">
        <v>379</v>
      </c>
      <c r="X6" t="s">
        <v>379</v>
      </c>
      <c r="Y6" t="s">
        <v>379</v>
      </c>
      <c r="Z6" t="s">
        <v>379</v>
      </c>
      <c r="AA6" t="s">
        <v>379</v>
      </c>
      <c r="AB6" t="s">
        <v>44</v>
      </c>
      <c r="AC6" t="s">
        <v>84</v>
      </c>
      <c r="AD6">
        <v>2022</v>
      </c>
      <c r="AE6" t="s">
        <v>379</v>
      </c>
    </row>
    <row r="7" spans="2:48" x14ac:dyDescent="0.25">
      <c r="B7">
        <v>2</v>
      </c>
      <c r="C7" t="s">
        <v>376</v>
      </c>
      <c r="D7" t="s">
        <v>6</v>
      </c>
      <c r="E7" t="s">
        <v>107</v>
      </c>
      <c r="F7" t="s">
        <v>377</v>
      </c>
      <c r="H7" t="s">
        <v>379</v>
      </c>
      <c r="I7" t="s">
        <v>379</v>
      </c>
      <c r="J7" t="s">
        <v>379</v>
      </c>
      <c r="K7" t="s">
        <v>379</v>
      </c>
      <c r="L7" t="s">
        <v>379</v>
      </c>
      <c r="M7" t="s">
        <v>379</v>
      </c>
      <c r="N7" t="s">
        <v>379</v>
      </c>
      <c r="O7" t="s">
        <v>379</v>
      </c>
      <c r="P7" t="s">
        <v>107</v>
      </c>
      <c r="R7" t="s">
        <v>379</v>
      </c>
      <c r="S7" t="s">
        <v>379</v>
      </c>
      <c r="T7" t="s">
        <v>379</v>
      </c>
      <c r="U7" t="s">
        <v>379</v>
      </c>
      <c r="V7" t="s">
        <v>379</v>
      </c>
      <c r="W7" t="s">
        <v>379</v>
      </c>
      <c r="X7" t="s">
        <v>379</v>
      </c>
      <c r="Y7" t="s">
        <v>379</v>
      </c>
      <c r="Z7" t="s">
        <v>379</v>
      </c>
      <c r="AA7" t="s">
        <v>379</v>
      </c>
      <c r="AB7" t="s">
        <v>44</v>
      </c>
      <c r="AC7" t="s">
        <v>84</v>
      </c>
      <c r="AD7">
        <v>2022</v>
      </c>
      <c r="AE7" t="s">
        <v>379</v>
      </c>
    </row>
    <row r="8" spans="2:48" x14ac:dyDescent="0.25">
      <c r="B8">
        <v>3</v>
      </c>
      <c r="C8" t="s">
        <v>376</v>
      </c>
      <c r="D8" t="s">
        <v>7</v>
      </c>
      <c r="E8" t="s">
        <v>107</v>
      </c>
      <c r="F8" t="s">
        <v>377</v>
      </c>
      <c r="H8" t="s">
        <v>379</v>
      </c>
      <c r="I8" t="s">
        <v>379</v>
      </c>
      <c r="J8" t="s">
        <v>379</v>
      </c>
      <c r="K8" t="s">
        <v>379</v>
      </c>
      <c r="L8" t="s">
        <v>379</v>
      </c>
      <c r="M8" t="s">
        <v>379</v>
      </c>
      <c r="N8" t="s">
        <v>379</v>
      </c>
      <c r="O8" t="s">
        <v>379</v>
      </c>
      <c r="P8" t="s">
        <v>107</v>
      </c>
      <c r="R8" t="s">
        <v>379</v>
      </c>
      <c r="S8" t="s">
        <v>379</v>
      </c>
      <c r="T8" t="s">
        <v>379</v>
      </c>
      <c r="U8" t="s">
        <v>379</v>
      </c>
      <c r="V8" t="s">
        <v>379</v>
      </c>
      <c r="W8" t="s">
        <v>379</v>
      </c>
      <c r="X8" t="s">
        <v>379</v>
      </c>
      <c r="Y8" t="s">
        <v>379</v>
      </c>
      <c r="Z8" t="s">
        <v>379</v>
      </c>
      <c r="AA8" t="s">
        <v>379</v>
      </c>
      <c r="AB8" t="s">
        <v>44</v>
      </c>
      <c r="AC8" t="s">
        <v>84</v>
      </c>
      <c r="AD8">
        <v>2012</v>
      </c>
      <c r="AE8" t="s">
        <v>379</v>
      </c>
    </row>
    <row r="9" spans="2:48" x14ac:dyDescent="0.25">
      <c r="B9">
        <v>4</v>
      </c>
      <c r="C9" t="s">
        <v>376</v>
      </c>
      <c r="D9" t="s">
        <v>380</v>
      </c>
      <c r="E9" t="s">
        <v>107</v>
      </c>
      <c r="F9" t="s">
        <v>377</v>
      </c>
      <c r="H9" t="s">
        <v>379</v>
      </c>
      <c r="I9" t="s">
        <v>379</v>
      </c>
      <c r="J9" t="s">
        <v>379</v>
      </c>
      <c r="K9" t="s">
        <v>379</v>
      </c>
      <c r="L9" t="s">
        <v>379</v>
      </c>
      <c r="M9" t="s">
        <v>379</v>
      </c>
      <c r="N9" t="s">
        <v>379</v>
      </c>
      <c r="O9" t="s">
        <v>379</v>
      </c>
      <c r="P9" t="s">
        <v>107</v>
      </c>
      <c r="R9" t="s">
        <v>379</v>
      </c>
      <c r="S9" t="s">
        <v>379</v>
      </c>
      <c r="T9" t="s">
        <v>379</v>
      </c>
      <c r="U9" t="s">
        <v>379</v>
      </c>
      <c r="V9" t="s">
        <v>379</v>
      </c>
      <c r="W9" t="s">
        <v>379</v>
      </c>
      <c r="X9" t="s">
        <v>379</v>
      </c>
      <c r="Y9" t="s">
        <v>379</v>
      </c>
      <c r="Z9" t="s">
        <v>379</v>
      </c>
      <c r="AA9" t="s">
        <v>379</v>
      </c>
      <c r="AB9" t="s">
        <v>44</v>
      </c>
      <c r="AC9" t="s">
        <v>84</v>
      </c>
      <c r="AD9">
        <v>2012</v>
      </c>
      <c r="AE9" t="s">
        <v>379</v>
      </c>
    </row>
    <row r="10" spans="2:48" x14ac:dyDescent="0.25">
      <c r="B10">
        <v>5</v>
      </c>
      <c r="C10" t="s">
        <v>332</v>
      </c>
      <c r="D10" t="s">
        <v>7</v>
      </c>
      <c r="E10" t="s">
        <v>107</v>
      </c>
      <c r="F10" t="s">
        <v>107</v>
      </c>
      <c r="H10" t="s">
        <v>379</v>
      </c>
      <c r="I10" t="s">
        <v>379</v>
      </c>
      <c r="J10" t="s">
        <v>379</v>
      </c>
      <c r="K10" t="s">
        <v>379</v>
      </c>
      <c r="L10" t="s">
        <v>379</v>
      </c>
      <c r="M10" t="s">
        <v>379</v>
      </c>
      <c r="N10" t="s">
        <v>379</v>
      </c>
      <c r="O10" t="s">
        <v>379</v>
      </c>
      <c r="P10" t="s">
        <v>382</v>
      </c>
      <c r="R10" t="s">
        <v>383</v>
      </c>
      <c r="T10" t="s">
        <v>384</v>
      </c>
      <c r="V10" t="s">
        <v>378</v>
      </c>
      <c r="X10" t="s">
        <v>379</v>
      </c>
      <c r="Y10" t="s">
        <v>379</v>
      </c>
      <c r="Z10" t="s">
        <v>379</v>
      </c>
      <c r="AA10" t="s">
        <v>379</v>
      </c>
      <c r="AB10" t="s">
        <v>84</v>
      </c>
      <c r="AC10" t="s">
        <v>84</v>
      </c>
      <c r="AE10" t="s">
        <v>379</v>
      </c>
    </row>
    <row r="11" spans="2:48" x14ac:dyDescent="0.25">
      <c r="B11">
        <v>6</v>
      </c>
      <c r="C11" t="s">
        <v>385</v>
      </c>
      <c r="D11" t="s">
        <v>7</v>
      </c>
      <c r="E11" t="s">
        <v>107</v>
      </c>
      <c r="F11" t="s">
        <v>386</v>
      </c>
      <c r="H11" t="s">
        <v>379</v>
      </c>
      <c r="I11" t="s">
        <v>379</v>
      </c>
      <c r="J11" t="s">
        <v>379</v>
      </c>
      <c r="K11" t="s">
        <v>379</v>
      </c>
      <c r="L11" t="s">
        <v>379</v>
      </c>
      <c r="M11" t="s">
        <v>379</v>
      </c>
      <c r="N11" t="s">
        <v>379</v>
      </c>
      <c r="O11" t="s">
        <v>379</v>
      </c>
      <c r="P11" t="s">
        <v>387</v>
      </c>
      <c r="R11" t="s">
        <v>388</v>
      </c>
      <c r="T11" t="s">
        <v>389</v>
      </c>
      <c r="V11" t="s">
        <v>390</v>
      </c>
      <c r="X11" t="s">
        <v>391</v>
      </c>
      <c r="Z11" t="s">
        <v>392</v>
      </c>
      <c r="AB11" t="s">
        <v>84</v>
      </c>
      <c r="AC11" t="s">
        <v>44</v>
      </c>
      <c r="AD11">
        <v>2023</v>
      </c>
      <c r="AE11" t="str">
        <f>P11</f>
        <v>Sawn timber</v>
      </c>
      <c r="AF11" s="6">
        <v>0.56599999999999995</v>
      </c>
      <c r="AG11" t="str">
        <f t="shared" ref="AG11:AO11" si="0">R11</f>
        <v>Wood chips</v>
      </c>
      <c r="AH11" s="6">
        <v>0.26700000000000002</v>
      </c>
      <c r="AI11" t="str">
        <f t="shared" si="0"/>
        <v>Sawdust</v>
      </c>
      <c r="AJ11" s="6">
        <v>7.4999999999999997E-2</v>
      </c>
      <c r="AK11" t="str">
        <f t="shared" si="0"/>
        <v>Bark</v>
      </c>
      <c r="AL11" s="6">
        <v>5.6000000000000001E-2</v>
      </c>
      <c r="AM11" t="str">
        <f t="shared" si="0"/>
        <v>Wood shavings</v>
      </c>
      <c r="AN11" s="6">
        <v>1.9E-2</v>
      </c>
      <c r="AO11" t="str">
        <f t="shared" si="0"/>
        <v>Residues</v>
      </c>
      <c r="AP11" s="6">
        <v>1.7000000000000001E-2</v>
      </c>
      <c r="AQ11" s="6">
        <f>AF11+AH11+AJ11+AL11+AN11+AP11</f>
        <v>1</v>
      </c>
      <c r="AR11" t="s">
        <v>480</v>
      </c>
      <c r="AS11">
        <v>2024</v>
      </c>
      <c r="AT11" t="s">
        <v>481</v>
      </c>
      <c r="AU11" t="s">
        <v>482</v>
      </c>
      <c r="AV11" t="s">
        <v>379</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42578125" customWidth="1"/>
    <col min="9" max="9" width="12" customWidth="1"/>
    <col min="10" max="10" width="14.5703125" customWidth="1"/>
    <col min="11" max="11" width="12" customWidth="1"/>
    <col min="12" max="12" width="14.5703125" customWidth="1"/>
    <col min="13" max="13" width="12" customWidth="1"/>
    <col min="14" max="14" width="14.5703125" customWidth="1"/>
    <col min="15" max="15" width="12" customWidth="1"/>
    <col min="16" max="16" width="14.5703125" customWidth="1"/>
    <col min="17" max="17" width="12" customWidth="1"/>
    <col min="18" max="18" width="17" customWidth="1"/>
    <col min="19" max="19" width="12.85546875" customWidth="1"/>
    <col min="20" max="20" width="17" customWidth="1"/>
    <col min="21" max="21" width="12.85546875" customWidth="1"/>
    <col min="22" max="22" width="17" customWidth="1"/>
    <col min="23" max="23" width="12.85546875" customWidth="1"/>
    <col min="24" max="24" width="17" customWidth="1"/>
    <col min="25" max="25" width="12.85546875" customWidth="1"/>
    <col min="26" max="26" width="17" customWidth="1"/>
    <col min="27" max="27" width="12.85546875" customWidth="1"/>
    <col min="28" max="28" width="17" customWidth="1"/>
    <col min="29" max="29" width="13.85546875" customWidth="1"/>
    <col min="30" max="30" width="15.42578125" customWidth="1"/>
    <col min="31" max="31" width="27" customWidth="1"/>
    <col min="35" max="35" width="24" customWidth="1"/>
    <col min="36" max="36" width="16.42578125" customWidth="1"/>
    <col min="41" max="41" width="17.5703125" customWidth="1"/>
    <col min="42" max="42" width="18.42578125" customWidth="1"/>
  </cols>
  <sheetData>
    <row r="1" spans="2:42" ht="15.75" thickBot="1" x14ac:dyDescent="0.3"/>
    <row r="2" spans="2:42" ht="15.75" thickBot="1" x14ac:dyDescent="0.3">
      <c r="B2" s="11"/>
      <c r="C2" s="12"/>
      <c r="D2" s="12"/>
      <c r="E2" s="12"/>
      <c r="F2" s="12"/>
      <c r="G2" s="13"/>
      <c r="H2" s="11"/>
      <c r="I2" s="12"/>
      <c r="J2" s="12"/>
      <c r="K2" s="12"/>
      <c r="L2" s="12"/>
      <c r="M2" s="12"/>
      <c r="N2" s="12"/>
      <c r="O2" s="12"/>
      <c r="P2" s="12"/>
      <c r="Q2" s="13"/>
      <c r="R2" s="11"/>
      <c r="S2" s="12"/>
      <c r="T2" s="12"/>
      <c r="U2" s="12"/>
      <c r="V2" s="12"/>
      <c r="W2" s="12"/>
      <c r="X2" s="12"/>
      <c r="Y2" s="12"/>
      <c r="Z2" s="12"/>
      <c r="AA2" s="12"/>
      <c r="AB2" s="12"/>
      <c r="AC2" s="13"/>
      <c r="AF2" s="11"/>
      <c r="AG2" s="323" t="s">
        <v>483</v>
      </c>
      <c r="AH2" s="324"/>
      <c r="AI2" s="324"/>
      <c r="AJ2" s="324"/>
      <c r="AK2" s="325"/>
      <c r="AL2" s="323" t="s">
        <v>484</v>
      </c>
      <c r="AM2" s="324"/>
      <c r="AN2" s="324"/>
      <c r="AO2" s="324"/>
      <c r="AP2" s="325"/>
    </row>
    <row r="3" spans="2:42" x14ac:dyDescent="0.25">
      <c r="B3" s="26" t="s">
        <v>349</v>
      </c>
      <c r="C3" s="23" t="s">
        <v>350</v>
      </c>
      <c r="D3" s="23" t="s">
        <v>351</v>
      </c>
      <c r="E3" s="23" t="s">
        <v>352</v>
      </c>
      <c r="F3" s="23" t="s">
        <v>353</v>
      </c>
      <c r="G3" s="36" t="s">
        <v>354</v>
      </c>
      <c r="H3" s="24" t="s">
        <v>355</v>
      </c>
      <c r="I3" s="25" t="s">
        <v>356</v>
      </c>
      <c r="J3" s="25" t="s">
        <v>357</v>
      </c>
      <c r="K3" s="25" t="s">
        <v>358</v>
      </c>
      <c r="L3" s="25" t="s">
        <v>359</v>
      </c>
      <c r="M3" s="25" t="s">
        <v>139</v>
      </c>
      <c r="N3" s="25" t="s">
        <v>360</v>
      </c>
      <c r="O3" s="25" t="s">
        <v>141</v>
      </c>
      <c r="P3" s="25" t="s">
        <v>361</v>
      </c>
      <c r="Q3" s="31" t="s">
        <v>143</v>
      </c>
      <c r="R3" s="24" t="s">
        <v>362</v>
      </c>
      <c r="S3" s="25" t="s">
        <v>363</v>
      </c>
      <c r="T3" s="25" t="s">
        <v>364</v>
      </c>
      <c r="U3" s="25" t="s">
        <v>365</v>
      </c>
      <c r="V3" s="25" t="s">
        <v>366</v>
      </c>
      <c r="W3" s="25" t="s">
        <v>367</v>
      </c>
      <c r="X3" s="25" t="s">
        <v>368</v>
      </c>
      <c r="Y3" s="25" t="s">
        <v>369</v>
      </c>
      <c r="Z3" s="25" t="s">
        <v>370</v>
      </c>
      <c r="AA3" s="25" t="s">
        <v>371</v>
      </c>
      <c r="AB3" s="25" t="s">
        <v>372</v>
      </c>
      <c r="AC3" s="31" t="s">
        <v>373</v>
      </c>
      <c r="AD3" s="23" t="s">
        <v>374</v>
      </c>
      <c r="AE3" s="23" t="s">
        <v>375</v>
      </c>
      <c r="AF3" s="28" t="s">
        <v>164</v>
      </c>
      <c r="AG3" s="14" t="s">
        <v>485</v>
      </c>
      <c r="AH3" t="s">
        <v>247</v>
      </c>
      <c r="AI3" t="s">
        <v>248</v>
      </c>
      <c r="AJ3" t="s">
        <v>249</v>
      </c>
      <c r="AK3" s="15" t="s">
        <v>250</v>
      </c>
      <c r="AL3" s="14" t="s">
        <v>251</v>
      </c>
      <c r="AM3" t="s">
        <v>252</v>
      </c>
      <c r="AN3" t="s">
        <v>160</v>
      </c>
      <c r="AO3" t="s">
        <v>161</v>
      </c>
      <c r="AP3" s="15" t="s">
        <v>67</v>
      </c>
    </row>
    <row r="4" spans="2:42" x14ac:dyDescent="0.25">
      <c r="B4" s="32">
        <f>Data_Processes!B4</f>
        <v>1</v>
      </c>
      <c r="C4" s="27">
        <f>Data_Processes!C4</f>
        <v>0</v>
      </c>
      <c r="D4" s="27" t="str">
        <f>Data_Processes!D4</f>
        <v>Forest</v>
      </c>
      <c r="E4" s="27" t="str">
        <f>Data_Processes!E4</f>
        <v>Brandenburg</v>
      </c>
      <c r="F4" s="27" t="str">
        <f>Data_Processes!F4</f>
        <v>Wood</v>
      </c>
      <c r="G4" s="33" t="str">
        <f>Data_Processes!G4</f>
        <v>Biosphere</v>
      </c>
      <c r="H4" s="32" t="str">
        <f>Data_Processes!H4</f>
        <v xml:space="preserve">Atmosphere </v>
      </c>
      <c r="I4" s="27">
        <f>Data_Processes!I4</f>
        <v>0</v>
      </c>
      <c r="J4" s="27" t="str">
        <f>Data_Processes!J4</f>
        <v>unused Wood</v>
      </c>
      <c r="K4" s="27">
        <f>Data_Processes!K4</f>
        <v>0</v>
      </c>
      <c r="L4" s="27" t="str">
        <f>Data_Processes!L4</f>
        <v>n.a.</v>
      </c>
      <c r="M4" s="27" t="str">
        <f>Data_Processes!M4</f>
        <v>n.a.</v>
      </c>
      <c r="N4" s="27" t="str">
        <f>Data_Processes!N4</f>
        <v>n.a.</v>
      </c>
      <c r="O4" s="27" t="str">
        <f>Data_Processes!O4</f>
        <v>n.a.</v>
      </c>
      <c r="P4" s="27" t="str">
        <f>Data_Processes!P4</f>
        <v>n.a.</v>
      </c>
      <c r="Q4" s="33" t="str">
        <f>Data_Processes!Q4</f>
        <v>n.a.</v>
      </c>
      <c r="R4" s="32" t="str">
        <f>Data_Processes!R4</f>
        <v>Wood</v>
      </c>
      <c r="S4" s="27">
        <f>Data_Processes!S4</f>
        <v>0</v>
      </c>
      <c r="T4" s="27" t="str">
        <f>Data_Processes!T4</f>
        <v>n.a.</v>
      </c>
      <c r="U4" s="27" t="str">
        <f>Data_Processes!U4</f>
        <v>n.a.</v>
      </c>
      <c r="V4" s="27" t="str">
        <f>Data_Processes!V4</f>
        <v>n.a.</v>
      </c>
      <c r="W4" s="27" t="str">
        <f>Data_Processes!W4</f>
        <v>n.a.</v>
      </c>
      <c r="X4" s="27" t="str">
        <f>Data_Processes!X4</f>
        <v>n.a.</v>
      </c>
      <c r="Y4" s="27" t="str">
        <f>Data_Processes!Y4</f>
        <v>n.a.</v>
      </c>
      <c r="Z4" s="27" t="str">
        <f>Data_Processes!Z4</f>
        <v>n.a.</v>
      </c>
      <c r="AA4" s="27" t="str">
        <f>Data_Processes!AA4</f>
        <v>n.a.</v>
      </c>
      <c r="AB4" s="27" t="str">
        <f>Data_Processes!AB4</f>
        <v>n.a.</v>
      </c>
      <c r="AC4" s="33" t="str">
        <f>Data_Processes!AC4</f>
        <v>n.a.</v>
      </c>
      <c r="AD4" s="27" t="str">
        <f>Data_Processes!AD4</f>
        <v>Yes</v>
      </c>
      <c r="AE4" s="27" t="str">
        <f>Data_Processes!AE4</f>
        <v>No</v>
      </c>
      <c r="AF4" s="14">
        <f>Data_Processes!AF4</f>
        <v>2022</v>
      </c>
      <c r="AG4" s="14">
        <v>325681</v>
      </c>
      <c r="AH4" t="s">
        <v>486</v>
      </c>
      <c r="AI4" t="s">
        <v>487</v>
      </c>
      <c r="AJ4">
        <v>19579</v>
      </c>
      <c r="AK4" s="15" t="s">
        <v>486</v>
      </c>
      <c r="AL4" s="14" t="s">
        <v>488</v>
      </c>
      <c r="AM4">
        <v>2024</v>
      </c>
      <c r="AN4" t="s">
        <v>489</v>
      </c>
      <c r="AO4" t="s">
        <v>490</v>
      </c>
      <c r="AP4" s="15" t="s">
        <v>491</v>
      </c>
    </row>
    <row r="5" spans="2:42" x14ac:dyDescent="0.25">
      <c r="B5" s="14">
        <f>Data_Processes!B5</f>
        <v>2</v>
      </c>
      <c r="C5">
        <f>Data_Processes!C5</f>
        <v>0</v>
      </c>
      <c r="D5" t="str">
        <f>Data_Processes!D5</f>
        <v>Forest</v>
      </c>
      <c r="E5" t="str">
        <f>Data_Processes!E5</f>
        <v>Berlin</v>
      </c>
      <c r="F5" t="str">
        <f>Data_Processes!F5</f>
        <v>Wood</v>
      </c>
      <c r="G5" s="15" t="str">
        <f>Data_Processes!G5</f>
        <v>Biosphere</v>
      </c>
      <c r="H5" s="14"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5" t="str">
        <f>Data_Processes!Q5</f>
        <v>n.a.</v>
      </c>
      <c r="R5" s="14"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5" t="str">
        <f>Data_Processes!AC5</f>
        <v>n.a.</v>
      </c>
      <c r="AD5" t="str">
        <f>Data_Processes!AD5</f>
        <v>Yes</v>
      </c>
      <c r="AE5" t="str">
        <f>Data_Processes!AE5</f>
        <v>No</v>
      </c>
      <c r="AF5" s="14">
        <f>Data_Processes!AF5</f>
        <v>2022</v>
      </c>
      <c r="AG5" s="14">
        <v>4977</v>
      </c>
      <c r="AH5" t="s">
        <v>486</v>
      </c>
      <c r="AI5" t="s">
        <v>487</v>
      </c>
      <c r="AJ5">
        <v>-174</v>
      </c>
      <c r="AK5" s="15" t="s">
        <v>486</v>
      </c>
      <c r="AL5" s="14" t="s">
        <v>488</v>
      </c>
      <c r="AM5">
        <v>2024</v>
      </c>
      <c r="AN5" t="s">
        <v>489</v>
      </c>
      <c r="AO5" t="s">
        <v>490</v>
      </c>
      <c r="AP5" s="15" t="s">
        <v>491</v>
      </c>
    </row>
    <row r="6" spans="2:42" x14ac:dyDescent="0.25">
      <c r="B6" s="34">
        <f>Data_Processes!B6</f>
        <v>3</v>
      </c>
      <c r="C6" s="9">
        <f>Data_Processes!C6</f>
        <v>0</v>
      </c>
      <c r="D6" s="9" t="str">
        <f>Data_Processes!D6</f>
        <v>Forest</v>
      </c>
      <c r="E6" s="9" t="str">
        <f>Data_Processes!E6</f>
        <v>Brandenburg</v>
      </c>
      <c r="F6" s="9" t="str">
        <f>Data_Processes!F6</f>
        <v>Wood</v>
      </c>
      <c r="G6" s="35" t="str">
        <f>Data_Processes!G6</f>
        <v>Biosphere</v>
      </c>
      <c r="H6" s="34" t="str">
        <f>Data_Processes!H6</f>
        <v xml:space="preserve">Atmosphere </v>
      </c>
      <c r="I6" s="9">
        <f>Data_Processes!I6</f>
        <v>0</v>
      </c>
      <c r="J6" s="9" t="str">
        <f>Data_Processes!J6</f>
        <v>unused Wood</v>
      </c>
      <c r="K6" s="9">
        <f>Data_Processes!K6</f>
        <v>0</v>
      </c>
      <c r="L6" s="9" t="str">
        <f>Data_Processes!L6</f>
        <v>n.a.</v>
      </c>
      <c r="M6" s="9" t="str">
        <f>Data_Processes!M6</f>
        <v>n.a.</v>
      </c>
      <c r="N6" s="9" t="str">
        <f>Data_Processes!N6</f>
        <v>n.a.</v>
      </c>
      <c r="O6" s="9" t="str">
        <f>Data_Processes!O6</f>
        <v>n.a.</v>
      </c>
      <c r="P6" s="9" t="str">
        <f>Data_Processes!P6</f>
        <v>n.a.</v>
      </c>
      <c r="Q6" s="35" t="str">
        <f>Data_Processes!Q6</f>
        <v>n.a.</v>
      </c>
      <c r="R6" s="34" t="str">
        <f>Data_Processes!R6</f>
        <v>Wood</v>
      </c>
      <c r="S6" s="9">
        <f>Data_Processes!S6</f>
        <v>0</v>
      </c>
      <c r="T6" s="9" t="str">
        <f>Data_Processes!T6</f>
        <v>n.a.</v>
      </c>
      <c r="U6" s="9" t="str">
        <f>Data_Processes!U6</f>
        <v>n.a.</v>
      </c>
      <c r="V6" s="9" t="str">
        <f>Data_Processes!V6</f>
        <v>n.a.</v>
      </c>
      <c r="W6" s="9" t="str">
        <f>Data_Processes!W6</f>
        <v>n.a.</v>
      </c>
      <c r="X6" s="9" t="str">
        <f>Data_Processes!X6</f>
        <v>n.a.</v>
      </c>
      <c r="Y6" s="9" t="str">
        <f>Data_Processes!Y6</f>
        <v>n.a.</v>
      </c>
      <c r="Z6" s="9" t="str">
        <f>Data_Processes!Z6</f>
        <v>n.a.</v>
      </c>
      <c r="AA6" s="9" t="str">
        <f>Data_Processes!AA6</f>
        <v>n.a.</v>
      </c>
      <c r="AB6" s="9" t="str">
        <f>Data_Processes!AB6</f>
        <v>n.a.</v>
      </c>
      <c r="AC6" s="35" t="str">
        <f>Data_Processes!AC6</f>
        <v>n.a.</v>
      </c>
      <c r="AD6" s="9" t="str">
        <f>Data_Processes!AD6</f>
        <v>Yes</v>
      </c>
      <c r="AE6" s="9" t="str">
        <f>Data_Processes!AE6</f>
        <v>No</v>
      </c>
      <c r="AF6" s="14"/>
      <c r="AG6" s="29">
        <v>222889</v>
      </c>
      <c r="AH6" t="s">
        <v>486</v>
      </c>
      <c r="AI6" t="s">
        <v>379</v>
      </c>
      <c r="AJ6" t="s">
        <v>379</v>
      </c>
      <c r="AK6" s="15" t="s">
        <v>379</v>
      </c>
      <c r="AL6" s="14"/>
      <c r="AM6">
        <v>2013</v>
      </c>
      <c r="AN6" t="s">
        <v>489</v>
      </c>
      <c r="AO6" t="s">
        <v>490</v>
      </c>
      <c r="AP6" s="15" t="s">
        <v>492</v>
      </c>
    </row>
    <row r="7" spans="2:42" x14ac:dyDescent="0.25">
      <c r="B7" s="14">
        <f>Data_Processes!B7</f>
        <v>4</v>
      </c>
      <c r="C7">
        <f>Data_Processes!C7</f>
        <v>0</v>
      </c>
      <c r="D7" t="str">
        <f>Data_Processes!D7</f>
        <v>Forest</v>
      </c>
      <c r="E7" t="str">
        <f>Data_Processes!E7</f>
        <v>Brandenburg + Berlin</v>
      </c>
      <c r="F7" t="str">
        <f>Data_Processes!F7</f>
        <v>Wood</v>
      </c>
      <c r="G7" s="15" t="str">
        <f>Data_Processes!G7</f>
        <v>Biosphere</v>
      </c>
      <c r="H7" s="14"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5" t="str">
        <f>Data_Processes!Q7</f>
        <v>n.a.</v>
      </c>
      <c r="R7" s="14"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5" t="str">
        <f>Data_Processes!AC7</f>
        <v>n.a.</v>
      </c>
      <c r="AD7" t="str">
        <f>Data_Processes!AD7</f>
        <v>Yes</v>
      </c>
      <c r="AE7" t="str">
        <f>Data_Processes!AE7</f>
        <v>No</v>
      </c>
      <c r="AF7" s="14"/>
      <c r="AG7" s="30">
        <v>233943</v>
      </c>
      <c r="AH7" t="s">
        <v>486</v>
      </c>
      <c r="AI7" t="s">
        <v>493</v>
      </c>
      <c r="AJ7">
        <v>53684</v>
      </c>
      <c r="AK7" s="15" t="s">
        <v>486</v>
      </c>
      <c r="AL7" s="14" t="s">
        <v>494</v>
      </c>
      <c r="AM7">
        <v>2012</v>
      </c>
      <c r="AN7" t="s">
        <v>489</v>
      </c>
      <c r="AO7" t="s">
        <v>490</v>
      </c>
      <c r="AP7" s="15" t="s">
        <v>495</v>
      </c>
    </row>
    <row r="8" spans="2:42" x14ac:dyDescent="0.25">
      <c r="B8" s="34">
        <f>Data_Processes!B8</f>
        <v>5</v>
      </c>
      <c r="C8" s="9">
        <f>Data_Processes!C8</f>
        <v>0</v>
      </c>
      <c r="D8" s="9" t="str">
        <f>Data_Processes!D8</f>
        <v>Forestry</v>
      </c>
      <c r="E8" s="9" t="str">
        <f>Data_Processes!E8</f>
        <v>Brandenburg</v>
      </c>
      <c r="F8" s="9" t="str">
        <f>Data_Processes!F8</f>
        <v>Wood</v>
      </c>
      <c r="G8" s="35" t="str">
        <f>Data_Processes!G8</f>
        <v>Raw material production</v>
      </c>
      <c r="H8" s="34" t="str">
        <f>Data_Processes!H8</f>
        <v>Wood</v>
      </c>
      <c r="I8" s="9">
        <f>Data_Processes!I8</f>
        <v>0</v>
      </c>
      <c r="J8" s="9" t="str">
        <f>Data_Processes!J8</f>
        <v>n.a.</v>
      </c>
      <c r="K8" s="9" t="str">
        <f>Data_Processes!K8</f>
        <v>n.a.</v>
      </c>
      <c r="L8" s="9" t="str">
        <f>Data_Processes!L8</f>
        <v>n.a.</v>
      </c>
      <c r="M8" s="9" t="str">
        <f>Data_Processes!M8</f>
        <v>n.a.</v>
      </c>
      <c r="N8" s="9" t="str">
        <f>Data_Processes!N8</f>
        <v>n.a.</v>
      </c>
      <c r="O8" s="9" t="str">
        <f>Data_Processes!O8</f>
        <v>n.a.</v>
      </c>
      <c r="P8" s="9" t="str">
        <f>Data_Processes!P8</f>
        <v>n.a.</v>
      </c>
      <c r="Q8" s="35" t="str">
        <f>Data_Processes!Q8</f>
        <v>n.a.</v>
      </c>
      <c r="R8" s="34" t="str">
        <f>Data_Processes!R8</f>
        <v>Stemwood</v>
      </c>
      <c r="S8" s="9">
        <f>Data_Processes!S8</f>
        <v>0</v>
      </c>
      <c r="T8" s="9" t="str">
        <f>Data_Processes!T8</f>
        <v>Industry Wood</v>
      </c>
      <c r="U8" s="9">
        <f>Data_Processes!U8</f>
        <v>0</v>
      </c>
      <c r="V8" s="9" t="str">
        <f>Data_Processes!V8</f>
        <v>Energy wood</v>
      </c>
      <c r="W8" s="9">
        <f>Data_Processes!W8</f>
        <v>0</v>
      </c>
      <c r="X8" s="9" t="str">
        <f>Data_Processes!X8</f>
        <v>unused Wood</v>
      </c>
      <c r="Y8" s="9">
        <f>Data_Processes!Y8</f>
        <v>0</v>
      </c>
      <c r="Z8" s="9" t="str">
        <f>Data_Processes!Z8</f>
        <v>n.a.</v>
      </c>
      <c r="AA8" s="9" t="str">
        <f>Data_Processes!AA8</f>
        <v>n.a.</v>
      </c>
      <c r="AB8" s="9" t="str">
        <f>Data_Processes!AB8</f>
        <v>n.a.</v>
      </c>
      <c r="AC8" s="35" t="str">
        <f>Data_Processes!AC8</f>
        <v>n.a.</v>
      </c>
      <c r="AD8" s="9" t="str">
        <f>Data_Processes!AD8</f>
        <v>No</v>
      </c>
      <c r="AE8" s="9" t="str">
        <f>Data_Processes!AE8</f>
        <v>No</v>
      </c>
      <c r="AF8" s="14"/>
      <c r="AG8" s="14"/>
      <c r="AK8" s="15"/>
      <c r="AL8" s="14"/>
      <c r="AP8" s="15"/>
    </row>
    <row r="9" spans="2:42" x14ac:dyDescent="0.25">
      <c r="B9" s="14">
        <f>Data_Processes!B9</f>
        <v>6</v>
      </c>
      <c r="C9">
        <f>Data_Processes!C9</f>
        <v>0</v>
      </c>
      <c r="D9" t="str">
        <f>Data_Processes!D9</f>
        <v>Sawmill industry</v>
      </c>
      <c r="E9" t="str">
        <f>Data_Processes!E9</f>
        <v>Brandenburg</v>
      </c>
      <c r="F9" t="str">
        <f>Data_Processes!F9</f>
        <v>Wood</v>
      </c>
      <c r="G9" s="15" t="str">
        <f>Data_Processes!G9</f>
        <v>Product manufacturing</v>
      </c>
      <c r="H9" s="14"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5" t="str">
        <f>Data_Processes!Q9</f>
        <v>n.a.</v>
      </c>
      <c r="R9" s="14"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5">
        <f>Data_Processes!AC9</f>
        <v>0</v>
      </c>
      <c r="AD9" t="str">
        <f>Data_Processes!AD9</f>
        <v>No</v>
      </c>
      <c r="AE9" t="str">
        <f>Data_Processes!AE9</f>
        <v>Yes</v>
      </c>
      <c r="AF9" s="14"/>
      <c r="AG9" s="14"/>
      <c r="AK9" s="15"/>
      <c r="AL9" s="14"/>
      <c r="AP9" s="15"/>
    </row>
    <row r="10" spans="2:42" x14ac:dyDescent="0.25">
      <c r="B10" s="34">
        <f>Data_Processes!B10</f>
        <v>7</v>
      </c>
      <c r="C10" s="9">
        <f>Data_Processes!C10</f>
        <v>0</v>
      </c>
      <c r="D10" s="9" t="str">
        <f>Data_Processes!D10</f>
        <v>Wood-based materials industry</v>
      </c>
      <c r="E10" s="9" t="str">
        <f>Data_Processes!E10</f>
        <v>Brandenburg</v>
      </c>
      <c r="F10" s="9" t="str">
        <f>Data_Processes!F10</f>
        <v>Wood</v>
      </c>
      <c r="G10" s="35" t="str">
        <f>Data_Processes!G10</f>
        <v>Product manufacturing</v>
      </c>
      <c r="H10" s="34" t="str">
        <f>Data_Processes!H10</f>
        <v>Industry wood</v>
      </c>
      <c r="I10" s="9">
        <f>Data_Processes!I10</f>
        <v>0</v>
      </c>
      <c r="J10" s="9" t="str">
        <f>Data_Processes!J10</f>
        <v>Sägespäne aus SI in BB</v>
      </c>
      <c r="K10" s="9">
        <f>Data_Processes!K10</f>
        <v>0</v>
      </c>
      <c r="L10" s="9" t="str">
        <f>Data_Processes!L10</f>
        <v>Hackschnitzel aus SI in BB</v>
      </c>
      <c r="M10" s="9">
        <f>Data_Processes!M10</f>
        <v>0</v>
      </c>
      <c r="N10" s="9" t="str">
        <f>Data_Processes!N10</f>
        <v>Sägenebenprodukte aus NBB</v>
      </c>
      <c r="O10" s="9">
        <f>Data_Processes!O10</f>
        <v>0</v>
      </c>
      <c r="P10" s="9" t="str">
        <f>Data_Processes!P10</f>
        <v>n.a.</v>
      </c>
      <c r="Q10" s="35" t="str">
        <f>Data_Processes!Q10</f>
        <v>n.a.</v>
      </c>
      <c r="R10" s="34" t="str">
        <f>Data_Processes!R10</f>
        <v>Holzwerkstoffe (BB)</v>
      </c>
      <c r="S10" s="9">
        <f>Data_Processes!S10</f>
        <v>0</v>
      </c>
      <c r="T10" s="9" t="str">
        <f>Data_Processes!T10</f>
        <v>Holzwerkstoffe (Export)</v>
      </c>
      <c r="U10" s="9">
        <f>Data_Processes!U10</f>
        <v>0</v>
      </c>
      <c r="V10" s="9" t="str">
        <f>Data_Processes!V10</f>
        <v>Residues</v>
      </c>
      <c r="W10" s="9">
        <f>Data_Processes!W10</f>
        <v>0</v>
      </c>
      <c r="X10" s="9" t="str">
        <f>Data_Processes!X10</f>
        <v>n.a.</v>
      </c>
      <c r="Y10" s="9" t="str">
        <f>Data_Processes!Y10</f>
        <v>n.a.</v>
      </c>
      <c r="Z10" s="9" t="str">
        <f>Data_Processes!Z10</f>
        <v>n.a.</v>
      </c>
      <c r="AA10" s="9" t="str">
        <f>Data_Processes!AA10</f>
        <v>n.a.</v>
      </c>
      <c r="AB10" s="9" t="str">
        <f>Data_Processes!AB10</f>
        <v>n.a.</v>
      </c>
      <c r="AC10" s="35" t="str">
        <f>Data_Processes!AC10</f>
        <v>n.a.</v>
      </c>
      <c r="AD10" s="9">
        <f>Data_Processes!AD10</f>
        <v>0</v>
      </c>
      <c r="AE10" s="9" t="str">
        <f>Data_Processes!AE10</f>
        <v>Yes</v>
      </c>
      <c r="AF10" s="14"/>
      <c r="AG10" s="14"/>
      <c r="AK10" s="15"/>
      <c r="AL10" s="14"/>
      <c r="AP10" s="15"/>
    </row>
    <row r="11" spans="2:42" x14ac:dyDescent="0.25">
      <c r="B11" s="14">
        <f>Data_Processes!B12</f>
        <v>8</v>
      </c>
      <c r="C11">
        <f>Data_Processes!C12</f>
        <v>0</v>
      </c>
      <c r="D11" t="str">
        <f>Data_Processes!D12</f>
        <v>Use-Phase -industry wood</v>
      </c>
      <c r="E11" t="str">
        <f>Data_Processes!E12</f>
        <v>Brandenburg + Berlin</v>
      </c>
      <c r="F11" t="str">
        <f>Data_Processes!F12</f>
        <v>Wood</v>
      </c>
      <c r="G11" s="15" t="str">
        <f>Data_Processes!G12</f>
        <v>Use (Re-use)</v>
      </c>
      <c r="H11" s="14"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5" t="str">
        <f>Data_Processes!Q12</f>
        <v>n.a.</v>
      </c>
      <c r="R11" s="14"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5" t="str">
        <f>Data_Processes!AC12</f>
        <v>n.a.</v>
      </c>
      <c r="AD11" t="str">
        <f>Data_Processes!AD12</f>
        <v>Yes</v>
      </c>
      <c r="AE11">
        <f>Data_Processes!AE12</f>
        <v>0</v>
      </c>
      <c r="AF11" s="14"/>
      <c r="AG11" s="14"/>
      <c r="AK11" s="15"/>
      <c r="AL11" s="14"/>
      <c r="AP11" s="15"/>
    </row>
    <row r="12" spans="2:42" x14ac:dyDescent="0.25">
      <c r="B12" s="34">
        <f>Data_Processes!B13</f>
        <v>9</v>
      </c>
      <c r="C12" s="9">
        <f>Data_Processes!C13</f>
        <v>0</v>
      </c>
      <c r="D12" s="9" t="str">
        <f>Data_Processes!D13</f>
        <v>Use-Phase -Construction wood</v>
      </c>
      <c r="E12" s="9" t="str">
        <f>Data_Processes!E13</f>
        <v>Brandenburg + Berlin</v>
      </c>
      <c r="F12" s="9" t="str">
        <f>Data_Processes!F13</f>
        <v>Wood</v>
      </c>
      <c r="G12" s="35" t="str">
        <f>Data_Processes!G13</f>
        <v>Use (Re-use)</v>
      </c>
      <c r="H12" s="34" t="str">
        <f>Data_Processes!H13</f>
        <v>Construction wood</v>
      </c>
      <c r="I12" s="9">
        <f>Data_Processes!I13</f>
        <v>0</v>
      </c>
      <c r="J12" s="9" t="str">
        <f>Data_Processes!J13</f>
        <v>n.a.</v>
      </c>
      <c r="K12" s="9" t="str">
        <f>Data_Processes!K13</f>
        <v>n.a.</v>
      </c>
      <c r="L12" s="9" t="str">
        <f>Data_Processes!L13</f>
        <v>n.a.</v>
      </c>
      <c r="M12" s="9" t="str">
        <f>Data_Processes!M13</f>
        <v>n.a.</v>
      </c>
      <c r="N12" s="9" t="str">
        <f>Data_Processes!N13</f>
        <v>n.a.</v>
      </c>
      <c r="O12" s="9" t="str">
        <f>Data_Processes!O13</f>
        <v>n.a.</v>
      </c>
      <c r="P12" s="9" t="str">
        <f>Data_Processes!P13</f>
        <v>n.a.</v>
      </c>
      <c r="Q12" s="35" t="str">
        <f>Data_Processes!Q13</f>
        <v>n.a.</v>
      </c>
      <c r="R12" s="34" t="str">
        <f>Data_Processes!R13</f>
        <v>Waste Wood</v>
      </c>
      <c r="S12" s="9">
        <f>Data_Processes!S13</f>
        <v>0</v>
      </c>
      <c r="T12" s="9" t="str">
        <f>Data_Processes!T13</f>
        <v>n.a.</v>
      </c>
      <c r="U12" s="9" t="str">
        <f>Data_Processes!U13</f>
        <v>n.a.</v>
      </c>
      <c r="V12" s="9" t="str">
        <f>Data_Processes!V13</f>
        <v>n.a.</v>
      </c>
      <c r="W12" s="9" t="str">
        <f>Data_Processes!W13</f>
        <v>n.a.</v>
      </c>
      <c r="X12" s="9" t="str">
        <f>Data_Processes!X13</f>
        <v>n.a.</v>
      </c>
      <c r="Y12" s="9" t="str">
        <f>Data_Processes!Y13</f>
        <v>n.a.</v>
      </c>
      <c r="Z12" s="9" t="str">
        <f>Data_Processes!Z13</f>
        <v>n.a.</v>
      </c>
      <c r="AA12" s="9" t="str">
        <f>Data_Processes!AA13</f>
        <v>n.a.</v>
      </c>
      <c r="AB12" s="9" t="str">
        <f>Data_Processes!AB13</f>
        <v>n.a.</v>
      </c>
      <c r="AC12" s="35" t="str">
        <f>Data_Processes!AC13</f>
        <v>n.a.</v>
      </c>
      <c r="AD12" s="9" t="str">
        <f>Data_Processes!AD13</f>
        <v>Yes</v>
      </c>
      <c r="AE12" s="9">
        <f>Data_Processes!AE13</f>
        <v>0</v>
      </c>
      <c r="AF12" s="14"/>
      <c r="AG12" s="14"/>
      <c r="AK12" s="15"/>
      <c r="AL12" s="14"/>
      <c r="AP12" s="15"/>
    </row>
    <row r="13" spans="2:42" x14ac:dyDescent="0.25">
      <c r="B13" s="14">
        <f>Data_Processes!B14</f>
        <v>10</v>
      </c>
      <c r="C13">
        <f>Data_Processes!C14</f>
        <v>0</v>
      </c>
      <c r="D13" t="str">
        <f>Data_Processes!D14</f>
        <v>Waste wood processing plant</v>
      </c>
      <c r="E13" t="str">
        <f>Data_Processes!E14</f>
        <v>Berlin</v>
      </c>
      <c r="F13" t="str">
        <f>Data_Processes!F14</f>
        <v>Wood</v>
      </c>
      <c r="G13" s="15" t="str">
        <f>Data_Processes!G14</f>
        <v>Recycl﻿ing / disposal</v>
      </c>
      <c r="H13" s="14"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5" t="str">
        <f>Data_Processes!Q14</f>
        <v>n.a.</v>
      </c>
      <c r="R13" s="14"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5" t="str">
        <f>Data_Processes!AC14</f>
        <v>n.a.</v>
      </c>
      <c r="AD13">
        <f>Data_Processes!AD14</f>
        <v>0</v>
      </c>
      <c r="AE13">
        <f>Data_Processes!AE14</f>
        <v>0</v>
      </c>
      <c r="AF13" s="14"/>
      <c r="AG13" s="14"/>
      <c r="AK13" s="15"/>
      <c r="AL13" s="14"/>
      <c r="AP13" s="15"/>
    </row>
    <row r="14" spans="2:42" x14ac:dyDescent="0.25">
      <c r="B14" s="34">
        <f>Data_Processes!B15</f>
        <v>11</v>
      </c>
      <c r="C14" s="9">
        <f>Data_Processes!C15</f>
        <v>0</v>
      </c>
      <c r="D14" s="9" t="str">
        <f>Data_Processes!D15</f>
        <v>Waste wood processing plant</v>
      </c>
      <c r="E14" s="9" t="str">
        <f>Data_Processes!E15</f>
        <v>Brandenburg</v>
      </c>
      <c r="F14" s="9" t="str">
        <f>Data_Processes!F15</f>
        <v>Wood</v>
      </c>
      <c r="G14" s="35" t="str">
        <f>Data_Processes!G15</f>
        <v>Recycl﻿ing / disposal</v>
      </c>
      <c r="H14" s="34" t="str">
        <f>Data_Processes!H15</f>
        <v>Waste Wood</v>
      </c>
      <c r="I14" s="9">
        <f>Data_Processes!I15</f>
        <v>0</v>
      </c>
      <c r="J14" s="9" t="str">
        <f>Data_Processes!J15</f>
        <v>Garten und Strauch</v>
      </c>
      <c r="K14" s="9">
        <f>Data_Processes!K15</f>
        <v>0</v>
      </c>
      <c r="L14" s="9" t="str">
        <f>Data_Processes!L15</f>
        <v>n.a.</v>
      </c>
      <c r="M14" s="9" t="str">
        <f>Data_Processes!M15</f>
        <v>n.a.</v>
      </c>
      <c r="N14" s="9" t="str">
        <f>Data_Processes!N15</f>
        <v>n.a.</v>
      </c>
      <c r="O14" s="9" t="str">
        <f>Data_Processes!O15</f>
        <v>n.a.</v>
      </c>
      <c r="P14" s="9" t="str">
        <f>Data_Processes!P15</f>
        <v>n.a.</v>
      </c>
      <c r="Q14" s="35" t="str">
        <f>Data_Processes!Q15</f>
        <v>n.a.</v>
      </c>
      <c r="R14" s="34" t="str">
        <f>Data_Processes!R15</f>
        <v>energetische Verwertung</v>
      </c>
      <c r="S14" s="9">
        <f>Data_Processes!S15</f>
        <v>0</v>
      </c>
      <c r="T14" s="9" t="str">
        <f>Data_Processes!T15</f>
        <v>Kompostierung</v>
      </c>
      <c r="U14" s="9">
        <f>Data_Processes!U15</f>
        <v>0</v>
      </c>
      <c r="V14" s="9" t="str">
        <f>Data_Processes!V15</f>
        <v>stoffliche Verwertung</v>
      </c>
      <c r="W14" s="9">
        <f>Data_Processes!W15</f>
        <v>0</v>
      </c>
      <c r="X14" s="9" t="str">
        <f>Data_Processes!X15</f>
        <v>n.b.</v>
      </c>
      <c r="Y14" s="9">
        <f>Data_Processes!Y15</f>
        <v>0</v>
      </c>
      <c r="Z14" s="9" t="str">
        <f>Data_Processes!Z15</f>
        <v>n.a.</v>
      </c>
      <c r="AA14" s="9" t="str">
        <f>Data_Processes!AA15</f>
        <v>n.a.</v>
      </c>
      <c r="AB14" s="9" t="str">
        <f>Data_Processes!AB15</f>
        <v>n.a.</v>
      </c>
      <c r="AC14" s="35" t="str">
        <f>Data_Processes!AC15</f>
        <v>n.a.</v>
      </c>
      <c r="AD14" s="9" t="str">
        <f>Data_Processes!AD15</f>
        <v>No</v>
      </c>
      <c r="AE14" s="9" t="str">
        <f>Data_Processes!AE15</f>
        <v>Yes</v>
      </c>
      <c r="AF14" s="14"/>
      <c r="AG14" s="14"/>
      <c r="AK14" s="15"/>
      <c r="AL14" s="14"/>
      <c r="AP14" s="15"/>
    </row>
    <row r="15" spans="2:42" x14ac:dyDescent="0.25">
      <c r="B15" s="14">
        <f>Data_Processes!B16</f>
        <v>12</v>
      </c>
      <c r="C15">
        <f>Data_Processes!C16</f>
        <v>0</v>
      </c>
      <c r="D15" t="str">
        <f>Data_Processes!D16</f>
        <v>Biomass power plant</v>
      </c>
      <c r="E15" t="str">
        <f>Data_Processes!E16</f>
        <v>Berlin</v>
      </c>
      <c r="F15" t="str">
        <f>Data_Processes!F16</f>
        <v>Wood</v>
      </c>
      <c r="G15" s="15" t="str">
        <f>Data_Processes!G16</f>
        <v>Recycl﻿ing / disposal</v>
      </c>
      <c r="H15" s="14"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5" t="str">
        <f>Data_Processes!Q16</f>
        <v>n.a.</v>
      </c>
      <c r="R15" s="14"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5" t="str">
        <f>Data_Processes!AC16</f>
        <v>n.a.</v>
      </c>
      <c r="AD15" t="str">
        <f>Data_Processes!AD16</f>
        <v>No</v>
      </c>
      <c r="AE15" t="str">
        <f>Data_Processes!AE16</f>
        <v>Yes</v>
      </c>
      <c r="AF15" s="14"/>
      <c r="AG15" s="14"/>
      <c r="AK15" s="15"/>
      <c r="AL15" s="14"/>
      <c r="AP15" s="15"/>
    </row>
    <row r="16" spans="2:42" x14ac:dyDescent="0.25">
      <c r="B16" s="34">
        <f>Data_Processes!B17</f>
        <v>13</v>
      </c>
      <c r="C16" s="9">
        <f>Data_Processes!C17</f>
        <v>0</v>
      </c>
      <c r="D16" s="9" t="str">
        <f>Data_Processes!D17</f>
        <v>Biomass power plant</v>
      </c>
      <c r="E16" s="9" t="str">
        <f>Data_Processes!E17</f>
        <v>Brandenburg</v>
      </c>
      <c r="F16" s="9" t="str">
        <f>Data_Processes!F17</f>
        <v>Wood</v>
      </c>
      <c r="G16" s="35" t="str">
        <f>Data_Processes!G17</f>
        <v>Recycl﻿ing / disposal</v>
      </c>
      <c r="H16" s="34" t="str">
        <f>Data_Processes!H17</f>
        <v>Waste Wood A1</v>
      </c>
      <c r="I16" s="9">
        <f>Data_Processes!I17</f>
        <v>0</v>
      </c>
      <c r="J16" s="9" t="str">
        <f>Data_Processes!J17</f>
        <v>Waste Wood A2</v>
      </c>
      <c r="K16" s="9">
        <f>Data_Processes!K17</f>
        <v>0</v>
      </c>
      <c r="L16" s="9" t="str">
        <f>Data_Processes!L17</f>
        <v>Waste Wood A3</v>
      </c>
      <c r="M16" s="9">
        <f>Data_Processes!M17</f>
        <v>0</v>
      </c>
      <c r="N16" s="9" t="str">
        <f>Data_Processes!N17</f>
        <v>Waste Wood A4</v>
      </c>
      <c r="O16" s="9">
        <f>Data_Processes!O17</f>
        <v>0</v>
      </c>
      <c r="P16" s="9" t="str">
        <f>Data_Processes!P17</f>
        <v>n.a.</v>
      </c>
      <c r="Q16" s="35" t="str">
        <f>Data_Processes!Q17</f>
        <v>n.a.</v>
      </c>
      <c r="R16" s="34" t="str">
        <f>Data_Processes!R17</f>
        <v>CO2</v>
      </c>
      <c r="S16" s="9">
        <f>Data_Processes!S17</f>
        <v>0</v>
      </c>
      <c r="T16" s="9" t="str">
        <f>Data_Processes!T17</f>
        <v>Ash</v>
      </c>
      <c r="U16" s="9">
        <f>Data_Processes!U17</f>
        <v>0</v>
      </c>
      <c r="V16" s="9" t="str">
        <f>Data_Processes!V17</f>
        <v>n.a.</v>
      </c>
      <c r="W16" s="9" t="str">
        <f>Data_Processes!W17</f>
        <v>n.a.</v>
      </c>
      <c r="X16" s="9" t="str">
        <f>Data_Processes!X17</f>
        <v>n.a.</v>
      </c>
      <c r="Y16" s="9" t="str">
        <f>Data_Processes!Y17</f>
        <v>n.a.</v>
      </c>
      <c r="Z16" s="9" t="str">
        <f>Data_Processes!Z17</f>
        <v>n.a.</v>
      </c>
      <c r="AA16" s="9" t="str">
        <f>Data_Processes!AA17</f>
        <v>n.a.</v>
      </c>
      <c r="AB16" s="9" t="str">
        <f>Data_Processes!AB17</f>
        <v>n.a.</v>
      </c>
      <c r="AC16" s="35" t="str">
        <f>Data_Processes!AC17</f>
        <v>n.a.</v>
      </c>
      <c r="AD16" s="9" t="str">
        <f>Data_Processes!AD17</f>
        <v>No</v>
      </c>
      <c r="AE16" s="9" t="str">
        <f>Data_Processes!AE17</f>
        <v>Yes</v>
      </c>
      <c r="AF16" s="14"/>
      <c r="AG16" s="14"/>
      <c r="AK16" s="15"/>
      <c r="AL16" s="14"/>
      <c r="AP16" s="15"/>
    </row>
    <row r="17" spans="2:42" x14ac:dyDescent="0.25">
      <c r="B17" s="14">
        <f>Data_Processes!B18</f>
        <v>14</v>
      </c>
      <c r="C17">
        <f>Data_Processes!C18</f>
        <v>0</v>
      </c>
      <c r="D17">
        <f>Data_Processes!D18</f>
        <v>0</v>
      </c>
      <c r="E17">
        <f>Data_Processes!E18</f>
        <v>0</v>
      </c>
      <c r="F17">
        <f>Data_Processes!F18</f>
        <v>0</v>
      </c>
      <c r="G17" s="15">
        <f>Data_Processes!G18</f>
        <v>0</v>
      </c>
      <c r="H17" s="14">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5">
        <f>Data_Processes!Q18</f>
        <v>0</v>
      </c>
      <c r="R17" s="14">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5">
        <f>Data_Processes!AC18</f>
        <v>0</v>
      </c>
      <c r="AD17">
        <f>Data_Processes!AD18</f>
        <v>0</v>
      </c>
      <c r="AE17">
        <f>Data_Processes!AE18</f>
        <v>0</v>
      </c>
      <c r="AF17" s="14"/>
      <c r="AG17" s="14"/>
      <c r="AK17" s="15"/>
      <c r="AL17" s="14"/>
      <c r="AP17" s="15"/>
    </row>
    <row r="18" spans="2:42" x14ac:dyDescent="0.25">
      <c r="B18" s="34">
        <f>Data_Processes!B19</f>
        <v>15</v>
      </c>
      <c r="C18" s="9">
        <f>Data_Processes!C19</f>
        <v>0</v>
      </c>
      <c r="D18" s="9">
        <f>Data_Processes!D19</f>
        <v>0</v>
      </c>
      <c r="E18" s="9">
        <f>Data_Processes!E19</f>
        <v>0</v>
      </c>
      <c r="F18" s="9">
        <f>Data_Processes!F19</f>
        <v>0</v>
      </c>
      <c r="G18" s="35">
        <f>Data_Processes!G19</f>
        <v>0</v>
      </c>
      <c r="H18" s="34">
        <f>Data_Processes!H19</f>
        <v>0</v>
      </c>
      <c r="I18" s="9">
        <f>Data_Processes!I19</f>
        <v>0</v>
      </c>
      <c r="J18" s="9">
        <f>Data_Processes!J19</f>
        <v>0</v>
      </c>
      <c r="K18" s="9">
        <f>Data_Processes!K19</f>
        <v>0</v>
      </c>
      <c r="L18" s="9">
        <f>Data_Processes!L19</f>
        <v>0</v>
      </c>
      <c r="M18" s="9">
        <f>Data_Processes!M19</f>
        <v>0</v>
      </c>
      <c r="N18" s="9">
        <f>Data_Processes!N19</f>
        <v>0</v>
      </c>
      <c r="O18" s="9">
        <f>Data_Processes!O19</f>
        <v>0</v>
      </c>
      <c r="P18" s="9">
        <f>Data_Processes!P19</f>
        <v>0</v>
      </c>
      <c r="Q18" s="35">
        <f>Data_Processes!Q19</f>
        <v>0</v>
      </c>
      <c r="R18" s="34">
        <f>Data_Processes!R19</f>
        <v>0</v>
      </c>
      <c r="S18" s="9">
        <f>Data_Processes!S19</f>
        <v>0</v>
      </c>
      <c r="T18" s="9">
        <f>Data_Processes!T19</f>
        <v>0</v>
      </c>
      <c r="U18" s="9">
        <f>Data_Processes!U19</f>
        <v>0</v>
      </c>
      <c r="V18" s="9">
        <f>Data_Processes!V19</f>
        <v>0</v>
      </c>
      <c r="W18" s="9">
        <f>Data_Processes!W19</f>
        <v>0</v>
      </c>
      <c r="X18" s="9">
        <f>Data_Processes!X19</f>
        <v>0</v>
      </c>
      <c r="Y18" s="9">
        <f>Data_Processes!Y19</f>
        <v>0</v>
      </c>
      <c r="Z18" s="9">
        <f>Data_Processes!Z19</f>
        <v>0</v>
      </c>
      <c r="AA18" s="9">
        <f>Data_Processes!AA19</f>
        <v>0</v>
      </c>
      <c r="AB18" s="9">
        <f>Data_Processes!AB19</f>
        <v>0</v>
      </c>
      <c r="AC18" s="35">
        <f>Data_Processes!AC19</f>
        <v>0</v>
      </c>
      <c r="AD18" s="9">
        <f>Data_Processes!AD19</f>
        <v>0</v>
      </c>
      <c r="AE18" s="9">
        <f>Data_Processes!AE19</f>
        <v>0</v>
      </c>
      <c r="AF18" s="14"/>
      <c r="AG18" s="14"/>
      <c r="AK18" s="15"/>
      <c r="AL18" s="14"/>
      <c r="AP18" s="15"/>
    </row>
    <row r="19" spans="2:42" x14ac:dyDescent="0.25">
      <c r="B19" s="14">
        <f>Data_Processes!B20</f>
        <v>16</v>
      </c>
      <c r="C19">
        <f>Data_Processes!C20</f>
        <v>0</v>
      </c>
      <c r="D19">
        <f>Data_Processes!D20</f>
        <v>0</v>
      </c>
      <c r="E19">
        <f>Data_Processes!E20</f>
        <v>0</v>
      </c>
      <c r="F19">
        <f>Data_Processes!F20</f>
        <v>0</v>
      </c>
      <c r="G19" s="15">
        <f>Data_Processes!G20</f>
        <v>0</v>
      </c>
      <c r="H19" s="14">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5">
        <f>Data_Processes!Q20</f>
        <v>0</v>
      </c>
      <c r="R19" s="14">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5">
        <f>Data_Processes!AC20</f>
        <v>0</v>
      </c>
      <c r="AD19">
        <f>Data_Processes!AD20</f>
        <v>0</v>
      </c>
      <c r="AE19">
        <f>Data_Processes!AE20</f>
        <v>0</v>
      </c>
      <c r="AF19" s="14"/>
      <c r="AG19" s="14"/>
      <c r="AK19" s="15"/>
      <c r="AL19" s="14"/>
      <c r="AP19" s="15"/>
    </row>
    <row r="20" spans="2:42" x14ac:dyDescent="0.25">
      <c r="B20" s="34">
        <f>Data_Processes!B21</f>
        <v>17</v>
      </c>
      <c r="C20" s="9">
        <f>Data_Processes!C21</f>
        <v>0</v>
      </c>
      <c r="D20" s="9">
        <f>Data_Processes!D21</f>
        <v>0</v>
      </c>
      <c r="E20" s="9">
        <f>Data_Processes!E21</f>
        <v>0</v>
      </c>
      <c r="F20" s="9">
        <f>Data_Processes!F21</f>
        <v>0</v>
      </c>
      <c r="G20" s="35">
        <f>Data_Processes!G21</f>
        <v>0</v>
      </c>
      <c r="H20" s="34">
        <f>Data_Processes!H21</f>
        <v>0</v>
      </c>
      <c r="I20" s="9">
        <f>Data_Processes!I21</f>
        <v>0</v>
      </c>
      <c r="J20" s="9">
        <f>Data_Processes!J21</f>
        <v>0</v>
      </c>
      <c r="K20" s="9">
        <f>Data_Processes!K21</f>
        <v>0</v>
      </c>
      <c r="L20" s="9">
        <f>Data_Processes!L21</f>
        <v>0</v>
      </c>
      <c r="M20" s="9">
        <f>Data_Processes!M21</f>
        <v>0</v>
      </c>
      <c r="N20" s="9">
        <f>Data_Processes!N21</f>
        <v>0</v>
      </c>
      <c r="O20" s="9">
        <f>Data_Processes!O21</f>
        <v>0</v>
      </c>
      <c r="P20" s="9">
        <f>Data_Processes!P21</f>
        <v>0</v>
      </c>
      <c r="Q20" s="35">
        <f>Data_Processes!Q21</f>
        <v>0</v>
      </c>
      <c r="R20" s="34">
        <f>Data_Processes!R21</f>
        <v>0</v>
      </c>
      <c r="S20" s="9">
        <f>Data_Processes!S21</f>
        <v>0</v>
      </c>
      <c r="T20" s="9">
        <f>Data_Processes!T21</f>
        <v>0</v>
      </c>
      <c r="U20" s="9">
        <f>Data_Processes!U21</f>
        <v>0</v>
      </c>
      <c r="V20" s="9">
        <f>Data_Processes!V21</f>
        <v>0</v>
      </c>
      <c r="W20" s="9">
        <f>Data_Processes!W21</f>
        <v>0</v>
      </c>
      <c r="X20" s="9">
        <f>Data_Processes!X21</f>
        <v>0</v>
      </c>
      <c r="Y20" s="9">
        <f>Data_Processes!Y21</f>
        <v>0</v>
      </c>
      <c r="Z20" s="9">
        <f>Data_Processes!Z21</f>
        <v>0</v>
      </c>
      <c r="AA20" s="9">
        <f>Data_Processes!AA21</f>
        <v>0</v>
      </c>
      <c r="AB20" s="9">
        <f>Data_Processes!AB21</f>
        <v>0</v>
      </c>
      <c r="AC20" s="35">
        <f>Data_Processes!AC21</f>
        <v>0</v>
      </c>
      <c r="AD20" s="9">
        <f>Data_Processes!AD21</f>
        <v>0</v>
      </c>
      <c r="AE20" s="9">
        <f>Data_Processes!AE21</f>
        <v>0</v>
      </c>
      <c r="AF20" s="14"/>
      <c r="AG20" s="14"/>
      <c r="AK20" s="15"/>
      <c r="AL20" s="14"/>
      <c r="AP20" s="15"/>
    </row>
    <row r="21" spans="2:42" x14ac:dyDescent="0.25">
      <c r="B21" s="14">
        <f>Data_Processes!B22</f>
        <v>18</v>
      </c>
      <c r="C21">
        <f>Data_Processes!C22</f>
        <v>0</v>
      </c>
      <c r="D21">
        <f>Data_Processes!D22</f>
        <v>0</v>
      </c>
      <c r="E21">
        <f>Data_Processes!E22</f>
        <v>0</v>
      </c>
      <c r="F21">
        <f>Data_Processes!F22</f>
        <v>0</v>
      </c>
      <c r="G21" s="15">
        <f>Data_Processes!G22</f>
        <v>0</v>
      </c>
      <c r="H21" s="14">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5">
        <f>Data_Processes!Q22</f>
        <v>0</v>
      </c>
      <c r="R21" s="14">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5">
        <f>Data_Processes!AC22</f>
        <v>0</v>
      </c>
      <c r="AD21">
        <f>Data_Processes!AD22</f>
        <v>0</v>
      </c>
      <c r="AE21">
        <f>Data_Processes!AE22</f>
        <v>0</v>
      </c>
      <c r="AF21" s="14"/>
      <c r="AG21" s="14"/>
      <c r="AK21" s="15"/>
      <c r="AL21" s="14"/>
      <c r="AP21" s="15"/>
    </row>
    <row r="22" spans="2:42" x14ac:dyDescent="0.25">
      <c r="B22" s="34">
        <f>Data_Processes!B23</f>
        <v>19</v>
      </c>
      <c r="C22" s="9">
        <f>Data_Processes!C23</f>
        <v>0</v>
      </c>
      <c r="D22" s="9">
        <f>Data_Processes!D23</f>
        <v>0</v>
      </c>
      <c r="E22" s="9">
        <f>Data_Processes!E23</f>
        <v>0</v>
      </c>
      <c r="F22" s="9">
        <f>Data_Processes!F23</f>
        <v>0</v>
      </c>
      <c r="G22" s="35">
        <f>Data_Processes!G23</f>
        <v>0</v>
      </c>
      <c r="H22" s="34">
        <f>Data_Processes!H23</f>
        <v>0</v>
      </c>
      <c r="I22" s="9">
        <f>Data_Processes!I23</f>
        <v>0</v>
      </c>
      <c r="J22" s="9">
        <f>Data_Processes!J23</f>
        <v>0</v>
      </c>
      <c r="K22" s="9">
        <f>Data_Processes!K23</f>
        <v>0</v>
      </c>
      <c r="L22" s="9">
        <f>Data_Processes!L23</f>
        <v>0</v>
      </c>
      <c r="M22" s="9">
        <f>Data_Processes!M23</f>
        <v>0</v>
      </c>
      <c r="N22" s="9">
        <f>Data_Processes!N23</f>
        <v>0</v>
      </c>
      <c r="O22" s="9">
        <f>Data_Processes!O23</f>
        <v>0</v>
      </c>
      <c r="P22" s="9">
        <f>Data_Processes!P23</f>
        <v>0</v>
      </c>
      <c r="Q22" s="35">
        <f>Data_Processes!Q23</f>
        <v>0</v>
      </c>
      <c r="R22" s="34">
        <f>Data_Processes!R23</f>
        <v>0</v>
      </c>
      <c r="S22" s="9">
        <f>Data_Processes!S23</f>
        <v>0</v>
      </c>
      <c r="T22" s="9">
        <f>Data_Processes!T23</f>
        <v>0</v>
      </c>
      <c r="U22" s="9">
        <f>Data_Processes!U23</f>
        <v>0</v>
      </c>
      <c r="V22" s="9">
        <f>Data_Processes!V23</f>
        <v>0</v>
      </c>
      <c r="W22" s="9">
        <f>Data_Processes!W23</f>
        <v>0</v>
      </c>
      <c r="X22" s="9">
        <f>Data_Processes!X23</f>
        <v>0</v>
      </c>
      <c r="Y22" s="9">
        <f>Data_Processes!Y23</f>
        <v>0</v>
      </c>
      <c r="Z22" s="9">
        <f>Data_Processes!Z23</f>
        <v>0</v>
      </c>
      <c r="AA22" s="9">
        <f>Data_Processes!AA23</f>
        <v>0</v>
      </c>
      <c r="AB22" s="9">
        <f>Data_Processes!AB23</f>
        <v>0</v>
      </c>
      <c r="AC22" s="35">
        <f>Data_Processes!AC23</f>
        <v>0</v>
      </c>
      <c r="AD22" s="9">
        <f>Data_Processes!AD23</f>
        <v>0</v>
      </c>
      <c r="AE22" s="9">
        <f>Data_Processes!AE23</f>
        <v>0</v>
      </c>
      <c r="AF22" s="14"/>
      <c r="AG22" s="14"/>
      <c r="AK22" s="15"/>
      <c r="AL22" s="14"/>
      <c r="AP22" s="15"/>
    </row>
    <row r="23" spans="2:42" x14ac:dyDescent="0.25">
      <c r="B23" s="14">
        <f>Data_Processes!B24</f>
        <v>20</v>
      </c>
      <c r="C23">
        <f>Data_Processes!C24</f>
        <v>0</v>
      </c>
      <c r="D23">
        <f>Data_Processes!D24</f>
        <v>0</v>
      </c>
      <c r="E23">
        <f>Data_Processes!E24</f>
        <v>0</v>
      </c>
      <c r="F23">
        <f>Data_Processes!F24</f>
        <v>0</v>
      </c>
      <c r="G23" s="15">
        <f>Data_Processes!G24</f>
        <v>0</v>
      </c>
      <c r="H23" s="14">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5">
        <f>Data_Processes!Q24</f>
        <v>0</v>
      </c>
      <c r="R23" s="14">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5">
        <f>Data_Processes!AC24</f>
        <v>0</v>
      </c>
      <c r="AD23">
        <f>Data_Processes!AD24</f>
        <v>0</v>
      </c>
      <c r="AE23">
        <f>Data_Processes!AE24</f>
        <v>0</v>
      </c>
      <c r="AF23" s="14"/>
      <c r="AG23" s="14"/>
      <c r="AK23" s="15"/>
      <c r="AL23" s="14"/>
      <c r="AP23" s="15"/>
    </row>
    <row r="24" spans="2:42" x14ac:dyDescent="0.25">
      <c r="B24" s="34">
        <f>Data_Processes!B25</f>
        <v>21</v>
      </c>
      <c r="C24" s="9">
        <f>Data_Processes!C25</f>
        <v>0</v>
      </c>
      <c r="D24" s="9">
        <f>Data_Processes!D25</f>
        <v>0</v>
      </c>
      <c r="E24" s="9">
        <f>Data_Processes!E25</f>
        <v>0</v>
      </c>
      <c r="F24" s="9">
        <f>Data_Processes!F25</f>
        <v>0</v>
      </c>
      <c r="G24" s="35">
        <f>Data_Processes!G25</f>
        <v>0</v>
      </c>
      <c r="H24" s="34">
        <f>Data_Processes!H25</f>
        <v>0</v>
      </c>
      <c r="I24" s="9">
        <f>Data_Processes!I25</f>
        <v>0</v>
      </c>
      <c r="J24" s="9">
        <f>Data_Processes!J25</f>
        <v>0</v>
      </c>
      <c r="K24" s="9">
        <f>Data_Processes!K25</f>
        <v>0</v>
      </c>
      <c r="L24" s="9">
        <f>Data_Processes!L25</f>
        <v>0</v>
      </c>
      <c r="M24" s="9">
        <f>Data_Processes!M25</f>
        <v>0</v>
      </c>
      <c r="N24" s="9">
        <f>Data_Processes!N25</f>
        <v>0</v>
      </c>
      <c r="O24" s="9">
        <f>Data_Processes!O25</f>
        <v>0</v>
      </c>
      <c r="P24" s="9">
        <f>Data_Processes!P25</f>
        <v>0</v>
      </c>
      <c r="Q24" s="35">
        <f>Data_Processes!Q25</f>
        <v>0</v>
      </c>
      <c r="R24" s="34">
        <f>Data_Processes!R25</f>
        <v>0</v>
      </c>
      <c r="S24" s="9">
        <f>Data_Processes!S25</f>
        <v>0</v>
      </c>
      <c r="T24" s="9">
        <f>Data_Processes!T25</f>
        <v>0</v>
      </c>
      <c r="U24" s="9">
        <f>Data_Processes!U25</f>
        <v>0</v>
      </c>
      <c r="V24" s="9">
        <f>Data_Processes!V25</f>
        <v>0</v>
      </c>
      <c r="W24" s="9">
        <f>Data_Processes!W25</f>
        <v>0</v>
      </c>
      <c r="X24" s="9">
        <f>Data_Processes!X25</f>
        <v>0</v>
      </c>
      <c r="Y24" s="9">
        <f>Data_Processes!Y25</f>
        <v>0</v>
      </c>
      <c r="Z24" s="9">
        <f>Data_Processes!Z25</f>
        <v>0</v>
      </c>
      <c r="AA24" s="9">
        <f>Data_Processes!AA25</f>
        <v>0</v>
      </c>
      <c r="AB24" s="9">
        <f>Data_Processes!AB25</f>
        <v>0</v>
      </c>
      <c r="AC24" s="35">
        <f>Data_Processes!AC25</f>
        <v>0</v>
      </c>
      <c r="AD24" s="9">
        <f>Data_Processes!AD25</f>
        <v>0</v>
      </c>
      <c r="AE24" s="9">
        <f>Data_Processes!AE25</f>
        <v>0</v>
      </c>
      <c r="AF24" s="14"/>
      <c r="AG24" s="14"/>
      <c r="AK24" s="15"/>
      <c r="AL24" s="14"/>
      <c r="AP24" s="15"/>
    </row>
    <row r="25" spans="2:42" x14ac:dyDescent="0.25">
      <c r="B25" s="14">
        <f>Data_Processes!B26</f>
        <v>22</v>
      </c>
      <c r="C25">
        <f>Data_Processes!C26</f>
        <v>0</v>
      </c>
      <c r="D25">
        <f>Data_Processes!D26</f>
        <v>0</v>
      </c>
      <c r="E25">
        <f>Data_Processes!E26</f>
        <v>0</v>
      </c>
      <c r="F25">
        <f>Data_Processes!F26</f>
        <v>0</v>
      </c>
      <c r="G25" s="15">
        <f>Data_Processes!G26</f>
        <v>0</v>
      </c>
      <c r="H25" s="14">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5">
        <f>Data_Processes!Q26</f>
        <v>0</v>
      </c>
      <c r="R25" s="14">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5">
        <f>Data_Processes!AC26</f>
        <v>0</v>
      </c>
      <c r="AD25">
        <f>Data_Processes!AD26</f>
        <v>0</v>
      </c>
      <c r="AE25">
        <f>Data_Processes!AE26</f>
        <v>0</v>
      </c>
      <c r="AF25" s="14"/>
      <c r="AG25" s="14"/>
      <c r="AK25" s="15"/>
      <c r="AL25" s="14"/>
      <c r="AP25" s="15"/>
    </row>
    <row r="26" spans="2:42" x14ac:dyDescent="0.25">
      <c r="B26" s="34">
        <f>Data_Processes!B27</f>
        <v>23</v>
      </c>
      <c r="C26" s="9">
        <f>Data_Processes!C27</f>
        <v>0</v>
      </c>
      <c r="D26" s="9">
        <f>Data_Processes!D27</f>
        <v>0</v>
      </c>
      <c r="E26" s="9">
        <f>Data_Processes!E27</f>
        <v>0</v>
      </c>
      <c r="F26" s="9">
        <f>Data_Processes!F27</f>
        <v>0</v>
      </c>
      <c r="G26" s="35">
        <f>Data_Processes!G27</f>
        <v>0</v>
      </c>
      <c r="H26" s="34">
        <f>Data_Processes!H27</f>
        <v>0</v>
      </c>
      <c r="I26" s="9">
        <f>Data_Processes!I27</f>
        <v>0</v>
      </c>
      <c r="J26" s="9">
        <f>Data_Processes!J27</f>
        <v>0</v>
      </c>
      <c r="K26" s="9">
        <f>Data_Processes!K27</f>
        <v>0</v>
      </c>
      <c r="L26" s="9">
        <f>Data_Processes!L27</f>
        <v>0</v>
      </c>
      <c r="M26" s="9">
        <f>Data_Processes!M27</f>
        <v>0</v>
      </c>
      <c r="N26" s="9">
        <f>Data_Processes!N27</f>
        <v>0</v>
      </c>
      <c r="O26" s="9">
        <f>Data_Processes!O27</f>
        <v>0</v>
      </c>
      <c r="P26" s="9">
        <f>Data_Processes!P27</f>
        <v>0</v>
      </c>
      <c r="Q26" s="35">
        <f>Data_Processes!Q27</f>
        <v>0</v>
      </c>
      <c r="R26" s="34">
        <f>Data_Processes!R27</f>
        <v>0</v>
      </c>
      <c r="S26" s="9">
        <f>Data_Processes!S27</f>
        <v>0</v>
      </c>
      <c r="T26" s="9">
        <f>Data_Processes!T27</f>
        <v>0</v>
      </c>
      <c r="U26" s="9">
        <f>Data_Processes!U27</f>
        <v>0</v>
      </c>
      <c r="V26" s="9">
        <f>Data_Processes!V27</f>
        <v>0</v>
      </c>
      <c r="W26" s="9">
        <f>Data_Processes!W27</f>
        <v>0</v>
      </c>
      <c r="X26" s="9">
        <f>Data_Processes!X27</f>
        <v>0</v>
      </c>
      <c r="Y26" s="9">
        <f>Data_Processes!Y27</f>
        <v>0</v>
      </c>
      <c r="Z26" s="9">
        <f>Data_Processes!Z27</f>
        <v>0</v>
      </c>
      <c r="AA26" s="9">
        <f>Data_Processes!AA27</f>
        <v>0</v>
      </c>
      <c r="AB26" s="9">
        <f>Data_Processes!AB27</f>
        <v>0</v>
      </c>
      <c r="AC26" s="35">
        <f>Data_Processes!AC27</f>
        <v>0</v>
      </c>
      <c r="AD26" s="9">
        <f>Data_Processes!AD27</f>
        <v>0</v>
      </c>
      <c r="AE26" s="9">
        <f>Data_Processes!AE27</f>
        <v>0</v>
      </c>
      <c r="AF26" s="14"/>
      <c r="AG26" s="14"/>
      <c r="AK26" s="15"/>
      <c r="AL26" s="14"/>
      <c r="AP26" s="15"/>
    </row>
    <row r="27" spans="2:42" x14ac:dyDescent="0.25">
      <c r="B27" s="14">
        <f>Data_Processes!B28</f>
        <v>24</v>
      </c>
      <c r="C27">
        <f>Data_Processes!C28</f>
        <v>0</v>
      </c>
      <c r="D27">
        <f>Data_Processes!D28</f>
        <v>0</v>
      </c>
      <c r="E27">
        <f>Data_Processes!E28</f>
        <v>0</v>
      </c>
      <c r="F27">
        <f>Data_Processes!F28</f>
        <v>0</v>
      </c>
      <c r="G27" s="15">
        <f>Data_Processes!G28</f>
        <v>0</v>
      </c>
      <c r="H27" s="14">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5">
        <f>Data_Processes!Q28</f>
        <v>0</v>
      </c>
      <c r="R27" s="14">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5">
        <f>Data_Processes!AC28</f>
        <v>0</v>
      </c>
      <c r="AD27">
        <f>Data_Processes!AD28</f>
        <v>0</v>
      </c>
      <c r="AE27">
        <f>Data_Processes!AE28</f>
        <v>0</v>
      </c>
      <c r="AF27" s="14"/>
      <c r="AG27" s="14"/>
      <c r="AK27" s="15"/>
      <c r="AL27" s="14"/>
      <c r="AP27" s="15"/>
    </row>
    <row r="28" spans="2:42" x14ac:dyDescent="0.25">
      <c r="B28" s="34">
        <f>Data_Processes!B29</f>
        <v>25</v>
      </c>
      <c r="C28" s="9">
        <f>Data_Processes!C29</f>
        <v>0</v>
      </c>
      <c r="D28" s="9">
        <f>Data_Processes!D29</f>
        <v>0</v>
      </c>
      <c r="E28" s="9">
        <f>Data_Processes!E29</f>
        <v>0</v>
      </c>
      <c r="F28" s="9">
        <f>Data_Processes!F29</f>
        <v>0</v>
      </c>
      <c r="G28" s="35">
        <f>Data_Processes!G29</f>
        <v>0</v>
      </c>
      <c r="H28" s="34">
        <f>Data_Processes!H29</f>
        <v>0</v>
      </c>
      <c r="I28" s="9">
        <f>Data_Processes!I29</f>
        <v>0</v>
      </c>
      <c r="J28" s="9">
        <f>Data_Processes!J29</f>
        <v>0</v>
      </c>
      <c r="K28" s="9">
        <f>Data_Processes!K29</f>
        <v>0</v>
      </c>
      <c r="L28" s="9">
        <f>Data_Processes!L29</f>
        <v>0</v>
      </c>
      <c r="M28" s="9">
        <f>Data_Processes!M29</f>
        <v>0</v>
      </c>
      <c r="N28" s="9">
        <f>Data_Processes!N29</f>
        <v>0</v>
      </c>
      <c r="O28" s="9">
        <f>Data_Processes!O29</f>
        <v>0</v>
      </c>
      <c r="P28" s="9">
        <f>Data_Processes!P29</f>
        <v>0</v>
      </c>
      <c r="Q28" s="35">
        <f>Data_Processes!Q29</f>
        <v>0</v>
      </c>
      <c r="R28" s="34">
        <f>Data_Processes!R29</f>
        <v>0</v>
      </c>
      <c r="S28" s="9">
        <f>Data_Processes!S29</f>
        <v>0</v>
      </c>
      <c r="T28" s="9">
        <f>Data_Processes!T29</f>
        <v>0</v>
      </c>
      <c r="U28" s="9">
        <f>Data_Processes!U29</f>
        <v>0</v>
      </c>
      <c r="V28" s="9">
        <f>Data_Processes!V29</f>
        <v>0</v>
      </c>
      <c r="W28" s="9">
        <f>Data_Processes!W29</f>
        <v>0</v>
      </c>
      <c r="X28" s="9">
        <f>Data_Processes!X29</f>
        <v>0</v>
      </c>
      <c r="Y28" s="9">
        <f>Data_Processes!Y29</f>
        <v>0</v>
      </c>
      <c r="Z28" s="9">
        <f>Data_Processes!Z29</f>
        <v>0</v>
      </c>
      <c r="AA28" s="9">
        <f>Data_Processes!AA29</f>
        <v>0</v>
      </c>
      <c r="AB28" s="9">
        <f>Data_Processes!AB29</f>
        <v>0</v>
      </c>
      <c r="AC28" s="35">
        <f>Data_Processes!AC29</f>
        <v>0</v>
      </c>
      <c r="AD28" s="9">
        <f>Data_Processes!AD29</f>
        <v>0</v>
      </c>
      <c r="AE28" s="9">
        <f>Data_Processes!AE29</f>
        <v>0</v>
      </c>
      <c r="AF28" s="14"/>
      <c r="AG28" s="14"/>
      <c r="AK28" s="15"/>
      <c r="AL28" s="14"/>
      <c r="AP28" s="15"/>
    </row>
    <row r="29" spans="2:42" x14ac:dyDescent="0.25">
      <c r="B29" s="14">
        <f>Data_Processes!B30</f>
        <v>26</v>
      </c>
      <c r="C29">
        <f>Data_Processes!C30</f>
        <v>0</v>
      </c>
      <c r="D29">
        <f>Data_Processes!D30</f>
        <v>0</v>
      </c>
      <c r="E29">
        <f>Data_Processes!E30</f>
        <v>0</v>
      </c>
      <c r="F29">
        <f>Data_Processes!F30</f>
        <v>0</v>
      </c>
      <c r="G29" s="15">
        <f>Data_Processes!G30</f>
        <v>0</v>
      </c>
      <c r="H29" s="14">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5">
        <f>Data_Processes!Q30</f>
        <v>0</v>
      </c>
      <c r="R29" s="14">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5">
        <f>Data_Processes!AC30</f>
        <v>0</v>
      </c>
      <c r="AD29">
        <f>Data_Processes!AD30</f>
        <v>0</v>
      </c>
      <c r="AE29">
        <f>Data_Processes!AE30</f>
        <v>0</v>
      </c>
      <c r="AF29" s="14"/>
      <c r="AG29" s="14"/>
      <c r="AK29" s="15"/>
      <c r="AL29" s="14"/>
      <c r="AP29" s="15"/>
    </row>
    <row r="30" spans="2:42" x14ac:dyDescent="0.25">
      <c r="B30" s="34">
        <f>Data_Processes!B31</f>
        <v>27</v>
      </c>
      <c r="C30" s="9">
        <f>Data_Processes!C31</f>
        <v>0</v>
      </c>
      <c r="D30" s="9">
        <f>Data_Processes!D31</f>
        <v>0</v>
      </c>
      <c r="E30" s="9">
        <f>Data_Processes!E31</f>
        <v>0</v>
      </c>
      <c r="F30" s="9">
        <f>Data_Processes!F31</f>
        <v>0</v>
      </c>
      <c r="G30" s="35">
        <f>Data_Processes!G31</f>
        <v>0</v>
      </c>
      <c r="H30" s="34">
        <f>Data_Processes!H31</f>
        <v>0</v>
      </c>
      <c r="I30" s="9">
        <f>Data_Processes!I31</f>
        <v>0</v>
      </c>
      <c r="J30" s="9">
        <f>Data_Processes!J31</f>
        <v>0</v>
      </c>
      <c r="K30" s="9">
        <f>Data_Processes!K31</f>
        <v>0</v>
      </c>
      <c r="L30" s="9">
        <f>Data_Processes!L31</f>
        <v>0</v>
      </c>
      <c r="M30" s="9">
        <f>Data_Processes!M31</f>
        <v>0</v>
      </c>
      <c r="N30" s="9">
        <f>Data_Processes!N31</f>
        <v>0</v>
      </c>
      <c r="O30" s="9">
        <f>Data_Processes!O31</f>
        <v>0</v>
      </c>
      <c r="P30" s="9">
        <f>Data_Processes!P31</f>
        <v>0</v>
      </c>
      <c r="Q30" s="35">
        <f>Data_Processes!Q31</f>
        <v>0</v>
      </c>
      <c r="R30" s="34">
        <f>Data_Processes!R31</f>
        <v>0</v>
      </c>
      <c r="S30" s="9">
        <f>Data_Processes!S31</f>
        <v>0</v>
      </c>
      <c r="T30" s="9">
        <f>Data_Processes!T31</f>
        <v>0</v>
      </c>
      <c r="U30" s="9">
        <f>Data_Processes!U31</f>
        <v>0</v>
      </c>
      <c r="V30" s="9">
        <f>Data_Processes!V31</f>
        <v>0</v>
      </c>
      <c r="W30" s="9">
        <f>Data_Processes!W31</f>
        <v>0</v>
      </c>
      <c r="X30" s="9">
        <f>Data_Processes!X31</f>
        <v>0</v>
      </c>
      <c r="Y30" s="9">
        <f>Data_Processes!Y31</f>
        <v>0</v>
      </c>
      <c r="Z30" s="9">
        <f>Data_Processes!Z31</f>
        <v>0</v>
      </c>
      <c r="AA30" s="9">
        <f>Data_Processes!AA31</f>
        <v>0</v>
      </c>
      <c r="AB30" s="9">
        <f>Data_Processes!AB31</f>
        <v>0</v>
      </c>
      <c r="AC30" s="35">
        <f>Data_Processes!AC31</f>
        <v>0</v>
      </c>
      <c r="AD30" s="9">
        <f>Data_Processes!AD31</f>
        <v>0</v>
      </c>
      <c r="AE30" s="9">
        <f>Data_Processes!AE31</f>
        <v>0</v>
      </c>
      <c r="AF30" s="14"/>
      <c r="AG30" s="14"/>
      <c r="AK30" s="15"/>
      <c r="AL30" s="14"/>
      <c r="AP30" s="15"/>
    </row>
    <row r="31" spans="2:42" x14ac:dyDescent="0.25">
      <c r="B31" s="14">
        <f>Data_Processes!B32</f>
        <v>28</v>
      </c>
      <c r="C31">
        <f>Data_Processes!C32</f>
        <v>0</v>
      </c>
      <c r="D31">
        <f>Data_Processes!D32</f>
        <v>0</v>
      </c>
      <c r="E31">
        <f>Data_Processes!E32</f>
        <v>0</v>
      </c>
      <c r="F31">
        <f>Data_Processes!F32</f>
        <v>0</v>
      </c>
      <c r="G31" s="15">
        <f>Data_Processes!G32</f>
        <v>0</v>
      </c>
      <c r="H31" s="14">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5">
        <f>Data_Processes!Q32</f>
        <v>0</v>
      </c>
      <c r="R31" s="14">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5">
        <f>Data_Processes!AC32</f>
        <v>0</v>
      </c>
      <c r="AD31">
        <f>Data_Processes!AD32</f>
        <v>0</v>
      </c>
      <c r="AE31">
        <f>Data_Processes!AE32</f>
        <v>0</v>
      </c>
      <c r="AF31" s="14"/>
      <c r="AG31" s="14"/>
      <c r="AK31" s="15"/>
      <c r="AL31" s="14"/>
      <c r="AP31" s="15"/>
    </row>
    <row r="32" spans="2:42" x14ac:dyDescent="0.25">
      <c r="B32" s="34">
        <f>Data_Processes!B33</f>
        <v>29</v>
      </c>
      <c r="C32" s="9">
        <f>Data_Processes!C33</f>
        <v>0</v>
      </c>
      <c r="D32" s="9">
        <f>Data_Processes!D33</f>
        <v>0</v>
      </c>
      <c r="E32" s="9">
        <f>Data_Processes!E33</f>
        <v>0</v>
      </c>
      <c r="F32" s="9">
        <f>Data_Processes!F33</f>
        <v>0</v>
      </c>
      <c r="G32" s="35">
        <f>Data_Processes!G33</f>
        <v>0</v>
      </c>
      <c r="H32" s="34">
        <f>Data_Processes!H33</f>
        <v>0</v>
      </c>
      <c r="I32" s="9">
        <f>Data_Processes!I33</f>
        <v>0</v>
      </c>
      <c r="J32" s="9">
        <f>Data_Processes!J33</f>
        <v>0</v>
      </c>
      <c r="K32" s="9">
        <f>Data_Processes!K33</f>
        <v>0</v>
      </c>
      <c r="L32" s="9">
        <f>Data_Processes!L33</f>
        <v>0</v>
      </c>
      <c r="M32" s="9">
        <f>Data_Processes!M33</f>
        <v>0</v>
      </c>
      <c r="N32" s="9">
        <f>Data_Processes!N33</f>
        <v>0</v>
      </c>
      <c r="O32" s="9">
        <f>Data_Processes!O33</f>
        <v>0</v>
      </c>
      <c r="P32" s="9">
        <f>Data_Processes!P33</f>
        <v>0</v>
      </c>
      <c r="Q32" s="35">
        <f>Data_Processes!Q33</f>
        <v>0</v>
      </c>
      <c r="R32" s="34">
        <f>Data_Processes!R33</f>
        <v>0</v>
      </c>
      <c r="S32" s="9">
        <f>Data_Processes!S33</f>
        <v>0</v>
      </c>
      <c r="T32" s="9">
        <f>Data_Processes!T33</f>
        <v>0</v>
      </c>
      <c r="U32" s="9">
        <f>Data_Processes!U33</f>
        <v>0</v>
      </c>
      <c r="V32" s="9">
        <f>Data_Processes!V33</f>
        <v>0</v>
      </c>
      <c r="W32" s="9">
        <f>Data_Processes!W33</f>
        <v>0</v>
      </c>
      <c r="X32" s="9">
        <f>Data_Processes!X33</f>
        <v>0</v>
      </c>
      <c r="Y32" s="9">
        <f>Data_Processes!Y33</f>
        <v>0</v>
      </c>
      <c r="Z32" s="9">
        <f>Data_Processes!Z33</f>
        <v>0</v>
      </c>
      <c r="AA32" s="9">
        <f>Data_Processes!AA33</f>
        <v>0</v>
      </c>
      <c r="AB32" s="9">
        <f>Data_Processes!AB33</f>
        <v>0</v>
      </c>
      <c r="AC32" s="35">
        <f>Data_Processes!AC33</f>
        <v>0</v>
      </c>
      <c r="AD32" s="9">
        <f>Data_Processes!AD33</f>
        <v>0</v>
      </c>
      <c r="AE32" s="9">
        <f>Data_Processes!AE33</f>
        <v>0</v>
      </c>
      <c r="AF32" s="14"/>
      <c r="AG32" s="14"/>
      <c r="AK32" s="15"/>
      <c r="AL32" s="14"/>
      <c r="AP32" s="15"/>
    </row>
    <row r="33" spans="2:42" x14ac:dyDescent="0.25">
      <c r="B33" s="14">
        <f>Data_Processes!B34</f>
        <v>30</v>
      </c>
      <c r="C33">
        <f>Data_Processes!C34</f>
        <v>0</v>
      </c>
      <c r="D33">
        <f>Data_Processes!D34</f>
        <v>0</v>
      </c>
      <c r="E33">
        <f>Data_Processes!E34</f>
        <v>0</v>
      </c>
      <c r="F33">
        <f>Data_Processes!F34</f>
        <v>0</v>
      </c>
      <c r="G33" s="15">
        <f>Data_Processes!G34</f>
        <v>0</v>
      </c>
      <c r="H33" s="14">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5">
        <f>Data_Processes!Q34</f>
        <v>0</v>
      </c>
      <c r="R33" s="14">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5">
        <f>Data_Processes!AC34</f>
        <v>0</v>
      </c>
      <c r="AD33">
        <f>Data_Processes!AD34</f>
        <v>0</v>
      </c>
      <c r="AE33">
        <f>Data_Processes!AE34</f>
        <v>0</v>
      </c>
      <c r="AF33" s="14"/>
      <c r="AG33" s="14"/>
      <c r="AK33" s="15"/>
      <c r="AL33" s="14"/>
      <c r="AP33" s="15"/>
    </row>
    <row r="34" spans="2:42" x14ac:dyDescent="0.25">
      <c r="B34" s="34">
        <f>Data_Processes!B35</f>
        <v>0</v>
      </c>
      <c r="C34" s="9">
        <f>Data_Processes!C35</f>
        <v>0</v>
      </c>
      <c r="D34" s="9">
        <f>Data_Processes!D35</f>
        <v>0</v>
      </c>
      <c r="E34" s="9">
        <f>Data_Processes!E35</f>
        <v>0</v>
      </c>
      <c r="F34" s="9">
        <f>Data_Processes!F35</f>
        <v>0</v>
      </c>
      <c r="G34" s="35">
        <f>Data_Processes!G35</f>
        <v>0</v>
      </c>
      <c r="H34" s="34">
        <f>Data_Processes!H35</f>
        <v>0</v>
      </c>
      <c r="I34" s="9">
        <f>Data_Processes!I35</f>
        <v>0</v>
      </c>
      <c r="J34" s="9">
        <f>Data_Processes!J35</f>
        <v>0</v>
      </c>
      <c r="K34" s="9">
        <f>Data_Processes!K35</f>
        <v>0</v>
      </c>
      <c r="L34" s="9">
        <f>Data_Processes!L35</f>
        <v>0</v>
      </c>
      <c r="M34" s="9">
        <f>Data_Processes!M35</f>
        <v>0</v>
      </c>
      <c r="N34" s="9">
        <f>Data_Processes!N35</f>
        <v>0</v>
      </c>
      <c r="O34" s="9">
        <f>Data_Processes!O35</f>
        <v>0</v>
      </c>
      <c r="P34" s="9">
        <f>Data_Processes!P35</f>
        <v>0</v>
      </c>
      <c r="Q34" s="35">
        <f>Data_Processes!Q35</f>
        <v>0</v>
      </c>
      <c r="R34" s="34">
        <f>Data_Processes!R35</f>
        <v>0</v>
      </c>
      <c r="S34" s="9">
        <f>Data_Processes!S35</f>
        <v>0</v>
      </c>
      <c r="T34" s="9">
        <f>Data_Processes!T35</f>
        <v>0</v>
      </c>
      <c r="U34" s="9">
        <f>Data_Processes!U35</f>
        <v>0</v>
      </c>
      <c r="V34" s="9">
        <f>Data_Processes!V35</f>
        <v>0</v>
      </c>
      <c r="W34" s="9">
        <f>Data_Processes!W35</f>
        <v>0</v>
      </c>
      <c r="X34" s="9">
        <f>Data_Processes!X35</f>
        <v>0</v>
      </c>
      <c r="Y34" s="9">
        <f>Data_Processes!Y35</f>
        <v>0</v>
      </c>
      <c r="Z34" s="9">
        <f>Data_Processes!Z35</f>
        <v>0</v>
      </c>
      <c r="AA34" s="9">
        <f>Data_Processes!AA35</f>
        <v>0</v>
      </c>
      <c r="AB34" s="9">
        <f>Data_Processes!AB35</f>
        <v>0</v>
      </c>
      <c r="AC34" s="35">
        <f>Data_Processes!AC35</f>
        <v>0</v>
      </c>
      <c r="AD34" s="9">
        <f>Data_Processes!AD35</f>
        <v>0</v>
      </c>
      <c r="AE34" s="9">
        <f>Data_Processes!AE35</f>
        <v>0</v>
      </c>
      <c r="AF34" s="14"/>
      <c r="AG34" s="14"/>
      <c r="AK34" s="15"/>
      <c r="AL34" s="14"/>
      <c r="AP34" s="15"/>
    </row>
    <row r="35" spans="2:42" x14ac:dyDescent="0.25">
      <c r="B35" s="14">
        <f>Data_Processes!B36</f>
        <v>0</v>
      </c>
      <c r="C35">
        <f>Data_Processes!C36</f>
        <v>0</v>
      </c>
      <c r="D35">
        <f>Data_Processes!D36</f>
        <v>0</v>
      </c>
      <c r="E35">
        <f>Data_Processes!E36</f>
        <v>0</v>
      </c>
      <c r="F35">
        <f>Data_Processes!F36</f>
        <v>0</v>
      </c>
      <c r="G35" s="15">
        <f>Data_Processes!G36</f>
        <v>0</v>
      </c>
      <c r="H35" s="14">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5">
        <f>Data_Processes!Q36</f>
        <v>0</v>
      </c>
      <c r="R35" s="14">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5">
        <f>Data_Processes!AC36</f>
        <v>0</v>
      </c>
      <c r="AD35">
        <f>Data_Processes!AD36</f>
        <v>0</v>
      </c>
      <c r="AE35">
        <f>Data_Processes!AE36</f>
        <v>0</v>
      </c>
      <c r="AF35" s="14"/>
      <c r="AG35" s="14"/>
      <c r="AK35" s="15"/>
      <c r="AL35" s="14"/>
      <c r="AP35" s="15"/>
    </row>
    <row r="36" spans="2:42" x14ac:dyDescent="0.25">
      <c r="B36" s="34">
        <f>Data_Processes!B37</f>
        <v>0</v>
      </c>
      <c r="C36" s="9">
        <f>Data_Processes!C37</f>
        <v>0</v>
      </c>
      <c r="D36" s="9">
        <f>Data_Processes!D37</f>
        <v>0</v>
      </c>
      <c r="E36" s="9">
        <f>Data_Processes!E37</f>
        <v>0</v>
      </c>
      <c r="F36" s="9">
        <f>Data_Processes!F37</f>
        <v>0</v>
      </c>
      <c r="G36" s="35">
        <f>Data_Processes!G37</f>
        <v>0</v>
      </c>
      <c r="H36" s="34">
        <f>Data_Processes!H37</f>
        <v>0</v>
      </c>
      <c r="I36" s="9">
        <f>Data_Processes!I37</f>
        <v>0</v>
      </c>
      <c r="J36" s="9">
        <f>Data_Processes!J37</f>
        <v>0</v>
      </c>
      <c r="K36" s="9">
        <f>Data_Processes!K37</f>
        <v>0</v>
      </c>
      <c r="L36" s="9">
        <f>Data_Processes!L37</f>
        <v>0</v>
      </c>
      <c r="M36" s="9">
        <f>Data_Processes!M37</f>
        <v>0</v>
      </c>
      <c r="N36" s="9">
        <f>Data_Processes!N37</f>
        <v>0</v>
      </c>
      <c r="O36" s="9">
        <f>Data_Processes!O37</f>
        <v>0</v>
      </c>
      <c r="P36" s="9">
        <f>Data_Processes!P37</f>
        <v>0</v>
      </c>
      <c r="Q36" s="35">
        <f>Data_Processes!Q37</f>
        <v>0</v>
      </c>
      <c r="R36" s="34">
        <f>Data_Processes!R37</f>
        <v>0</v>
      </c>
      <c r="S36" s="9">
        <f>Data_Processes!S37</f>
        <v>0</v>
      </c>
      <c r="T36" s="9">
        <f>Data_Processes!T37</f>
        <v>0</v>
      </c>
      <c r="U36" s="9">
        <f>Data_Processes!U37</f>
        <v>0</v>
      </c>
      <c r="V36" s="9">
        <f>Data_Processes!V37</f>
        <v>0</v>
      </c>
      <c r="W36" s="9">
        <f>Data_Processes!W37</f>
        <v>0</v>
      </c>
      <c r="X36" s="9">
        <f>Data_Processes!X37</f>
        <v>0</v>
      </c>
      <c r="Y36" s="9">
        <f>Data_Processes!Y37</f>
        <v>0</v>
      </c>
      <c r="Z36" s="9">
        <f>Data_Processes!Z37</f>
        <v>0</v>
      </c>
      <c r="AA36" s="9">
        <f>Data_Processes!AA37</f>
        <v>0</v>
      </c>
      <c r="AB36" s="9">
        <f>Data_Processes!AB37</f>
        <v>0</v>
      </c>
      <c r="AC36" s="35">
        <f>Data_Processes!AC37</f>
        <v>0</v>
      </c>
      <c r="AD36" s="9">
        <f>Data_Processes!AD37</f>
        <v>0</v>
      </c>
      <c r="AE36" s="9">
        <f>Data_Processes!AE37</f>
        <v>0</v>
      </c>
      <c r="AF36" s="14"/>
      <c r="AG36" s="14"/>
      <c r="AK36" s="15"/>
      <c r="AL36" s="14"/>
      <c r="AP36" s="15"/>
    </row>
    <row r="37" spans="2:42" x14ac:dyDescent="0.25">
      <c r="B37" s="14">
        <f>Data_Processes!B38</f>
        <v>0</v>
      </c>
      <c r="C37">
        <f>Data_Processes!C38</f>
        <v>0</v>
      </c>
      <c r="D37">
        <f>Data_Processes!D38</f>
        <v>0</v>
      </c>
      <c r="E37">
        <f>Data_Processes!E38</f>
        <v>0</v>
      </c>
      <c r="F37">
        <f>Data_Processes!F38</f>
        <v>0</v>
      </c>
      <c r="G37" s="15">
        <f>Data_Processes!G38</f>
        <v>0</v>
      </c>
      <c r="H37" s="14">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5">
        <f>Data_Processes!Q38</f>
        <v>0</v>
      </c>
      <c r="R37" s="14">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5">
        <f>Data_Processes!AC38</f>
        <v>0</v>
      </c>
      <c r="AD37">
        <f>Data_Processes!AD38</f>
        <v>0</v>
      </c>
      <c r="AE37">
        <f>Data_Processes!AE38</f>
        <v>0</v>
      </c>
      <c r="AF37" s="14"/>
      <c r="AG37" s="14"/>
      <c r="AK37" s="15"/>
      <c r="AL37" s="14"/>
      <c r="AP37" s="15"/>
    </row>
    <row r="38" spans="2:42" x14ac:dyDescent="0.25">
      <c r="B38" s="34">
        <f>Data_Processes!B39</f>
        <v>0</v>
      </c>
      <c r="C38" s="9">
        <f>Data_Processes!C39</f>
        <v>0</v>
      </c>
      <c r="D38" s="9">
        <f>Data_Processes!D39</f>
        <v>0</v>
      </c>
      <c r="E38" s="9">
        <f>Data_Processes!E39</f>
        <v>0</v>
      </c>
      <c r="F38" s="9">
        <f>Data_Processes!F39</f>
        <v>0</v>
      </c>
      <c r="G38" s="35">
        <f>Data_Processes!G39</f>
        <v>0</v>
      </c>
      <c r="H38" s="34">
        <f>Data_Processes!H39</f>
        <v>0</v>
      </c>
      <c r="I38" s="9">
        <f>Data_Processes!I39</f>
        <v>0</v>
      </c>
      <c r="J38" s="9">
        <f>Data_Processes!J39</f>
        <v>0</v>
      </c>
      <c r="K38" s="9">
        <f>Data_Processes!K39</f>
        <v>0</v>
      </c>
      <c r="L38" s="9">
        <f>Data_Processes!L39</f>
        <v>0</v>
      </c>
      <c r="M38" s="9">
        <f>Data_Processes!M39</f>
        <v>0</v>
      </c>
      <c r="N38" s="9">
        <f>Data_Processes!N39</f>
        <v>0</v>
      </c>
      <c r="O38" s="9">
        <f>Data_Processes!O39</f>
        <v>0</v>
      </c>
      <c r="P38" s="9">
        <f>Data_Processes!P39</f>
        <v>0</v>
      </c>
      <c r="Q38" s="35">
        <f>Data_Processes!Q39</f>
        <v>0</v>
      </c>
      <c r="R38" s="34">
        <f>Data_Processes!R39</f>
        <v>0</v>
      </c>
      <c r="S38" s="9">
        <f>Data_Processes!S39</f>
        <v>0</v>
      </c>
      <c r="T38" s="9">
        <f>Data_Processes!T39</f>
        <v>0</v>
      </c>
      <c r="U38" s="9">
        <f>Data_Processes!U39</f>
        <v>0</v>
      </c>
      <c r="V38" s="9">
        <f>Data_Processes!V39</f>
        <v>0</v>
      </c>
      <c r="W38" s="9">
        <f>Data_Processes!W39</f>
        <v>0</v>
      </c>
      <c r="X38" s="9">
        <f>Data_Processes!X39</f>
        <v>0</v>
      </c>
      <c r="Y38" s="9">
        <f>Data_Processes!Y39</f>
        <v>0</v>
      </c>
      <c r="Z38" s="9">
        <f>Data_Processes!Z39</f>
        <v>0</v>
      </c>
      <c r="AA38" s="9">
        <f>Data_Processes!AA39</f>
        <v>0</v>
      </c>
      <c r="AB38" s="9">
        <f>Data_Processes!AB39</f>
        <v>0</v>
      </c>
      <c r="AC38" s="35">
        <f>Data_Processes!AC39</f>
        <v>0</v>
      </c>
      <c r="AD38" s="9">
        <f>Data_Processes!AD39</f>
        <v>0</v>
      </c>
      <c r="AE38" s="9">
        <f>Data_Processes!AE39</f>
        <v>0</v>
      </c>
      <c r="AF38" s="14"/>
      <c r="AG38" s="14"/>
      <c r="AK38" s="15"/>
      <c r="AL38" s="14"/>
      <c r="AP38" s="15"/>
    </row>
    <row r="39" spans="2:42" x14ac:dyDescent="0.25">
      <c r="B39" s="14">
        <f>Data_Processes!B40</f>
        <v>0</v>
      </c>
      <c r="C39">
        <f>Data_Processes!C40</f>
        <v>0</v>
      </c>
      <c r="D39">
        <f>Data_Processes!D40</f>
        <v>0</v>
      </c>
      <c r="E39">
        <f>Data_Processes!E40</f>
        <v>0</v>
      </c>
      <c r="F39">
        <f>Data_Processes!F40</f>
        <v>0</v>
      </c>
      <c r="G39" s="15">
        <f>Data_Processes!G40</f>
        <v>0</v>
      </c>
      <c r="H39" s="14">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5">
        <f>Data_Processes!Q40</f>
        <v>0</v>
      </c>
      <c r="R39" s="14">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5">
        <f>Data_Processes!AC40</f>
        <v>0</v>
      </c>
      <c r="AD39">
        <f>Data_Processes!AD40</f>
        <v>0</v>
      </c>
      <c r="AE39">
        <f>Data_Processes!AE40</f>
        <v>0</v>
      </c>
      <c r="AF39" s="14"/>
      <c r="AG39" s="14"/>
      <c r="AK39" s="15"/>
      <c r="AL39" s="14"/>
      <c r="AP39" s="15"/>
    </row>
    <row r="40" spans="2:42" x14ac:dyDescent="0.25">
      <c r="B40" s="34">
        <f>Data_Processes!B41</f>
        <v>0</v>
      </c>
      <c r="C40" s="9">
        <f>Data_Processes!C41</f>
        <v>0</v>
      </c>
      <c r="D40" s="9">
        <f>Data_Processes!D41</f>
        <v>0</v>
      </c>
      <c r="E40" s="9">
        <f>Data_Processes!E41</f>
        <v>0</v>
      </c>
      <c r="F40" s="9">
        <f>Data_Processes!F41</f>
        <v>0</v>
      </c>
      <c r="G40" s="35">
        <f>Data_Processes!G41</f>
        <v>0</v>
      </c>
      <c r="H40" s="34">
        <f>Data_Processes!H41</f>
        <v>0</v>
      </c>
      <c r="I40" s="9">
        <f>Data_Processes!I41</f>
        <v>0</v>
      </c>
      <c r="J40" s="9">
        <f>Data_Processes!J41</f>
        <v>0</v>
      </c>
      <c r="K40" s="9">
        <f>Data_Processes!K41</f>
        <v>0</v>
      </c>
      <c r="L40" s="9">
        <f>Data_Processes!L41</f>
        <v>0</v>
      </c>
      <c r="M40" s="9">
        <f>Data_Processes!M41</f>
        <v>0</v>
      </c>
      <c r="N40" s="9">
        <f>Data_Processes!N41</f>
        <v>0</v>
      </c>
      <c r="O40" s="9">
        <f>Data_Processes!O41</f>
        <v>0</v>
      </c>
      <c r="P40" s="9">
        <f>Data_Processes!P41</f>
        <v>0</v>
      </c>
      <c r="Q40" s="35">
        <f>Data_Processes!Q41</f>
        <v>0</v>
      </c>
      <c r="R40" s="34">
        <f>Data_Processes!R41</f>
        <v>0</v>
      </c>
      <c r="S40" s="9">
        <f>Data_Processes!S41</f>
        <v>0</v>
      </c>
      <c r="T40" s="9">
        <f>Data_Processes!T41</f>
        <v>0</v>
      </c>
      <c r="U40" s="9">
        <f>Data_Processes!U41</f>
        <v>0</v>
      </c>
      <c r="V40" s="9">
        <f>Data_Processes!V41</f>
        <v>0</v>
      </c>
      <c r="W40" s="9">
        <f>Data_Processes!W41</f>
        <v>0</v>
      </c>
      <c r="X40" s="9">
        <f>Data_Processes!X41</f>
        <v>0</v>
      </c>
      <c r="Y40" s="9">
        <f>Data_Processes!Y41</f>
        <v>0</v>
      </c>
      <c r="Z40" s="9">
        <f>Data_Processes!Z41</f>
        <v>0</v>
      </c>
      <c r="AA40" s="9">
        <f>Data_Processes!AA41</f>
        <v>0</v>
      </c>
      <c r="AB40" s="9">
        <f>Data_Processes!AB41</f>
        <v>0</v>
      </c>
      <c r="AC40" s="35">
        <f>Data_Processes!AC41</f>
        <v>0</v>
      </c>
      <c r="AD40" s="9">
        <f>Data_Processes!AD41</f>
        <v>0</v>
      </c>
      <c r="AE40" s="9">
        <f>Data_Processes!AE41</f>
        <v>0</v>
      </c>
      <c r="AF40" s="14"/>
      <c r="AG40" s="14"/>
      <c r="AK40" s="15"/>
      <c r="AL40" s="14"/>
      <c r="AP40" s="15"/>
    </row>
    <row r="41" spans="2:42" x14ac:dyDescent="0.25">
      <c r="B41" s="14">
        <f>Data_Processes!B42</f>
        <v>0</v>
      </c>
      <c r="C41">
        <f>Data_Processes!C42</f>
        <v>0</v>
      </c>
      <c r="D41">
        <f>Data_Processes!D42</f>
        <v>0</v>
      </c>
      <c r="E41">
        <f>Data_Processes!E42</f>
        <v>0</v>
      </c>
      <c r="F41">
        <f>Data_Processes!F42</f>
        <v>0</v>
      </c>
      <c r="G41" s="15">
        <f>Data_Processes!G42</f>
        <v>0</v>
      </c>
      <c r="H41" s="14">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5">
        <f>Data_Processes!Q42</f>
        <v>0</v>
      </c>
      <c r="R41" s="14">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5">
        <f>Data_Processes!AC42</f>
        <v>0</v>
      </c>
      <c r="AD41">
        <f>Data_Processes!AD42</f>
        <v>0</v>
      </c>
      <c r="AE41">
        <f>Data_Processes!AE42</f>
        <v>0</v>
      </c>
      <c r="AF41" s="14"/>
      <c r="AG41" s="14"/>
      <c r="AK41" s="15"/>
      <c r="AL41" s="14"/>
      <c r="AP41" s="15"/>
    </row>
    <row r="42" spans="2:42" x14ac:dyDescent="0.25">
      <c r="B42" s="34">
        <f>Data_Processes!B43</f>
        <v>0</v>
      </c>
      <c r="C42" s="9">
        <f>Data_Processes!C43</f>
        <v>0</v>
      </c>
      <c r="D42" s="9">
        <f>Data_Processes!D43</f>
        <v>0</v>
      </c>
      <c r="E42" s="9">
        <f>Data_Processes!E43</f>
        <v>0</v>
      </c>
      <c r="F42" s="9">
        <f>Data_Processes!F43</f>
        <v>0</v>
      </c>
      <c r="G42" s="35">
        <f>Data_Processes!G43</f>
        <v>0</v>
      </c>
      <c r="H42" s="34">
        <f>Data_Processes!H43</f>
        <v>0</v>
      </c>
      <c r="I42" s="9">
        <f>Data_Processes!I43</f>
        <v>0</v>
      </c>
      <c r="J42" s="9">
        <f>Data_Processes!J43</f>
        <v>0</v>
      </c>
      <c r="K42" s="9">
        <f>Data_Processes!K43</f>
        <v>0</v>
      </c>
      <c r="L42" s="9">
        <f>Data_Processes!L43</f>
        <v>0</v>
      </c>
      <c r="M42" s="9">
        <f>Data_Processes!M43</f>
        <v>0</v>
      </c>
      <c r="N42" s="9">
        <f>Data_Processes!N43</f>
        <v>0</v>
      </c>
      <c r="O42" s="9">
        <f>Data_Processes!O43</f>
        <v>0</v>
      </c>
      <c r="P42" s="9">
        <f>Data_Processes!P43</f>
        <v>0</v>
      </c>
      <c r="Q42" s="35">
        <f>Data_Processes!Q43</f>
        <v>0</v>
      </c>
      <c r="R42" s="34">
        <f>Data_Processes!R43</f>
        <v>0</v>
      </c>
      <c r="S42" s="9">
        <f>Data_Processes!S43</f>
        <v>0</v>
      </c>
      <c r="T42" s="9">
        <f>Data_Processes!T43</f>
        <v>0</v>
      </c>
      <c r="U42" s="9">
        <f>Data_Processes!U43</f>
        <v>0</v>
      </c>
      <c r="V42" s="9">
        <f>Data_Processes!V43</f>
        <v>0</v>
      </c>
      <c r="W42" s="9">
        <f>Data_Processes!W43</f>
        <v>0</v>
      </c>
      <c r="X42" s="9">
        <f>Data_Processes!X43</f>
        <v>0</v>
      </c>
      <c r="Y42" s="9">
        <f>Data_Processes!Y43</f>
        <v>0</v>
      </c>
      <c r="Z42" s="9">
        <f>Data_Processes!Z43</f>
        <v>0</v>
      </c>
      <c r="AA42" s="9">
        <f>Data_Processes!AA43</f>
        <v>0</v>
      </c>
      <c r="AB42" s="9">
        <f>Data_Processes!AB43</f>
        <v>0</v>
      </c>
      <c r="AC42" s="35">
        <f>Data_Processes!AC43</f>
        <v>0</v>
      </c>
      <c r="AD42" s="9">
        <f>Data_Processes!AD43</f>
        <v>0</v>
      </c>
      <c r="AE42" s="9">
        <f>Data_Processes!AE43</f>
        <v>0</v>
      </c>
      <c r="AF42" s="14"/>
      <c r="AG42" s="14"/>
      <c r="AK42" s="15"/>
      <c r="AL42" s="14"/>
      <c r="AP42" s="15"/>
    </row>
    <row r="43" spans="2:42" x14ac:dyDescent="0.25">
      <c r="B43" s="14">
        <f>Data_Processes!B44</f>
        <v>0</v>
      </c>
      <c r="C43">
        <f>Data_Processes!C44</f>
        <v>0</v>
      </c>
      <c r="D43">
        <f>Data_Processes!D44</f>
        <v>0</v>
      </c>
      <c r="E43">
        <f>Data_Processes!E44</f>
        <v>0</v>
      </c>
      <c r="F43">
        <f>Data_Processes!F44</f>
        <v>0</v>
      </c>
      <c r="G43" s="15">
        <f>Data_Processes!G44</f>
        <v>0</v>
      </c>
      <c r="H43" s="14">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5">
        <f>Data_Processes!Q44</f>
        <v>0</v>
      </c>
      <c r="R43" s="14">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5">
        <f>Data_Processes!AC44</f>
        <v>0</v>
      </c>
      <c r="AD43">
        <f>Data_Processes!AD44</f>
        <v>0</v>
      </c>
      <c r="AE43">
        <f>Data_Processes!AE44</f>
        <v>0</v>
      </c>
      <c r="AF43" s="14"/>
      <c r="AG43" s="14"/>
      <c r="AK43" s="15"/>
      <c r="AL43" s="14"/>
      <c r="AP43" s="15"/>
    </row>
    <row r="44" spans="2:42" x14ac:dyDescent="0.25">
      <c r="B44" s="34">
        <f>Data_Processes!B45</f>
        <v>0</v>
      </c>
      <c r="C44" s="9">
        <f>Data_Processes!C45</f>
        <v>0</v>
      </c>
      <c r="D44" s="9">
        <f>Data_Processes!D45</f>
        <v>0</v>
      </c>
      <c r="E44" s="9">
        <f>Data_Processes!E45</f>
        <v>0</v>
      </c>
      <c r="F44" s="9">
        <f>Data_Processes!F45</f>
        <v>0</v>
      </c>
      <c r="G44" s="35">
        <f>Data_Processes!G45</f>
        <v>0</v>
      </c>
      <c r="H44" s="34">
        <f>Data_Processes!H45</f>
        <v>0</v>
      </c>
      <c r="I44" s="9">
        <f>Data_Processes!I45</f>
        <v>0</v>
      </c>
      <c r="J44" s="9">
        <f>Data_Processes!J45</f>
        <v>0</v>
      </c>
      <c r="K44" s="9">
        <f>Data_Processes!K45</f>
        <v>0</v>
      </c>
      <c r="L44" s="9">
        <f>Data_Processes!L45</f>
        <v>0</v>
      </c>
      <c r="M44" s="9">
        <f>Data_Processes!M45</f>
        <v>0</v>
      </c>
      <c r="N44" s="9">
        <f>Data_Processes!N45</f>
        <v>0</v>
      </c>
      <c r="O44" s="9">
        <f>Data_Processes!O45</f>
        <v>0</v>
      </c>
      <c r="P44" s="9">
        <f>Data_Processes!P45</f>
        <v>0</v>
      </c>
      <c r="Q44" s="35">
        <f>Data_Processes!Q45</f>
        <v>0</v>
      </c>
      <c r="R44" s="34">
        <f>Data_Processes!R45</f>
        <v>0</v>
      </c>
      <c r="S44" s="9">
        <f>Data_Processes!S45</f>
        <v>0</v>
      </c>
      <c r="T44" s="9">
        <f>Data_Processes!T45</f>
        <v>0</v>
      </c>
      <c r="U44" s="9">
        <f>Data_Processes!U45</f>
        <v>0</v>
      </c>
      <c r="V44" s="9">
        <f>Data_Processes!V45</f>
        <v>0</v>
      </c>
      <c r="W44" s="9">
        <f>Data_Processes!W45</f>
        <v>0</v>
      </c>
      <c r="X44" s="9">
        <f>Data_Processes!X45</f>
        <v>0</v>
      </c>
      <c r="Y44" s="9">
        <f>Data_Processes!Y45</f>
        <v>0</v>
      </c>
      <c r="Z44" s="9">
        <f>Data_Processes!Z45</f>
        <v>0</v>
      </c>
      <c r="AA44" s="9">
        <f>Data_Processes!AA45</f>
        <v>0</v>
      </c>
      <c r="AB44" s="9">
        <f>Data_Processes!AB45</f>
        <v>0</v>
      </c>
      <c r="AC44" s="35">
        <f>Data_Processes!AC45</f>
        <v>0</v>
      </c>
      <c r="AD44" s="9">
        <f>Data_Processes!AD45</f>
        <v>0</v>
      </c>
      <c r="AE44" s="9">
        <f>Data_Processes!AE45</f>
        <v>0</v>
      </c>
      <c r="AF44" s="14"/>
      <c r="AG44" s="14"/>
      <c r="AK44" s="15"/>
      <c r="AL44" s="14"/>
      <c r="AP44" s="15"/>
    </row>
    <row r="45" spans="2:42" x14ac:dyDescent="0.25">
      <c r="B45" s="14">
        <f>Data_Processes!B46</f>
        <v>0</v>
      </c>
      <c r="C45">
        <f>Data_Processes!C46</f>
        <v>0</v>
      </c>
      <c r="D45">
        <f>Data_Processes!D46</f>
        <v>0</v>
      </c>
      <c r="E45">
        <f>Data_Processes!E46</f>
        <v>0</v>
      </c>
      <c r="F45">
        <f>Data_Processes!F46</f>
        <v>0</v>
      </c>
      <c r="G45" s="15">
        <f>Data_Processes!G46</f>
        <v>0</v>
      </c>
      <c r="H45" s="14">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5">
        <f>Data_Processes!Q46</f>
        <v>0</v>
      </c>
      <c r="R45" s="14">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5">
        <f>Data_Processes!AC46</f>
        <v>0</v>
      </c>
      <c r="AD45">
        <f>Data_Processes!AD46</f>
        <v>0</v>
      </c>
      <c r="AE45">
        <f>Data_Processes!AE46</f>
        <v>0</v>
      </c>
      <c r="AF45" s="14"/>
      <c r="AG45" s="14"/>
      <c r="AK45" s="15"/>
      <c r="AL45" s="14"/>
      <c r="AP45" s="15"/>
    </row>
    <row r="46" spans="2:42" x14ac:dyDescent="0.25">
      <c r="B46" s="34">
        <f>Data_Processes!B47</f>
        <v>0</v>
      </c>
      <c r="C46" s="9">
        <f>Data_Processes!C47</f>
        <v>0</v>
      </c>
      <c r="D46" s="9">
        <f>Data_Processes!D47</f>
        <v>0</v>
      </c>
      <c r="E46" s="9">
        <f>Data_Processes!E47</f>
        <v>0</v>
      </c>
      <c r="F46" s="9">
        <f>Data_Processes!F47</f>
        <v>0</v>
      </c>
      <c r="G46" s="35">
        <f>Data_Processes!G47</f>
        <v>0</v>
      </c>
      <c r="H46" s="34">
        <f>Data_Processes!H47</f>
        <v>0</v>
      </c>
      <c r="I46" s="9">
        <f>Data_Processes!I47</f>
        <v>0</v>
      </c>
      <c r="J46" s="9">
        <f>Data_Processes!J47</f>
        <v>0</v>
      </c>
      <c r="K46" s="9">
        <f>Data_Processes!K47</f>
        <v>0</v>
      </c>
      <c r="L46" s="9">
        <f>Data_Processes!L47</f>
        <v>0</v>
      </c>
      <c r="M46" s="9">
        <f>Data_Processes!M47</f>
        <v>0</v>
      </c>
      <c r="N46" s="9">
        <f>Data_Processes!N47</f>
        <v>0</v>
      </c>
      <c r="O46" s="9">
        <f>Data_Processes!O47</f>
        <v>0</v>
      </c>
      <c r="P46" s="9">
        <f>Data_Processes!P47</f>
        <v>0</v>
      </c>
      <c r="Q46" s="35">
        <f>Data_Processes!Q47</f>
        <v>0</v>
      </c>
      <c r="R46" s="34">
        <f>Data_Processes!R47</f>
        <v>0</v>
      </c>
      <c r="S46" s="9">
        <f>Data_Processes!S47</f>
        <v>0</v>
      </c>
      <c r="T46" s="9">
        <f>Data_Processes!T47</f>
        <v>0</v>
      </c>
      <c r="U46" s="9">
        <f>Data_Processes!U47</f>
        <v>0</v>
      </c>
      <c r="V46" s="9">
        <f>Data_Processes!V47</f>
        <v>0</v>
      </c>
      <c r="W46" s="9">
        <f>Data_Processes!W47</f>
        <v>0</v>
      </c>
      <c r="X46" s="9">
        <f>Data_Processes!X47</f>
        <v>0</v>
      </c>
      <c r="Y46" s="9">
        <f>Data_Processes!Y47</f>
        <v>0</v>
      </c>
      <c r="Z46" s="9">
        <f>Data_Processes!Z47</f>
        <v>0</v>
      </c>
      <c r="AA46" s="9">
        <f>Data_Processes!AA47</f>
        <v>0</v>
      </c>
      <c r="AB46" s="9">
        <f>Data_Processes!AB47</f>
        <v>0</v>
      </c>
      <c r="AC46" s="35">
        <f>Data_Processes!AC47</f>
        <v>0</v>
      </c>
      <c r="AD46" s="9">
        <f>Data_Processes!AD47</f>
        <v>0</v>
      </c>
      <c r="AE46" s="9">
        <f>Data_Processes!AE47</f>
        <v>0</v>
      </c>
      <c r="AF46" s="14"/>
      <c r="AG46" s="14"/>
      <c r="AK46" s="15"/>
      <c r="AL46" s="14"/>
      <c r="AP46" s="15"/>
    </row>
    <row r="47" spans="2:42" x14ac:dyDescent="0.25">
      <c r="B47" s="14">
        <f>Data_Processes!B48</f>
        <v>0</v>
      </c>
      <c r="C47">
        <f>Data_Processes!C48</f>
        <v>0</v>
      </c>
      <c r="D47">
        <f>Data_Processes!D48</f>
        <v>0</v>
      </c>
      <c r="E47">
        <f>Data_Processes!E48</f>
        <v>0</v>
      </c>
      <c r="F47">
        <f>Data_Processes!F48</f>
        <v>0</v>
      </c>
      <c r="G47" s="15">
        <f>Data_Processes!G48</f>
        <v>0</v>
      </c>
      <c r="H47" s="14">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5">
        <f>Data_Processes!Q48</f>
        <v>0</v>
      </c>
      <c r="R47" s="14">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5">
        <f>Data_Processes!AC48</f>
        <v>0</v>
      </c>
      <c r="AD47">
        <f>Data_Processes!AD48</f>
        <v>0</v>
      </c>
      <c r="AE47">
        <f>Data_Processes!AE48</f>
        <v>0</v>
      </c>
      <c r="AF47" s="14"/>
      <c r="AG47" s="14"/>
      <c r="AK47" s="15"/>
      <c r="AL47" s="14"/>
      <c r="AP47" s="15"/>
    </row>
    <row r="48" spans="2:42" x14ac:dyDescent="0.25">
      <c r="B48" s="34">
        <f>Data_Processes!B49</f>
        <v>0</v>
      </c>
      <c r="C48" s="9">
        <f>Data_Processes!C49</f>
        <v>0</v>
      </c>
      <c r="D48" s="9">
        <f>Data_Processes!D49</f>
        <v>0</v>
      </c>
      <c r="E48" s="9">
        <f>Data_Processes!E49</f>
        <v>0</v>
      </c>
      <c r="F48" s="9">
        <f>Data_Processes!F49</f>
        <v>0</v>
      </c>
      <c r="G48" s="35">
        <f>Data_Processes!G49</f>
        <v>0</v>
      </c>
      <c r="H48" s="34">
        <f>Data_Processes!H49</f>
        <v>0</v>
      </c>
      <c r="I48" s="9">
        <f>Data_Processes!I49</f>
        <v>0</v>
      </c>
      <c r="J48" s="9">
        <f>Data_Processes!J49</f>
        <v>0</v>
      </c>
      <c r="K48" s="9">
        <f>Data_Processes!K49</f>
        <v>0</v>
      </c>
      <c r="L48" s="9">
        <f>Data_Processes!L49</f>
        <v>0</v>
      </c>
      <c r="M48" s="9">
        <f>Data_Processes!M49</f>
        <v>0</v>
      </c>
      <c r="N48" s="9">
        <f>Data_Processes!N49</f>
        <v>0</v>
      </c>
      <c r="O48" s="9">
        <f>Data_Processes!O49</f>
        <v>0</v>
      </c>
      <c r="P48" s="9">
        <f>Data_Processes!P49</f>
        <v>0</v>
      </c>
      <c r="Q48" s="35">
        <f>Data_Processes!Q49</f>
        <v>0</v>
      </c>
      <c r="R48" s="34">
        <f>Data_Processes!R49</f>
        <v>0</v>
      </c>
      <c r="S48" s="9">
        <f>Data_Processes!S49</f>
        <v>0</v>
      </c>
      <c r="T48" s="9">
        <f>Data_Processes!T49</f>
        <v>0</v>
      </c>
      <c r="U48" s="9">
        <f>Data_Processes!U49</f>
        <v>0</v>
      </c>
      <c r="V48" s="9">
        <f>Data_Processes!V49</f>
        <v>0</v>
      </c>
      <c r="W48" s="9">
        <f>Data_Processes!W49</f>
        <v>0</v>
      </c>
      <c r="X48" s="9">
        <f>Data_Processes!X49</f>
        <v>0</v>
      </c>
      <c r="Y48" s="9">
        <f>Data_Processes!Y49</f>
        <v>0</v>
      </c>
      <c r="Z48" s="9">
        <f>Data_Processes!Z49</f>
        <v>0</v>
      </c>
      <c r="AA48" s="9">
        <f>Data_Processes!AA49</f>
        <v>0</v>
      </c>
      <c r="AB48" s="9">
        <f>Data_Processes!AB49</f>
        <v>0</v>
      </c>
      <c r="AC48" s="35">
        <f>Data_Processes!AC49</f>
        <v>0</v>
      </c>
      <c r="AD48" s="9">
        <f>Data_Processes!AD49</f>
        <v>0</v>
      </c>
      <c r="AE48" s="9">
        <f>Data_Processes!AE49</f>
        <v>0</v>
      </c>
      <c r="AF48" s="14"/>
      <c r="AG48" s="14"/>
      <c r="AK48" s="15"/>
      <c r="AL48" s="14"/>
      <c r="AP48" s="15"/>
    </row>
    <row r="49" spans="2:42" ht="15.75" thickBot="1" x14ac:dyDescent="0.3">
      <c r="B49" s="16">
        <f>Data_Processes!B50</f>
        <v>0</v>
      </c>
      <c r="C49" s="17">
        <f>Data_Processes!C50</f>
        <v>0</v>
      </c>
      <c r="D49" s="17">
        <f>Data_Processes!D50</f>
        <v>0</v>
      </c>
      <c r="E49" s="17">
        <f>Data_Processes!E50</f>
        <v>0</v>
      </c>
      <c r="F49" s="17">
        <f>Data_Processes!F50</f>
        <v>0</v>
      </c>
      <c r="G49" s="18">
        <f>Data_Processes!G50</f>
        <v>0</v>
      </c>
      <c r="H49" s="16">
        <f>Data_Processes!H50</f>
        <v>0</v>
      </c>
      <c r="I49" s="17">
        <f>Data_Processes!I50</f>
        <v>0</v>
      </c>
      <c r="J49" s="17">
        <f>Data_Processes!J50</f>
        <v>0</v>
      </c>
      <c r="K49" s="17">
        <f>Data_Processes!K50</f>
        <v>0</v>
      </c>
      <c r="L49" s="17">
        <f>Data_Processes!L50</f>
        <v>0</v>
      </c>
      <c r="M49" s="17">
        <f>Data_Processes!M50</f>
        <v>0</v>
      </c>
      <c r="N49" s="17">
        <f>Data_Processes!N50</f>
        <v>0</v>
      </c>
      <c r="O49" s="17">
        <f>Data_Processes!O50</f>
        <v>0</v>
      </c>
      <c r="P49" s="17">
        <f>Data_Processes!P50</f>
        <v>0</v>
      </c>
      <c r="Q49" s="18">
        <f>Data_Processes!Q50</f>
        <v>0</v>
      </c>
      <c r="R49" s="16">
        <f>Data_Processes!R50</f>
        <v>0</v>
      </c>
      <c r="S49" s="17">
        <f>Data_Processes!S50</f>
        <v>0</v>
      </c>
      <c r="T49" s="17">
        <f>Data_Processes!T50</f>
        <v>0</v>
      </c>
      <c r="U49" s="17">
        <f>Data_Processes!U50</f>
        <v>0</v>
      </c>
      <c r="V49" s="17">
        <f>Data_Processes!V50</f>
        <v>0</v>
      </c>
      <c r="W49" s="17">
        <f>Data_Processes!W50</f>
        <v>0</v>
      </c>
      <c r="X49" s="17">
        <f>Data_Processes!X50</f>
        <v>0</v>
      </c>
      <c r="Y49" s="17">
        <f>Data_Processes!Y50</f>
        <v>0</v>
      </c>
      <c r="Z49" s="17">
        <f>Data_Processes!Z50</f>
        <v>0</v>
      </c>
      <c r="AA49" s="17">
        <f>Data_Processes!AA50</f>
        <v>0</v>
      </c>
      <c r="AB49" s="17">
        <f>Data_Processes!AB50</f>
        <v>0</v>
      </c>
      <c r="AC49" s="18">
        <f>Data_Processes!AC50</f>
        <v>0</v>
      </c>
      <c r="AD49" s="10">
        <f>Data_Processes!AD50</f>
        <v>0</v>
      </c>
      <c r="AE49" s="10">
        <f>Data_Processes!AE50</f>
        <v>0</v>
      </c>
      <c r="AF49" s="16"/>
      <c r="AG49" s="16"/>
      <c r="AH49" s="17"/>
      <c r="AI49" s="17"/>
      <c r="AJ49" s="17"/>
      <c r="AK49" s="18"/>
      <c r="AL49" s="16"/>
      <c r="AM49" s="17"/>
      <c r="AN49" s="17"/>
      <c r="AO49" s="17"/>
      <c r="AP49" s="18"/>
    </row>
  </sheetData>
  <mergeCells count="2">
    <mergeCell ref="AG2:AK2"/>
    <mergeCell ref="AL2:AP2"/>
  </mergeCells>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42578125" customWidth="1"/>
    <col min="5" max="5" width="19.140625" customWidth="1"/>
    <col min="6" max="6" width="14.42578125" customWidth="1"/>
    <col min="7" max="7" width="23.42578125" customWidth="1"/>
    <col min="8" max="8" width="17.5703125" customWidth="1"/>
    <col min="9" max="9" width="12" customWidth="1"/>
    <col min="10" max="10" width="19.140625" customWidth="1"/>
    <col min="11" max="11" width="12" customWidth="1"/>
    <col min="12" max="12" width="14.5703125" customWidth="1"/>
    <col min="13" max="13" width="12" customWidth="1"/>
    <col min="14" max="14" width="14.5703125" customWidth="1"/>
    <col min="15" max="15" width="12" customWidth="1"/>
    <col min="16" max="16" width="14.5703125" customWidth="1"/>
    <col min="17" max="17" width="12" customWidth="1"/>
    <col min="18" max="18" width="17" customWidth="1"/>
    <col min="19" max="19" width="12.85546875" customWidth="1"/>
    <col min="20" max="20" width="17" customWidth="1"/>
    <col min="21" max="21" width="12.85546875" customWidth="1"/>
    <col min="22" max="22" width="17" customWidth="1"/>
    <col min="23" max="23" width="12.85546875" customWidth="1"/>
    <col min="24" max="24" width="17" customWidth="1"/>
    <col min="25" max="25" width="12.85546875" customWidth="1"/>
    <col min="26" max="26" width="17" customWidth="1"/>
    <col min="27" max="27" width="12.85546875" customWidth="1"/>
    <col min="28" max="28" width="17"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26" t="s">
        <v>442</v>
      </c>
      <c r="AH2" s="326"/>
      <c r="AI2" s="326"/>
      <c r="AJ2" s="326"/>
      <c r="AK2" s="326"/>
      <c r="AL2" s="326"/>
      <c r="AM2" s="326"/>
      <c r="AN2" s="326"/>
      <c r="AO2" s="326"/>
      <c r="AP2" s="326"/>
      <c r="AQ2" s="326"/>
      <c r="AR2" s="326"/>
      <c r="AS2" s="326"/>
      <c r="AT2" s="321" t="s">
        <v>89</v>
      </c>
      <c r="AU2" s="321"/>
      <c r="AV2" s="321"/>
      <c r="AW2" s="321"/>
      <c r="AX2" s="321"/>
    </row>
    <row r="3" spans="2:50" x14ac:dyDescent="0.25">
      <c r="B3" s="28" t="s">
        <v>349</v>
      </c>
      <c r="C3" s="8" t="s">
        <v>350</v>
      </c>
      <c r="D3" s="8" t="s">
        <v>351</v>
      </c>
      <c r="E3" s="8" t="s">
        <v>352</v>
      </c>
      <c r="F3" s="8" t="s">
        <v>353</v>
      </c>
      <c r="G3" s="37" t="s">
        <v>354</v>
      </c>
      <c r="H3" s="20" t="s">
        <v>355</v>
      </c>
      <c r="I3" s="21" t="s">
        <v>356</v>
      </c>
      <c r="J3" s="21" t="s">
        <v>357</v>
      </c>
      <c r="K3" s="21" t="s">
        <v>358</v>
      </c>
      <c r="L3" s="21" t="s">
        <v>359</v>
      </c>
      <c r="M3" s="21" t="s">
        <v>139</v>
      </c>
      <c r="N3" s="21" t="s">
        <v>360</v>
      </c>
      <c r="O3" s="21" t="s">
        <v>141</v>
      </c>
      <c r="P3" s="21" t="s">
        <v>361</v>
      </c>
      <c r="Q3" s="22" t="s">
        <v>143</v>
      </c>
      <c r="R3" s="20" t="s">
        <v>362</v>
      </c>
      <c r="S3" s="21" t="s">
        <v>363</v>
      </c>
      <c r="T3" s="21" t="s">
        <v>364</v>
      </c>
      <c r="U3" s="21" t="s">
        <v>365</v>
      </c>
      <c r="V3" s="21" t="s">
        <v>366</v>
      </c>
      <c r="W3" s="21" t="s">
        <v>367</v>
      </c>
      <c r="X3" s="21" t="s">
        <v>368</v>
      </c>
      <c r="Y3" s="21" t="s">
        <v>369</v>
      </c>
      <c r="Z3" s="21" t="s">
        <v>370</v>
      </c>
      <c r="AA3" s="21" t="s">
        <v>371</v>
      </c>
      <c r="AB3" s="21" t="s">
        <v>372</v>
      </c>
      <c r="AC3" s="22" t="s">
        <v>373</v>
      </c>
      <c r="AD3" s="8" t="s">
        <v>374</v>
      </c>
      <c r="AE3" s="8" t="s">
        <v>375</v>
      </c>
      <c r="AF3" s="28" t="s">
        <v>164</v>
      </c>
      <c r="AG3" s="20" t="s">
        <v>465</v>
      </c>
      <c r="AH3" s="39" t="s">
        <v>466</v>
      </c>
      <c r="AI3" s="21" t="s">
        <v>467</v>
      </c>
      <c r="AJ3" s="39" t="s">
        <v>468</v>
      </c>
      <c r="AK3" s="21" t="s">
        <v>469</v>
      </c>
      <c r="AL3" s="39" t="s">
        <v>470</v>
      </c>
      <c r="AM3" s="21" t="s">
        <v>471</v>
      </c>
      <c r="AN3" s="39" t="s">
        <v>472</v>
      </c>
      <c r="AO3" s="21" t="s">
        <v>473</v>
      </c>
      <c r="AP3" s="39" t="s">
        <v>474</v>
      </c>
      <c r="AQ3" s="21" t="s">
        <v>475</v>
      </c>
      <c r="AR3" s="39" t="s">
        <v>476</v>
      </c>
      <c r="AS3" s="39" t="s">
        <v>477</v>
      </c>
      <c r="AT3" s="21" t="s">
        <v>158</v>
      </c>
      <c r="AU3" s="21" t="s">
        <v>496</v>
      </c>
      <c r="AV3" s="21" t="s">
        <v>160</v>
      </c>
      <c r="AW3" s="21" t="s">
        <v>161</v>
      </c>
      <c r="AX3" s="22" t="s">
        <v>67</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4" t="s">
        <v>379</v>
      </c>
      <c r="AH4" s="43"/>
      <c r="AI4" s="9"/>
      <c r="AJ4" s="43"/>
      <c r="AK4" s="9"/>
      <c r="AL4" s="43"/>
      <c r="AM4" s="9"/>
      <c r="AN4" s="43"/>
      <c r="AO4" s="9"/>
      <c r="AP4" s="40"/>
      <c r="AQ4" s="9"/>
      <c r="AR4" s="40"/>
      <c r="AS4" s="40"/>
      <c r="AT4" s="9"/>
      <c r="AU4" s="9"/>
      <c r="AV4" s="9"/>
      <c r="AW4" s="9"/>
      <c r="AX4" s="35"/>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4" t="s">
        <v>379</v>
      </c>
      <c r="AH5" s="44"/>
      <c r="AJ5" s="44"/>
      <c r="AL5" s="44"/>
      <c r="AN5" s="44"/>
      <c r="AP5" s="6"/>
      <c r="AR5" s="6"/>
      <c r="AS5" s="6"/>
      <c r="AX5" s="15"/>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4" t="s">
        <v>379</v>
      </c>
      <c r="AH6" s="43"/>
      <c r="AI6" s="9"/>
      <c r="AJ6" s="43"/>
      <c r="AK6" s="9"/>
      <c r="AL6" s="43"/>
      <c r="AM6" s="9"/>
      <c r="AN6" s="43"/>
      <c r="AO6" s="9"/>
      <c r="AP6" s="40"/>
      <c r="AQ6" s="9"/>
      <c r="AR6" s="40"/>
      <c r="AS6" s="40"/>
      <c r="AT6" s="9"/>
      <c r="AU6" s="9"/>
      <c r="AV6" s="9"/>
      <c r="AW6" s="9"/>
      <c r="AX6" s="35"/>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4" t="s">
        <v>379</v>
      </c>
      <c r="AH7" s="44"/>
      <c r="AJ7" s="44"/>
      <c r="AL7" s="44"/>
      <c r="AN7" s="44"/>
      <c r="AP7" s="6"/>
      <c r="AR7" s="6"/>
      <c r="AS7" s="6"/>
      <c r="AX7" s="15"/>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4" t="s">
        <v>379</v>
      </c>
      <c r="AH8" s="43"/>
      <c r="AI8" s="9"/>
      <c r="AJ8" s="43"/>
      <c r="AK8" s="9"/>
      <c r="AL8" s="43"/>
      <c r="AM8" s="9"/>
      <c r="AN8" s="43"/>
      <c r="AO8" s="9"/>
      <c r="AP8" s="40"/>
      <c r="AQ8" s="9"/>
      <c r="AR8" s="40"/>
      <c r="AS8" s="40"/>
      <c r="AT8" s="9"/>
      <c r="AU8" s="9"/>
      <c r="AV8" s="9"/>
      <c r="AW8" s="9"/>
      <c r="AX8" s="35"/>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1" t="str">
        <f>R9</f>
        <v>Sawn timber</v>
      </c>
      <c r="AH9" s="45">
        <v>0.56599999999999995</v>
      </c>
      <c r="AI9" s="10" t="str">
        <f t="shared" ref="AI9:AQ9" si="0">T9</f>
        <v>Wood chips</v>
      </c>
      <c r="AJ9" s="45">
        <v>0.26700000000000002</v>
      </c>
      <c r="AK9" s="10" t="str">
        <f t="shared" si="0"/>
        <v>Sawdust</v>
      </c>
      <c r="AL9" s="45">
        <v>7.4999999999999997E-2</v>
      </c>
      <c r="AM9" s="10" t="str">
        <f t="shared" si="0"/>
        <v>Bark</v>
      </c>
      <c r="AN9" s="45">
        <v>5.6000000000000001E-2</v>
      </c>
      <c r="AO9" s="10" t="str">
        <f t="shared" si="0"/>
        <v>Wood shavings</v>
      </c>
      <c r="AP9" s="38">
        <v>1.9E-2</v>
      </c>
      <c r="AQ9" s="10" t="str">
        <f t="shared" si="0"/>
        <v>Residues</v>
      </c>
      <c r="AR9" s="38">
        <v>1.7000000000000001E-2</v>
      </c>
      <c r="AS9" s="38">
        <f>AH9+AJ9+AL9+AN9+AP9+AR9</f>
        <v>1</v>
      </c>
      <c r="AT9" s="10" t="s">
        <v>480</v>
      </c>
      <c r="AU9" s="10">
        <v>2024</v>
      </c>
      <c r="AV9" s="10" t="s">
        <v>481</v>
      </c>
      <c r="AW9" s="10" t="s">
        <v>482</v>
      </c>
      <c r="AX9" s="42" t="s">
        <v>379</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4"/>
      <c r="AH10" s="44"/>
      <c r="AJ10" s="44"/>
      <c r="AL10" s="44"/>
      <c r="AN10" s="44"/>
      <c r="AS10" s="38">
        <f>AH10+AJ10+AL10+AN10+AP10+AR10</f>
        <v>0</v>
      </c>
      <c r="AX10" s="15"/>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4"/>
      <c r="AH11" s="44"/>
      <c r="AJ11" s="44"/>
      <c r="AL11" s="44"/>
      <c r="AN11" s="44"/>
      <c r="AS11" s="38">
        <f>AH11+AJ11+AL11+AN11+AP11+AR11</f>
        <v>0</v>
      </c>
      <c r="AX11" s="15"/>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4"/>
      <c r="AH12" s="44"/>
      <c r="AJ12" s="44"/>
      <c r="AL12" s="44"/>
      <c r="AN12" s="44"/>
      <c r="AS12" s="38">
        <f>AH12+AJ12+AL12+AN12+AP12+AR12</f>
        <v>0</v>
      </c>
      <c r="AX12" s="15"/>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4" t="str">
        <f>Tabelle11[[#This Row],[Output Flow O_1]]</f>
        <v>energetische Verwertung</v>
      </c>
      <c r="AH13" s="44">
        <v>0.93</v>
      </c>
      <c r="AI13" t="s">
        <v>410</v>
      </c>
      <c r="AJ13" s="44">
        <v>0.04</v>
      </c>
      <c r="AK13" t="str">
        <f>Tabelle11[[#This Row],[Output Flow O_3]]</f>
        <v>stoffliche Verwertung</v>
      </c>
      <c r="AL13" s="44">
        <v>0.02</v>
      </c>
      <c r="AM13" t="str">
        <f>Tabelle11[[#This Row],[Output Flow O_4]]</f>
        <v>n.b.</v>
      </c>
      <c r="AN13" s="44">
        <v>0.01</v>
      </c>
      <c r="AS13" s="38">
        <f>AH13+AJ13+AL13+AN13+AP13+AR13</f>
        <v>1</v>
      </c>
      <c r="AT13" t="s">
        <v>497</v>
      </c>
      <c r="AU13">
        <v>2024</v>
      </c>
      <c r="AV13" t="s">
        <v>498</v>
      </c>
      <c r="AW13" t="s">
        <v>499</v>
      </c>
      <c r="AX13" s="15" t="s">
        <v>500</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4" t="str">
        <f>Tabelle11[[#This Row],[Output Flow O_1]]</f>
        <v>energetische Verwertung</v>
      </c>
      <c r="AH14" s="44"/>
      <c r="AJ14" s="44"/>
      <c r="AL14" s="44"/>
      <c r="AN14" s="44"/>
      <c r="AX14" s="15"/>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4"/>
      <c r="AH15" s="44"/>
      <c r="AJ15" s="44"/>
      <c r="AL15" s="44"/>
      <c r="AN15" s="44"/>
      <c r="AX15" s="15"/>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4"/>
      <c r="AH16" s="44"/>
      <c r="AJ16" s="44"/>
      <c r="AL16" s="44"/>
      <c r="AN16" s="44"/>
      <c r="AX16" s="15"/>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4"/>
      <c r="AH17" s="44"/>
      <c r="AJ17" s="44"/>
      <c r="AL17" s="44"/>
      <c r="AN17" s="44"/>
      <c r="AX17" s="15"/>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4"/>
      <c r="AH18" s="44"/>
      <c r="AJ18" s="44"/>
      <c r="AL18" s="44"/>
      <c r="AN18" s="44"/>
      <c r="AX18" s="15"/>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4"/>
      <c r="AH19" s="44"/>
      <c r="AJ19" s="44"/>
      <c r="AL19" s="44"/>
      <c r="AN19" s="44"/>
      <c r="AX19" s="15"/>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4"/>
      <c r="AH20" s="44"/>
      <c r="AJ20" s="44"/>
      <c r="AL20" s="44"/>
      <c r="AN20" s="44"/>
      <c r="AX20" s="15"/>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4"/>
      <c r="AH21" s="44"/>
      <c r="AJ21" s="44"/>
      <c r="AL21" s="44"/>
      <c r="AN21" s="44"/>
      <c r="AX21" s="15"/>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4"/>
      <c r="AH22" s="44"/>
      <c r="AJ22" s="44"/>
      <c r="AL22" s="44"/>
      <c r="AN22" s="44"/>
      <c r="AX22" s="15"/>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4"/>
      <c r="AH23" s="44"/>
      <c r="AJ23" s="44"/>
      <c r="AL23" s="44"/>
      <c r="AN23" s="44"/>
      <c r="AX23" s="15"/>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4"/>
      <c r="AH24" s="44"/>
      <c r="AJ24" s="44"/>
      <c r="AL24" s="44"/>
      <c r="AN24" s="44"/>
      <c r="AX24" s="15"/>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4"/>
      <c r="AH25" s="44"/>
      <c r="AJ25" s="44"/>
      <c r="AL25" s="44"/>
      <c r="AN25" s="44"/>
      <c r="AX25" s="15"/>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4"/>
      <c r="AH26" s="44"/>
      <c r="AJ26" s="44"/>
      <c r="AL26" s="44"/>
      <c r="AN26" s="44"/>
      <c r="AX26" s="15"/>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4"/>
      <c r="AH27" s="44"/>
      <c r="AJ27" s="44"/>
      <c r="AL27" s="44"/>
      <c r="AN27" s="44"/>
      <c r="AX27" s="15"/>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4"/>
      <c r="AH28" s="44"/>
      <c r="AJ28" s="44"/>
      <c r="AL28" s="44"/>
      <c r="AN28" s="44"/>
      <c r="AX28" s="15"/>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4"/>
      <c r="AH29" s="44"/>
      <c r="AJ29" s="44"/>
      <c r="AL29" s="44"/>
      <c r="AN29" s="44"/>
      <c r="AX29" s="15"/>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4"/>
      <c r="AH30" s="44"/>
      <c r="AJ30" s="44"/>
      <c r="AL30" s="44"/>
      <c r="AN30" s="44"/>
      <c r="AX30" s="15"/>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4"/>
      <c r="AH31" s="44"/>
      <c r="AJ31" s="44"/>
      <c r="AL31" s="44"/>
      <c r="AN31" s="44"/>
      <c r="AX31" s="15"/>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4"/>
      <c r="AH32" s="44"/>
      <c r="AJ32" s="44"/>
      <c r="AL32" s="44"/>
      <c r="AN32" s="44"/>
      <c r="AX32" s="15"/>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4"/>
      <c r="AH33" s="44"/>
      <c r="AJ33" s="44"/>
      <c r="AL33" s="44"/>
      <c r="AN33" s="44"/>
      <c r="AX33" s="15"/>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4"/>
      <c r="AH34" s="44"/>
      <c r="AJ34" s="44"/>
      <c r="AL34" s="44"/>
      <c r="AN34" s="44"/>
      <c r="AX34" s="15"/>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4"/>
      <c r="AH35" s="44"/>
      <c r="AJ35" s="44"/>
      <c r="AL35" s="44"/>
      <c r="AN35" s="44"/>
      <c r="AX35" s="15"/>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4"/>
      <c r="AH36" s="44"/>
      <c r="AJ36" s="44"/>
      <c r="AL36" s="44"/>
      <c r="AN36" s="44"/>
      <c r="AX36" s="15"/>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4"/>
      <c r="AH37" s="44"/>
      <c r="AJ37" s="44"/>
      <c r="AL37" s="44"/>
      <c r="AN37" s="44"/>
      <c r="AX37" s="15"/>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4"/>
      <c r="AH38" s="44"/>
      <c r="AJ38" s="44"/>
      <c r="AL38" s="44"/>
      <c r="AN38" s="44"/>
      <c r="AX38" s="15"/>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4"/>
      <c r="AH39" s="44"/>
      <c r="AJ39" s="44"/>
      <c r="AL39" s="44"/>
      <c r="AN39" s="44"/>
      <c r="AX39" s="15"/>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4"/>
      <c r="AH40" s="44"/>
      <c r="AJ40" s="44"/>
      <c r="AL40" s="44"/>
      <c r="AN40" s="44"/>
      <c r="AX40" s="15"/>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4"/>
      <c r="AH41" s="44"/>
      <c r="AJ41" s="44"/>
      <c r="AL41" s="44"/>
      <c r="AN41" s="44"/>
      <c r="AX41" s="15"/>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4"/>
      <c r="AH42" s="44"/>
      <c r="AJ42" s="44"/>
      <c r="AL42" s="44"/>
      <c r="AN42" s="44"/>
      <c r="AX42" s="15"/>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4"/>
      <c r="AH43" s="44"/>
      <c r="AJ43" s="44"/>
      <c r="AL43" s="44"/>
      <c r="AN43" s="44"/>
      <c r="AX43" s="15"/>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4"/>
      <c r="AH44" s="44"/>
      <c r="AJ44" s="44"/>
      <c r="AL44" s="44"/>
      <c r="AN44" s="44"/>
      <c r="AX44" s="15"/>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4"/>
      <c r="AH45" s="44"/>
      <c r="AJ45" s="44"/>
      <c r="AL45" s="44"/>
      <c r="AN45" s="44"/>
      <c r="AX45" s="15"/>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4"/>
      <c r="AH46" s="44"/>
      <c r="AJ46" s="44"/>
      <c r="AL46" s="44"/>
      <c r="AN46" s="44"/>
      <c r="AX46" s="15"/>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4"/>
      <c r="AH47" s="44"/>
      <c r="AJ47" s="44"/>
      <c r="AL47" s="44"/>
      <c r="AN47" s="44"/>
      <c r="AX47" s="15"/>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4"/>
      <c r="AH48" s="44"/>
      <c r="AJ48" s="44"/>
      <c r="AL48" s="44"/>
      <c r="AN48" s="44"/>
      <c r="AX48" s="15"/>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4"/>
      <c r="AH49" s="44"/>
      <c r="AJ49" s="44"/>
      <c r="AL49" s="44"/>
      <c r="AN49" s="44"/>
      <c r="AX49" s="15"/>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4"/>
      <c r="AH50" s="44"/>
      <c r="AJ50" s="44"/>
      <c r="AL50" s="44"/>
      <c r="AN50" s="44"/>
      <c r="AX50" s="15"/>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6"/>
      <c r="AH51" s="46"/>
      <c r="AI51" s="17"/>
      <c r="AJ51" s="46"/>
      <c r="AK51" s="17"/>
      <c r="AL51" s="46"/>
      <c r="AM51" s="17"/>
      <c r="AN51" s="46"/>
      <c r="AO51" s="17"/>
      <c r="AP51" s="17"/>
      <c r="AQ51" s="17"/>
      <c r="AR51" s="17"/>
      <c r="AS51" s="17"/>
      <c r="AT51" s="17"/>
      <c r="AU51" s="17"/>
      <c r="AV51" s="17"/>
      <c r="AW51" s="17"/>
      <c r="AX51" s="18"/>
    </row>
  </sheetData>
  <mergeCells count="2">
    <mergeCell ref="AT2:AX2"/>
    <mergeCell ref="AG2:AS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42578125" customWidth="1"/>
    <col min="10" max="10" width="25.42578125" customWidth="1"/>
    <col min="14" max="14" width="23.140625" customWidth="1"/>
    <col min="15" max="15" width="16" customWidth="1"/>
    <col min="17" max="17" width="23.5703125" customWidth="1"/>
    <col min="20" max="20" width="16.85546875" customWidth="1"/>
  </cols>
  <sheetData>
    <row r="3" spans="1:28" x14ac:dyDescent="0.25">
      <c r="A3" s="321" t="s">
        <v>348</v>
      </c>
      <c r="B3" s="321"/>
      <c r="C3" s="321"/>
      <c r="D3" s="321"/>
      <c r="E3" s="321"/>
      <c r="F3" s="321"/>
      <c r="G3" s="321"/>
      <c r="H3" s="321"/>
      <c r="I3" s="321"/>
      <c r="J3" s="321"/>
      <c r="K3" s="321"/>
      <c r="L3" s="321" t="s">
        <v>483</v>
      </c>
      <c r="M3" s="321"/>
      <c r="N3" s="321"/>
      <c r="O3" s="321"/>
      <c r="P3" s="321"/>
      <c r="Q3" s="321" t="s">
        <v>484</v>
      </c>
      <c r="R3" s="321"/>
      <c r="S3" s="321"/>
      <c r="T3" s="321"/>
      <c r="U3" s="321"/>
      <c r="Y3" s="321" t="s">
        <v>501</v>
      </c>
      <c r="Z3" s="321"/>
      <c r="AA3" s="321"/>
      <c r="AB3" s="321"/>
    </row>
    <row r="4" spans="1:28" x14ac:dyDescent="0.25">
      <c r="A4" t="s">
        <v>349</v>
      </c>
      <c r="B4" t="s">
        <v>351</v>
      </c>
      <c r="C4" t="s">
        <v>352</v>
      </c>
      <c r="D4" t="s">
        <v>353</v>
      </c>
      <c r="E4" t="s">
        <v>502</v>
      </c>
      <c r="F4" t="s">
        <v>503</v>
      </c>
      <c r="G4" t="s">
        <v>504</v>
      </c>
      <c r="H4" t="s">
        <v>505</v>
      </c>
      <c r="I4" t="s">
        <v>374</v>
      </c>
      <c r="J4" t="s">
        <v>375</v>
      </c>
      <c r="K4" t="s">
        <v>164</v>
      </c>
      <c r="L4" t="s">
        <v>485</v>
      </c>
      <c r="M4" t="s">
        <v>247</v>
      </c>
      <c r="N4" t="s">
        <v>248</v>
      </c>
      <c r="O4" t="s">
        <v>249</v>
      </c>
      <c r="P4" t="s">
        <v>250</v>
      </c>
      <c r="Q4" t="s">
        <v>251</v>
      </c>
      <c r="R4" t="s">
        <v>252</v>
      </c>
      <c r="S4" t="s">
        <v>160</v>
      </c>
      <c r="T4" t="s">
        <v>161</v>
      </c>
      <c r="U4" t="s">
        <v>67</v>
      </c>
      <c r="Y4" t="s">
        <v>506</v>
      </c>
      <c r="AB4" t="s">
        <v>507</v>
      </c>
    </row>
    <row r="5" spans="1:28" x14ac:dyDescent="0.25">
      <c r="A5">
        <v>1</v>
      </c>
      <c r="B5" t="s">
        <v>376</v>
      </c>
      <c r="C5" t="s">
        <v>7</v>
      </c>
      <c r="D5" t="s">
        <v>107</v>
      </c>
      <c r="E5" t="s">
        <v>377</v>
      </c>
      <c r="G5" t="s">
        <v>107</v>
      </c>
      <c r="I5" t="s">
        <v>44</v>
      </c>
      <c r="J5" t="s">
        <v>84</v>
      </c>
      <c r="K5">
        <v>2022</v>
      </c>
      <c r="L5">
        <v>325681</v>
      </c>
      <c r="M5" t="s">
        <v>486</v>
      </c>
      <c r="N5" t="s">
        <v>487</v>
      </c>
      <c r="O5">
        <v>19579</v>
      </c>
      <c r="P5" t="s">
        <v>486</v>
      </c>
      <c r="Q5" t="s">
        <v>488</v>
      </c>
      <c r="R5">
        <v>2024</v>
      </c>
      <c r="S5" t="s">
        <v>489</v>
      </c>
      <c r="T5" t="s">
        <v>490</v>
      </c>
      <c r="U5" t="s">
        <v>491</v>
      </c>
    </row>
    <row r="6" spans="1:28" x14ac:dyDescent="0.25">
      <c r="A6">
        <v>2</v>
      </c>
      <c r="B6" t="s">
        <v>376</v>
      </c>
      <c r="C6" t="s">
        <v>6</v>
      </c>
      <c r="D6" t="s">
        <v>107</v>
      </c>
      <c r="E6" t="s">
        <v>377</v>
      </c>
      <c r="G6" t="s">
        <v>107</v>
      </c>
      <c r="I6" t="s">
        <v>44</v>
      </c>
      <c r="J6" t="s">
        <v>84</v>
      </c>
      <c r="K6">
        <v>2022</v>
      </c>
      <c r="L6">
        <v>4977</v>
      </c>
      <c r="M6" t="s">
        <v>486</v>
      </c>
      <c r="N6" t="s">
        <v>487</v>
      </c>
      <c r="O6">
        <v>-174</v>
      </c>
      <c r="P6" t="s">
        <v>486</v>
      </c>
      <c r="Q6" t="s">
        <v>488</v>
      </c>
      <c r="R6">
        <v>2024</v>
      </c>
      <c r="S6" t="s">
        <v>489</v>
      </c>
      <c r="T6" t="s">
        <v>490</v>
      </c>
      <c r="U6" t="s">
        <v>491</v>
      </c>
    </row>
    <row r="7" spans="1:28" x14ac:dyDescent="0.25">
      <c r="A7">
        <v>3</v>
      </c>
      <c r="B7" t="s">
        <v>376</v>
      </c>
      <c r="C7" t="s">
        <v>7</v>
      </c>
      <c r="D7" t="s">
        <v>107</v>
      </c>
      <c r="E7" t="s">
        <v>377</v>
      </c>
      <c r="G7" t="s">
        <v>107</v>
      </c>
      <c r="I7" t="s">
        <v>44</v>
      </c>
      <c r="J7" t="s">
        <v>84</v>
      </c>
      <c r="K7">
        <v>2012</v>
      </c>
      <c r="L7" s="4">
        <v>222889</v>
      </c>
      <c r="M7" t="s">
        <v>486</v>
      </c>
      <c r="N7" t="s">
        <v>379</v>
      </c>
      <c r="O7" t="s">
        <v>379</v>
      </c>
      <c r="P7" t="s">
        <v>379</v>
      </c>
      <c r="R7">
        <v>2013</v>
      </c>
      <c r="S7" t="s">
        <v>489</v>
      </c>
      <c r="T7" t="s">
        <v>490</v>
      </c>
      <c r="U7" t="s">
        <v>492</v>
      </c>
    </row>
    <row r="8" spans="1:28" x14ac:dyDescent="0.25">
      <c r="A8">
        <v>4</v>
      </c>
      <c r="B8" t="s">
        <v>376</v>
      </c>
      <c r="C8" t="s">
        <v>380</v>
      </c>
      <c r="D8" t="s">
        <v>107</v>
      </c>
      <c r="E8" t="s">
        <v>377</v>
      </c>
      <c r="G8" t="s">
        <v>107</v>
      </c>
      <c r="I8" t="s">
        <v>44</v>
      </c>
      <c r="K8">
        <v>2012</v>
      </c>
      <c r="L8" s="5">
        <v>233943</v>
      </c>
      <c r="M8" t="s">
        <v>486</v>
      </c>
      <c r="N8" t="s">
        <v>493</v>
      </c>
      <c r="O8">
        <v>53684</v>
      </c>
      <c r="P8" t="s">
        <v>486</v>
      </c>
      <c r="Q8" t="s">
        <v>494</v>
      </c>
      <c r="R8">
        <v>2012</v>
      </c>
      <c r="S8" t="s">
        <v>489</v>
      </c>
      <c r="T8" t="s">
        <v>490</v>
      </c>
      <c r="U8" t="s">
        <v>495</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Intro</vt:lpstr>
      <vt:lpstr>Version_CS1_16.06.</vt:lpstr>
      <vt:lpstr>1_Flows&gt;&gt;&gt;&gt;</vt:lpstr>
      <vt:lpstr>1_1_Definition_Flows</vt:lpstr>
      <vt:lpstr>1_2_Data_Flows</vt:lpstr>
      <vt:lpstr>2. Processes&gt;&gt;&gt;&gt;</vt:lpstr>
      <vt:lpstr>2_1_Definition_Processes</vt:lpstr>
      <vt:lpstr>2_2_Process_Data</vt:lpstr>
      <vt:lpstr>2_3_Process_TCs</vt:lpstr>
      <vt:lpstr>2_4_Process_Stock_</vt:lpstr>
      <vt:lpstr>2_5_dynamic_tcs</vt:lpstr>
      <vt:lpstr>3. TC_Data</vt:lpstr>
      <vt:lpstr>4. Stock_Data</vt:lpstr>
      <vt:lpstr>PX - Template</vt:lpstr>
      <vt:lpstr>4. Calculation_factors&gt;&gt;&gt;&gt;</vt:lpstr>
      <vt:lpstr>3_1_Calculation_factors (Waste)</vt:lpstr>
      <vt:lpstr>3_1_Calculation_factors (Wood)</vt:lpstr>
      <vt:lpstr>4. Codelists&gt;&gt;&gt;&gt;</vt:lpstr>
      <vt:lpstr>4_1 Codelists</vt:lpstr>
      <vt:lpstr>5. Wastefiles &gt;&gt;&gt;&gt;</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dc:creator>
  <cp:keywords/>
  <dc:description/>
  <cp:lastModifiedBy>Johannes Scholz</cp:lastModifiedBy>
  <cp:revision/>
  <dcterms:created xsi:type="dcterms:W3CDTF">2015-06-05T18:19:34Z</dcterms:created>
  <dcterms:modified xsi:type="dcterms:W3CDTF">2025-07-01T08:10:44Z</dcterms:modified>
  <cp:category/>
  <cp:contentStatus/>
</cp:coreProperties>
</file>