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0FDF912B-B603-42C9-A901-1CCAD9A96CD7}" xr6:coauthVersionLast="47" xr6:coauthVersionMax="47" xr10:uidLastSave="{00000000-0000-0000-0000-000000000000}"/>
  <bookViews>
    <workbookView xWindow="-120" yWindow="-120" windowWidth="38640" windowHeight="21120" tabRatio="840" firstSheet="3" activeTab="4"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 name="5. Wastefiles &gt;&gt;&gt;&gt;" sheetId="14" r:id="rId26"/>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A29" i="48"/>
  <c r="G28" i="48"/>
  <c r="F28" i="48"/>
  <c r="G27" i="48"/>
  <c r="F27" i="48"/>
  <c r="G26" i="48"/>
  <c r="F26" i="48"/>
  <c r="A26" i="48"/>
  <c r="G25" i="48"/>
  <c r="G31" i="48" s="1"/>
  <c r="F25" i="48"/>
  <c r="A25" i="48"/>
  <c r="V24" i="48"/>
  <c r="B22" i="48"/>
  <c r="J21" i="48"/>
  <c r="F21" i="48"/>
  <c r="A21" i="48"/>
  <c r="J20" i="48"/>
  <c r="F20" i="48"/>
  <c r="C29" i="48" s="1"/>
  <c r="J19" i="48"/>
  <c r="F19" i="48"/>
  <c r="G19" i="48" s="1"/>
  <c r="J18" i="48"/>
  <c r="F18" i="48"/>
  <c r="C27" i="48" s="1"/>
  <c r="I17" i="48"/>
  <c r="J17" i="48" s="1"/>
  <c r="C26" i="48" s="1"/>
  <c r="F17" i="48"/>
  <c r="A17" i="48"/>
  <c r="J16" i="48"/>
  <c r="F16" i="48"/>
  <c r="F22" i="48" s="1"/>
  <c r="C16" i="48"/>
  <c r="I25" i="48" s="1"/>
  <c r="V15" i="48"/>
  <c r="V14" i="48"/>
  <c r="F9" i="48"/>
  <c r="A39" i="48" s="1"/>
  <c r="A48" i="48" s="1"/>
  <c r="A62" i="48" s="1"/>
  <c r="B9" i="48"/>
  <c r="A20" i="48" s="1"/>
  <c r="F8" i="48"/>
  <c r="A38" i="48" s="1"/>
  <c r="A47" i="48" s="1"/>
  <c r="A61" i="48" s="1"/>
  <c r="B8" i="48"/>
  <c r="A28" i="48" s="1"/>
  <c r="A37" i="48"/>
  <c r="A46" i="48" s="1"/>
  <c r="A60" i="48" s="1"/>
  <c r="B7" i="48"/>
  <c r="A27"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A19" i="48" l="1"/>
  <c r="F31" i="48"/>
  <c r="E62" i="48" s="1"/>
  <c r="H29" i="48"/>
  <c r="H25" i="48"/>
  <c r="H26" i="48"/>
  <c r="J22" i="48"/>
  <c r="K16" i="48" s="1"/>
  <c r="G21" i="48"/>
  <c r="M25" i="48"/>
  <c r="K25" i="48"/>
  <c r="J25" i="48"/>
  <c r="C53" i="48"/>
  <c r="G17" i="48"/>
  <c r="E22" i="48"/>
  <c r="C62" i="48" s="1"/>
  <c r="H30" i="48"/>
  <c r="H27" i="48"/>
  <c r="H28" i="48"/>
  <c r="A18" i="48"/>
  <c r="G16" i="48"/>
  <c r="C18" i="48"/>
  <c r="I27" i="48" s="1"/>
  <c r="C20" i="48"/>
  <c r="I29" i="48" s="1"/>
  <c r="G18" i="48"/>
  <c r="G20" i="48"/>
  <c r="J36" i="48"/>
  <c r="C17" i="48"/>
  <c r="I26" i="48" s="1"/>
  <c r="C19" i="48"/>
  <c r="I28" i="48" s="1"/>
  <c r="C21" i="48"/>
  <c r="I30" i="48" s="1"/>
  <c r="C28" i="48"/>
  <c r="B53" i="48"/>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R50" i="48" l="1"/>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M45" i="48" l="1"/>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L50" i="48" s="1"/>
  <c r="AL63" i="33"/>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N11" i="39" l="1"/>
  <c r="O11" i="39" s="1"/>
  <c r="B13" i="46"/>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N14" i="39"/>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B21" i="46" s="1"/>
  <c r="C78" i="15"/>
  <c r="C71" i="15"/>
  <c r="X25"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7"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N41" i="39"/>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C10" i="15"/>
  <c r="B10" i="46" s="1"/>
  <c r="R17" i="16"/>
  <c r="AD10" i="16"/>
  <c r="C11" i="15"/>
  <c r="C17" i="15"/>
  <c r="F205" i="2"/>
  <c r="C9" i="15"/>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13" i="39" l="1"/>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2" i="33" l="1"/>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<sst xmlns="http://schemas.openxmlformats.org/spreadsheetml/2006/main" count="3917" uniqueCount="811">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</sst>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281608</xdr:colOff>
          <xdr:row>11</xdr:row>
          <xdr:rowOff>74544</xdr:rowOff>
        </xdr:from>
        <xdr:to>
          <xdr:col>25</xdr:col>
          <xdr:colOff>227771</xdr:colOff>
          <xdr:row>14</xdr:row>
          <xdr:rowOff>141219</xdr:rowOff>
        </xdr:to>
        <xdr:pic>
          <xdr:nvPicPr>
            <xdr:cNvPr id="2" name="Picture 1">
              <a:extLst>
                <a:ext uri="{FF2B5EF4-FFF2-40B4-BE49-F238E27FC236}">
                  <a16:creationId xmlns:a16="http://schemas.microsoft.com/office/drawing/2014/main" id="{E07FD229-698C-9B22-5BD2-B0F09F088E44}"/>
                </a:ext>
              </a:extLst>
            </xdr:cNvPr>
            <xdr:cNvPicPr>
              <a:picLocks noChangeAspect="1" noChangeArrowheads="1"/>
              <a:extLst>
                <a:ext uri="{84589F7E-364E-4C9E-8A38-B11213B215E9}">
                  <a14:cameraTool cellRange="'PX - Template (2)'!$A$58:$B$60" spid="_x0000_s9230"/>
                </a:ext>
              </a:extLst>
            </xdr:cNvPicPr>
          </xdr:nvPicPr>
          <xdr:blipFill>
            <a:blip xmlns:r="http://schemas.openxmlformats.org/officeDocument/2006/relationships" r:embed="rId1"/>
            <a:srcRect/>
            <a:stretch>
              <a:fillRect/>
            </a:stretch>
          </xdr:blipFill>
          <xdr:spPr bwMode="auto">
            <a:xfrm>
              <a:off x="18039521" y="2170044"/>
              <a:ext cx="2828511" cy="6381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0" sqref="C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0</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tabSelected="1" zoomScaleNormal="100" workbookViewId="0">
      <pane xSplit="4" ySplit="16" topLeftCell="H17" activePane="bottomRight" state="frozen"/>
      <selection pane="topRight" activeCell="E1" sqref="E1"/>
      <selection pane="bottomLeft" activeCell="A14" sqref="A14"/>
      <selection pane="bottomRight" activeCell="D24" sqref="D24"/>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1</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1</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1</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1</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1</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1</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1</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v>
      </c>
      <c r="P18" s="55" t="s">
        <v>192</v>
      </c>
      <c r="Q18" s="183">
        <v>1</v>
      </c>
      <c r="R18" s="55" t="s">
        <v>192</v>
      </c>
      <c r="S18" s="183">
        <v>0</v>
      </c>
      <c r="T18" s="55" t="s">
        <v>192</v>
      </c>
      <c r="U18" s="190">
        <f>Tab_Def_Flows[[#This Row],[CC_DM'[%']]]*Tab_Def_Flows[[#This Row],[DM]]</f>
        <v>0</v>
      </c>
      <c r="V18" s="11" t="s">
        <v>193</v>
      </c>
    </row>
    <row r="19" spans="1:22" x14ac:dyDescent="0.25">
      <c r="A19" s="194" t="b">
        <v>1</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1</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1</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0.5</v>
      </c>
      <c r="P21" s="55" t="s">
        <v>192</v>
      </c>
      <c r="Q21" s="183">
        <v>0.5</v>
      </c>
      <c r="R21" s="55" t="s">
        <v>192</v>
      </c>
      <c r="S21" s="183">
        <v>0.52</v>
      </c>
      <c r="T21" s="55" t="s">
        <v>192</v>
      </c>
      <c r="U21" s="190">
        <f>Tab_Def_Flows[[#This Row],[CC_DM'[%']]]*Tab_Def_Flows[[#This Row],[DM]]</f>
        <v>0.26</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25" zoomScale="115" zoomScaleNormal="115" workbookViewId="0">
      <selection activeCell="M55" sqref="M5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A4" sqref="A4"/>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7</v>
      </c>
      <c r="K3" s="189" t="s">
        <v>8</v>
      </c>
      <c r="L3" s="189" t="s">
        <v>7</v>
      </c>
      <c r="M3" s="189" t="s">
        <v>8</v>
      </c>
      <c r="N3" s="189" t="s">
        <v>8</v>
      </c>
      <c r="O3" s="189" t="s">
        <v>8</v>
      </c>
      <c r="P3" s="184">
        <v>2</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E1" activePane="topRight" state="frozen"/>
      <selection pane="topRight" activeCell="D31" sqref="D31"/>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0.14666666666666664</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0.18666666666666662</v>
      </c>
      <c r="Q16" s="37"/>
      <c r="R16" s="37"/>
      <c r="S16" s="37"/>
      <c r="T16" s="37"/>
      <c r="U16" s="37"/>
    </row>
    <row r="17" spans="1:24"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0.66666666666666652</v>
      </c>
      <c r="Q17" s="37"/>
      <c r="R17" s="37"/>
      <c r="S17" s="37"/>
      <c r="T17" s="37"/>
      <c r="U17" s="37"/>
    </row>
    <row r="18" spans="1:24"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4"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c r="X19">
        <v>0.66666666666666652</v>
      </c>
    </row>
    <row r="20" spans="1:24"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c r="X20">
        <v>0.14666666666666664</v>
      </c>
    </row>
    <row r="21" spans="1:24"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c r="X21">
        <v>0.18666666666666662</v>
      </c>
    </row>
    <row r="22" spans="1:24"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4"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4"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4"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4"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4"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4"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4"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4"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4"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4"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P37" sqref="P3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G21" sqref="G21"/>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H40" sqref="H40"/>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710</v>
      </c>
      <c r="G2" s="9" t="str">
        <f>_xlfn.XLOOKUP($F2,Table32[Color_Name],Table32[Hex_Code],,0,)</f>
        <v>#87CEEB</v>
      </c>
      <c r="H2">
        <v>0.1</v>
      </c>
      <c r="I2">
        <v>0.8</v>
      </c>
      <c r="J2">
        <v>0.1</v>
      </c>
      <c r="K2">
        <v>0.8</v>
      </c>
      <c r="L2">
        <v>0.1</v>
      </c>
      <c r="M2">
        <v>0.8</v>
      </c>
      <c r="N2">
        <v>0.1</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677</v>
      </c>
      <c r="G3" s="9" t="str">
        <f>_xlfn.XLOOKUP($F3,Table32[Color_Name],Table32[Hex_Code],,0,)</f>
        <v>#228B22</v>
      </c>
      <c r="H3">
        <v>0.1</v>
      </c>
      <c r="I3">
        <v>0.2</v>
      </c>
      <c r="J3">
        <v>0.1</v>
      </c>
      <c r="K3">
        <v>0.2</v>
      </c>
      <c r="L3">
        <v>0.1</v>
      </c>
      <c r="M3">
        <v>0.2</v>
      </c>
      <c r="N3">
        <v>0.1</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693</v>
      </c>
      <c r="G4" s="9" t="str">
        <f>_xlfn.XLOOKUP($F4,Table32[Color_Name],Table32[Hex_Code],,0,)</f>
        <v>#F5DEB3</v>
      </c>
      <c r="H4">
        <v>0.2</v>
      </c>
      <c r="I4">
        <v>0.5</v>
      </c>
      <c r="J4">
        <v>0.2</v>
      </c>
      <c r="K4">
        <v>0.5</v>
      </c>
      <c r="L4">
        <v>0.2</v>
      </c>
      <c r="M4">
        <v>0.5</v>
      </c>
      <c r="N4">
        <v>0.2</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693</v>
      </c>
      <c r="G5" s="9" t="str">
        <f>_xlfn.XLOOKUP($F5,Table32[Color_Name],Table32[Hex_Code],,0,)</f>
        <v>#F5DEB3</v>
      </c>
      <c r="H5">
        <v>0.3</v>
      </c>
      <c r="I5">
        <v>0.5</v>
      </c>
      <c r="J5">
        <v>0.3</v>
      </c>
      <c r="K5">
        <v>0.5</v>
      </c>
      <c r="L5">
        <v>0.3</v>
      </c>
      <c r="M5">
        <v>0.5</v>
      </c>
      <c r="N5">
        <v>0.3</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693</v>
      </c>
      <c r="G6" s="9" t="str">
        <f>_xlfn.XLOOKUP($F6,Table32[Color_Name],Table32[Hex_Code],,0,)</f>
        <v>#F5DEB3</v>
      </c>
      <c r="H6">
        <v>0.4</v>
      </c>
      <c r="I6">
        <v>0.2</v>
      </c>
      <c r="J6">
        <v>0.4</v>
      </c>
      <c r="K6">
        <v>0.2</v>
      </c>
      <c r="L6">
        <v>0.4</v>
      </c>
      <c r="M6">
        <v>0.2</v>
      </c>
      <c r="N6">
        <v>0.4</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693</v>
      </c>
      <c r="G7" s="9" t="str">
        <f>_xlfn.XLOOKUP($F7,Table32[Color_Name],Table32[Hex_Code],,0,)</f>
        <v>#F5DEB3</v>
      </c>
      <c r="H7">
        <v>0.4</v>
      </c>
      <c r="I7">
        <v>0.6</v>
      </c>
      <c r="J7">
        <v>0.4</v>
      </c>
      <c r="K7">
        <v>0.6</v>
      </c>
      <c r="L7">
        <v>0.4</v>
      </c>
      <c r="M7">
        <v>0.6</v>
      </c>
      <c r="N7">
        <v>0.4</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693</v>
      </c>
      <c r="G8" s="9" t="str">
        <f>_xlfn.XLOOKUP($F8,Table32[Color_Name],Table32[Hex_Code],,0,)</f>
        <v>#F5DEB3</v>
      </c>
      <c r="H8">
        <v>0.6</v>
      </c>
      <c r="I8">
        <v>0.6</v>
      </c>
      <c r="J8">
        <v>0.6</v>
      </c>
      <c r="K8">
        <v>0.6</v>
      </c>
      <c r="L8">
        <v>0.6</v>
      </c>
      <c r="M8">
        <v>0.6</v>
      </c>
      <c r="N8">
        <v>0.6</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693</v>
      </c>
      <c r="G9" s="9" t="str">
        <f>_xlfn.XLOOKUP($F9,Table32[Color_Name],Table32[Hex_Code],,0,)</f>
        <v>#F5DEB3</v>
      </c>
      <c r="H9">
        <v>0.5</v>
      </c>
      <c r="I9">
        <v>0.2</v>
      </c>
      <c r="J9">
        <v>0.5</v>
      </c>
      <c r="K9">
        <v>0.2</v>
      </c>
      <c r="L9">
        <v>0.5</v>
      </c>
      <c r="M9">
        <v>0.2</v>
      </c>
      <c r="N9">
        <v>0.5</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689</v>
      </c>
      <c r="G10" s="9" t="str">
        <f>_xlfn.XLOOKUP($F10,Table32[Color_Name],Table32[Hex_Code],,0,)</f>
        <v>#8B4513</v>
      </c>
      <c r="H10">
        <v>0.9</v>
      </c>
      <c r="I10">
        <v>0.6</v>
      </c>
      <c r="J10">
        <v>0.9</v>
      </c>
      <c r="K10">
        <v>0.6</v>
      </c>
      <c r="L10">
        <v>0.9</v>
      </c>
      <c r="M10">
        <v>0.6</v>
      </c>
      <c r="N10">
        <v>0.9</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693</v>
      </c>
      <c r="G11" s="9" t="str">
        <f>_xlfn.XLOOKUP($F11,Table32[Color_Name],Table32[Hex_Code],,0,)</f>
        <v>#F5DEB3</v>
      </c>
      <c r="H11">
        <v>0.6</v>
      </c>
      <c r="I11">
        <v>0.4</v>
      </c>
      <c r="J11">
        <v>0.6</v>
      </c>
      <c r="K11">
        <v>0.4</v>
      </c>
      <c r="L11">
        <v>0.6</v>
      </c>
      <c r="M11">
        <v>0.4</v>
      </c>
      <c r="N11">
        <v>0.6</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689</v>
      </c>
      <c r="G12" s="9" t="str">
        <f>_xlfn.XLOOKUP($F12,Table32[Color_Name],Table32[Hex_Code],,0,)</f>
        <v>#8B4513</v>
      </c>
      <c r="H12">
        <v>0.9</v>
      </c>
      <c r="I12">
        <v>0.4</v>
      </c>
      <c r="J12">
        <v>0.9</v>
      </c>
      <c r="K12">
        <v>0.4</v>
      </c>
      <c r="L12">
        <v>0.9</v>
      </c>
      <c r="M12">
        <v>0.4</v>
      </c>
      <c r="N12">
        <v>0.9</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D26" sqref="D26"/>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710</v>
      </c>
      <c r="E2" s="9" t="str">
        <f>_xlfn.XLOOKUP($D2,Table32[Color_Name],Table32[Hex_Code],,0,)</f>
        <v>#87CEEB</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677</v>
      </c>
      <c r="E3" s="9" t="str">
        <f>_xlfn.XLOOKUP($D3,Table32[Color_Name],Table32[Hex_Code],,0,)</f>
        <v>#228B22</v>
      </c>
      <c r="F3" s="37"/>
      <c r="J3" t="s">
        <v>768</v>
      </c>
    </row>
    <row r="4" spans="1:10" x14ac:dyDescent="0.25">
      <c r="A4" s="16">
        <f t="shared" si="0"/>
        <v>3</v>
      </c>
      <c r="B4" s="9" t="str">
        <f>_xlfn.XLOOKUP(C4,Tab_Def_Flows[Name(EN)],Tab_Def_Flows[Flow_ID],,0,)</f>
        <v>F_02_03</v>
      </c>
      <c r="C4" s="9" t="str">
        <f>Tab_Def_Flows[[#This Row],[Name(EN)]]</f>
        <v>Wheat Plant</v>
      </c>
      <c r="D4" s="189" t="s">
        <v>693</v>
      </c>
      <c r="E4" s="9" t="str">
        <f>_xlfn.XLOOKUP($D4,Table32[Color_Name],Table32[Hex_Code],,0,)</f>
        <v>#F5DEB3</v>
      </c>
      <c r="F4" s="37"/>
      <c r="J4" t="s">
        <v>769</v>
      </c>
    </row>
    <row r="5" spans="1:10" x14ac:dyDescent="0.25">
      <c r="A5" s="16">
        <f t="shared" si="0"/>
        <v>4</v>
      </c>
      <c r="B5" s="9" t="str">
        <f>_xlfn.XLOOKUP(C5,Tab_Def_Flows[Name(EN)],Tab_Def_Flows[Flow_ID],,0,)</f>
        <v>F_03_04</v>
      </c>
      <c r="C5" s="9" t="str">
        <f>Tab_Def_Flows[[#This Row],[Name(EN)]]</f>
        <v>Grain</v>
      </c>
      <c r="D5" s="189" t="s">
        <v>693</v>
      </c>
      <c r="E5" s="9" t="str">
        <f>_xlfn.XLOOKUP($D5,Table32[Color_Name],Table32[Hex_Code],,0,)</f>
        <v>#F5DEB3</v>
      </c>
      <c r="F5" s="37"/>
      <c r="J5" t="s">
        <v>770</v>
      </c>
    </row>
    <row r="6" spans="1:10" x14ac:dyDescent="0.25">
      <c r="A6" s="16">
        <f t="shared" si="0"/>
        <v>5</v>
      </c>
      <c r="B6" s="9" t="str">
        <f>_xlfn.XLOOKUP(C6,Tab_Def_Flows[Name(EN)],Tab_Def_Flows[Flow_ID],,0,)</f>
        <v>F_03_05</v>
      </c>
      <c r="C6" s="9" t="str">
        <f>Tab_Def_Flows[[#This Row],[Name(EN)]]</f>
        <v>Straw</v>
      </c>
      <c r="D6" s="189" t="s">
        <v>693</v>
      </c>
      <c r="E6" s="9" t="str">
        <f>_xlfn.XLOOKUP($D6,Table32[Color_Name],Table32[Hex_Code],,0,)</f>
        <v>#F5DEB3</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677</v>
      </c>
      <c r="E8" s="9" t="str">
        <f>_xlfn.XLOOKUP($D8,Table32[Color_Name],Table32[Hex_Code],,0,)</f>
        <v>#228B22</v>
      </c>
      <c r="F8" s="37"/>
    </row>
    <row r="9" spans="1:10" x14ac:dyDescent="0.25">
      <c r="A9" s="16">
        <f t="shared" si="0"/>
        <v>8</v>
      </c>
      <c r="B9" s="9" t="str">
        <f>_xlfn.XLOOKUP(C9,Tab_Def_Flows[Name(EN)],Tab_Def_Flows[Flow_ID],,0,)</f>
        <v>F_05_06</v>
      </c>
      <c r="C9" s="9" t="str">
        <f>Tab_Def_Flows[[#This Row],[Name(EN)]]</f>
        <v>Straw_incorperation</v>
      </c>
      <c r="D9" s="189" t="s">
        <v>693</v>
      </c>
      <c r="E9" s="9" t="str">
        <f>_xlfn.XLOOKUP($D9,Table32[Color_Name],Table32[Hex_Code],,0,)</f>
        <v>#F5DEB3</v>
      </c>
      <c r="F9" s="37"/>
    </row>
    <row r="10" spans="1:10" x14ac:dyDescent="0.25">
      <c r="A10" s="16">
        <f t="shared" si="0"/>
        <v>9</v>
      </c>
      <c r="B10" s="9" t="str">
        <f>_xlfn.XLOOKUP(C10,Tab_Def_Flows[Name(EN)],Tab_Def_Flows[Flow_ID],,0,)</f>
        <v>F_06_08</v>
      </c>
      <c r="C10" s="9" t="str">
        <f>Tab_Def_Flows[[#This Row],[Name(EN)]]</f>
        <v>Straw_lithosphere</v>
      </c>
      <c r="D10" s="189" t="s">
        <v>693</v>
      </c>
      <c r="E10" s="9" t="str">
        <f>_xlfn.XLOOKUP($D10,Table32[Color_Name],Table32[Hex_Code],,0,)</f>
        <v>#F5DEB3</v>
      </c>
      <c r="F10" s="37"/>
    </row>
    <row r="11" spans="1:10" x14ac:dyDescent="0.25">
      <c r="A11" s="16">
        <f t="shared" si="0"/>
        <v>10</v>
      </c>
      <c r="B11" s="9" t="str">
        <f>_xlfn.XLOOKUP(C11,Tab_Def_Flows[Name(EN)],Tab_Def_Flows[Flow_ID],,0,)</f>
        <v>F_05_07</v>
      </c>
      <c r="C11" s="9" t="str">
        <f>Tab_Def_Flows[[#This Row],[Name(EN)]]</f>
        <v>Straw_animal_bedding</v>
      </c>
      <c r="D11" s="189" t="s">
        <v>693</v>
      </c>
      <c r="E11" s="9" t="str">
        <f>_xlfn.XLOOKUP($D11,Table32[Color_Name],Table32[Hex_Code],,0,)</f>
        <v>#F5DEB3</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677</v>
      </c>
      <c r="E13" s="9" t="str">
        <f>_xlfn.XLOOKUP($D13,Table32[Color_Name],Table32[Hex_Code],,0,)</f>
        <v>#228B22</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677</v>
      </c>
      <c r="E15" s="9" t="str">
        <f>_xlfn.XLOOKUP($D15,Table32[Color_Name],Table32[Hex_Code],,0,)</f>
        <v>#228B22</v>
      </c>
      <c r="F15" s="37"/>
    </row>
    <row r="16" spans="1:10" x14ac:dyDescent="0.25">
      <c r="A16" s="16">
        <f t="shared" si="0"/>
        <v>15</v>
      </c>
      <c r="B16" s="9" t="str">
        <f>_xlfn.XLOOKUP(C16,Tab_Def_Flows[Name(EN)],Tab_Def_Flows[Flow_ID],,0,)</f>
        <v>F_05_09</v>
      </c>
      <c r="C16" s="9" t="str">
        <f>Tab_Def_Flows[[#This Row],[Name(EN)]]</f>
        <v>Straw_Compost</v>
      </c>
      <c r="D16" s="189" t="s">
        <v>693</v>
      </c>
      <c r="E16" s="9" t="str">
        <f>_xlfn.XLOOKUP($D16,Table32[Color_Name],Table32[Hex_Code],,0,)</f>
        <v>#F5DEB3</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677</v>
      </c>
      <c r="E18" s="9" t="str">
        <f>_xlfn.XLOOKUP($D18,Table32[Color_Name],Table32[Hex_Code],,0,)</f>
        <v>#228B22</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677</v>
      </c>
      <c r="E20" s="9" t="str">
        <f>_xlfn.XLOOKUP($D20,Table32[Color_Name],Table32[Hex_Code],,0,)</f>
        <v>#228B22</v>
      </c>
      <c r="F20" s="37"/>
    </row>
    <row r="21" spans="1:6" x14ac:dyDescent="0.25">
      <c r="A21" s="16">
        <f t="shared" si="0"/>
        <v>20</v>
      </c>
      <c r="B21" s="9" t="str">
        <f>_xlfn.XLOOKUP(C21,Tab_Def_Flows[Name(EN)],Tab_Def_Flows[Flow_ID],,0,)</f>
        <v>F_09_10</v>
      </c>
      <c r="C21" s="9" t="str">
        <f>Tab_Def_Flows[[#This Row],[Name(EN)]]</f>
        <v>Compost_lithosphere</v>
      </c>
      <c r="D21" s="189" t="s">
        <v>693</v>
      </c>
      <c r="E21" s="9" t="str">
        <f>_xlfn.XLOOKUP($D21,Table32[Color_Name],Table32[Hex_Code],,0,)</f>
        <v>#F5DEB3</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A58" sqref="A58:B60"/>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808</v>
      </c>
      <c r="C5" s="273"/>
      <c r="D5" s="274"/>
      <c r="E5" s="153" t="s">
        <v>257</v>
      </c>
      <c r="F5" s="275" t="s">
        <v>810</v>
      </c>
      <c r="G5" s="275"/>
      <c r="H5" s="276"/>
      <c r="I5" s="154"/>
      <c r="J5" s="149"/>
      <c r="K5" s="149"/>
      <c r="L5" s="149"/>
      <c r="M5" s="146"/>
    </row>
    <row r="6" spans="1:22" ht="16.5" customHeight="1" x14ac:dyDescent="0.25">
      <c r="A6" s="153" t="s">
        <v>256</v>
      </c>
      <c r="B6" s="275" t="s">
        <v>809</v>
      </c>
      <c r="C6" s="275"/>
      <c r="D6" s="276"/>
      <c r="E6" s="153" t="s">
        <v>256</v>
      </c>
      <c r="F6" s="275" t="s">
        <v>475</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
        <v>476</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B5</f>
        <v>Wheat Straw</v>
      </c>
      <c r="B16" s="73">
        <v>100</v>
      </c>
      <c r="C16" s="124">
        <f t="shared" ref="C16:C21" si="0">B16/$B$22</f>
        <v>0.77519379844961245</v>
      </c>
      <c r="D16" s="123" t="s">
        <v>208</v>
      </c>
      <c r="E16" s="122">
        <v>0.86</v>
      </c>
      <c r="F16" s="72">
        <f t="shared" ref="F16:F21" si="1">E16*B16</f>
        <v>86</v>
      </c>
      <c r="G16" s="121">
        <f t="shared" ref="G16:G21" si="2">F16/$F$22</f>
        <v>1</v>
      </c>
      <c r="H16" s="120" t="s">
        <v>208</v>
      </c>
      <c r="I16" s="119">
        <v>0.14000000000000001</v>
      </c>
      <c r="J16" s="71">
        <f t="shared" ref="J16:J21" si="3">I16*B16</f>
        <v>14.000000000000002</v>
      </c>
      <c r="K16" s="139">
        <f t="shared" ref="K16:K21" si="4">J16/$J$22</f>
        <v>0.32558139534883723</v>
      </c>
      <c r="L16" s="116" t="s">
        <v>208</v>
      </c>
      <c r="M16" s="116"/>
    </row>
    <row r="17" spans="1:23" ht="23.25" customHeight="1" x14ac:dyDescent="0.25">
      <c r="A17" s="97" t="str">
        <f t="shared" ref="A16:A21" si="5">B6</f>
        <v>Water</v>
      </c>
      <c r="B17" s="73">
        <v>29</v>
      </c>
      <c r="C17" s="124">
        <f t="shared" si="0"/>
        <v>0.22480620155038761</v>
      </c>
      <c r="D17" s="123" t="s">
        <v>208</v>
      </c>
      <c r="E17" s="122">
        <v>0</v>
      </c>
      <c r="F17" s="72">
        <f t="shared" si="1"/>
        <v>0</v>
      </c>
      <c r="G17" s="121">
        <f t="shared" si="2"/>
        <v>0</v>
      </c>
      <c r="H17" s="120" t="s">
        <v>208</v>
      </c>
      <c r="I17" s="119">
        <f>1-E17</f>
        <v>1</v>
      </c>
      <c r="J17" s="71">
        <f t="shared" si="3"/>
        <v>29</v>
      </c>
      <c r="K17" s="139">
        <f t="shared" si="4"/>
        <v>0.67441860465116277</v>
      </c>
      <c r="L17" s="116" t="s">
        <v>208</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210</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Wheat Straw</v>
      </c>
      <c r="B25" s="96">
        <v>0.48</v>
      </c>
      <c r="C25" s="94">
        <f>F16*B25</f>
        <v>41.28</v>
      </c>
      <c r="D25" s="95">
        <f t="shared" ref="D25:D30" si="7">C25/$C$31</f>
        <v>1</v>
      </c>
      <c r="E25" s="94" t="s">
        <v>208</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208</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210</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Compost</v>
      </c>
      <c r="B35" s="73">
        <v>86</v>
      </c>
      <c r="C35" s="124">
        <f t="shared" ref="C35:C40" si="19">B35/$B$41</f>
        <v>0.66666666666666663</v>
      </c>
      <c r="D35" s="123" t="s">
        <v>208</v>
      </c>
      <c r="E35" s="122">
        <v>0.5</v>
      </c>
      <c r="F35" s="72">
        <f>E35*B35</f>
        <v>43</v>
      </c>
      <c r="G35" s="121">
        <f t="shared" ref="G35:G40" si="20">F35/$F$41</f>
        <v>0.5</v>
      </c>
      <c r="H35" s="120" t="s">
        <v>208</v>
      </c>
      <c r="I35" s="119">
        <f>1-E35</f>
        <v>0.5</v>
      </c>
      <c r="J35" s="71">
        <f t="shared" ref="J35:J40" si="21">I35*B35</f>
        <v>43</v>
      </c>
      <c r="K35" s="118">
        <f>J35/$J$41</f>
        <v>1</v>
      </c>
      <c r="L35" s="117" t="s">
        <v>208</v>
      </c>
      <c r="M35" s="116"/>
      <c r="R35">
        <f>C54/B17</f>
        <v>2.9655172413793105</v>
      </c>
    </row>
    <row r="36" spans="1:18" ht="15.75" x14ac:dyDescent="0.25">
      <c r="A36" s="97" t="str">
        <f t="shared" si="18"/>
        <v>Compost_Emissions_C</v>
      </c>
      <c r="B36" s="73">
        <v>18.920000000000002</v>
      </c>
      <c r="C36" s="124">
        <f t="shared" si="19"/>
        <v>0.14666666666666667</v>
      </c>
      <c r="D36" s="123" t="s">
        <v>208</v>
      </c>
      <c r="E36" s="122">
        <v>1</v>
      </c>
      <c r="F36" s="72">
        <v>18.920000000000002</v>
      </c>
      <c r="G36" s="121">
        <f t="shared" si="20"/>
        <v>0.22000000000000003</v>
      </c>
      <c r="H36" s="120" t="s">
        <v>208</v>
      </c>
      <c r="I36" s="119">
        <f>1-E36</f>
        <v>0</v>
      </c>
      <c r="J36" s="71">
        <f t="shared" si="21"/>
        <v>0</v>
      </c>
      <c r="K36" s="118">
        <f>J36/$J$41</f>
        <v>0</v>
      </c>
      <c r="L36" s="117" t="s">
        <v>208</v>
      </c>
      <c r="M36" s="116"/>
    </row>
    <row r="37" spans="1:18" ht="15.75" x14ac:dyDescent="0.25">
      <c r="A37" s="97" t="str">
        <f t="shared" si="18"/>
        <v>Compost_Emissions_E</v>
      </c>
      <c r="B37" s="73">
        <v>24.08</v>
      </c>
      <c r="C37" s="124">
        <f t="shared" si="19"/>
        <v>0.18666666666666665</v>
      </c>
      <c r="D37" s="123"/>
      <c r="E37" s="122">
        <v>1</v>
      </c>
      <c r="F37" s="72">
        <f t="shared" ref="F36: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Compost</v>
      </c>
      <c r="B44" s="96">
        <v>0.52</v>
      </c>
      <c r="C44" s="94">
        <f>J35*B44</f>
        <v>22.36</v>
      </c>
      <c r="D44" s="95">
        <f t="shared" ref="D44:D49" si="24">C44/$C$50</f>
        <v>0.54166666666666663</v>
      </c>
      <c r="E44" s="94" t="s">
        <v>208</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208</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208</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210</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8" t="s">
        <v>220</v>
      </c>
      <c r="B51" s="239"/>
      <c r="C51" s="239"/>
      <c r="D51" s="239"/>
      <c r="E51" s="240"/>
      <c r="F51" s="241" t="s">
        <v>219</v>
      </c>
      <c r="G51" s="242"/>
      <c r="H51" s="242"/>
      <c r="I51" s="242"/>
      <c r="J51" s="242"/>
      <c r="K51" s="242"/>
      <c r="L51" s="242"/>
      <c r="M51" s="243"/>
    </row>
    <row r="52" spans="1:18" ht="16.5" thickBot="1" x14ac:dyDescent="0.3">
      <c r="A52" s="4" t="s">
        <v>218</v>
      </c>
      <c r="B52" s="77" t="s">
        <v>217</v>
      </c>
      <c r="C52" s="76" t="s">
        <v>189</v>
      </c>
      <c r="D52" s="75" t="s">
        <v>188</v>
      </c>
      <c r="E52" s="74" t="s">
        <v>216</v>
      </c>
      <c r="F52" s="231"/>
      <c r="G52" s="231"/>
      <c r="H52" s="231"/>
      <c r="I52" s="231"/>
      <c r="J52" s="231"/>
      <c r="K52" s="231"/>
      <c r="L52" s="231"/>
      <c r="M52" s="244"/>
    </row>
    <row r="53" spans="1:18" ht="15.75" x14ac:dyDescent="0.25">
      <c r="A53" s="5" t="s">
        <v>215</v>
      </c>
      <c r="B53" s="73">
        <f>B22</f>
        <v>129</v>
      </c>
      <c r="C53" s="72">
        <f>F22</f>
        <v>86</v>
      </c>
      <c r="D53" s="71">
        <f>J22</f>
        <v>43</v>
      </c>
      <c r="E53" s="70">
        <f>C31</f>
        <v>41.28</v>
      </c>
      <c r="F53" s="231"/>
      <c r="G53" s="231"/>
      <c r="H53" s="231"/>
      <c r="I53" s="231"/>
      <c r="J53" s="231"/>
      <c r="K53" s="231"/>
      <c r="L53" s="231"/>
      <c r="M53" s="244"/>
      <c r="P53">
        <f>C53-C54</f>
        <v>0</v>
      </c>
      <c r="R53">
        <f>R50-R45</f>
        <v>0</v>
      </c>
    </row>
    <row r="54" spans="1:18" ht="16.5" thickBot="1" x14ac:dyDescent="0.3">
      <c r="A54" s="5" t="s">
        <v>214</v>
      </c>
      <c r="B54" s="73">
        <f>B41</f>
        <v>129</v>
      </c>
      <c r="C54" s="72">
        <f>F41</f>
        <v>86</v>
      </c>
      <c r="D54" s="71">
        <f>J41</f>
        <v>43</v>
      </c>
      <c r="E54" s="70">
        <f>C50</f>
        <v>41.28</v>
      </c>
      <c r="F54" s="231"/>
      <c r="G54" s="231"/>
      <c r="H54" s="231"/>
      <c r="I54" s="231"/>
      <c r="J54" s="231"/>
      <c r="K54" s="231"/>
      <c r="L54" s="231"/>
      <c r="M54" s="244"/>
    </row>
    <row r="55" spans="1:18" ht="15.75" x14ac:dyDescent="0.25">
      <c r="A55" s="4" t="s">
        <v>213</v>
      </c>
      <c r="B55" s="162">
        <f>B53-B54</f>
        <v>0</v>
      </c>
      <c r="C55" s="163">
        <f>C53-C54</f>
        <v>0</v>
      </c>
      <c r="D55" s="164">
        <f>D53-D54</f>
        <v>0</v>
      </c>
      <c r="E55" s="165">
        <f>E53-E54</f>
        <v>0</v>
      </c>
      <c r="F55" s="231"/>
      <c r="G55" s="231"/>
      <c r="H55" s="231"/>
      <c r="I55" s="231"/>
      <c r="J55" s="231"/>
      <c r="K55" s="231"/>
      <c r="L55" s="231"/>
      <c r="M55" s="244"/>
    </row>
    <row r="56" spans="1:18" ht="16.5" thickBot="1" x14ac:dyDescent="0.3">
      <c r="A56" s="7" t="s">
        <v>212</v>
      </c>
      <c r="B56" s="69">
        <f>B53/B54</f>
        <v>1</v>
      </c>
      <c r="C56" s="67">
        <f>C53/C54</f>
        <v>1</v>
      </c>
      <c r="D56" s="66">
        <f>D53/D54</f>
        <v>1</v>
      </c>
      <c r="E56" s="65">
        <f>E53/E54</f>
        <v>1</v>
      </c>
      <c r="F56" s="231"/>
      <c r="G56" s="231"/>
      <c r="H56" s="231"/>
      <c r="I56" s="231"/>
      <c r="J56" s="231"/>
      <c r="K56" s="231"/>
      <c r="L56" s="231"/>
      <c r="M56" s="244"/>
    </row>
    <row r="57" spans="1:18" ht="15.75" thickBot="1" x14ac:dyDescent="0.3">
      <c r="A57" s="238" t="s">
        <v>211</v>
      </c>
      <c r="B57" s="239"/>
      <c r="C57" s="239"/>
      <c r="D57" s="239"/>
      <c r="E57" s="240"/>
      <c r="F57" s="231"/>
      <c r="G57" s="231"/>
      <c r="H57" s="231"/>
      <c r="I57" s="231"/>
      <c r="J57" s="231"/>
      <c r="K57" s="231"/>
      <c r="L57" s="231"/>
      <c r="M57" s="244"/>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1"/>
      <c r="G58" s="231"/>
      <c r="H58" s="231"/>
      <c r="I58" s="231"/>
      <c r="J58" s="231"/>
      <c r="K58" s="231"/>
      <c r="L58" s="231"/>
      <c r="M58" s="244"/>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1"/>
      <c r="G59" s="231"/>
      <c r="H59" s="231"/>
      <c r="I59" s="231"/>
      <c r="J59" s="231"/>
      <c r="K59" s="231"/>
      <c r="L59" s="231"/>
      <c r="M59" s="244"/>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1"/>
      <c r="G60" s="231"/>
      <c r="H60" s="231"/>
      <c r="I60" s="231"/>
      <c r="J60" s="231"/>
      <c r="K60" s="231"/>
      <c r="L60" s="231"/>
      <c r="M60" s="244"/>
    </row>
    <row r="61" spans="1:18" ht="16.5" thickBot="1" x14ac:dyDescent="0.3">
      <c r="A61" s="7" t="str">
        <f t="shared" si="38"/>
        <v>N.A.</v>
      </c>
      <c r="B61" s="68">
        <f t="shared" si="39"/>
        <v>0</v>
      </c>
      <c r="C61" s="67">
        <f>($G$41*F38)/($B$22*$E$22)</f>
        <v>0</v>
      </c>
      <c r="D61" s="66">
        <f t="shared" si="40"/>
        <v>0</v>
      </c>
      <c r="E61" s="65">
        <f t="shared" si="41"/>
        <v>0</v>
      </c>
      <c r="F61" s="231"/>
      <c r="G61" s="231"/>
      <c r="H61" s="231"/>
      <c r="I61" s="231"/>
      <c r="J61" s="231"/>
      <c r="K61" s="231"/>
      <c r="L61" s="231"/>
      <c r="M61" s="244"/>
    </row>
    <row r="62" spans="1:18" ht="16.5" thickBot="1" x14ac:dyDescent="0.3">
      <c r="A62" s="7" t="str">
        <f t="shared" si="38"/>
        <v>N.A.</v>
      </c>
      <c r="B62" s="68">
        <f t="shared" si="39"/>
        <v>0</v>
      </c>
      <c r="C62" s="67">
        <f>(B39*E39)/($B$22*$E$22)</f>
        <v>0</v>
      </c>
      <c r="D62" s="66">
        <f t="shared" si="40"/>
        <v>0</v>
      </c>
      <c r="E62" s="65">
        <f t="shared" si="41"/>
        <v>0</v>
      </c>
      <c r="F62" s="231"/>
      <c r="G62" s="231"/>
      <c r="H62" s="231"/>
      <c r="I62" s="231"/>
      <c r="J62" s="231"/>
      <c r="K62" s="231"/>
      <c r="L62" s="231"/>
      <c r="M62" s="244"/>
    </row>
    <row r="63" spans="1:18" ht="16.5" thickBot="1" x14ac:dyDescent="0.3">
      <c r="A63" s="7">
        <f t="shared" si="38"/>
        <v>0</v>
      </c>
      <c r="B63" s="68">
        <f t="shared" si="39"/>
        <v>0</v>
      </c>
      <c r="C63" s="67">
        <f>(B40*E40)/($B$22*$E$22)</f>
        <v>0</v>
      </c>
      <c r="D63" s="66">
        <f t="shared" si="40"/>
        <v>0</v>
      </c>
      <c r="E63" s="65">
        <f t="shared" si="41"/>
        <v>0</v>
      </c>
      <c r="F63" s="231"/>
      <c r="G63" s="231"/>
      <c r="H63" s="231"/>
      <c r="I63" s="231"/>
      <c r="J63" s="231"/>
      <c r="K63" s="231"/>
      <c r="L63" s="231"/>
      <c r="M63" s="244"/>
    </row>
    <row r="64" spans="1:18" ht="16.5" thickBot="1" x14ac:dyDescent="0.3">
      <c r="A64" s="4" t="s">
        <v>210</v>
      </c>
      <c r="B64" s="158">
        <f>SUM(B58:B63)</f>
        <v>0.99999999999999978</v>
      </c>
      <c r="C64" s="159">
        <f>SUM(C58:C63)</f>
        <v>1</v>
      </c>
      <c r="D64" s="160">
        <f>SUM(D58:D63)</f>
        <v>1</v>
      </c>
      <c r="E64" s="161">
        <f>SUM(E58:E63)</f>
        <v>1</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5. Wastefiles &gt;&gt;&gt;&gt;</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2025-09-12T15:39:52Z</dcterms:modified>
</cp:coreProperties>
</file>